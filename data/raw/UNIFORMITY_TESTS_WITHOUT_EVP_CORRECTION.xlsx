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72B734B-3F4A-4E18-878A-450C2B065CE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UC QT 1" sheetId="3" r:id="rId1"/>
    <sheet name="CUC QT 2" sheetId="4" r:id="rId2"/>
    <sheet name="CUC QT 3" sheetId="5" r:id="rId3"/>
    <sheet name="CUC Q0 E03" sheetId="7" r:id="rId4"/>
    <sheet name="CUC Q0 E06" sheetId="8" r:id="rId5"/>
    <sheet name="CUC Q0 E09" sheetId="9" r:id="rId6"/>
    <sheet name="CUC Q0 E12" sheetId="11" r:id="rId7"/>
    <sheet name="CUC Q0 E15" sheetId="13" r:id="rId8"/>
    <sheet name="CUC Q0 E18" sheetId="14" r:id="rId9"/>
    <sheet name="CUC Q0 E21" sheetId="15" r:id="rId10"/>
    <sheet name="CUC Q0 E24" sheetId="17" r:id="rId11"/>
    <sheet name="CUC Q0 E27" sheetId="19" r:id="rId12"/>
    <sheet name="CUC Q0 E30" sheetId="20" r:id="rId13"/>
    <sheet name="CUC Q0 E33" sheetId="21" r:id="rId14"/>
    <sheet name="CUC Q0 E36" sheetId="23" r:id="rId15"/>
    <sheet name="03-06-09-12-15-18" sheetId="24" r:id="rId16"/>
    <sheet name="12-15-18-21-24-27" sheetId="25" r:id="rId17"/>
    <sheet name="21-24-27-30-33-36" sheetId="26" r:id="rId18"/>
    <sheet name="ALL EMITTERS" sheetId="27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62" i="27" l="1"/>
  <c r="F162" i="27"/>
  <c r="P161" i="27"/>
  <c r="F161" i="27"/>
  <c r="P160" i="27"/>
  <c r="F160" i="27"/>
  <c r="P159" i="27"/>
  <c r="F159" i="27"/>
  <c r="P158" i="27"/>
  <c r="F158" i="27"/>
  <c r="P157" i="27"/>
  <c r="F157" i="27"/>
  <c r="P156" i="27"/>
  <c r="F156" i="27"/>
  <c r="P155" i="27"/>
  <c r="F155" i="27"/>
  <c r="P154" i="27"/>
  <c r="F154" i="27"/>
  <c r="P153" i="27"/>
  <c r="F153" i="27"/>
  <c r="P152" i="27"/>
  <c r="F152" i="27"/>
  <c r="P151" i="27"/>
  <c r="F151" i="27"/>
  <c r="P150" i="27"/>
  <c r="F150" i="27"/>
  <c r="P149" i="27"/>
  <c r="F149" i="27"/>
  <c r="P148" i="27"/>
  <c r="F148" i="27"/>
  <c r="P147" i="27"/>
  <c r="F147" i="27"/>
  <c r="P146" i="27"/>
  <c r="F146" i="27"/>
  <c r="P145" i="27"/>
  <c r="F145" i="27"/>
  <c r="P144" i="27"/>
  <c r="F144" i="27"/>
  <c r="P143" i="27"/>
  <c r="F143" i="27"/>
  <c r="P142" i="27"/>
  <c r="F142" i="27"/>
  <c r="P141" i="27"/>
  <c r="F141" i="27"/>
  <c r="P140" i="27"/>
  <c r="F140" i="27"/>
  <c r="P139" i="27"/>
  <c r="F139" i="27"/>
  <c r="P138" i="27"/>
  <c r="F138" i="27"/>
  <c r="P137" i="27"/>
  <c r="F137" i="27"/>
  <c r="P136" i="27"/>
  <c r="F136" i="27"/>
  <c r="P135" i="27"/>
  <c r="F135" i="27"/>
  <c r="P134" i="27"/>
  <c r="F134" i="27"/>
  <c r="P133" i="27"/>
  <c r="F133" i="27"/>
  <c r="P132" i="27"/>
  <c r="F132" i="27"/>
  <c r="P131" i="27"/>
  <c r="F131" i="27"/>
  <c r="P130" i="27"/>
  <c r="F130" i="27"/>
  <c r="P129" i="27"/>
  <c r="F129" i="27"/>
  <c r="P128" i="27"/>
  <c r="F128" i="27"/>
  <c r="P127" i="27"/>
  <c r="F127" i="27"/>
  <c r="P126" i="27"/>
  <c r="F126" i="27"/>
  <c r="P125" i="27"/>
  <c r="F125" i="27"/>
  <c r="P124" i="27"/>
  <c r="F124" i="27"/>
  <c r="P123" i="27"/>
  <c r="F123" i="27"/>
  <c r="P122" i="27"/>
  <c r="F122" i="27"/>
  <c r="P121" i="27"/>
  <c r="F121" i="27"/>
  <c r="P120" i="27"/>
  <c r="F120" i="27"/>
  <c r="P119" i="27"/>
  <c r="F119" i="27"/>
  <c r="P118" i="27"/>
  <c r="F118" i="27"/>
  <c r="P117" i="27"/>
  <c r="F117" i="27"/>
  <c r="P116" i="27"/>
  <c r="F116" i="27"/>
  <c r="P115" i="27"/>
  <c r="F115" i="27"/>
  <c r="P114" i="27"/>
  <c r="F114" i="27"/>
  <c r="P113" i="27"/>
  <c r="F113" i="27"/>
  <c r="P112" i="27"/>
  <c r="F112" i="27"/>
  <c r="P111" i="27"/>
  <c r="F111" i="27"/>
  <c r="P110" i="27"/>
  <c r="F110" i="27"/>
  <c r="P109" i="27"/>
  <c r="F109" i="27"/>
  <c r="P108" i="27"/>
  <c r="F108" i="27"/>
  <c r="P107" i="27"/>
  <c r="F107" i="27"/>
  <c r="P106" i="27"/>
  <c r="F106" i="27"/>
  <c r="P105" i="27"/>
  <c r="F105" i="27"/>
  <c r="P104" i="27"/>
  <c r="F104" i="27"/>
  <c r="P103" i="27"/>
  <c r="F103" i="27"/>
  <c r="P102" i="27"/>
  <c r="F102" i="27"/>
  <c r="P101" i="27"/>
  <c r="F101" i="27"/>
  <c r="P100" i="27"/>
  <c r="F100" i="27"/>
  <c r="P99" i="27"/>
  <c r="F99" i="27"/>
  <c r="P98" i="27"/>
  <c r="F98" i="27"/>
  <c r="P97" i="27"/>
  <c r="F97" i="27"/>
  <c r="P96" i="27"/>
  <c r="F96" i="27"/>
  <c r="P95" i="27"/>
  <c r="F95" i="27"/>
  <c r="P94" i="27"/>
  <c r="F94" i="27"/>
  <c r="P93" i="27"/>
  <c r="F93" i="27"/>
  <c r="P92" i="27"/>
  <c r="F92" i="27"/>
  <c r="P91" i="27"/>
  <c r="F91" i="27"/>
  <c r="P90" i="27"/>
  <c r="F90" i="27"/>
  <c r="P89" i="27"/>
  <c r="F89" i="27"/>
  <c r="P88" i="27"/>
  <c r="F88" i="27"/>
  <c r="P87" i="27"/>
  <c r="F87" i="27"/>
  <c r="P86" i="27"/>
  <c r="F86" i="27"/>
  <c r="P85" i="27"/>
  <c r="F85" i="27"/>
  <c r="P84" i="27"/>
  <c r="F84" i="27"/>
  <c r="P83" i="27"/>
  <c r="F83" i="27"/>
  <c r="P82" i="27"/>
  <c r="F82" i="27"/>
  <c r="P81" i="27"/>
  <c r="F81" i="27"/>
  <c r="P80" i="27"/>
  <c r="F80" i="27"/>
  <c r="P79" i="27"/>
  <c r="F79" i="27"/>
  <c r="P78" i="27"/>
  <c r="F78" i="27"/>
  <c r="P77" i="27"/>
  <c r="F77" i="27"/>
  <c r="P76" i="27"/>
  <c r="F76" i="27"/>
  <c r="P75" i="27"/>
  <c r="F75" i="27"/>
  <c r="P74" i="27"/>
  <c r="F74" i="27"/>
  <c r="P73" i="27"/>
  <c r="F73" i="27"/>
  <c r="P72" i="27"/>
  <c r="F72" i="27"/>
  <c r="P71" i="27"/>
  <c r="F71" i="27"/>
  <c r="P70" i="27"/>
  <c r="F70" i="27"/>
  <c r="P69" i="27"/>
  <c r="F69" i="27"/>
  <c r="P68" i="27"/>
  <c r="F68" i="27"/>
  <c r="P67" i="27"/>
  <c r="F67" i="27"/>
  <c r="P66" i="27"/>
  <c r="F66" i="27"/>
  <c r="P65" i="27"/>
  <c r="F65" i="27"/>
  <c r="P64" i="27"/>
  <c r="F64" i="27"/>
  <c r="P63" i="27"/>
  <c r="F63" i="27"/>
  <c r="P62" i="27"/>
  <c r="F62" i="27"/>
  <c r="P61" i="27"/>
  <c r="F61" i="27"/>
  <c r="P60" i="27"/>
  <c r="F60" i="27"/>
  <c r="P59" i="27"/>
  <c r="F59" i="27"/>
  <c r="P58" i="27"/>
  <c r="F58" i="27"/>
  <c r="P57" i="27"/>
  <c r="F57" i="27"/>
  <c r="P56" i="27"/>
  <c r="F56" i="27"/>
  <c r="P55" i="27"/>
  <c r="F55" i="27"/>
  <c r="P54" i="27"/>
  <c r="F54" i="27"/>
  <c r="P53" i="27"/>
  <c r="F53" i="27"/>
  <c r="P52" i="27"/>
  <c r="F52" i="27"/>
  <c r="P51" i="27"/>
  <c r="F51" i="27"/>
  <c r="P50" i="27"/>
  <c r="F50" i="27"/>
  <c r="P49" i="27"/>
  <c r="F49" i="27"/>
  <c r="P48" i="27"/>
  <c r="F48" i="27"/>
  <c r="P47" i="27"/>
  <c r="F47" i="27"/>
  <c r="P46" i="27"/>
  <c r="F46" i="27"/>
  <c r="P45" i="27"/>
  <c r="F45" i="27"/>
  <c r="P44" i="27"/>
  <c r="F44" i="27"/>
  <c r="P43" i="27"/>
  <c r="F43" i="27"/>
  <c r="P42" i="27"/>
  <c r="F42" i="27"/>
  <c r="P41" i="27"/>
  <c r="F41" i="27"/>
  <c r="P40" i="27"/>
  <c r="F40" i="27"/>
  <c r="P39" i="27"/>
  <c r="F39" i="27"/>
  <c r="P38" i="27"/>
  <c r="F38" i="27"/>
  <c r="P37" i="27"/>
  <c r="F37" i="27"/>
  <c r="P36" i="27"/>
  <c r="F36" i="27"/>
  <c r="P35" i="27"/>
  <c r="F35" i="27"/>
  <c r="P34" i="27"/>
  <c r="F34" i="27"/>
  <c r="P33" i="27"/>
  <c r="F33" i="27"/>
  <c r="P32" i="27"/>
  <c r="F32" i="27"/>
  <c r="P31" i="27"/>
  <c r="F31" i="27"/>
  <c r="P30" i="27"/>
  <c r="F30" i="27"/>
  <c r="W29" i="27"/>
  <c r="V29" i="27"/>
  <c r="P29" i="27"/>
  <c r="F29" i="27"/>
  <c r="P28" i="27"/>
  <c r="F28" i="27"/>
  <c r="P27" i="27"/>
  <c r="F27" i="27"/>
  <c r="P26" i="27"/>
  <c r="F26" i="27"/>
  <c r="P25" i="27"/>
  <c r="F25" i="27"/>
  <c r="P24" i="27"/>
  <c r="F24" i="27"/>
  <c r="P23" i="27"/>
  <c r="F23" i="27"/>
  <c r="P22" i="27"/>
  <c r="F22" i="27"/>
  <c r="P21" i="27"/>
  <c r="F21" i="27"/>
  <c r="W20" i="27"/>
  <c r="P20" i="27"/>
  <c r="F20" i="27"/>
  <c r="P19" i="27"/>
  <c r="F19" i="27"/>
  <c r="C19" i="27"/>
  <c r="C20" i="27" s="1"/>
  <c r="C21" i="27" s="1"/>
  <c r="P18" i="27"/>
  <c r="F18" i="27"/>
  <c r="X17" i="27"/>
  <c r="P17" i="27"/>
  <c r="F17" i="27"/>
  <c r="P16" i="27"/>
  <c r="F16" i="27"/>
  <c r="P15" i="27"/>
  <c r="F15" i="27"/>
  <c r="C15" i="27"/>
  <c r="C16" i="27" s="1"/>
  <c r="C17" i="27" s="1"/>
  <c r="C18" i="27" s="1"/>
  <c r="P14" i="27"/>
  <c r="F14" i="27"/>
  <c r="P13" i="27"/>
  <c r="F13" i="27"/>
  <c r="P12" i="27"/>
  <c r="F12" i="27"/>
  <c r="P11" i="27"/>
  <c r="F11" i="27"/>
  <c r="C11" i="27"/>
  <c r="C12" i="27" s="1"/>
  <c r="C13" i="27" s="1"/>
  <c r="C14" i="27" s="1"/>
  <c r="P10" i="27"/>
  <c r="F10" i="27"/>
  <c r="G10" i="27" s="1"/>
  <c r="P9" i="27"/>
  <c r="F9" i="27"/>
  <c r="G9" i="27" s="1"/>
  <c r="P8" i="27"/>
  <c r="F8" i="27"/>
  <c r="C8" i="27"/>
  <c r="C9" i="27" s="1"/>
  <c r="C10" i="27" s="1"/>
  <c r="B8" i="27"/>
  <c r="B9" i="27" s="1"/>
  <c r="B10" i="27" s="1"/>
  <c r="P7" i="27"/>
  <c r="M7" i="27"/>
  <c r="L7" i="27"/>
  <c r="F7" i="27"/>
  <c r="G7" i="27" s="1"/>
  <c r="C7" i="27"/>
  <c r="B7" i="27"/>
  <c r="Q6" i="27"/>
  <c r="P6" i="27"/>
  <c r="G6" i="27"/>
  <c r="F6" i="27"/>
  <c r="P162" i="26"/>
  <c r="F162" i="26"/>
  <c r="P161" i="26"/>
  <c r="F161" i="26"/>
  <c r="P160" i="26"/>
  <c r="F160" i="26"/>
  <c r="P159" i="26"/>
  <c r="F159" i="26"/>
  <c r="P158" i="26"/>
  <c r="F158" i="26"/>
  <c r="P157" i="26"/>
  <c r="F157" i="26"/>
  <c r="P156" i="26"/>
  <c r="F156" i="26"/>
  <c r="P155" i="26"/>
  <c r="F155" i="26"/>
  <c r="P154" i="26"/>
  <c r="F154" i="26"/>
  <c r="P153" i="26"/>
  <c r="F153" i="26"/>
  <c r="P152" i="26"/>
  <c r="F152" i="26"/>
  <c r="P151" i="26"/>
  <c r="F151" i="26"/>
  <c r="P150" i="26"/>
  <c r="F150" i="26"/>
  <c r="P149" i="26"/>
  <c r="F149" i="26"/>
  <c r="P148" i="26"/>
  <c r="F148" i="26"/>
  <c r="P147" i="26"/>
  <c r="F147" i="26"/>
  <c r="P146" i="26"/>
  <c r="F146" i="26"/>
  <c r="P145" i="26"/>
  <c r="F145" i="26"/>
  <c r="P144" i="26"/>
  <c r="F144" i="26"/>
  <c r="P143" i="26"/>
  <c r="F143" i="26"/>
  <c r="P142" i="26"/>
  <c r="F142" i="26"/>
  <c r="P141" i="26"/>
  <c r="F141" i="26"/>
  <c r="P140" i="26"/>
  <c r="F140" i="26"/>
  <c r="P139" i="26"/>
  <c r="F139" i="26"/>
  <c r="P138" i="26"/>
  <c r="F138" i="26"/>
  <c r="P137" i="26"/>
  <c r="F137" i="26"/>
  <c r="P136" i="26"/>
  <c r="F136" i="26"/>
  <c r="P135" i="26"/>
  <c r="F135" i="26"/>
  <c r="P134" i="26"/>
  <c r="F134" i="26"/>
  <c r="P133" i="26"/>
  <c r="F133" i="26"/>
  <c r="P132" i="26"/>
  <c r="F132" i="26"/>
  <c r="P131" i="26"/>
  <c r="F131" i="26"/>
  <c r="P130" i="26"/>
  <c r="F130" i="26"/>
  <c r="P129" i="26"/>
  <c r="F129" i="26"/>
  <c r="P128" i="26"/>
  <c r="F128" i="26"/>
  <c r="P127" i="26"/>
  <c r="F127" i="26"/>
  <c r="P126" i="26"/>
  <c r="F126" i="26"/>
  <c r="P125" i="26"/>
  <c r="F125" i="26"/>
  <c r="P124" i="26"/>
  <c r="F124" i="26"/>
  <c r="P123" i="26"/>
  <c r="F123" i="26"/>
  <c r="P122" i="26"/>
  <c r="F122" i="26"/>
  <c r="P121" i="26"/>
  <c r="F121" i="26"/>
  <c r="P120" i="26"/>
  <c r="F120" i="26"/>
  <c r="P119" i="26"/>
  <c r="F119" i="26"/>
  <c r="P118" i="26"/>
  <c r="F118" i="26"/>
  <c r="P117" i="26"/>
  <c r="F117" i="26"/>
  <c r="P116" i="26"/>
  <c r="F116" i="26"/>
  <c r="P115" i="26"/>
  <c r="F115" i="26"/>
  <c r="P114" i="26"/>
  <c r="F114" i="26"/>
  <c r="P113" i="26"/>
  <c r="F113" i="26"/>
  <c r="P112" i="26"/>
  <c r="F112" i="26"/>
  <c r="P111" i="26"/>
  <c r="F111" i="26"/>
  <c r="P110" i="26"/>
  <c r="F110" i="26"/>
  <c r="P109" i="26"/>
  <c r="F109" i="26"/>
  <c r="P108" i="26"/>
  <c r="F108" i="26"/>
  <c r="P107" i="26"/>
  <c r="F107" i="26"/>
  <c r="P106" i="26"/>
  <c r="F106" i="26"/>
  <c r="P105" i="26"/>
  <c r="F105" i="26"/>
  <c r="P104" i="26"/>
  <c r="F104" i="26"/>
  <c r="P103" i="26"/>
  <c r="F103" i="26"/>
  <c r="P102" i="26"/>
  <c r="F102" i="26"/>
  <c r="P101" i="26"/>
  <c r="F101" i="26"/>
  <c r="P100" i="26"/>
  <c r="F100" i="26"/>
  <c r="P99" i="26"/>
  <c r="F99" i="26"/>
  <c r="P98" i="26"/>
  <c r="F98" i="26"/>
  <c r="P97" i="26"/>
  <c r="F97" i="26"/>
  <c r="P96" i="26"/>
  <c r="F96" i="26"/>
  <c r="P95" i="26"/>
  <c r="F95" i="26"/>
  <c r="P94" i="26"/>
  <c r="F94" i="26"/>
  <c r="P93" i="26"/>
  <c r="F93" i="26"/>
  <c r="P92" i="26"/>
  <c r="F92" i="26"/>
  <c r="P91" i="26"/>
  <c r="F91" i="26"/>
  <c r="P90" i="26"/>
  <c r="F90" i="26"/>
  <c r="P89" i="26"/>
  <c r="F89" i="26"/>
  <c r="P88" i="26"/>
  <c r="F88" i="26"/>
  <c r="P87" i="26"/>
  <c r="F87" i="26"/>
  <c r="P86" i="26"/>
  <c r="F86" i="26"/>
  <c r="P85" i="26"/>
  <c r="F85" i="26"/>
  <c r="P84" i="26"/>
  <c r="F84" i="26"/>
  <c r="P83" i="26"/>
  <c r="F83" i="26"/>
  <c r="P82" i="26"/>
  <c r="F82" i="26"/>
  <c r="P81" i="26"/>
  <c r="F81" i="26"/>
  <c r="P80" i="26"/>
  <c r="F80" i="26"/>
  <c r="P79" i="26"/>
  <c r="F79" i="26"/>
  <c r="P78" i="26"/>
  <c r="F78" i="26"/>
  <c r="P77" i="26"/>
  <c r="F77" i="26"/>
  <c r="P76" i="26"/>
  <c r="F76" i="26"/>
  <c r="P75" i="26"/>
  <c r="F75" i="26"/>
  <c r="P74" i="26"/>
  <c r="F74" i="26"/>
  <c r="P73" i="26"/>
  <c r="F73" i="26"/>
  <c r="P72" i="26"/>
  <c r="F72" i="26"/>
  <c r="P71" i="26"/>
  <c r="F71" i="26"/>
  <c r="P70" i="26"/>
  <c r="F70" i="26"/>
  <c r="P69" i="26"/>
  <c r="F69" i="26"/>
  <c r="P68" i="26"/>
  <c r="F68" i="26"/>
  <c r="P67" i="26"/>
  <c r="F67" i="26"/>
  <c r="P66" i="26"/>
  <c r="F66" i="26"/>
  <c r="P65" i="26"/>
  <c r="F65" i="26"/>
  <c r="P64" i="26"/>
  <c r="F64" i="26"/>
  <c r="P63" i="26"/>
  <c r="F63" i="26"/>
  <c r="P62" i="26"/>
  <c r="F62" i="26"/>
  <c r="P61" i="26"/>
  <c r="F61" i="26"/>
  <c r="P60" i="26"/>
  <c r="F60" i="26"/>
  <c r="P59" i="26"/>
  <c r="F59" i="26"/>
  <c r="P58" i="26"/>
  <c r="F58" i="26"/>
  <c r="P57" i="26"/>
  <c r="F57" i="26"/>
  <c r="P56" i="26"/>
  <c r="F56" i="26"/>
  <c r="P55" i="26"/>
  <c r="F55" i="26"/>
  <c r="P54" i="26"/>
  <c r="F54" i="26"/>
  <c r="P53" i="26"/>
  <c r="F53" i="26"/>
  <c r="P52" i="26"/>
  <c r="F52" i="26"/>
  <c r="P51" i="26"/>
  <c r="F51" i="26"/>
  <c r="P50" i="26"/>
  <c r="F50" i="26"/>
  <c r="P49" i="26"/>
  <c r="F49" i="26"/>
  <c r="P48" i="26"/>
  <c r="F48" i="26"/>
  <c r="P47" i="26"/>
  <c r="F47" i="26"/>
  <c r="P46" i="26"/>
  <c r="F46" i="26"/>
  <c r="P45" i="26"/>
  <c r="F45" i="26"/>
  <c r="P44" i="26"/>
  <c r="F44" i="26"/>
  <c r="P43" i="26"/>
  <c r="F43" i="26"/>
  <c r="P42" i="26"/>
  <c r="F42" i="26"/>
  <c r="P41" i="26"/>
  <c r="F41" i="26"/>
  <c r="P40" i="26"/>
  <c r="F40" i="26"/>
  <c r="P39" i="26"/>
  <c r="F39" i="26"/>
  <c r="P38" i="26"/>
  <c r="F38" i="26"/>
  <c r="P37" i="26"/>
  <c r="F37" i="26"/>
  <c r="P36" i="26"/>
  <c r="F36" i="26"/>
  <c r="P35" i="26"/>
  <c r="F35" i="26"/>
  <c r="P34" i="26"/>
  <c r="F34" i="26"/>
  <c r="P33" i="26"/>
  <c r="F33" i="26"/>
  <c r="P32" i="26"/>
  <c r="F32" i="26"/>
  <c r="P31" i="26"/>
  <c r="F31" i="26"/>
  <c r="P30" i="26"/>
  <c r="F30" i="26"/>
  <c r="W29" i="26"/>
  <c r="V29" i="26"/>
  <c r="P29" i="26"/>
  <c r="F29" i="26"/>
  <c r="P28" i="26"/>
  <c r="F28" i="26"/>
  <c r="P27" i="26"/>
  <c r="F27" i="26"/>
  <c r="P26" i="26"/>
  <c r="F26" i="26"/>
  <c r="P25" i="26"/>
  <c r="F25" i="26"/>
  <c r="P24" i="26"/>
  <c r="F24" i="26"/>
  <c r="P23" i="26"/>
  <c r="F23" i="26"/>
  <c r="P22" i="26"/>
  <c r="F22" i="26"/>
  <c r="P21" i="26"/>
  <c r="F21" i="26"/>
  <c r="W20" i="26"/>
  <c r="P20" i="26"/>
  <c r="F20" i="26"/>
  <c r="P19" i="26"/>
  <c r="F19" i="26"/>
  <c r="P18" i="26"/>
  <c r="F18" i="26"/>
  <c r="X17" i="26"/>
  <c r="P17" i="26"/>
  <c r="F17" i="26"/>
  <c r="P16" i="26"/>
  <c r="F16" i="26"/>
  <c r="P15" i="26"/>
  <c r="F15" i="26"/>
  <c r="P14" i="26"/>
  <c r="F14" i="26"/>
  <c r="P13" i="26"/>
  <c r="F13" i="26"/>
  <c r="P12" i="26"/>
  <c r="F12" i="26"/>
  <c r="P11" i="26"/>
  <c r="F11" i="26"/>
  <c r="P10" i="26"/>
  <c r="F10" i="26"/>
  <c r="P9" i="26"/>
  <c r="L9" i="26"/>
  <c r="F9" i="26"/>
  <c r="C9" i="26"/>
  <c r="P8" i="26"/>
  <c r="G8" i="26"/>
  <c r="F8" i="26"/>
  <c r="P7" i="26"/>
  <c r="Q7" i="26" s="1"/>
  <c r="M7" i="26"/>
  <c r="M8" i="26" s="1"/>
  <c r="L7" i="26"/>
  <c r="L8" i="26" s="1"/>
  <c r="F7" i="26"/>
  <c r="G7" i="26" s="1"/>
  <c r="C7" i="26"/>
  <c r="C8" i="26" s="1"/>
  <c r="B7" i="26"/>
  <c r="B8" i="26" s="1"/>
  <c r="Q6" i="26"/>
  <c r="P6" i="26"/>
  <c r="G6" i="26"/>
  <c r="F6" i="26"/>
  <c r="P162" i="25"/>
  <c r="F162" i="25"/>
  <c r="P161" i="25"/>
  <c r="F161" i="25"/>
  <c r="P160" i="25"/>
  <c r="F160" i="25"/>
  <c r="P159" i="25"/>
  <c r="F159" i="25"/>
  <c r="P158" i="25"/>
  <c r="F158" i="25"/>
  <c r="P157" i="25"/>
  <c r="F157" i="25"/>
  <c r="P156" i="25"/>
  <c r="F156" i="25"/>
  <c r="P155" i="25"/>
  <c r="F155" i="25"/>
  <c r="P154" i="25"/>
  <c r="F154" i="25"/>
  <c r="P153" i="25"/>
  <c r="F153" i="25"/>
  <c r="P152" i="25"/>
  <c r="F152" i="25"/>
  <c r="P151" i="25"/>
  <c r="F151" i="25"/>
  <c r="P150" i="25"/>
  <c r="F150" i="25"/>
  <c r="P149" i="25"/>
  <c r="F149" i="25"/>
  <c r="P148" i="25"/>
  <c r="F148" i="25"/>
  <c r="P147" i="25"/>
  <c r="F147" i="25"/>
  <c r="P146" i="25"/>
  <c r="F146" i="25"/>
  <c r="P145" i="25"/>
  <c r="F145" i="25"/>
  <c r="P144" i="25"/>
  <c r="F144" i="25"/>
  <c r="P143" i="25"/>
  <c r="F143" i="25"/>
  <c r="P142" i="25"/>
  <c r="F142" i="25"/>
  <c r="P141" i="25"/>
  <c r="F141" i="25"/>
  <c r="P140" i="25"/>
  <c r="F140" i="25"/>
  <c r="P139" i="25"/>
  <c r="F139" i="25"/>
  <c r="P138" i="25"/>
  <c r="F138" i="25"/>
  <c r="P137" i="25"/>
  <c r="F137" i="25"/>
  <c r="P136" i="25"/>
  <c r="F136" i="25"/>
  <c r="P135" i="25"/>
  <c r="F135" i="25"/>
  <c r="P134" i="25"/>
  <c r="F134" i="25"/>
  <c r="P133" i="25"/>
  <c r="F133" i="25"/>
  <c r="P132" i="25"/>
  <c r="F132" i="25"/>
  <c r="P131" i="25"/>
  <c r="F131" i="25"/>
  <c r="P130" i="25"/>
  <c r="F130" i="25"/>
  <c r="P129" i="25"/>
  <c r="F129" i="25"/>
  <c r="P128" i="25"/>
  <c r="F128" i="25"/>
  <c r="P127" i="25"/>
  <c r="F127" i="25"/>
  <c r="P126" i="25"/>
  <c r="F126" i="25"/>
  <c r="P125" i="25"/>
  <c r="F125" i="25"/>
  <c r="P124" i="25"/>
  <c r="F124" i="25"/>
  <c r="P123" i="25"/>
  <c r="F123" i="25"/>
  <c r="P122" i="25"/>
  <c r="F122" i="25"/>
  <c r="P121" i="25"/>
  <c r="F121" i="25"/>
  <c r="P120" i="25"/>
  <c r="F120" i="25"/>
  <c r="P119" i="25"/>
  <c r="F119" i="25"/>
  <c r="P118" i="25"/>
  <c r="F118" i="25"/>
  <c r="P117" i="25"/>
  <c r="F117" i="25"/>
  <c r="P116" i="25"/>
  <c r="F116" i="25"/>
  <c r="P115" i="25"/>
  <c r="F115" i="25"/>
  <c r="P114" i="25"/>
  <c r="F114" i="25"/>
  <c r="P113" i="25"/>
  <c r="F113" i="25"/>
  <c r="P112" i="25"/>
  <c r="F112" i="25"/>
  <c r="P111" i="25"/>
  <c r="F111" i="25"/>
  <c r="P110" i="25"/>
  <c r="F110" i="25"/>
  <c r="P109" i="25"/>
  <c r="F109" i="25"/>
  <c r="P108" i="25"/>
  <c r="F108" i="25"/>
  <c r="P107" i="25"/>
  <c r="F107" i="25"/>
  <c r="P106" i="25"/>
  <c r="F106" i="25"/>
  <c r="P105" i="25"/>
  <c r="F105" i="25"/>
  <c r="P104" i="25"/>
  <c r="F104" i="25"/>
  <c r="P103" i="25"/>
  <c r="F103" i="25"/>
  <c r="P102" i="25"/>
  <c r="F102" i="25"/>
  <c r="P101" i="25"/>
  <c r="F101" i="25"/>
  <c r="P100" i="25"/>
  <c r="F100" i="25"/>
  <c r="P99" i="25"/>
  <c r="F99" i="25"/>
  <c r="P98" i="25"/>
  <c r="F98" i="25"/>
  <c r="P97" i="25"/>
  <c r="F97" i="25"/>
  <c r="P96" i="25"/>
  <c r="F96" i="25"/>
  <c r="P95" i="25"/>
  <c r="F95" i="25"/>
  <c r="P94" i="25"/>
  <c r="F94" i="25"/>
  <c r="P93" i="25"/>
  <c r="F93" i="25"/>
  <c r="P92" i="25"/>
  <c r="F92" i="25"/>
  <c r="P91" i="25"/>
  <c r="F91" i="25"/>
  <c r="P90" i="25"/>
  <c r="F90" i="25"/>
  <c r="P89" i="25"/>
  <c r="F89" i="25"/>
  <c r="P88" i="25"/>
  <c r="F88" i="25"/>
  <c r="P87" i="25"/>
  <c r="F87" i="25"/>
  <c r="P86" i="25"/>
  <c r="F86" i="25"/>
  <c r="P85" i="25"/>
  <c r="F85" i="25"/>
  <c r="P84" i="25"/>
  <c r="F84" i="25"/>
  <c r="P83" i="25"/>
  <c r="F83" i="25"/>
  <c r="P82" i="25"/>
  <c r="F82" i="25"/>
  <c r="P81" i="25"/>
  <c r="F81" i="25"/>
  <c r="P80" i="25"/>
  <c r="F80" i="25"/>
  <c r="P79" i="25"/>
  <c r="F79" i="25"/>
  <c r="P78" i="25"/>
  <c r="F78" i="25"/>
  <c r="P77" i="25"/>
  <c r="F77" i="25"/>
  <c r="P76" i="25"/>
  <c r="F76" i="25"/>
  <c r="P75" i="25"/>
  <c r="F75" i="25"/>
  <c r="P74" i="25"/>
  <c r="F74" i="25"/>
  <c r="P73" i="25"/>
  <c r="F73" i="25"/>
  <c r="P72" i="25"/>
  <c r="F72" i="25"/>
  <c r="P71" i="25"/>
  <c r="F71" i="25"/>
  <c r="P70" i="25"/>
  <c r="F70" i="25"/>
  <c r="P69" i="25"/>
  <c r="F69" i="25"/>
  <c r="P68" i="25"/>
  <c r="F68" i="25"/>
  <c r="P67" i="25"/>
  <c r="F67" i="25"/>
  <c r="P66" i="25"/>
  <c r="F66" i="25"/>
  <c r="P65" i="25"/>
  <c r="F65" i="25"/>
  <c r="P64" i="25"/>
  <c r="F64" i="25"/>
  <c r="P63" i="25"/>
  <c r="F63" i="25"/>
  <c r="P62" i="25"/>
  <c r="F62" i="25"/>
  <c r="P61" i="25"/>
  <c r="F61" i="25"/>
  <c r="P60" i="25"/>
  <c r="F60" i="25"/>
  <c r="P59" i="25"/>
  <c r="F59" i="25"/>
  <c r="P58" i="25"/>
  <c r="F58" i="25"/>
  <c r="P57" i="25"/>
  <c r="F57" i="25"/>
  <c r="P56" i="25"/>
  <c r="F56" i="25"/>
  <c r="P55" i="25"/>
  <c r="F55" i="25"/>
  <c r="P54" i="25"/>
  <c r="F54" i="25"/>
  <c r="P53" i="25"/>
  <c r="F53" i="25"/>
  <c r="P52" i="25"/>
  <c r="F52" i="25"/>
  <c r="P51" i="25"/>
  <c r="F51" i="25"/>
  <c r="P50" i="25"/>
  <c r="F50" i="25"/>
  <c r="P49" i="25"/>
  <c r="F49" i="25"/>
  <c r="P48" i="25"/>
  <c r="F48" i="25"/>
  <c r="P47" i="25"/>
  <c r="F47" i="25"/>
  <c r="P46" i="25"/>
  <c r="F46" i="25"/>
  <c r="P45" i="25"/>
  <c r="F45" i="25"/>
  <c r="P44" i="25"/>
  <c r="F44" i="25"/>
  <c r="P43" i="25"/>
  <c r="F43" i="25"/>
  <c r="P42" i="25"/>
  <c r="F42" i="25"/>
  <c r="P41" i="25"/>
  <c r="F41" i="25"/>
  <c r="P40" i="25"/>
  <c r="F40" i="25"/>
  <c r="P39" i="25"/>
  <c r="F39" i="25"/>
  <c r="P38" i="25"/>
  <c r="F38" i="25"/>
  <c r="P37" i="25"/>
  <c r="F37" i="25"/>
  <c r="P36" i="25"/>
  <c r="F36" i="25"/>
  <c r="P35" i="25"/>
  <c r="F35" i="25"/>
  <c r="P34" i="25"/>
  <c r="F34" i="25"/>
  <c r="P33" i="25"/>
  <c r="F33" i="25"/>
  <c r="P32" i="25"/>
  <c r="F32" i="25"/>
  <c r="P31" i="25"/>
  <c r="F31" i="25"/>
  <c r="P30" i="25"/>
  <c r="F30" i="25"/>
  <c r="W29" i="25"/>
  <c r="V29" i="25"/>
  <c r="P29" i="25"/>
  <c r="F29" i="25"/>
  <c r="P28" i="25"/>
  <c r="F28" i="25"/>
  <c r="P27" i="25"/>
  <c r="F27" i="25"/>
  <c r="P26" i="25"/>
  <c r="F26" i="25"/>
  <c r="P25" i="25"/>
  <c r="F25" i="25"/>
  <c r="P24" i="25"/>
  <c r="F24" i="25"/>
  <c r="P23" i="25"/>
  <c r="F23" i="25"/>
  <c r="P22" i="25"/>
  <c r="F22" i="25"/>
  <c r="P21" i="25"/>
  <c r="F21" i="25"/>
  <c r="W20" i="25"/>
  <c r="P20" i="25"/>
  <c r="F20" i="25"/>
  <c r="P19" i="25"/>
  <c r="F19" i="25"/>
  <c r="P18" i="25"/>
  <c r="F18" i="25"/>
  <c r="X17" i="25"/>
  <c r="P17" i="25"/>
  <c r="F17" i="25"/>
  <c r="P16" i="25"/>
  <c r="F16" i="25"/>
  <c r="P15" i="25"/>
  <c r="F15" i="25"/>
  <c r="P14" i="25"/>
  <c r="F14" i="25"/>
  <c r="P13" i="25"/>
  <c r="F13" i="25"/>
  <c r="P12" i="25"/>
  <c r="G12" i="25"/>
  <c r="F12" i="25"/>
  <c r="P11" i="25"/>
  <c r="F11" i="25"/>
  <c r="P10" i="25"/>
  <c r="F10" i="25"/>
  <c r="P9" i="25"/>
  <c r="F9" i="25"/>
  <c r="P8" i="25"/>
  <c r="Q8" i="25" s="1"/>
  <c r="F8" i="25"/>
  <c r="P7" i="25"/>
  <c r="Q7" i="25" s="1"/>
  <c r="M7" i="25"/>
  <c r="M8" i="25" s="1"/>
  <c r="L7" i="25"/>
  <c r="L8" i="25" s="1"/>
  <c r="L9" i="25" s="1"/>
  <c r="F7" i="25"/>
  <c r="G7" i="25" s="1"/>
  <c r="C7" i="25"/>
  <c r="C8" i="25" s="1"/>
  <c r="C9" i="25" s="1"/>
  <c r="C10" i="25" s="1"/>
  <c r="C11" i="25" s="1"/>
  <c r="C12" i="25" s="1"/>
  <c r="C13" i="25" s="1"/>
  <c r="C14" i="25" s="1"/>
  <c r="B7" i="25"/>
  <c r="B8" i="25" s="1"/>
  <c r="P6" i="25"/>
  <c r="Q6" i="25" s="1"/>
  <c r="F6" i="25"/>
  <c r="G6" i="25" s="1"/>
  <c r="P162" i="24"/>
  <c r="F162" i="24"/>
  <c r="P161" i="24"/>
  <c r="F161" i="24"/>
  <c r="P160" i="24"/>
  <c r="F160" i="24"/>
  <c r="P159" i="24"/>
  <c r="F159" i="24"/>
  <c r="P158" i="24"/>
  <c r="F158" i="24"/>
  <c r="P157" i="24"/>
  <c r="F157" i="24"/>
  <c r="P156" i="24"/>
  <c r="F156" i="24"/>
  <c r="P155" i="24"/>
  <c r="F155" i="24"/>
  <c r="P154" i="24"/>
  <c r="F154" i="24"/>
  <c r="P153" i="24"/>
  <c r="F153" i="24"/>
  <c r="P152" i="24"/>
  <c r="F152" i="24"/>
  <c r="P151" i="24"/>
  <c r="F151" i="24"/>
  <c r="P150" i="24"/>
  <c r="F150" i="24"/>
  <c r="P149" i="24"/>
  <c r="F149" i="24"/>
  <c r="P148" i="24"/>
  <c r="F148" i="24"/>
  <c r="P147" i="24"/>
  <c r="F147" i="24"/>
  <c r="P146" i="24"/>
  <c r="F146" i="24"/>
  <c r="P145" i="24"/>
  <c r="F145" i="24"/>
  <c r="P144" i="24"/>
  <c r="F144" i="24"/>
  <c r="P143" i="24"/>
  <c r="F143" i="24"/>
  <c r="P142" i="24"/>
  <c r="F142" i="24"/>
  <c r="P141" i="24"/>
  <c r="F141" i="24"/>
  <c r="P140" i="24"/>
  <c r="F140" i="24"/>
  <c r="P139" i="24"/>
  <c r="F139" i="24"/>
  <c r="P138" i="24"/>
  <c r="F138" i="24"/>
  <c r="P137" i="24"/>
  <c r="F137" i="24"/>
  <c r="P136" i="24"/>
  <c r="F136" i="24"/>
  <c r="P135" i="24"/>
  <c r="F135" i="24"/>
  <c r="P134" i="24"/>
  <c r="F134" i="24"/>
  <c r="P133" i="24"/>
  <c r="F133" i="24"/>
  <c r="P132" i="24"/>
  <c r="F132" i="24"/>
  <c r="P131" i="24"/>
  <c r="F131" i="24"/>
  <c r="P130" i="24"/>
  <c r="F130" i="24"/>
  <c r="P129" i="24"/>
  <c r="F129" i="24"/>
  <c r="P128" i="24"/>
  <c r="F128" i="24"/>
  <c r="P127" i="24"/>
  <c r="F127" i="24"/>
  <c r="P126" i="24"/>
  <c r="F126" i="24"/>
  <c r="P125" i="24"/>
  <c r="F125" i="24"/>
  <c r="P124" i="24"/>
  <c r="F124" i="24"/>
  <c r="P123" i="24"/>
  <c r="F123" i="24"/>
  <c r="P122" i="24"/>
  <c r="F122" i="24"/>
  <c r="P121" i="24"/>
  <c r="F121" i="24"/>
  <c r="P120" i="24"/>
  <c r="F120" i="24"/>
  <c r="P119" i="24"/>
  <c r="F119" i="24"/>
  <c r="P118" i="24"/>
  <c r="F118" i="24"/>
  <c r="P117" i="24"/>
  <c r="F117" i="24"/>
  <c r="P116" i="24"/>
  <c r="F116" i="24"/>
  <c r="P115" i="24"/>
  <c r="F115" i="24"/>
  <c r="P114" i="24"/>
  <c r="F114" i="24"/>
  <c r="P113" i="24"/>
  <c r="F113" i="24"/>
  <c r="P112" i="24"/>
  <c r="F112" i="24"/>
  <c r="P111" i="24"/>
  <c r="F111" i="24"/>
  <c r="P110" i="24"/>
  <c r="F110" i="24"/>
  <c r="P109" i="24"/>
  <c r="F109" i="24"/>
  <c r="P108" i="24"/>
  <c r="F108" i="24"/>
  <c r="P107" i="24"/>
  <c r="F107" i="24"/>
  <c r="P106" i="24"/>
  <c r="F106" i="24"/>
  <c r="P105" i="24"/>
  <c r="F105" i="24"/>
  <c r="P104" i="24"/>
  <c r="F104" i="24"/>
  <c r="P103" i="24"/>
  <c r="F103" i="24"/>
  <c r="P102" i="24"/>
  <c r="F102" i="24"/>
  <c r="P101" i="24"/>
  <c r="F101" i="24"/>
  <c r="P100" i="24"/>
  <c r="F100" i="24"/>
  <c r="P99" i="24"/>
  <c r="F99" i="24"/>
  <c r="P98" i="24"/>
  <c r="F98" i="24"/>
  <c r="P97" i="24"/>
  <c r="F97" i="24"/>
  <c r="P96" i="24"/>
  <c r="F96" i="24"/>
  <c r="P95" i="24"/>
  <c r="F95" i="24"/>
  <c r="P94" i="24"/>
  <c r="F94" i="24"/>
  <c r="P93" i="24"/>
  <c r="F93" i="24"/>
  <c r="P92" i="24"/>
  <c r="F92" i="24"/>
  <c r="P91" i="24"/>
  <c r="F91" i="24"/>
  <c r="P90" i="24"/>
  <c r="F90" i="24"/>
  <c r="P89" i="24"/>
  <c r="F89" i="24"/>
  <c r="P88" i="24"/>
  <c r="F88" i="24"/>
  <c r="P87" i="24"/>
  <c r="F87" i="24"/>
  <c r="P86" i="24"/>
  <c r="F86" i="24"/>
  <c r="P85" i="24"/>
  <c r="F85" i="24"/>
  <c r="P84" i="24"/>
  <c r="F84" i="24"/>
  <c r="P83" i="24"/>
  <c r="F83" i="24"/>
  <c r="P82" i="24"/>
  <c r="F82" i="24"/>
  <c r="P81" i="24"/>
  <c r="F81" i="24"/>
  <c r="P80" i="24"/>
  <c r="F80" i="24"/>
  <c r="P79" i="24"/>
  <c r="F79" i="24"/>
  <c r="P78" i="24"/>
  <c r="F78" i="24"/>
  <c r="P77" i="24"/>
  <c r="F77" i="24"/>
  <c r="P76" i="24"/>
  <c r="F76" i="24"/>
  <c r="P75" i="24"/>
  <c r="F75" i="24"/>
  <c r="P74" i="24"/>
  <c r="F74" i="24"/>
  <c r="P73" i="24"/>
  <c r="F73" i="24"/>
  <c r="P72" i="24"/>
  <c r="F72" i="24"/>
  <c r="P71" i="24"/>
  <c r="F71" i="24"/>
  <c r="P70" i="24"/>
  <c r="F70" i="24"/>
  <c r="P69" i="24"/>
  <c r="F69" i="24"/>
  <c r="P68" i="24"/>
  <c r="F68" i="24"/>
  <c r="P67" i="24"/>
  <c r="F67" i="24"/>
  <c r="P66" i="24"/>
  <c r="F66" i="24"/>
  <c r="P65" i="24"/>
  <c r="F65" i="24"/>
  <c r="P64" i="24"/>
  <c r="F64" i="24"/>
  <c r="P63" i="24"/>
  <c r="F63" i="24"/>
  <c r="P62" i="24"/>
  <c r="F62" i="24"/>
  <c r="P61" i="24"/>
  <c r="F61" i="24"/>
  <c r="P60" i="24"/>
  <c r="F60" i="24"/>
  <c r="P59" i="24"/>
  <c r="F59" i="24"/>
  <c r="P58" i="24"/>
  <c r="F58" i="24"/>
  <c r="P57" i="24"/>
  <c r="F57" i="24"/>
  <c r="P56" i="24"/>
  <c r="F56" i="24"/>
  <c r="P55" i="24"/>
  <c r="F55" i="24"/>
  <c r="P54" i="24"/>
  <c r="F54" i="24"/>
  <c r="P53" i="24"/>
  <c r="F53" i="24"/>
  <c r="P52" i="24"/>
  <c r="F52" i="24"/>
  <c r="P51" i="24"/>
  <c r="F51" i="24"/>
  <c r="P50" i="24"/>
  <c r="F50" i="24"/>
  <c r="P49" i="24"/>
  <c r="F49" i="24"/>
  <c r="P48" i="24"/>
  <c r="F48" i="24"/>
  <c r="P47" i="24"/>
  <c r="F47" i="24"/>
  <c r="P46" i="24"/>
  <c r="F46" i="24"/>
  <c r="P45" i="24"/>
  <c r="F45" i="24"/>
  <c r="P44" i="24"/>
  <c r="F44" i="24"/>
  <c r="P43" i="24"/>
  <c r="F43" i="24"/>
  <c r="P42" i="24"/>
  <c r="F42" i="24"/>
  <c r="P41" i="24"/>
  <c r="F41" i="24"/>
  <c r="P40" i="24"/>
  <c r="F40" i="24"/>
  <c r="P39" i="24"/>
  <c r="F39" i="24"/>
  <c r="P38" i="24"/>
  <c r="F38" i="24"/>
  <c r="P37" i="24"/>
  <c r="F37" i="24"/>
  <c r="P36" i="24"/>
  <c r="F36" i="24"/>
  <c r="P35" i="24"/>
  <c r="F35" i="24"/>
  <c r="P34" i="24"/>
  <c r="F34" i="24"/>
  <c r="P33" i="24"/>
  <c r="F33" i="24"/>
  <c r="P32" i="24"/>
  <c r="F32" i="24"/>
  <c r="P31" i="24"/>
  <c r="F31" i="24"/>
  <c r="P30" i="24"/>
  <c r="F30" i="24"/>
  <c r="W29" i="24"/>
  <c r="V29" i="24"/>
  <c r="P29" i="24"/>
  <c r="F29" i="24"/>
  <c r="P28" i="24"/>
  <c r="F28" i="24"/>
  <c r="P27" i="24"/>
  <c r="F27" i="24"/>
  <c r="P26" i="24"/>
  <c r="F26" i="24"/>
  <c r="P25" i="24"/>
  <c r="F25" i="24"/>
  <c r="P24" i="24"/>
  <c r="F24" i="24"/>
  <c r="P23" i="24"/>
  <c r="F23" i="24"/>
  <c r="P22" i="24"/>
  <c r="F22" i="24"/>
  <c r="P21" i="24"/>
  <c r="M21" i="24"/>
  <c r="F21" i="24"/>
  <c r="W20" i="24"/>
  <c r="P20" i="24"/>
  <c r="F20" i="24"/>
  <c r="P19" i="24"/>
  <c r="Q19" i="24" s="1"/>
  <c r="M19" i="24"/>
  <c r="M20" i="24" s="1"/>
  <c r="Q20" i="24" s="1"/>
  <c r="F19" i="24"/>
  <c r="P18" i="24"/>
  <c r="Q18" i="24" s="1"/>
  <c r="M18" i="24"/>
  <c r="F18" i="24"/>
  <c r="X17" i="24"/>
  <c r="P17" i="24"/>
  <c r="Q17" i="24" s="1"/>
  <c r="F17" i="24"/>
  <c r="Q16" i="24"/>
  <c r="P16" i="24"/>
  <c r="F16" i="24"/>
  <c r="P15" i="24"/>
  <c r="Q15" i="24" s="1"/>
  <c r="F15" i="24"/>
  <c r="P14" i="24"/>
  <c r="Q14" i="24" s="1"/>
  <c r="F14" i="24"/>
  <c r="Q13" i="24"/>
  <c r="P13" i="24"/>
  <c r="F13" i="24"/>
  <c r="P12" i="24"/>
  <c r="Q12" i="24" s="1"/>
  <c r="F12" i="24"/>
  <c r="P11" i="24"/>
  <c r="Q11" i="24" s="1"/>
  <c r="F11" i="24"/>
  <c r="P10" i="24"/>
  <c r="Q10" i="24" s="1"/>
  <c r="F10" i="24"/>
  <c r="B10" i="24"/>
  <c r="P9" i="24"/>
  <c r="Q9" i="24" s="1"/>
  <c r="F9" i="24"/>
  <c r="Q8" i="24"/>
  <c r="P8" i="24"/>
  <c r="F8" i="24"/>
  <c r="G8" i="24" s="1"/>
  <c r="C8" i="24"/>
  <c r="P7" i="24"/>
  <c r="Q7" i="24" s="1"/>
  <c r="M7" i="24"/>
  <c r="M8" i="24" s="1"/>
  <c r="M9" i="24" s="1"/>
  <c r="M10" i="24" s="1"/>
  <c r="M11" i="24" s="1"/>
  <c r="M12" i="24" s="1"/>
  <c r="M13" i="24" s="1"/>
  <c r="M14" i="24" s="1"/>
  <c r="M15" i="24" s="1"/>
  <c r="M16" i="24" s="1"/>
  <c r="M17" i="24" s="1"/>
  <c r="L7" i="24"/>
  <c r="L8" i="24" s="1"/>
  <c r="F7" i="24"/>
  <c r="G7" i="24" s="1"/>
  <c r="C7" i="24"/>
  <c r="B7" i="24"/>
  <c r="B8" i="24" s="1"/>
  <c r="B9" i="24" s="1"/>
  <c r="P6" i="24"/>
  <c r="Q6" i="24" s="1"/>
  <c r="F6" i="24"/>
  <c r="G6" i="24" s="1"/>
  <c r="P162" i="23"/>
  <c r="F162" i="23"/>
  <c r="P161" i="23"/>
  <c r="F161" i="23"/>
  <c r="P160" i="23"/>
  <c r="F160" i="23"/>
  <c r="P159" i="23"/>
  <c r="F159" i="23"/>
  <c r="P158" i="23"/>
  <c r="F158" i="23"/>
  <c r="P157" i="23"/>
  <c r="F157" i="23"/>
  <c r="P156" i="23"/>
  <c r="F156" i="23"/>
  <c r="P155" i="23"/>
  <c r="F155" i="23"/>
  <c r="P154" i="23"/>
  <c r="F154" i="23"/>
  <c r="P153" i="23"/>
  <c r="F153" i="23"/>
  <c r="P152" i="23"/>
  <c r="F152" i="23"/>
  <c r="P151" i="23"/>
  <c r="F151" i="23"/>
  <c r="P150" i="23"/>
  <c r="F150" i="23"/>
  <c r="P149" i="23"/>
  <c r="F149" i="23"/>
  <c r="P148" i="23"/>
  <c r="F148" i="23"/>
  <c r="P147" i="23"/>
  <c r="F147" i="23"/>
  <c r="P146" i="23"/>
  <c r="F146" i="23"/>
  <c r="P145" i="23"/>
  <c r="F145" i="23"/>
  <c r="P144" i="23"/>
  <c r="F144" i="23"/>
  <c r="P143" i="23"/>
  <c r="F143" i="23"/>
  <c r="P142" i="23"/>
  <c r="F142" i="23"/>
  <c r="P141" i="23"/>
  <c r="F141" i="23"/>
  <c r="P140" i="23"/>
  <c r="F140" i="23"/>
  <c r="P139" i="23"/>
  <c r="F139" i="23"/>
  <c r="P138" i="23"/>
  <c r="F138" i="23"/>
  <c r="P137" i="23"/>
  <c r="F137" i="23"/>
  <c r="P136" i="23"/>
  <c r="F136" i="23"/>
  <c r="P135" i="23"/>
  <c r="F135" i="23"/>
  <c r="P134" i="23"/>
  <c r="F134" i="23"/>
  <c r="P133" i="23"/>
  <c r="F133" i="23"/>
  <c r="P132" i="23"/>
  <c r="F132" i="23"/>
  <c r="P131" i="23"/>
  <c r="F131" i="23"/>
  <c r="P130" i="23"/>
  <c r="F130" i="23"/>
  <c r="P129" i="23"/>
  <c r="F129" i="23"/>
  <c r="P128" i="23"/>
  <c r="F128" i="23"/>
  <c r="P127" i="23"/>
  <c r="F127" i="23"/>
  <c r="P126" i="23"/>
  <c r="F126" i="23"/>
  <c r="P125" i="23"/>
  <c r="F125" i="23"/>
  <c r="P124" i="23"/>
  <c r="F124" i="23"/>
  <c r="P123" i="23"/>
  <c r="F123" i="23"/>
  <c r="P122" i="23"/>
  <c r="F122" i="23"/>
  <c r="P121" i="23"/>
  <c r="F121" i="23"/>
  <c r="P120" i="23"/>
  <c r="F120" i="23"/>
  <c r="P119" i="23"/>
  <c r="F119" i="23"/>
  <c r="P118" i="23"/>
  <c r="F118" i="23"/>
  <c r="P117" i="23"/>
  <c r="F117" i="23"/>
  <c r="P116" i="23"/>
  <c r="F116" i="23"/>
  <c r="P115" i="23"/>
  <c r="F115" i="23"/>
  <c r="P114" i="23"/>
  <c r="F114" i="23"/>
  <c r="P113" i="23"/>
  <c r="F113" i="23"/>
  <c r="P112" i="23"/>
  <c r="F112" i="23"/>
  <c r="P111" i="23"/>
  <c r="F111" i="23"/>
  <c r="P110" i="23"/>
  <c r="F110" i="23"/>
  <c r="P109" i="23"/>
  <c r="F109" i="23"/>
  <c r="P108" i="23"/>
  <c r="F108" i="23"/>
  <c r="P107" i="23"/>
  <c r="F107" i="23"/>
  <c r="P106" i="23"/>
  <c r="F106" i="23"/>
  <c r="P105" i="23"/>
  <c r="F105" i="23"/>
  <c r="P104" i="23"/>
  <c r="F104" i="23"/>
  <c r="P103" i="23"/>
  <c r="F103" i="23"/>
  <c r="P102" i="23"/>
  <c r="F102" i="23"/>
  <c r="P101" i="23"/>
  <c r="F101" i="23"/>
  <c r="P100" i="23"/>
  <c r="F100" i="23"/>
  <c r="P99" i="23"/>
  <c r="F99" i="23"/>
  <c r="P98" i="23"/>
  <c r="F98" i="23"/>
  <c r="P97" i="23"/>
  <c r="F97" i="23"/>
  <c r="P96" i="23"/>
  <c r="F96" i="23"/>
  <c r="P95" i="23"/>
  <c r="F95" i="23"/>
  <c r="P94" i="23"/>
  <c r="F94" i="23"/>
  <c r="P93" i="23"/>
  <c r="F93" i="23"/>
  <c r="P92" i="23"/>
  <c r="F92" i="23"/>
  <c r="P91" i="23"/>
  <c r="F91" i="23"/>
  <c r="P90" i="23"/>
  <c r="F90" i="23"/>
  <c r="P89" i="23"/>
  <c r="F89" i="23"/>
  <c r="P88" i="23"/>
  <c r="F88" i="23"/>
  <c r="P87" i="23"/>
  <c r="F87" i="23"/>
  <c r="P86" i="23"/>
  <c r="F86" i="23"/>
  <c r="P85" i="23"/>
  <c r="F85" i="23"/>
  <c r="P84" i="23"/>
  <c r="F84" i="23"/>
  <c r="P83" i="23"/>
  <c r="F83" i="23"/>
  <c r="P82" i="23"/>
  <c r="F82" i="23"/>
  <c r="P81" i="23"/>
  <c r="F81" i="23"/>
  <c r="P80" i="23"/>
  <c r="F80" i="23"/>
  <c r="P79" i="23"/>
  <c r="F79" i="23"/>
  <c r="P78" i="23"/>
  <c r="F78" i="23"/>
  <c r="P77" i="23"/>
  <c r="F77" i="23"/>
  <c r="P76" i="23"/>
  <c r="F76" i="23"/>
  <c r="P75" i="23"/>
  <c r="F75" i="23"/>
  <c r="P74" i="23"/>
  <c r="F74" i="23"/>
  <c r="P73" i="23"/>
  <c r="F73" i="23"/>
  <c r="P72" i="23"/>
  <c r="F72" i="23"/>
  <c r="P71" i="23"/>
  <c r="F71" i="23"/>
  <c r="P70" i="23"/>
  <c r="F70" i="23"/>
  <c r="P69" i="23"/>
  <c r="F69" i="23"/>
  <c r="P68" i="23"/>
  <c r="F68" i="23"/>
  <c r="P67" i="23"/>
  <c r="F67" i="23"/>
  <c r="P66" i="23"/>
  <c r="F66" i="23"/>
  <c r="P65" i="23"/>
  <c r="F65" i="23"/>
  <c r="P64" i="23"/>
  <c r="F64" i="23"/>
  <c r="P63" i="23"/>
  <c r="F63" i="23"/>
  <c r="P62" i="23"/>
  <c r="F62" i="23"/>
  <c r="P61" i="23"/>
  <c r="F61" i="23"/>
  <c r="P60" i="23"/>
  <c r="F60" i="23"/>
  <c r="P59" i="23"/>
  <c r="F59" i="23"/>
  <c r="P58" i="23"/>
  <c r="F58" i="23"/>
  <c r="P57" i="23"/>
  <c r="F57" i="23"/>
  <c r="P56" i="23"/>
  <c r="F56" i="23"/>
  <c r="P55" i="23"/>
  <c r="F55" i="23"/>
  <c r="P54" i="23"/>
  <c r="F54" i="23"/>
  <c r="P53" i="23"/>
  <c r="F53" i="23"/>
  <c r="P52" i="23"/>
  <c r="F52" i="23"/>
  <c r="P51" i="23"/>
  <c r="F51" i="23"/>
  <c r="P50" i="23"/>
  <c r="F50" i="23"/>
  <c r="P49" i="23"/>
  <c r="F49" i="23"/>
  <c r="P48" i="23"/>
  <c r="F48" i="23"/>
  <c r="P47" i="23"/>
  <c r="F47" i="23"/>
  <c r="P46" i="23"/>
  <c r="F46" i="23"/>
  <c r="P45" i="23"/>
  <c r="F45" i="23"/>
  <c r="P44" i="23"/>
  <c r="F44" i="23"/>
  <c r="P43" i="23"/>
  <c r="F43" i="23"/>
  <c r="P42" i="23"/>
  <c r="F42" i="23"/>
  <c r="P41" i="23"/>
  <c r="F41" i="23"/>
  <c r="P40" i="23"/>
  <c r="F40" i="23"/>
  <c r="P39" i="23"/>
  <c r="F39" i="23"/>
  <c r="P38" i="23"/>
  <c r="F38" i="23"/>
  <c r="P37" i="23"/>
  <c r="F37" i="23"/>
  <c r="P36" i="23"/>
  <c r="F36" i="23"/>
  <c r="P35" i="23"/>
  <c r="F35" i="23"/>
  <c r="P34" i="23"/>
  <c r="F34" i="23"/>
  <c r="P33" i="23"/>
  <c r="F33" i="23"/>
  <c r="P32" i="23"/>
  <c r="F32" i="23"/>
  <c r="P31" i="23"/>
  <c r="F31" i="23"/>
  <c r="P30" i="23"/>
  <c r="F30" i="23"/>
  <c r="W29" i="23"/>
  <c r="V29" i="23"/>
  <c r="P29" i="23"/>
  <c r="F29" i="23"/>
  <c r="P28" i="23"/>
  <c r="F28" i="23"/>
  <c r="P27" i="23"/>
  <c r="F27" i="23"/>
  <c r="P26" i="23"/>
  <c r="F26" i="23"/>
  <c r="P25" i="23"/>
  <c r="F25" i="23"/>
  <c r="P24" i="23"/>
  <c r="F24" i="23"/>
  <c r="P23" i="23"/>
  <c r="F23" i="23"/>
  <c r="P22" i="23"/>
  <c r="F22" i="23"/>
  <c r="P21" i="23"/>
  <c r="F21" i="23"/>
  <c r="W20" i="23"/>
  <c r="P20" i="23"/>
  <c r="F20" i="23"/>
  <c r="P19" i="23"/>
  <c r="F19" i="23"/>
  <c r="P18" i="23"/>
  <c r="F18" i="23"/>
  <c r="X17" i="23"/>
  <c r="P17" i="23"/>
  <c r="F17" i="23"/>
  <c r="P16" i="23"/>
  <c r="F16" i="23"/>
  <c r="P15" i="23"/>
  <c r="F15" i="23"/>
  <c r="P14" i="23"/>
  <c r="F14" i="23"/>
  <c r="P13" i="23"/>
  <c r="F13" i="23"/>
  <c r="P12" i="23"/>
  <c r="F12" i="23"/>
  <c r="B12" i="23"/>
  <c r="B13" i="23" s="1"/>
  <c r="P11" i="23"/>
  <c r="F11" i="23"/>
  <c r="B11" i="23"/>
  <c r="V31" i="23" s="1" a="1"/>
  <c r="V31" i="23" s="1"/>
  <c r="P10" i="23"/>
  <c r="F10" i="23"/>
  <c r="P9" i="23"/>
  <c r="M9" i="23"/>
  <c r="F9" i="23"/>
  <c r="P8" i="23"/>
  <c r="Q8" i="23" s="1"/>
  <c r="M8" i="23"/>
  <c r="F8" i="23"/>
  <c r="P7" i="23"/>
  <c r="Q7" i="23" s="1"/>
  <c r="M7" i="23"/>
  <c r="L7" i="23"/>
  <c r="L8" i="23" s="1"/>
  <c r="G7" i="23"/>
  <c r="F7" i="23"/>
  <c r="C7" i="23"/>
  <c r="C8" i="23" s="1"/>
  <c r="B7" i="23"/>
  <c r="B8" i="23" s="1"/>
  <c r="B9" i="23" s="1"/>
  <c r="B10" i="23" s="1"/>
  <c r="Q6" i="23"/>
  <c r="P6" i="23"/>
  <c r="G6" i="23"/>
  <c r="F6" i="23"/>
  <c r="P162" i="21"/>
  <c r="F162" i="21"/>
  <c r="P161" i="21"/>
  <c r="F161" i="21"/>
  <c r="P160" i="21"/>
  <c r="F160" i="21"/>
  <c r="P159" i="21"/>
  <c r="F159" i="21"/>
  <c r="P158" i="21"/>
  <c r="F158" i="21"/>
  <c r="P157" i="21"/>
  <c r="F157" i="21"/>
  <c r="P156" i="21"/>
  <c r="F156" i="21"/>
  <c r="P155" i="21"/>
  <c r="F155" i="21"/>
  <c r="P154" i="21"/>
  <c r="F154" i="21"/>
  <c r="P153" i="21"/>
  <c r="F153" i="21"/>
  <c r="P152" i="21"/>
  <c r="F152" i="21"/>
  <c r="P151" i="21"/>
  <c r="F151" i="21"/>
  <c r="P150" i="21"/>
  <c r="F150" i="21"/>
  <c r="P149" i="21"/>
  <c r="F149" i="21"/>
  <c r="P148" i="21"/>
  <c r="F148" i="21"/>
  <c r="P147" i="21"/>
  <c r="F147" i="21"/>
  <c r="P146" i="21"/>
  <c r="F146" i="21"/>
  <c r="P145" i="21"/>
  <c r="F145" i="21"/>
  <c r="P144" i="21"/>
  <c r="F144" i="21"/>
  <c r="P143" i="21"/>
  <c r="F143" i="21"/>
  <c r="P142" i="21"/>
  <c r="F142" i="21"/>
  <c r="P141" i="21"/>
  <c r="F141" i="21"/>
  <c r="P140" i="21"/>
  <c r="F140" i="21"/>
  <c r="P139" i="21"/>
  <c r="F139" i="21"/>
  <c r="P138" i="21"/>
  <c r="F138" i="21"/>
  <c r="P137" i="21"/>
  <c r="F137" i="21"/>
  <c r="P136" i="21"/>
  <c r="F136" i="21"/>
  <c r="P135" i="21"/>
  <c r="F135" i="21"/>
  <c r="P134" i="21"/>
  <c r="F134" i="21"/>
  <c r="P133" i="21"/>
  <c r="F133" i="21"/>
  <c r="P132" i="21"/>
  <c r="F132" i="21"/>
  <c r="P131" i="21"/>
  <c r="F131" i="21"/>
  <c r="P130" i="21"/>
  <c r="F130" i="21"/>
  <c r="P129" i="21"/>
  <c r="F129" i="21"/>
  <c r="P128" i="21"/>
  <c r="F128" i="21"/>
  <c r="P127" i="21"/>
  <c r="F127" i="21"/>
  <c r="P126" i="21"/>
  <c r="F126" i="21"/>
  <c r="P125" i="21"/>
  <c r="F125" i="21"/>
  <c r="P124" i="21"/>
  <c r="F124" i="21"/>
  <c r="P123" i="21"/>
  <c r="F123" i="21"/>
  <c r="P122" i="21"/>
  <c r="F122" i="21"/>
  <c r="P121" i="21"/>
  <c r="F121" i="21"/>
  <c r="P120" i="21"/>
  <c r="F120" i="21"/>
  <c r="P119" i="21"/>
  <c r="F119" i="21"/>
  <c r="P118" i="21"/>
  <c r="F118" i="21"/>
  <c r="P117" i="21"/>
  <c r="F117" i="21"/>
  <c r="P116" i="21"/>
  <c r="F116" i="21"/>
  <c r="P115" i="21"/>
  <c r="F115" i="21"/>
  <c r="P114" i="21"/>
  <c r="F114" i="21"/>
  <c r="P113" i="21"/>
  <c r="F113" i="21"/>
  <c r="P112" i="21"/>
  <c r="F112" i="21"/>
  <c r="P111" i="21"/>
  <c r="F111" i="21"/>
  <c r="P110" i="21"/>
  <c r="F110" i="21"/>
  <c r="P109" i="21"/>
  <c r="F109" i="21"/>
  <c r="P108" i="21"/>
  <c r="F108" i="21"/>
  <c r="P107" i="21"/>
  <c r="F107" i="21"/>
  <c r="P106" i="21"/>
  <c r="F106" i="21"/>
  <c r="P105" i="21"/>
  <c r="F105" i="21"/>
  <c r="P104" i="21"/>
  <c r="F104" i="21"/>
  <c r="P103" i="21"/>
  <c r="F103" i="21"/>
  <c r="P102" i="21"/>
  <c r="F102" i="21"/>
  <c r="P101" i="21"/>
  <c r="F101" i="21"/>
  <c r="P100" i="21"/>
  <c r="F100" i="21"/>
  <c r="P99" i="21"/>
  <c r="F99" i="21"/>
  <c r="P98" i="21"/>
  <c r="F98" i="21"/>
  <c r="P97" i="21"/>
  <c r="F97" i="21"/>
  <c r="P96" i="21"/>
  <c r="F96" i="21"/>
  <c r="P95" i="21"/>
  <c r="F95" i="21"/>
  <c r="P94" i="21"/>
  <c r="F94" i="21"/>
  <c r="P93" i="21"/>
  <c r="F93" i="21"/>
  <c r="P92" i="21"/>
  <c r="F92" i="21"/>
  <c r="P91" i="21"/>
  <c r="F91" i="21"/>
  <c r="P90" i="21"/>
  <c r="F90" i="21"/>
  <c r="P89" i="21"/>
  <c r="F89" i="21"/>
  <c r="P88" i="21"/>
  <c r="F88" i="21"/>
  <c r="P87" i="21"/>
  <c r="F87" i="21"/>
  <c r="P86" i="21"/>
  <c r="F86" i="21"/>
  <c r="P85" i="21"/>
  <c r="F85" i="21"/>
  <c r="P84" i="21"/>
  <c r="F84" i="21"/>
  <c r="P83" i="21"/>
  <c r="F83" i="21"/>
  <c r="P82" i="21"/>
  <c r="F82" i="21"/>
  <c r="P81" i="21"/>
  <c r="F81" i="21"/>
  <c r="P80" i="21"/>
  <c r="F80" i="21"/>
  <c r="P79" i="21"/>
  <c r="F79" i="21"/>
  <c r="P78" i="21"/>
  <c r="F78" i="21"/>
  <c r="P77" i="21"/>
  <c r="F77" i="21"/>
  <c r="P76" i="21"/>
  <c r="F76" i="21"/>
  <c r="P75" i="21"/>
  <c r="F75" i="21"/>
  <c r="P74" i="21"/>
  <c r="F74" i="21"/>
  <c r="P73" i="21"/>
  <c r="F73" i="21"/>
  <c r="P72" i="21"/>
  <c r="F72" i="21"/>
  <c r="P71" i="21"/>
  <c r="F71" i="21"/>
  <c r="P70" i="21"/>
  <c r="F70" i="21"/>
  <c r="P69" i="21"/>
  <c r="F69" i="21"/>
  <c r="P68" i="21"/>
  <c r="F68" i="21"/>
  <c r="P67" i="21"/>
  <c r="F67" i="21"/>
  <c r="P66" i="21"/>
  <c r="F66" i="21"/>
  <c r="P65" i="21"/>
  <c r="F65" i="21"/>
  <c r="P64" i="21"/>
  <c r="F64" i="21"/>
  <c r="P63" i="21"/>
  <c r="F63" i="21"/>
  <c r="P62" i="21"/>
  <c r="F62" i="21"/>
  <c r="P61" i="21"/>
  <c r="F61" i="21"/>
  <c r="P60" i="21"/>
  <c r="F60" i="21"/>
  <c r="P59" i="21"/>
  <c r="F59" i="21"/>
  <c r="P58" i="21"/>
  <c r="F58" i="21"/>
  <c r="P57" i="21"/>
  <c r="F57" i="21"/>
  <c r="P56" i="21"/>
  <c r="F56" i="21"/>
  <c r="P55" i="21"/>
  <c r="F55" i="21"/>
  <c r="P54" i="21"/>
  <c r="F54" i="21"/>
  <c r="P53" i="21"/>
  <c r="F53" i="21"/>
  <c r="P52" i="21"/>
  <c r="F52" i="21"/>
  <c r="P51" i="21"/>
  <c r="F51" i="21"/>
  <c r="P50" i="21"/>
  <c r="F50" i="21"/>
  <c r="P49" i="21"/>
  <c r="F49" i="21"/>
  <c r="P48" i="21"/>
  <c r="F48" i="21"/>
  <c r="P47" i="21"/>
  <c r="F47" i="21"/>
  <c r="P46" i="21"/>
  <c r="F46" i="21"/>
  <c r="P45" i="21"/>
  <c r="F45" i="21"/>
  <c r="P44" i="21"/>
  <c r="F44" i="21"/>
  <c r="P43" i="21"/>
  <c r="F43" i="21"/>
  <c r="P42" i="21"/>
  <c r="F42" i="21"/>
  <c r="P41" i="21"/>
  <c r="F41" i="21"/>
  <c r="P40" i="21"/>
  <c r="F40" i="21"/>
  <c r="P39" i="21"/>
  <c r="F39" i="21"/>
  <c r="P38" i="21"/>
  <c r="F38" i="21"/>
  <c r="P37" i="21"/>
  <c r="F37" i="21"/>
  <c r="P36" i="21"/>
  <c r="F36" i="21"/>
  <c r="P35" i="21"/>
  <c r="F35" i="21"/>
  <c r="P34" i="21"/>
  <c r="F34" i="21"/>
  <c r="P33" i="21"/>
  <c r="F33" i="21"/>
  <c r="P32" i="21"/>
  <c r="F32" i="21"/>
  <c r="P31" i="21"/>
  <c r="F31" i="21"/>
  <c r="P30" i="21"/>
  <c r="F30" i="21"/>
  <c r="W29" i="21"/>
  <c r="V29" i="21"/>
  <c r="P29" i="21"/>
  <c r="F29" i="21"/>
  <c r="P28" i="21"/>
  <c r="F28" i="21"/>
  <c r="P27" i="21"/>
  <c r="F27" i="21"/>
  <c r="P26" i="21"/>
  <c r="F26" i="21"/>
  <c r="P25" i="21"/>
  <c r="F25" i="21"/>
  <c r="P24" i="21"/>
  <c r="F24" i="21"/>
  <c r="P23" i="21"/>
  <c r="F23" i="21"/>
  <c r="P22" i="21"/>
  <c r="F22" i="21"/>
  <c r="P21" i="21"/>
  <c r="F21" i="21"/>
  <c r="W20" i="21"/>
  <c r="P20" i="21"/>
  <c r="F20" i="21"/>
  <c r="P19" i="21"/>
  <c r="F19" i="21"/>
  <c r="P18" i="21"/>
  <c r="F18" i="21"/>
  <c r="X17" i="21"/>
  <c r="P17" i="21"/>
  <c r="F17" i="21"/>
  <c r="P16" i="21"/>
  <c r="F16" i="21"/>
  <c r="P15" i="21"/>
  <c r="F15" i="21"/>
  <c r="P14" i="21"/>
  <c r="F14" i="21"/>
  <c r="P13" i="21"/>
  <c r="F13" i="21"/>
  <c r="P12" i="21"/>
  <c r="F12" i="21"/>
  <c r="P11" i="21"/>
  <c r="M11" i="21"/>
  <c r="M12" i="21" s="1"/>
  <c r="M13" i="21" s="1"/>
  <c r="F11" i="21"/>
  <c r="P10" i="21"/>
  <c r="Q10" i="21" s="1"/>
  <c r="F10" i="21"/>
  <c r="Q9" i="21"/>
  <c r="P9" i="21"/>
  <c r="M9" i="21"/>
  <c r="M10" i="21" s="1"/>
  <c r="F9" i="21"/>
  <c r="P8" i="21"/>
  <c r="Q8" i="21" s="1"/>
  <c r="L8" i="21"/>
  <c r="F8" i="21"/>
  <c r="P7" i="21"/>
  <c r="Q7" i="21" s="1"/>
  <c r="M7" i="21"/>
  <c r="M8" i="21" s="1"/>
  <c r="L7" i="21"/>
  <c r="F7" i="21"/>
  <c r="C7" i="21"/>
  <c r="B7" i="21"/>
  <c r="B8" i="21" s="1"/>
  <c r="Q6" i="21"/>
  <c r="P6" i="21"/>
  <c r="G6" i="21"/>
  <c r="F6" i="21"/>
  <c r="P162" i="20"/>
  <c r="F162" i="20"/>
  <c r="P161" i="20"/>
  <c r="F161" i="20"/>
  <c r="P160" i="20"/>
  <c r="F160" i="20"/>
  <c r="P159" i="20"/>
  <c r="F159" i="20"/>
  <c r="P158" i="20"/>
  <c r="F158" i="20"/>
  <c r="P157" i="20"/>
  <c r="F157" i="20"/>
  <c r="P156" i="20"/>
  <c r="F156" i="20"/>
  <c r="P155" i="20"/>
  <c r="F155" i="20"/>
  <c r="P154" i="20"/>
  <c r="F154" i="20"/>
  <c r="P153" i="20"/>
  <c r="F153" i="20"/>
  <c r="P152" i="20"/>
  <c r="F152" i="20"/>
  <c r="P151" i="20"/>
  <c r="F151" i="20"/>
  <c r="P150" i="20"/>
  <c r="F150" i="20"/>
  <c r="P149" i="20"/>
  <c r="F149" i="20"/>
  <c r="P148" i="20"/>
  <c r="F148" i="20"/>
  <c r="P147" i="20"/>
  <c r="F147" i="20"/>
  <c r="P146" i="20"/>
  <c r="F146" i="20"/>
  <c r="P145" i="20"/>
  <c r="F145" i="20"/>
  <c r="P144" i="20"/>
  <c r="F144" i="20"/>
  <c r="P143" i="20"/>
  <c r="F143" i="20"/>
  <c r="P142" i="20"/>
  <c r="F142" i="20"/>
  <c r="P141" i="20"/>
  <c r="F141" i="20"/>
  <c r="P140" i="20"/>
  <c r="F140" i="20"/>
  <c r="P139" i="20"/>
  <c r="F139" i="20"/>
  <c r="P138" i="20"/>
  <c r="F138" i="20"/>
  <c r="P137" i="20"/>
  <c r="F137" i="20"/>
  <c r="P136" i="20"/>
  <c r="F136" i="20"/>
  <c r="P135" i="20"/>
  <c r="F135" i="20"/>
  <c r="P134" i="20"/>
  <c r="F134" i="20"/>
  <c r="P133" i="20"/>
  <c r="F133" i="20"/>
  <c r="P132" i="20"/>
  <c r="F132" i="20"/>
  <c r="P131" i="20"/>
  <c r="F131" i="20"/>
  <c r="P130" i="20"/>
  <c r="F130" i="20"/>
  <c r="P129" i="20"/>
  <c r="F129" i="20"/>
  <c r="P128" i="20"/>
  <c r="F128" i="20"/>
  <c r="P127" i="20"/>
  <c r="F127" i="20"/>
  <c r="P126" i="20"/>
  <c r="F126" i="20"/>
  <c r="P125" i="20"/>
  <c r="F125" i="20"/>
  <c r="P124" i="20"/>
  <c r="F124" i="20"/>
  <c r="P123" i="20"/>
  <c r="F123" i="20"/>
  <c r="P122" i="20"/>
  <c r="F122" i="20"/>
  <c r="P121" i="20"/>
  <c r="F121" i="20"/>
  <c r="P120" i="20"/>
  <c r="F120" i="20"/>
  <c r="P119" i="20"/>
  <c r="F119" i="20"/>
  <c r="P118" i="20"/>
  <c r="F118" i="20"/>
  <c r="P117" i="20"/>
  <c r="F117" i="20"/>
  <c r="P116" i="20"/>
  <c r="F116" i="20"/>
  <c r="P115" i="20"/>
  <c r="F115" i="20"/>
  <c r="P114" i="20"/>
  <c r="F114" i="20"/>
  <c r="P113" i="20"/>
  <c r="F113" i="20"/>
  <c r="P112" i="20"/>
  <c r="F112" i="20"/>
  <c r="P111" i="20"/>
  <c r="F111" i="20"/>
  <c r="P110" i="20"/>
  <c r="F110" i="20"/>
  <c r="P109" i="20"/>
  <c r="F109" i="20"/>
  <c r="P108" i="20"/>
  <c r="F108" i="20"/>
  <c r="P107" i="20"/>
  <c r="F107" i="20"/>
  <c r="P106" i="20"/>
  <c r="F106" i="20"/>
  <c r="P105" i="20"/>
  <c r="F105" i="20"/>
  <c r="P104" i="20"/>
  <c r="F104" i="20"/>
  <c r="P103" i="20"/>
  <c r="F103" i="20"/>
  <c r="P102" i="20"/>
  <c r="F102" i="20"/>
  <c r="P101" i="20"/>
  <c r="F101" i="20"/>
  <c r="P100" i="20"/>
  <c r="F100" i="20"/>
  <c r="P99" i="20"/>
  <c r="F99" i="20"/>
  <c r="P98" i="20"/>
  <c r="F98" i="20"/>
  <c r="P97" i="20"/>
  <c r="F97" i="20"/>
  <c r="P96" i="20"/>
  <c r="F96" i="20"/>
  <c r="P95" i="20"/>
  <c r="F95" i="20"/>
  <c r="P94" i="20"/>
  <c r="F94" i="20"/>
  <c r="P93" i="20"/>
  <c r="F93" i="20"/>
  <c r="P92" i="20"/>
  <c r="F92" i="20"/>
  <c r="P91" i="20"/>
  <c r="F91" i="20"/>
  <c r="P90" i="20"/>
  <c r="F90" i="20"/>
  <c r="P89" i="20"/>
  <c r="F89" i="20"/>
  <c r="P88" i="20"/>
  <c r="F88" i="20"/>
  <c r="P87" i="20"/>
  <c r="F87" i="20"/>
  <c r="P86" i="20"/>
  <c r="F86" i="20"/>
  <c r="P85" i="20"/>
  <c r="F85" i="20"/>
  <c r="P84" i="20"/>
  <c r="F84" i="20"/>
  <c r="P83" i="20"/>
  <c r="F83" i="20"/>
  <c r="P82" i="20"/>
  <c r="F82" i="20"/>
  <c r="P81" i="20"/>
  <c r="F81" i="20"/>
  <c r="P80" i="20"/>
  <c r="F80" i="20"/>
  <c r="P79" i="20"/>
  <c r="F79" i="20"/>
  <c r="P78" i="20"/>
  <c r="F78" i="20"/>
  <c r="P77" i="20"/>
  <c r="F77" i="20"/>
  <c r="P76" i="20"/>
  <c r="F76" i="20"/>
  <c r="P75" i="20"/>
  <c r="F75" i="20"/>
  <c r="P74" i="20"/>
  <c r="F74" i="20"/>
  <c r="P73" i="20"/>
  <c r="F73" i="20"/>
  <c r="P72" i="20"/>
  <c r="F72" i="20"/>
  <c r="P71" i="20"/>
  <c r="F71" i="20"/>
  <c r="P70" i="20"/>
  <c r="F70" i="20"/>
  <c r="P69" i="20"/>
  <c r="F69" i="20"/>
  <c r="P68" i="20"/>
  <c r="F68" i="20"/>
  <c r="P67" i="20"/>
  <c r="F67" i="20"/>
  <c r="P66" i="20"/>
  <c r="F66" i="20"/>
  <c r="P65" i="20"/>
  <c r="F65" i="20"/>
  <c r="P64" i="20"/>
  <c r="F64" i="20"/>
  <c r="P63" i="20"/>
  <c r="F63" i="20"/>
  <c r="P62" i="20"/>
  <c r="F62" i="20"/>
  <c r="P61" i="20"/>
  <c r="F61" i="20"/>
  <c r="P60" i="20"/>
  <c r="F60" i="20"/>
  <c r="P59" i="20"/>
  <c r="F59" i="20"/>
  <c r="P58" i="20"/>
  <c r="F58" i="20"/>
  <c r="P57" i="20"/>
  <c r="F57" i="20"/>
  <c r="P56" i="20"/>
  <c r="F56" i="20"/>
  <c r="P55" i="20"/>
  <c r="F55" i="20"/>
  <c r="P54" i="20"/>
  <c r="F54" i="20"/>
  <c r="P53" i="20"/>
  <c r="F53" i="20"/>
  <c r="P52" i="20"/>
  <c r="F52" i="20"/>
  <c r="P51" i="20"/>
  <c r="F51" i="20"/>
  <c r="P50" i="20"/>
  <c r="F50" i="20"/>
  <c r="P49" i="20"/>
  <c r="F49" i="20"/>
  <c r="P48" i="20"/>
  <c r="F48" i="20"/>
  <c r="P47" i="20"/>
  <c r="F47" i="20"/>
  <c r="P46" i="20"/>
  <c r="F46" i="20"/>
  <c r="P45" i="20"/>
  <c r="F45" i="20"/>
  <c r="P44" i="20"/>
  <c r="F44" i="20"/>
  <c r="P43" i="20"/>
  <c r="F43" i="20"/>
  <c r="P42" i="20"/>
  <c r="F42" i="20"/>
  <c r="P41" i="20"/>
  <c r="F41" i="20"/>
  <c r="P40" i="20"/>
  <c r="F40" i="20"/>
  <c r="P39" i="20"/>
  <c r="F39" i="20"/>
  <c r="P38" i="20"/>
  <c r="F38" i="20"/>
  <c r="P37" i="20"/>
  <c r="F37" i="20"/>
  <c r="P36" i="20"/>
  <c r="F36" i="20"/>
  <c r="P35" i="20"/>
  <c r="F35" i="20"/>
  <c r="P34" i="20"/>
  <c r="F34" i="20"/>
  <c r="P33" i="20"/>
  <c r="F33" i="20"/>
  <c r="P32" i="20"/>
  <c r="F32" i="20"/>
  <c r="P31" i="20"/>
  <c r="F31" i="20"/>
  <c r="P30" i="20"/>
  <c r="F30" i="20"/>
  <c r="W29" i="20"/>
  <c r="V29" i="20"/>
  <c r="P29" i="20"/>
  <c r="F29" i="20"/>
  <c r="P28" i="20"/>
  <c r="F28" i="20"/>
  <c r="P27" i="20"/>
  <c r="F27" i="20"/>
  <c r="P26" i="20"/>
  <c r="F26" i="20"/>
  <c r="P25" i="20"/>
  <c r="F25" i="20"/>
  <c r="P24" i="20"/>
  <c r="F24" i="20"/>
  <c r="P23" i="20"/>
  <c r="F23" i="20"/>
  <c r="P22" i="20"/>
  <c r="F22" i="20"/>
  <c r="P21" i="20"/>
  <c r="F21" i="20"/>
  <c r="W20" i="20"/>
  <c r="P20" i="20"/>
  <c r="F20" i="20"/>
  <c r="P19" i="20"/>
  <c r="F19" i="20"/>
  <c r="P18" i="20"/>
  <c r="F18" i="20"/>
  <c r="X17" i="20"/>
  <c r="P17" i="20"/>
  <c r="F17" i="20"/>
  <c r="P16" i="20"/>
  <c r="F16" i="20"/>
  <c r="P15" i="20"/>
  <c r="F15" i="20"/>
  <c r="P14" i="20"/>
  <c r="F14" i="20"/>
  <c r="P13" i="20"/>
  <c r="F13" i="20"/>
  <c r="P12" i="20"/>
  <c r="F12" i="20"/>
  <c r="P11" i="20"/>
  <c r="F11" i="20"/>
  <c r="P10" i="20"/>
  <c r="M10" i="20"/>
  <c r="L10" i="20"/>
  <c r="F10" i="20"/>
  <c r="C10" i="20"/>
  <c r="P9" i="20"/>
  <c r="Q9" i="20" s="1"/>
  <c r="F9" i="20"/>
  <c r="B9" i="20"/>
  <c r="P8" i="20"/>
  <c r="Q8" i="20" s="1"/>
  <c r="L8" i="20"/>
  <c r="L9" i="20" s="1"/>
  <c r="G8" i="20"/>
  <c r="F8" i="20"/>
  <c r="B8" i="20"/>
  <c r="P7" i="20"/>
  <c r="Q7" i="20" s="1"/>
  <c r="M7" i="20"/>
  <c r="M8" i="20" s="1"/>
  <c r="M9" i="20" s="1"/>
  <c r="L7" i="20"/>
  <c r="F7" i="20"/>
  <c r="G7" i="20" s="1"/>
  <c r="C7" i="20"/>
  <c r="C8" i="20" s="1"/>
  <c r="C9" i="20" s="1"/>
  <c r="G9" i="20" s="1"/>
  <c r="B7" i="20"/>
  <c r="P6" i="20"/>
  <c r="Q6" i="20" s="1"/>
  <c r="F6" i="20"/>
  <c r="G6" i="20" s="1"/>
  <c r="P162" i="19"/>
  <c r="F162" i="19"/>
  <c r="P161" i="19"/>
  <c r="F161" i="19"/>
  <c r="P160" i="19"/>
  <c r="F160" i="19"/>
  <c r="P159" i="19"/>
  <c r="F159" i="19"/>
  <c r="P158" i="19"/>
  <c r="F158" i="19"/>
  <c r="P157" i="19"/>
  <c r="F157" i="19"/>
  <c r="P156" i="19"/>
  <c r="F156" i="19"/>
  <c r="P155" i="19"/>
  <c r="F155" i="19"/>
  <c r="P154" i="19"/>
  <c r="F154" i="19"/>
  <c r="P153" i="19"/>
  <c r="F153" i="19"/>
  <c r="P152" i="19"/>
  <c r="F152" i="19"/>
  <c r="P151" i="19"/>
  <c r="F151" i="19"/>
  <c r="P150" i="19"/>
  <c r="F150" i="19"/>
  <c r="P149" i="19"/>
  <c r="F149" i="19"/>
  <c r="P148" i="19"/>
  <c r="F148" i="19"/>
  <c r="P147" i="19"/>
  <c r="F147" i="19"/>
  <c r="P146" i="19"/>
  <c r="F146" i="19"/>
  <c r="P145" i="19"/>
  <c r="F145" i="19"/>
  <c r="P144" i="19"/>
  <c r="F144" i="19"/>
  <c r="P143" i="19"/>
  <c r="F143" i="19"/>
  <c r="P142" i="19"/>
  <c r="F142" i="19"/>
  <c r="P141" i="19"/>
  <c r="F141" i="19"/>
  <c r="P140" i="19"/>
  <c r="F140" i="19"/>
  <c r="P139" i="19"/>
  <c r="F139" i="19"/>
  <c r="P138" i="19"/>
  <c r="F138" i="19"/>
  <c r="P137" i="19"/>
  <c r="F137" i="19"/>
  <c r="P136" i="19"/>
  <c r="F136" i="19"/>
  <c r="P135" i="19"/>
  <c r="F135" i="19"/>
  <c r="P134" i="19"/>
  <c r="F134" i="19"/>
  <c r="P133" i="19"/>
  <c r="F133" i="19"/>
  <c r="P132" i="19"/>
  <c r="F132" i="19"/>
  <c r="P131" i="19"/>
  <c r="F131" i="19"/>
  <c r="P130" i="19"/>
  <c r="F130" i="19"/>
  <c r="P129" i="19"/>
  <c r="F129" i="19"/>
  <c r="P128" i="19"/>
  <c r="F128" i="19"/>
  <c r="P127" i="19"/>
  <c r="F127" i="19"/>
  <c r="P126" i="19"/>
  <c r="F126" i="19"/>
  <c r="P125" i="19"/>
  <c r="F125" i="19"/>
  <c r="P124" i="19"/>
  <c r="F124" i="19"/>
  <c r="P123" i="19"/>
  <c r="F123" i="19"/>
  <c r="P122" i="19"/>
  <c r="F122" i="19"/>
  <c r="P121" i="19"/>
  <c r="F121" i="19"/>
  <c r="P120" i="19"/>
  <c r="F120" i="19"/>
  <c r="P119" i="19"/>
  <c r="F119" i="19"/>
  <c r="P118" i="19"/>
  <c r="F118" i="19"/>
  <c r="P117" i="19"/>
  <c r="F117" i="19"/>
  <c r="P116" i="19"/>
  <c r="F116" i="19"/>
  <c r="P115" i="19"/>
  <c r="F115" i="19"/>
  <c r="P114" i="19"/>
  <c r="F114" i="19"/>
  <c r="P113" i="19"/>
  <c r="F113" i="19"/>
  <c r="P112" i="19"/>
  <c r="F112" i="19"/>
  <c r="P111" i="19"/>
  <c r="F111" i="19"/>
  <c r="P110" i="19"/>
  <c r="F110" i="19"/>
  <c r="P109" i="19"/>
  <c r="F109" i="19"/>
  <c r="P108" i="19"/>
  <c r="F108" i="19"/>
  <c r="P107" i="19"/>
  <c r="F107" i="19"/>
  <c r="P106" i="19"/>
  <c r="F106" i="19"/>
  <c r="P105" i="19"/>
  <c r="F105" i="19"/>
  <c r="P104" i="19"/>
  <c r="F104" i="19"/>
  <c r="P103" i="19"/>
  <c r="F103" i="19"/>
  <c r="P102" i="19"/>
  <c r="F102" i="19"/>
  <c r="P101" i="19"/>
  <c r="F101" i="19"/>
  <c r="P100" i="19"/>
  <c r="F100" i="19"/>
  <c r="P99" i="19"/>
  <c r="F99" i="19"/>
  <c r="P98" i="19"/>
  <c r="F98" i="19"/>
  <c r="P97" i="19"/>
  <c r="F97" i="19"/>
  <c r="P96" i="19"/>
  <c r="F96" i="19"/>
  <c r="P95" i="19"/>
  <c r="F95" i="19"/>
  <c r="P94" i="19"/>
  <c r="F94" i="19"/>
  <c r="P93" i="19"/>
  <c r="F93" i="19"/>
  <c r="P92" i="19"/>
  <c r="F92" i="19"/>
  <c r="P91" i="19"/>
  <c r="F91" i="19"/>
  <c r="P90" i="19"/>
  <c r="F90" i="19"/>
  <c r="P89" i="19"/>
  <c r="F89" i="19"/>
  <c r="P88" i="19"/>
  <c r="F88" i="19"/>
  <c r="P87" i="19"/>
  <c r="F87" i="19"/>
  <c r="P86" i="19"/>
  <c r="F86" i="19"/>
  <c r="P85" i="19"/>
  <c r="F85" i="19"/>
  <c r="P84" i="19"/>
  <c r="F84" i="19"/>
  <c r="P83" i="19"/>
  <c r="F83" i="19"/>
  <c r="P82" i="19"/>
  <c r="F82" i="19"/>
  <c r="P81" i="19"/>
  <c r="F81" i="19"/>
  <c r="P80" i="19"/>
  <c r="F80" i="19"/>
  <c r="P79" i="19"/>
  <c r="F79" i="19"/>
  <c r="P78" i="19"/>
  <c r="F78" i="19"/>
  <c r="P77" i="19"/>
  <c r="F77" i="19"/>
  <c r="P76" i="19"/>
  <c r="F76" i="19"/>
  <c r="P75" i="19"/>
  <c r="F75" i="19"/>
  <c r="P74" i="19"/>
  <c r="F74" i="19"/>
  <c r="P73" i="19"/>
  <c r="F73" i="19"/>
  <c r="P72" i="19"/>
  <c r="F72" i="19"/>
  <c r="P71" i="19"/>
  <c r="F71" i="19"/>
  <c r="P70" i="19"/>
  <c r="F70" i="19"/>
  <c r="P69" i="19"/>
  <c r="F69" i="19"/>
  <c r="P68" i="19"/>
  <c r="F68" i="19"/>
  <c r="P67" i="19"/>
  <c r="F67" i="19"/>
  <c r="P66" i="19"/>
  <c r="F66" i="19"/>
  <c r="P65" i="19"/>
  <c r="F65" i="19"/>
  <c r="P64" i="19"/>
  <c r="F64" i="19"/>
  <c r="P63" i="19"/>
  <c r="F63" i="19"/>
  <c r="P62" i="19"/>
  <c r="F62" i="19"/>
  <c r="P61" i="19"/>
  <c r="F61" i="19"/>
  <c r="P60" i="19"/>
  <c r="F60" i="19"/>
  <c r="P59" i="19"/>
  <c r="F59" i="19"/>
  <c r="P58" i="19"/>
  <c r="F58" i="19"/>
  <c r="P57" i="19"/>
  <c r="F57" i="19"/>
  <c r="P56" i="19"/>
  <c r="F56" i="19"/>
  <c r="P55" i="19"/>
  <c r="F55" i="19"/>
  <c r="P54" i="19"/>
  <c r="F54" i="19"/>
  <c r="P53" i="19"/>
  <c r="F53" i="19"/>
  <c r="P52" i="19"/>
  <c r="F52" i="19"/>
  <c r="P51" i="19"/>
  <c r="F51" i="19"/>
  <c r="P50" i="19"/>
  <c r="F50" i="19"/>
  <c r="P49" i="19"/>
  <c r="F49" i="19"/>
  <c r="P48" i="19"/>
  <c r="F48" i="19"/>
  <c r="P47" i="19"/>
  <c r="F47" i="19"/>
  <c r="P46" i="19"/>
  <c r="F46" i="19"/>
  <c r="P45" i="19"/>
  <c r="F45" i="19"/>
  <c r="P44" i="19"/>
  <c r="F44" i="19"/>
  <c r="P43" i="19"/>
  <c r="F43" i="19"/>
  <c r="P42" i="19"/>
  <c r="F42" i="19"/>
  <c r="P41" i="19"/>
  <c r="F41" i="19"/>
  <c r="P40" i="19"/>
  <c r="F40" i="19"/>
  <c r="P39" i="19"/>
  <c r="F39" i="19"/>
  <c r="P38" i="19"/>
  <c r="F38" i="19"/>
  <c r="P37" i="19"/>
  <c r="F37" i="19"/>
  <c r="P36" i="19"/>
  <c r="F36" i="19"/>
  <c r="P35" i="19"/>
  <c r="F35" i="19"/>
  <c r="P34" i="19"/>
  <c r="F34" i="19"/>
  <c r="P33" i="19"/>
  <c r="F33" i="19"/>
  <c r="P32" i="19"/>
  <c r="F32" i="19"/>
  <c r="P31" i="19"/>
  <c r="F31" i="19"/>
  <c r="P30" i="19"/>
  <c r="F30" i="19"/>
  <c r="W29" i="19"/>
  <c r="V29" i="19"/>
  <c r="P29" i="19"/>
  <c r="F29" i="19"/>
  <c r="P28" i="19"/>
  <c r="F28" i="19"/>
  <c r="P27" i="19"/>
  <c r="F27" i="19"/>
  <c r="P26" i="19"/>
  <c r="F26" i="19"/>
  <c r="P25" i="19"/>
  <c r="F25" i="19"/>
  <c r="P24" i="19"/>
  <c r="F24" i="19"/>
  <c r="P23" i="19"/>
  <c r="F23" i="19"/>
  <c r="P22" i="19"/>
  <c r="F22" i="19"/>
  <c r="P21" i="19"/>
  <c r="F21" i="19"/>
  <c r="W20" i="19"/>
  <c r="P20" i="19"/>
  <c r="F20" i="19"/>
  <c r="P19" i="19"/>
  <c r="F19" i="19"/>
  <c r="P18" i="19"/>
  <c r="F18" i="19"/>
  <c r="X17" i="19"/>
  <c r="P17" i="19"/>
  <c r="F17" i="19"/>
  <c r="P16" i="19"/>
  <c r="F16" i="19"/>
  <c r="P15" i="19"/>
  <c r="F15" i="19"/>
  <c r="P14" i="19"/>
  <c r="F14" i="19"/>
  <c r="P13" i="19"/>
  <c r="F13" i="19"/>
  <c r="P12" i="19"/>
  <c r="F12" i="19"/>
  <c r="P11" i="19"/>
  <c r="F11" i="19"/>
  <c r="P10" i="19"/>
  <c r="F10" i="19"/>
  <c r="P9" i="19"/>
  <c r="L9" i="19"/>
  <c r="L10" i="19" s="1"/>
  <c r="F9" i="19"/>
  <c r="P8" i="19"/>
  <c r="M8" i="19"/>
  <c r="L8" i="19"/>
  <c r="F8" i="19"/>
  <c r="P7" i="19"/>
  <c r="M7" i="19"/>
  <c r="L7" i="19"/>
  <c r="G7" i="19"/>
  <c r="F7" i="19"/>
  <c r="C7" i="19"/>
  <c r="C8" i="19" s="1"/>
  <c r="B7" i="19"/>
  <c r="B8" i="19" s="1"/>
  <c r="Q6" i="19"/>
  <c r="P6" i="19"/>
  <c r="F6" i="19"/>
  <c r="G6" i="19" s="1"/>
  <c r="P162" i="17"/>
  <c r="F162" i="17"/>
  <c r="P161" i="17"/>
  <c r="F161" i="17"/>
  <c r="P160" i="17"/>
  <c r="F160" i="17"/>
  <c r="P159" i="17"/>
  <c r="F159" i="17"/>
  <c r="P158" i="17"/>
  <c r="F158" i="17"/>
  <c r="P157" i="17"/>
  <c r="F157" i="17"/>
  <c r="P156" i="17"/>
  <c r="F156" i="17"/>
  <c r="P155" i="17"/>
  <c r="F155" i="17"/>
  <c r="P154" i="17"/>
  <c r="F154" i="17"/>
  <c r="P153" i="17"/>
  <c r="F153" i="17"/>
  <c r="P152" i="17"/>
  <c r="F152" i="17"/>
  <c r="P151" i="17"/>
  <c r="F151" i="17"/>
  <c r="P150" i="17"/>
  <c r="F150" i="17"/>
  <c r="P149" i="17"/>
  <c r="F149" i="17"/>
  <c r="P148" i="17"/>
  <c r="F148" i="17"/>
  <c r="P147" i="17"/>
  <c r="F147" i="17"/>
  <c r="P146" i="17"/>
  <c r="F146" i="17"/>
  <c r="P145" i="17"/>
  <c r="F145" i="17"/>
  <c r="P144" i="17"/>
  <c r="F144" i="17"/>
  <c r="P143" i="17"/>
  <c r="F143" i="17"/>
  <c r="P142" i="17"/>
  <c r="F142" i="17"/>
  <c r="P141" i="17"/>
  <c r="F141" i="17"/>
  <c r="P140" i="17"/>
  <c r="F140" i="17"/>
  <c r="P139" i="17"/>
  <c r="F139" i="17"/>
  <c r="P138" i="17"/>
  <c r="F138" i="17"/>
  <c r="P137" i="17"/>
  <c r="F137" i="17"/>
  <c r="P136" i="17"/>
  <c r="F136" i="17"/>
  <c r="P135" i="17"/>
  <c r="F135" i="17"/>
  <c r="P134" i="17"/>
  <c r="F134" i="17"/>
  <c r="P133" i="17"/>
  <c r="F133" i="17"/>
  <c r="P132" i="17"/>
  <c r="F132" i="17"/>
  <c r="P131" i="17"/>
  <c r="F131" i="17"/>
  <c r="P130" i="17"/>
  <c r="F130" i="17"/>
  <c r="P129" i="17"/>
  <c r="F129" i="17"/>
  <c r="P128" i="17"/>
  <c r="F128" i="17"/>
  <c r="P127" i="17"/>
  <c r="F127" i="17"/>
  <c r="P126" i="17"/>
  <c r="F126" i="17"/>
  <c r="P125" i="17"/>
  <c r="F125" i="17"/>
  <c r="P124" i="17"/>
  <c r="F124" i="17"/>
  <c r="P123" i="17"/>
  <c r="F123" i="17"/>
  <c r="P122" i="17"/>
  <c r="F122" i="17"/>
  <c r="P121" i="17"/>
  <c r="F121" i="17"/>
  <c r="P120" i="17"/>
  <c r="F120" i="17"/>
  <c r="P119" i="17"/>
  <c r="F119" i="17"/>
  <c r="P118" i="17"/>
  <c r="F118" i="17"/>
  <c r="P117" i="17"/>
  <c r="F117" i="17"/>
  <c r="P116" i="17"/>
  <c r="F116" i="17"/>
  <c r="P115" i="17"/>
  <c r="F115" i="17"/>
  <c r="P114" i="17"/>
  <c r="F114" i="17"/>
  <c r="P113" i="17"/>
  <c r="F113" i="17"/>
  <c r="P112" i="17"/>
  <c r="F112" i="17"/>
  <c r="P111" i="17"/>
  <c r="F111" i="17"/>
  <c r="P110" i="17"/>
  <c r="F110" i="17"/>
  <c r="P109" i="17"/>
  <c r="F109" i="17"/>
  <c r="P108" i="17"/>
  <c r="F108" i="17"/>
  <c r="P107" i="17"/>
  <c r="F107" i="17"/>
  <c r="P106" i="17"/>
  <c r="F106" i="17"/>
  <c r="P105" i="17"/>
  <c r="F105" i="17"/>
  <c r="P104" i="17"/>
  <c r="F104" i="17"/>
  <c r="P103" i="17"/>
  <c r="F103" i="17"/>
  <c r="P102" i="17"/>
  <c r="F102" i="17"/>
  <c r="P101" i="17"/>
  <c r="F101" i="17"/>
  <c r="P100" i="17"/>
  <c r="F100" i="17"/>
  <c r="P99" i="17"/>
  <c r="F99" i="17"/>
  <c r="P98" i="17"/>
  <c r="F98" i="17"/>
  <c r="P97" i="17"/>
  <c r="F97" i="17"/>
  <c r="P96" i="17"/>
  <c r="F96" i="17"/>
  <c r="P95" i="17"/>
  <c r="F95" i="17"/>
  <c r="P94" i="17"/>
  <c r="F94" i="17"/>
  <c r="P93" i="17"/>
  <c r="F93" i="17"/>
  <c r="P92" i="17"/>
  <c r="F92" i="17"/>
  <c r="P91" i="17"/>
  <c r="F91" i="17"/>
  <c r="P90" i="17"/>
  <c r="F90" i="17"/>
  <c r="P89" i="17"/>
  <c r="F89" i="17"/>
  <c r="P88" i="17"/>
  <c r="F88" i="17"/>
  <c r="P87" i="17"/>
  <c r="F87" i="17"/>
  <c r="P86" i="17"/>
  <c r="F86" i="17"/>
  <c r="P85" i="17"/>
  <c r="F85" i="17"/>
  <c r="P84" i="17"/>
  <c r="F84" i="17"/>
  <c r="P83" i="17"/>
  <c r="F83" i="17"/>
  <c r="P82" i="17"/>
  <c r="F82" i="17"/>
  <c r="P81" i="17"/>
  <c r="F81" i="17"/>
  <c r="P80" i="17"/>
  <c r="F80" i="17"/>
  <c r="P79" i="17"/>
  <c r="F79" i="17"/>
  <c r="P78" i="17"/>
  <c r="F78" i="17"/>
  <c r="P77" i="17"/>
  <c r="F77" i="17"/>
  <c r="P76" i="17"/>
  <c r="F76" i="17"/>
  <c r="P75" i="17"/>
  <c r="F75" i="17"/>
  <c r="P74" i="17"/>
  <c r="F74" i="17"/>
  <c r="P73" i="17"/>
  <c r="F73" i="17"/>
  <c r="P72" i="17"/>
  <c r="F72" i="17"/>
  <c r="P71" i="17"/>
  <c r="F71" i="17"/>
  <c r="P70" i="17"/>
  <c r="F70" i="17"/>
  <c r="P69" i="17"/>
  <c r="F69" i="17"/>
  <c r="P68" i="17"/>
  <c r="F68" i="17"/>
  <c r="P67" i="17"/>
  <c r="F67" i="17"/>
  <c r="P66" i="17"/>
  <c r="F66" i="17"/>
  <c r="P65" i="17"/>
  <c r="F65" i="17"/>
  <c r="P64" i="17"/>
  <c r="F64" i="17"/>
  <c r="P63" i="17"/>
  <c r="F63" i="17"/>
  <c r="P62" i="17"/>
  <c r="F62" i="17"/>
  <c r="P61" i="17"/>
  <c r="F61" i="17"/>
  <c r="P60" i="17"/>
  <c r="F60" i="17"/>
  <c r="P59" i="17"/>
  <c r="F59" i="17"/>
  <c r="P58" i="17"/>
  <c r="F58" i="17"/>
  <c r="P57" i="17"/>
  <c r="F57" i="17"/>
  <c r="P56" i="17"/>
  <c r="F56" i="17"/>
  <c r="P55" i="17"/>
  <c r="F55" i="17"/>
  <c r="P54" i="17"/>
  <c r="F54" i="17"/>
  <c r="P53" i="17"/>
  <c r="F53" i="17"/>
  <c r="P52" i="17"/>
  <c r="F52" i="17"/>
  <c r="P51" i="17"/>
  <c r="F51" i="17"/>
  <c r="P50" i="17"/>
  <c r="F50" i="17"/>
  <c r="P49" i="17"/>
  <c r="F49" i="17"/>
  <c r="P48" i="17"/>
  <c r="F48" i="17"/>
  <c r="P47" i="17"/>
  <c r="F47" i="17"/>
  <c r="P46" i="17"/>
  <c r="F46" i="17"/>
  <c r="P45" i="17"/>
  <c r="F45" i="17"/>
  <c r="P44" i="17"/>
  <c r="F44" i="17"/>
  <c r="P43" i="17"/>
  <c r="F43" i="17"/>
  <c r="P42" i="17"/>
  <c r="F42" i="17"/>
  <c r="P41" i="17"/>
  <c r="F41" i="17"/>
  <c r="P40" i="17"/>
  <c r="F40" i="17"/>
  <c r="P39" i="17"/>
  <c r="F39" i="17"/>
  <c r="P38" i="17"/>
  <c r="F38" i="17"/>
  <c r="P37" i="17"/>
  <c r="F37" i="17"/>
  <c r="P36" i="17"/>
  <c r="F36" i="17"/>
  <c r="P35" i="17"/>
  <c r="F35" i="17"/>
  <c r="P34" i="17"/>
  <c r="F34" i="17"/>
  <c r="P33" i="17"/>
  <c r="F33" i="17"/>
  <c r="P32" i="17"/>
  <c r="F32" i="17"/>
  <c r="P31" i="17"/>
  <c r="F31" i="17"/>
  <c r="P30" i="17"/>
  <c r="F30" i="17"/>
  <c r="W29" i="17"/>
  <c r="V29" i="17"/>
  <c r="P29" i="17"/>
  <c r="F29" i="17"/>
  <c r="P28" i="17"/>
  <c r="F28" i="17"/>
  <c r="P27" i="17"/>
  <c r="F27" i="17"/>
  <c r="P26" i="17"/>
  <c r="F26" i="17"/>
  <c r="P25" i="17"/>
  <c r="F25" i="17"/>
  <c r="P24" i="17"/>
  <c r="F24" i="17"/>
  <c r="P23" i="17"/>
  <c r="F23" i="17"/>
  <c r="P22" i="17"/>
  <c r="F22" i="17"/>
  <c r="P21" i="17"/>
  <c r="F21" i="17"/>
  <c r="W20" i="17"/>
  <c r="P20" i="17"/>
  <c r="F20" i="17"/>
  <c r="P19" i="17"/>
  <c r="F19" i="17"/>
  <c r="P18" i="17"/>
  <c r="F18" i="17"/>
  <c r="X17" i="17"/>
  <c r="P17" i="17"/>
  <c r="F17" i="17"/>
  <c r="P16" i="17"/>
  <c r="F16" i="17"/>
  <c r="P15" i="17"/>
  <c r="F15" i="17"/>
  <c r="P14" i="17"/>
  <c r="F14" i="17"/>
  <c r="P13" i="17"/>
  <c r="F13" i="17"/>
  <c r="P12" i="17"/>
  <c r="F12" i="17"/>
  <c r="P11" i="17"/>
  <c r="F11" i="17"/>
  <c r="P10" i="17"/>
  <c r="F10" i="17"/>
  <c r="P9" i="17"/>
  <c r="F9" i="17"/>
  <c r="P8" i="17"/>
  <c r="L8" i="17"/>
  <c r="L9" i="17" s="1"/>
  <c r="F8" i="17"/>
  <c r="P7" i="17"/>
  <c r="M7" i="17"/>
  <c r="L7" i="17"/>
  <c r="F7" i="17"/>
  <c r="C7" i="17"/>
  <c r="B7" i="17"/>
  <c r="P6" i="17"/>
  <c r="Q6" i="17" s="1"/>
  <c r="G6" i="17"/>
  <c r="F6" i="17"/>
  <c r="P162" i="15"/>
  <c r="F162" i="15"/>
  <c r="P161" i="15"/>
  <c r="F161" i="15"/>
  <c r="P160" i="15"/>
  <c r="F160" i="15"/>
  <c r="P159" i="15"/>
  <c r="F159" i="15"/>
  <c r="P158" i="15"/>
  <c r="F158" i="15"/>
  <c r="P157" i="15"/>
  <c r="F157" i="15"/>
  <c r="P156" i="15"/>
  <c r="F156" i="15"/>
  <c r="P155" i="15"/>
  <c r="F155" i="15"/>
  <c r="P154" i="15"/>
  <c r="F154" i="15"/>
  <c r="P153" i="15"/>
  <c r="F153" i="15"/>
  <c r="P152" i="15"/>
  <c r="F152" i="15"/>
  <c r="P151" i="15"/>
  <c r="F151" i="15"/>
  <c r="P150" i="15"/>
  <c r="F150" i="15"/>
  <c r="P149" i="15"/>
  <c r="F149" i="15"/>
  <c r="P148" i="15"/>
  <c r="F148" i="15"/>
  <c r="P147" i="15"/>
  <c r="F147" i="15"/>
  <c r="P146" i="15"/>
  <c r="F146" i="15"/>
  <c r="P145" i="15"/>
  <c r="F145" i="15"/>
  <c r="P144" i="15"/>
  <c r="F144" i="15"/>
  <c r="P143" i="15"/>
  <c r="F143" i="15"/>
  <c r="P142" i="15"/>
  <c r="F142" i="15"/>
  <c r="P141" i="15"/>
  <c r="F141" i="15"/>
  <c r="P140" i="15"/>
  <c r="F140" i="15"/>
  <c r="P139" i="15"/>
  <c r="F139" i="15"/>
  <c r="P138" i="15"/>
  <c r="F138" i="15"/>
  <c r="P137" i="15"/>
  <c r="F137" i="15"/>
  <c r="P136" i="15"/>
  <c r="F136" i="15"/>
  <c r="P135" i="15"/>
  <c r="F135" i="15"/>
  <c r="P134" i="15"/>
  <c r="F134" i="15"/>
  <c r="P133" i="15"/>
  <c r="F133" i="15"/>
  <c r="P132" i="15"/>
  <c r="F132" i="15"/>
  <c r="P131" i="15"/>
  <c r="F131" i="15"/>
  <c r="P130" i="15"/>
  <c r="F130" i="15"/>
  <c r="P129" i="15"/>
  <c r="F129" i="15"/>
  <c r="P128" i="15"/>
  <c r="F128" i="15"/>
  <c r="P127" i="15"/>
  <c r="F127" i="15"/>
  <c r="P126" i="15"/>
  <c r="F126" i="15"/>
  <c r="P125" i="15"/>
  <c r="F125" i="15"/>
  <c r="P124" i="15"/>
  <c r="F124" i="15"/>
  <c r="P123" i="15"/>
  <c r="F123" i="15"/>
  <c r="P122" i="15"/>
  <c r="F122" i="15"/>
  <c r="P121" i="15"/>
  <c r="F121" i="15"/>
  <c r="P120" i="15"/>
  <c r="F120" i="15"/>
  <c r="P119" i="15"/>
  <c r="F119" i="15"/>
  <c r="P118" i="15"/>
  <c r="F118" i="15"/>
  <c r="P117" i="15"/>
  <c r="F117" i="15"/>
  <c r="P116" i="15"/>
  <c r="F116" i="15"/>
  <c r="P115" i="15"/>
  <c r="F115" i="15"/>
  <c r="P114" i="15"/>
  <c r="F114" i="15"/>
  <c r="P113" i="15"/>
  <c r="F113" i="15"/>
  <c r="P112" i="15"/>
  <c r="F112" i="15"/>
  <c r="P111" i="15"/>
  <c r="F111" i="15"/>
  <c r="P110" i="15"/>
  <c r="F110" i="15"/>
  <c r="P109" i="15"/>
  <c r="F109" i="15"/>
  <c r="P108" i="15"/>
  <c r="F108" i="15"/>
  <c r="P107" i="15"/>
  <c r="F107" i="15"/>
  <c r="P106" i="15"/>
  <c r="F106" i="15"/>
  <c r="P105" i="15"/>
  <c r="F105" i="15"/>
  <c r="P104" i="15"/>
  <c r="F104" i="15"/>
  <c r="P103" i="15"/>
  <c r="F103" i="15"/>
  <c r="P102" i="15"/>
  <c r="F102" i="15"/>
  <c r="P101" i="15"/>
  <c r="F101" i="15"/>
  <c r="P100" i="15"/>
  <c r="F100" i="15"/>
  <c r="P99" i="15"/>
  <c r="F99" i="15"/>
  <c r="P98" i="15"/>
  <c r="F98" i="15"/>
  <c r="P97" i="15"/>
  <c r="F97" i="15"/>
  <c r="P96" i="15"/>
  <c r="F96" i="15"/>
  <c r="P95" i="15"/>
  <c r="F95" i="15"/>
  <c r="P94" i="15"/>
  <c r="F94" i="15"/>
  <c r="P93" i="15"/>
  <c r="F93" i="15"/>
  <c r="P92" i="15"/>
  <c r="F92" i="15"/>
  <c r="P91" i="15"/>
  <c r="F91" i="15"/>
  <c r="P90" i="15"/>
  <c r="F90" i="15"/>
  <c r="P89" i="15"/>
  <c r="F89" i="15"/>
  <c r="P88" i="15"/>
  <c r="F88" i="15"/>
  <c r="P87" i="15"/>
  <c r="F87" i="15"/>
  <c r="P86" i="15"/>
  <c r="F86" i="15"/>
  <c r="P85" i="15"/>
  <c r="F85" i="15"/>
  <c r="P84" i="15"/>
  <c r="F84" i="15"/>
  <c r="P83" i="15"/>
  <c r="F83" i="15"/>
  <c r="P82" i="15"/>
  <c r="F82" i="15"/>
  <c r="P81" i="15"/>
  <c r="F81" i="15"/>
  <c r="P80" i="15"/>
  <c r="F80" i="15"/>
  <c r="P79" i="15"/>
  <c r="F79" i="15"/>
  <c r="P78" i="15"/>
  <c r="F78" i="15"/>
  <c r="P77" i="15"/>
  <c r="F77" i="15"/>
  <c r="P76" i="15"/>
  <c r="F76" i="15"/>
  <c r="P75" i="15"/>
  <c r="F75" i="15"/>
  <c r="P74" i="15"/>
  <c r="F74" i="15"/>
  <c r="P73" i="15"/>
  <c r="F73" i="15"/>
  <c r="P72" i="15"/>
  <c r="F72" i="15"/>
  <c r="P71" i="15"/>
  <c r="F71" i="15"/>
  <c r="P70" i="15"/>
  <c r="F70" i="15"/>
  <c r="P69" i="15"/>
  <c r="F69" i="15"/>
  <c r="P68" i="15"/>
  <c r="F68" i="15"/>
  <c r="P67" i="15"/>
  <c r="F67" i="15"/>
  <c r="P66" i="15"/>
  <c r="F66" i="15"/>
  <c r="P65" i="15"/>
  <c r="F65" i="15"/>
  <c r="P64" i="15"/>
  <c r="F64" i="15"/>
  <c r="P63" i="15"/>
  <c r="F63" i="15"/>
  <c r="P62" i="15"/>
  <c r="F62" i="15"/>
  <c r="P61" i="15"/>
  <c r="F61" i="15"/>
  <c r="P60" i="15"/>
  <c r="F60" i="15"/>
  <c r="P59" i="15"/>
  <c r="F59" i="15"/>
  <c r="P58" i="15"/>
  <c r="F58" i="15"/>
  <c r="P57" i="15"/>
  <c r="F57" i="15"/>
  <c r="P56" i="15"/>
  <c r="F56" i="15"/>
  <c r="P55" i="15"/>
  <c r="F55" i="15"/>
  <c r="P54" i="15"/>
  <c r="F54" i="15"/>
  <c r="P53" i="15"/>
  <c r="F53" i="15"/>
  <c r="P52" i="15"/>
  <c r="F52" i="15"/>
  <c r="P51" i="15"/>
  <c r="F51" i="15"/>
  <c r="P50" i="15"/>
  <c r="F50" i="15"/>
  <c r="P49" i="15"/>
  <c r="F49" i="15"/>
  <c r="P48" i="15"/>
  <c r="F48" i="15"/>
  <c r="P47" i="15"/>
  <c r="F47" i="15"/>
  <c r="P46" i="15"/>
  <c r="F46" i="15"/>
  <c r="P45" i="15"/>
  <c r="F45" i="15"/>
  <c r="P44" i="15"/>
  <c r="F44" i="15"/>
  <c r="P43" i="15"/>
  <c r="F43" i="15"/>
  <c r="P42" i="15"/>
  <c r="F42" i="15"/>
  <c r="P41" i="15"/>
  <c r="F41" i="15"/>
  <c r="P40" i="15"/>
  <c r="F40" i="15"/>
  <c r="P39" i="15"/>
  <c r="F39" i="15"/>
  <c r="P38" i="15"/>
  <c r="F38" i="15"/>
  <c r="P37" i="15"/>
  <c r="F37" i="15"/>
  <c r="P36" i="15"/>
  <c r="F36" i="15"/>
  <c r="P35" i="15"/>
  <c r="F35" i="15"/>
  <c r="P34" i="15"/>
  <c r="F34" i="15"/>
  <c r="P33" i="15"/>
  <c r="F33" i="15"/>
  <c r="P32" i="15"/>
  <c r="F32" i="15"/>
  <c r="P31" i="15"/>
  <c r="F31" i="15"/>
  <c r="P30" i="15"/>
  <c r="F30" i="15"/>
  <c r="W29" i="15"/>
  <c r="V29" i="15"/>
  <c r="P29" i="15"/>
  <c r="F29" i="15"/>
  <c r="P28" i="15"/>
  <c r="F28" i="15"/>
  <c r="P27" i="15"/>
  <c r="F27" i="15"/>
  <c r="P26" i="15"/>
  <c r="F26" i="15"/>
  <c r="P25" i="15"/>
  <c r="F25" i="15"/>
  <c r="P24" i="15"/>
  <c r="F24" i="15"/>
  <c r="P23" i="15"/>
  <c r="F23" i="15"/>
  <c r="P22" i="15"/>
  <c r="F22" i="15"/>
  <c r="P21" i="15"/>
  <c r="F21" i="15"/>
  <c r="W20" i="15"/>
  <c r="P20" i="15"/>
  <c r="F20" i="15"/>
  <c r="P19" i="15"/>
  <c r="F19" i="15"/>
  <c r="P18" i="15"/>
  <c r="F18" i="15"/>
  <c r="X17" i="15"/>
  <c r="P17" i="15"/>
  <c r="F17" i="15"/>
  <c r="P16" i="15"/>
  <c r="F16" i="15"/>
  <c r="P15" i="15"/>
  <c r="F15" i="15"/>
  <c r="P14" i="15"/>
  <c r="F14" i="15"/>
  <c r="P13" i="15"/>
  <c r="F13" i="15"/>
  <c r="P12" i="15"/>
  <c r="F12" i="15"/>
  <c r="P11" i="15"/>
  <c r="F11" i="15"/>
  <c r="G11" i="15" s="1"/>
  <c r="P10" i="15"/>
  <c r="F10" i="15"/>
  <c r="P9" i="15"/>
  <c r="M9" i="15"/>
  <c r="L9" i="15"/>
  <c r="F9" i="15"/>
  <c r="P8" i="15"/>
  <c r="Q8" i="15" s="1"/>
  <c r="M8" i="15"/>
  <c r="L8" i="15"/>
  <c r="F8" i="15"/>
  <c r="B8" i="15"/>
  <c r="B9" i="15" s="1"/>
  <c r="P7" i="15"/>
  <c r="Q7" i="15" s="1"/>
  <c r="M7" i="15"/>
  <c r="L7" i="15"/>
  <c r="F7" i="15"/>
  <c r="G7" i="15" s="1"/>
  <c r="C7" i="15"/>
  <c r="C8" i="15" s="1"/>
  <c r="C9" i="15" s="1"/>
  <c r="C10" i="15" s="1"/>
  <c r="C11" i="15" s="1"/>
  <c r="C12" i="15" s="1"/>
  <c r="G12" i="15" s="1"/>
  <c r="B7" i="15"/>
  <c r="P6" i="15"/>
  <c r="Q6" i="15" s="1"/>
  <c r="G6" i="15"/>
  <c r="F6" i="15"/>
  <c r="P162" i="14"/>
  <c r="F162" i="14"/>
  <c r="P161" i="14"/>
  <c r="F161" i="14"/>
  <c r="P160" i="14"/>
  <c r="F160" i="14"/>
  <c r="P159" i="14"/>
  <c r="F159" i="14"/>
  <c r="P158" i="14"/>
  <c r="F158" i="14"/>
  <c r="P157" i="14"/>
  <c r="F157" i="14"/>
  <c r="P156" i="14"/>
  <c r="F156" i="14"/>
  <c r="P155" i="14"/>
  <c r="F155" i="14"/>
  <c r="P154" i="14"/>
  <c r="F154" i="14"/>
  <c r="P153" i="14"/>
  <c r="F153" i="14"/>
  <c r="P152" i="14"/>
  <c r="F152" i="14"/>
  <c r="P151" i="14"/>
  <c r="F151" i="14"/>
  <c r="P150" i="14"/>
  <c r="F150" i="14"/>
  <c r="P149" i="14"/>
  <c r="F149" i="14"/>
  <c r="P148" i="14"/>
  <c r="F148" i="14"/>
  <c r="P147" i="14"/>
  <c r="F147" i="14"/>
  <c r="P146" i="14"/>
  <c r="F146" i="14"/>
  <c r="P145" i="14"/>
  <c r="F145" i="14"/>
  <c r="P144" i="14"/>
  <c r="F144" i="14"/>
  <c r="P143" i="14"/>
  <c r="F143" i="14"/>
  <c r="P142" i="14"/>
  <c r="F142" i="14"/>
  <c r="P141" i="14"/>
  <c r="F141" i="14"/>
  <c r="P140" i="14"/>
  <c r="F140" i="14"/>
  <c r="P139" i="14"/>
  <c r="F139" i="14"/>
  <c r="P138" i="14"/>
  <c r="F138" i="14"/>
  <c r="P137" i="14"/>
  <c r="F137" i="14"/>
  <c r="P136" i="14"/>
  <c r="F136" i="14"/>
  <c r="P135" i="14"/>
  <c r="F135" i="14"/>
  <c r="P134" i="14"/>
  <c r="F134" i="14"/>
  <c r="P133" i="14"/>
  <c r="F133" i="14"/>
  <c r="P132" i="14"/>
  <c r="F132" i="14"/>
  <c r="P131" i="14"/>
  <c r="F131" i="14"/>
  <c r="P130" i="14"/>
  <c r="F130" i="14"/>
  <c r="P129" i="14"/>
  <c r="F129" i="14"/>
  <c r="P128" i="14"/>
  <c r="F128" i="14"/>
  <c r="P127" i="14"/>
  <c r="F127" i="14"/>
  <c r="P126" i="14"/>
  <c r="F126" i="14"/>
  <c r="P125" i="14"/>
  <c r="F125" i="14"/>
  <c r="P124" i="14"/>
  <c r="F124" i="14"/>
  <c r="P123" i="14"/>
  <c r="F123" i="14"/>
  <c r="P122" i="14"/>
  <c r="F122" i="14"/>
  <c r="P121" i="14"/>
  <c r="F121" i="14"/>
  <c r="P120" i="14"/>
  <c r="F120" i="14"/>
  <c r="P119" i="14"/>
  <c r="F119" i="14"/>
  <c r="P118" i="14"/>
  <c r="F118" i="14"/>
  <c r="P117" i="14"/>
  <c r="F117" i="14"/>
  <c r="P116" i="14"/>
  <c r="F116" i="14"/>
  <c r="P115" i="14"/>
  <c r="F115" i="14"/>
  <c r="P114" i="14"/>
  <c r="F114" i="14"/>
  <c r="P113" i="14"/>
  <c r="F113" i="14"/>
  <c r="P112" i="14"/>
  <c r="F112" i="14"/>
  <c r="P111" i="14"/>
  <c r="F111" i="14"/>
  <c r="P110" i="14"/>
  <c r="F110" i="14"/>
  <c r="P109" i="14"/>
  <c r="F109" i="14"/>
  <c r="P108" i="14"/>
  <c r="F108" i="14"/>
  <c r="P107" i="14"/>
  <c r="F107" i="14"/>
  <c r="P106" i="14"/>
  <c r="F106" i="14"/>
  <c r="P105" i="14"/>
  <c r="F105" i="14"/>
  <c r="P104" i="14"/>
  <c r="F104" i="14"/>
  <c r="P103" i="14"/>
  <c r="F103" i="14"/>
  <c r="P102" i="14"/>
  <c r="F102" i="14"/>
  <c r="P101" i="14"/>
  <c r="F101" i="14"/>
  <c r="P100" i="14"/>
  <c r="F100" i="14"/>
  <c r="P99" i="14"/>
  <c r="F99" i="14"/>
  <c r="P98" i="14"/>
  <c r="F98" i="14"/>
  <c r="P97" i="14"/>
  <c r="F97" i="14"/>
  <c r="P96" i="14"/>
  <c r="F96" i="14"/>
  <c r="P95" i="14"/>
  <c r="F95" i="14"/>
  <c r="P94" i="14"/>
  <c r="F94" i="14"/>
  <c r="P93" i="14"/>
  <c r="F93" i="14"/>
  <c r="P92" i="14"/>
  <c r="F92" i="14"/>
  <c r="P91" i="14"/>
  <c r="F91" i="14"/>
  <c r="P90" i="14"/>
  <c r="F90" i="14"/>
  <c r="P89" i="14"/>
  <c r="F89" i="14"/>
  <c r="P88" i="14"/>
  <c r="F88" i="14"/>
  <c r="P87" i="14"/>
  <c r="F87" i="14"/>
  <c r="P86" i="14"/>
  <c r="F86" i="14"/>
  <c r="P85" i="14"/>
  <c r="F85" i="14"/>
  <c r="P84" i="14"/>
  <c r="F84" i="14"/>
  <c r="P83" i="14"/>
  <c r="F83" i="14"/>
  <c r="P82" i="14"/>
  <c r="F82" i="14"/>
  <c r="P81" i="14"/>
  <c r="F81" i="14"/>
  <c r="P80" i="14"/>
  <c r="F80" i="14"/>
  <c r="P79" i="14"/>
  <c r="F79" i="14"/>
  <c r="P78" i="14"/>
  <c r="F78" i="14"/>
  <c r="P77" i="14"/>
  <c r="F77" i="14"/>
  <c r="P76" i="14"/>
  <c r="F76" i="14"/>
  <c r="P75" i="14"/>
  <c r="F75" i="14"/>
  <c r="P74" i="14"/>
  <c r="F74" i="14"/>
  <c r="P73" i="14"/>
  <c r="F73" i="14"/>
  <c r="P72" i="14"/>
  <c r="F72" i="14"/>
  <c r="P71" i="14"/>
  <c r="F71" i="14"/>
  <c r="P70" i="14"/>
  <c r="F70" i="14"/>
  <c r="P69" i="14"/>
  <c r="F69" i="14"/>
  <c r="P68" i="14"/>
  <c r="F68" i="14"/>
  <c r="P67" i="14"/>
  <c r="F67" i="14"/>
  <c r="P66" i="14"/>
  <c r="F66" i="14"/>
  <c r="P65" i="14"/>
  <c r="F65" i="14"/>
  <c r="P64" i="14"/>
  <c r="F64" i="14"/>
  <c r="P63" i="14"/>
  <c r="F63" i="14"/>
  <c r="P62" i="14"/>
  <c r="F62" i="14"/>
  <c r="P61" i="14"/>
  <c r="F61" i="14"/>
  <c r="P60" i="14"/>
  <c r="F60" i="14"/>
  <c r="P59" i="14"/>
  <c r="F59" i="14"/>
  <c r="P58" i="14"/>
  <c r="F58" i="14"/>
  <c r="P57" i="14"/>
  <c r="F57" i="14"/>
  <c r="P56" i="14"/>
  <c r="F56" i="14"/>
  <c r="P55" i="14"/>
  <c r="F55" i="14"/>
  <c r="P54" i="14"/>
  <c r="F54" i="14"/>
  <c r="P53" i="14"/>
  <c r="F53" i="14"/>
  <c r="P52" i="14"/>
  <c r="F52" i="14"/>
  <c r="P51" i="14"/>
  <c r="F51" i="14"/>
  <c r="P50" i="14"/>
  <c r="F50" i="14"/>
  <c r="P49" i="14"/>
  <c r="F49" i="14"/>
  <c r="P48" i="14"/>
  <c r="F48" i="14"/>
  <c r="P47" i="14"/>
  <c r="F47" i="14"/>
  <c r="P46" i="14"/>
  <c r="F46" i="14"/>
  <c r="P45" i="14"/>
  <c r="F45" i="14"/>
  <c r="P44" i="14"/>
  <c r="F44" i="14"/>
  <c r="P43" i="14"/>
  <c r="F43" i="14"/>
  <c r="P42" i="14"/>
  <c r="F42" i="14"/>
  <c r="P41" i="14"/>
  <c r="F41" i="14"/>
  <c r="P40" i="14"/>
  <c r="F40" i="14"/>
  <c r="P39" i="14"/>
  <c r="F39" i="14"/>
  <c r="P38" i="14"/>
  <c r="F38" i="14"/>
  <c r="P37" i="14"/>
  <c r="F37" i="14"/>
  <c r="P36" i="14"/>
  <c r="F36" i="14"/>
  <c r="P35" i="14"/>
  <c r="F35" i="14"/>
  <c r="P34" i="14"/>
  <c r="F34" i="14"/>
  <c r="P33" i="14"/>
  <c r="F33" i="14"/>
  <c r="P32" i="14"/>
  <c r="F32" i="14"/>
  <c r="P31" i="14"/>
  <c r="F31" i="14"/>
  <c r="P30" i="14"/>
  <c r="F30" i="14"/>
  <c r="W29" i="14"/>
  <c r="V29" i="14"/>
  <c r="P29" i="14"/>
  <c r="F29" i="14"/>
  <c r="P28" i="14"/>
  <c r="F28" i="14"/>
  <c r="P27" i="14"/>
  <c r="F27" i="14"/>
  <c r="P26" i="14"/>
  <c r="F26" i="14"/>
  <c r="P25" i="14"/>
  <c r="F25" i="14"/>
  <c r="P24" i="14"/>
  <c r="F24" i="14"/>
  <c r="P23" i="14"/>
  <c r="F23" i="14"/>
  <c r="P22" i="14"/>
  <c r="F22" i="14"/>
  <c r="P21" i="14"/>
  <c r="F21" i="14"/>
  <c r="W20" i="14"/>
  <c r="P20" i="14"/>
  <c r="F20" i="14"/>
  <c r="P19" i="14"/>
  <c r="F19" i="14"/>
  <c r="P18" i="14"/>
  <c r="F18" i="14"/>
  <c r="X17" i="14"/>
  <c r="P17" i="14"/>
  <c r="F17" i="14"/>
  <c r="P16" i="14"/>
  <c r="F16" i="14"/>
  <c r="P15" i="14"/>
  <c r="F15" i="14"/>
  <c r="P14" i="14"/>
  <c r="F14" i="14"/>
  <c r="P13" i="14"/>
  <c r="F13" i="14"/>
  <c r="P12" i="14"/>
  <c r="F12" i="14"/>
  <c r="P11" i="14"/>
  <c r="F11" i="14"/>
  <c r="P10" i="14"/>
  <c r="F10" i="14"/>
  <c r="P9" i="14"/>
  <c r="F9" i="14"/>
  <c r="C9" i="14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P8" i="14"/>
  <c r="F8" i="14"/>
  <c r="C8" i="14"/>
  <c r="B8" i="14"/>
  <c r="P7" i="14"/>
  <c r="Q7" i="14" s="1"/>
  <c r="M7" i="14"/>
  <c r="M8" i="14" s="1"/>
  <c r="M9" i="14" s="1"/>
  <c r="L7" i="14"/>
  <c r="F7" i="14"/>
  <c r="G7" i="14" s="1"/>
  <c r="C7" i="14"/>
  <c r="B7" i="14"/>
  <c r="P6" i="14"/>
  <c r="Q6" i="14" s="1"/>
  <c r="F6" i="14"/>
  <c r="G6" i="14" s="1"/>
  <c r="P162" i="13"/>
  <c r="F162" i="13"/>
  <c r="P161" i="13"/>
  <c r="F161" i="13"/>
  <c r="P160" i="13"/>
  <c r="F160" i="13"/>
  <c r="P159" i="13"/>
  <c r="F159" i="13"/>
  <c r="P158" i="13"/>
  <c r="F158" i="13"/>
  <c r="P157" i="13"/>
  <c r="F157" i="13"/>
  <c r="P156" i="13"/>
  <c r="F156" i="13"/>
  <c r="P155" i="13"/>
  <c r="F155" i="13"/>
  <c r="P154" i="13"/>
  <c r="F154" i="13"/>
  <c r="P153" i="13"/>
  <c r="F153" i="13"/>
  <c r="P152" i="13"/>
  <c r="F152" i="13"/>
  <c r="P151" i="13"/>
  <c r="F151" i="13"/>
  <c r="P150" i="13"/>
  <c r="F150" i="13"/>
  <c r="P149" i="13"/>
  <c r="F149" i="13"/>
  <c r="P148" i="13"/>
  <c r="F148" i="13"/>
  <c r="P147" i="13"/>
  <c r="F147" i="13"/>
  <c r="P146" i="13"/>
  <c r="F146" i="13"/>
  <c r="P145" i="13"/>
  <c r="F145" i="13"/>
  <c r="P144" i="13"/>
  <c r="F144" i="13"/>
  <c r="P143" i="13"/>
  <c r="F143" i="13"/>
  <c r="P142" i="13"/>
  <c r="F142" i="13"/>
  <c r="P141" i="13"/>
  <c r="F141" i="13"/>
  <c r="P140" i="13"/>
  <c r="F140" i="13"/>
  <c r="P139" i="13"/>
  <c r="F139" i="13"/>
  <c r="P138" i="13"/>
  <c r="F138" i="13"/>
  <c r="P137" i="13"/>
  <c r="F137" i="13"/>
  <c r="P136" i="13"/>
  <c r="F136" i="13"/>
  <c r="P135" i="13"/>
  <c r="F135" i="13"/>
  <c r="P134" i="13"/>
  <c r="F134" i="13"/>
  <c r="P133" i="13"/>
  <c r="F133" i="13"/>
  <c r="P132" i="13"/>
  <c r="F132" i="13"/>
  <c r="P131" i="13"/>
  <c r="F131" i="13"/>
  <c r="P130" i="13"/>
  <c r="F130" i="13"/>
  <c r="P129" i="13"/>
  <c r="F129" i="13"/>
  <c r="P128" i="13"/>
  <c r="F128" i="13"/>
  <c r="P127" i="13"/>
  <c r="F127" i="13"/>
  <c r="P126" i="13"/>
  <c r="F126" i="13"/>
  <c r="P125" i="13"/>
  <c r="F125" i="13"/>
  <c r="P124" i="13"/>
  <c r="F124" i="13"/>
  <c r="P123" i="13"/>
  <c r="F123" i="13"/>
  <c r="P122" i="13"/>
  <c r="F122" i="13"/>
  <c r="P121" i="13"/>
  <c r="F121" i="13"/>
  <c r="P120" i="13"/>
  <c r="F120" i="13"/>
  <c r="P119" i="13"/>
  <c r="F119" i="13"/>
  <c r="P118" i="13"/>
  <c r="F118" i="13"/>
  <c r="P117" i="13"/>
  <c r="F117" i="13"/>
  <c r="P116" i="13"/>
  <c r="F116" i="13"/>
  <c r="P115" i="13"/>
  <c r="F115" i="13"/>
  <c r="P114" i="13"/>
  <c r="F114" i="13"/>
  <c r="P113" i="13"/>
  <c r="F113" i="13"/>
  <c r="P112" i="13"/>
  <c r="F112" i="13"/>
  <c r="P111" i="13"/>
  <c r="F111" i="13"/>
  <c r="P110" i="13"/>
  <c r="F110" i="13"/>
  <c r="P109" i="13"/>
  <c r="F109" i="13"/>
  <c r="P108" i="13"/>
  <c r="F108" i="13"/>
  <c r="P107" i="13"/>
  <c r="F107" i="13"/>
  <c r="P106" i="13"/>
  <c r="F106" i="13"/>
  <c r="P105" i="13"/>
  <c r="F105" i="13"/>
  <c r="P104" i="13"/>
  <c r="F104" i="13"/>
  <c r="P103" i="13"/>
  <c r="F103" i="13"/>
  <c r="P102" i="13"/>
  <c r="F102" i="13"/>
  <c r="P101" i="13"/>
  <c r="F101" i="13"/>
  <c r="P100" i="13"/>
  <c r="F100" i="13"/>
  <c r="P99" i="13"/>
  <c r="F99" i="13"/>
  <c r="P98" i="13"/>
  <c r="F98" i="13"/>
  <c r="P97" i="13"/>
  <c r="F97" i="13"/>
  <c r="P96" i="13"/>
  <c r="F96" i="13"/>
  <c r="P95" i="13"/>
  <c r="F95" i="13"/>
  <c r="P94" i="13"/>
  <c r="F94" i="13"/>
  <c r="P93" i="13"/>
  <c r="F93" i="13"/>
  <c r="P92" i="13"/>
  <c r="F92" i="13"/>
  <c r="P91" i="13"/>
  <c r="F91" i="13"/>
  <c r="P90" i="13"/>
  <c r="F90" i="13"/>
  <c r="P89" i="13"/>
  <c r="F89" i="13"/>
  <c r="P88" i="13"/>
  <c r="F88" i="13"/>
  <c r="P87" i="13"/>
  <c r="F87" i="13"/>
  <c r="P86" i="13"/>
  <c r="F86" i="13"/>
  <c r="P85" i="13"/>
  <c r="F85" i="13"/>
  <c r="P84" i="13"/>
  <c r="F84" i="13"/>
  <c r="P83" i="13"/>
  <c r="F83" i="13"/>
  <c r="P82" i="13"/>
  <c r="F82" i="13"/>
  <c r="P81" i="13"/>
  <c r="F81" i="13"/>
  <c r="P80" i="13"/>
  <c r="F80" i="13"/>
  <c r="P79" i="13"/>
  <c r="F79" i="13"/>
  <c r="P78" i="13"/>
  <c r="F78" i="13"/>
  <c r="P77" i="13"/>
  <c r="F77" i="13"/>
  <c r="P76" i="13"/>
  <c r="F76" i="13"/>
  <c r="P75" i="13"/>
  <c r="F75" i="13"/>
  <c r="P74" i="13"/>
  <c r="F74" i="13"/>
  <c r="P73" i="13"/>
  <c r="F73" i="13"/>
  <c r="P72" i="13"/>
  <c r="F72" i="13"/>
  <c r="P71" i="13"/>
  <c r="F71" i="13"/>
  <c r="P70" i="13"/>
  <c r="F70" i="13"/>
  <c r="P69" i="13"/>
  <c r="F69" i="13"/>
  <c r="P68" i="13"/>
  <c r="F68" i="13"/>
  <c r="P67" i="13"/>
  <c r="F67" i="13"/>
  <c r="P66" i="13"/>
  <c r="F66" i="13"/>
  <c r="P65" i="13"/>
  <c r="F65" i="13"/>
  <c r="P64" i="13"/>
  <c r="F64" i="13"/>
  <c r="P63" i="13"/>
  <c r="F63" i="13"/>
  <c r="P62" i="13"/>
  <c r="F62" i="13"/>
  <c r="P61" i="13"/>
  <c r="F61" i="13"/>
  <c r="P60" i="13"/>
  <c r="F60" i="13"/>
  <c r="P59" i="13"/>
  <c r="F59" i="13"/>
  <c r="P58" i="13"/>
  <c r="F58" i="13"/>
  <c r="P57" i="13"/>
  <c r="F57" i="13"/>
  <c r="P56" i="13"/>
  <c r="F56" i="13"/>
  <c r="P55" i="13"/>
  <c r="F55" i="13"/>
  <c r="P54" i="13"/>
  <c r="F54" i="13"/>
  <c r="P53" i="13"/>
  <c r="F53" i="13"/>
  <c r="P52" i="13"/>
  <c r="F52" i="13"/>
  <c r="P51" i="13"/>
  <c r="F51" i="13"/>
  <c r="P50" i="13"/>
  <c r="F50" i="13"/>
  <c r="P49" i="13"/>
  <c r="F49" i="13"/>
  <c r="P48" i="13"/>
  <c r="F48" i="13"/>
  <c r="P47" i="13"/>
  <c r="F47" i="13"/>
  <c r="P46" i="13"/>
  <c r="F46" i="13"/>
  <c r="P45" i="13"/>
  <c r="F45" i="13"/>
  <c r="P44" i="13"/>
  <c r="F44" i="13"/>
  <c r="P43" i="13"/>
  <c r="F43" i="13"/>
  <c r="P42" i="13"/>
  <c r="F42" i="13"/>
  <c r="P41" i="13"/>
  <c r="F41" i="13"/>
  <c r="P40" i="13"/>
  <c r="F40" i="13"/>
  <c r="P39" i="13"/>
  <c r="F39" i="13"/>
  <c r="P38" i="13"/>
  <c r="F38" i="13"/>
  <c r="P37" i="13"/>
  <c r="F37" i="13"/>
  <c r="P36" i="13"/>
  <c r="F36" i="13"/>
  <c r="P35" i="13"/>
  <c r="F35" i="13"/>
  <c r="P34" i="13"/>
  <c r="F34" i="13"/>
  <c r="P33" i="13"/>
  <c r="F33" i="13"/>
  <c r="P32" i="13"/>
  <c r="F32" i="13"/>
  <c r="P31" i="13"/>
  <c r="F31" i="13"/>
  <c r="P30" i="13"/>
  <c r="F30" i="13"/>
  <c r="W29" i="13"/>
  <c r="V29" i="13"/>
  <c r="P29" i="13"/>
  <c r="F29" i="13"/>
  <c r="P28" i="13"/>
  <c r="F28" i="13"/>
  <c r="P27" i="13"/>
  <c r="F27" i="13"/>
  <c r="P26" i="13"/>
  <c r="F26" i="13"/>
  <c r="P25" i="13"/>
  <c r="F25" i="13"/>
  <c r="P24" i="13"/>
  <c r="F24" i="13"/>
  <c r="P23" i="13"/>
  <c r="F23" i="13"/>
  <c r="P22" i="13"/>
  <c r="F22" i="13"/>
  <c r="P21" i="13"/>
  <c r="F21" i="13"/>
  <c r="W20" i="13"/>
  <c r="P20" i="13"/>
  <c r="F20" i="13"/>
  <c r="P19" i="13"/>
  <c r="F19" i="13"/>
  <c r="P18" i="13"/>
  <c r="F18" i="13"/>
  <c r="X17" i="13"/>
  <c r="P17" i="13"/>
  <c r="F17" i="13"/>
  <c r="P16" i="13"/>
  <c r="F16" i="13"/>
  <c r="P15" i="13"/>
  <c r="F15" i="13"/>
  <c r="P14" i="13"/>
  <c r="F14" i="13"/>
  <c r="P13" i="13"/>
  <c r="F13" i="13"/>
  <c r="P12" i="13"/>
  <c r="F12" i="13"/>
  <c r="P11" i="13"/>
  <c r="F11" i="13"/>
  <c r="P10" i="13"/>
  <c r="F10" i="13"/>
  <c r="P9" i="13"/>
  <c r="M9" i="13"/>
  <c r="F9" i="13"/>
  <c r="P8" i="13"/>
  <c r="Q8" i="13" s="1"/>
  <c r="M8" i="13"/>
  <c r="L8" i="13"/>
  <c r="G8" i="13"/>
  <c r="F8" i="13"/>
  <c r="C8" i="13"/>
  <c r="B8" i="13"/>
  <c r="P7" i="13"/>
  <c r="Q7" i="13" s="1"/>
  <c r="M7" i="13"/>
  <c r="L7" i="13"/>
  <c r="G7" i="13"/>
  <c r="F7" i="13"/>
  <c r="C7" i="13"/>
  <c r="B7" i="13"/>
  <c r="P6" i="13"/>
  <c r="Q6" i="13" s="1"/>
  <c r="F6" i="13"/>
  <c r="G6" i="13" s="1"/>
  <c r="P162" i="11"/>
  <c r="F162" i="11"/>
  <c r="P161" i="11"/>
  <c r="F161" i="11"/>
  <c r="P160" i="11"/>
  <c r="F160" i="11"/>
  <c r="P159" i="11"/>
  <c r="F159" i="11"/>
  <c r="P158" i="11"/>
  <c r="F158" i="11"/>
  <c r="P157" i="11"/>
  <c r="F157" i="11"/>
  <c r="P156" i="11"/>
  <c r="F156" i="11"/>
  <c r="P155" i="11"/>
  <c r="F155" i="11"/>
  <c r="P154" i="11"/>
  <c r="F154" i="11"/>
  <c r="P153" i="11"/>
  <c r="F153" i="11"/>
  <c r="P152" i="11"/>
  <c r="F152" i="11"/>
  <c r="P151" i="11"/>
  <c r="F151" i="11"/>
  <c r="P150" i="11"/>
  <c r="F150" i="11"/>
  <c r="P149" i="11"/>
  <c r="F149" i="11"/>
  <c r="P148" i="11"/>
  <c r="F148" i="11"/>
  <c r="P147" i="11"/>
  <c r="F147" i="11"/>
  <c r="P146" i="11"/>
  <c r="F146" i="11"/>
  <c r="P145" i="11"/>
  <c r="F145" i="11"/>
  <c r="P144" i="11"/>
  <c r="F144" i="11"/>
  <c r="P143" i="11"/>
  <c r="F143" i="11"/>
  <c r="P142" i="11"/>
  <c r="F142" i="11"/>
  <c r="P141" i="11"/>
  <c r="F141" i="11"/>
  <c r="P140" i="11"/>
  <c r="F140" i="11"/>
  <c r="P139" i="11"/>
  <c r="F139" i="11"/>
  <c r="P138" i="11"/>
  <c r="F138" i="11"/>
  <c r="P137" i="11"/>
  <c r="F137" i="11"/>
  <c r="P136" i="11"/>
  <c r="F136" i="11"/>
  <c r="P135" i="11"/>
  <c r="F135" i="11"/>
  <c r="P134" i="11"/>
  <c r="F134" i="11"/>
  <c r="P133" i="11"/>
  <c r="F133" i="11"/>
  <c r="P132" i="11"/>
  <c r="F132" i="11"/>
  <c r="P131" i="11"/>
  <c r="F131" i="11"/>
  <c r="P130" i="11"/>
  <c r="F130" i="11"/>
  <c r="P129" i="11"/>
  <c r="F129" i="11"/>
  <c r="P128" i="11"/>
  <c r="F128" i="11"/>
  <c r="P127" i="11"/>
  <c r="F127" i="11"/>
  <c r="P126" i="11"/>
  <c r="F126" i="11"/>
  <c r="P125" i="11"/>
  <c r="F125" i="11"/>
  <c r="P124" i="11"/>
  <c r="F124" i="11"/>
  <c r="P123" i="11"/>
  <c r="F123" i="11"/>
  <c r="P122" i="11"/>
  <c r="F122" i="11"/>
  <c r="P121" i="11"/>
  <c r="F121" i="11"/>
  <c r="P120" i="11"/>
  <c r="F120" i="11"/>
  <c r="P119" i="11"/>
  <c r="F119" i="11"/>
  <c r="P118" i="11"/>
  <c r="F118" i="11"/>
  <c r="P117" i="11"/>
  <c r="F117" i="11"/>
  <c r="P116" i="11"/>
  <c r="F116" i="11"/>
  <c r="P115" i="11"/>
  <c r="F115" i="11"/>
  <c r="P114" i="11"/>
  <c r="F114" i="11"/>
  <c r="P113" i="11"/>
  <c r="F113" i="11"/>
  <c r="P112" i="11"/>
  <c r="F112" i="11"/>
  <c r="P111" i="11"/>
  <c r="F111" i="11"/>
  <c r="P110" i="11"/>
  <c r="F110" i="11"/>
  <c r="P109" i="11"/>
  <c r="F109" i="11"/>
  <c r="P108" i="11"/>
  <c r="F108" i="11"/>
  <c r="P107" i="11"/>
  <c r="F107" i="11"/>
  <c r="P106" i="11"/>
  <c r="F106" i="11"/>
  <c r="P105" i="11"/>
  <c r="F105" i="11"/>
  <c r="P104" i="11"/>
  <c r="F104" i="11"/>
  <c r="P103" i="11"/>
  <c r="F103" i="11"/>
  <c r="P102" i="11"/>
  <c r="F102" i="11"/>
  <c r="P101" i="11"/>
  <c r="F101" i="11"/>
  <c r="P100" i="11"/>
  <c r="F100" i="11"/>
  <c r="P99" i="11"/>
  <c r="F99" i="11"/>
  <c r="P98" i="11"/>
  <c r="F98" i="11"/>
  <c r="P97" i="11"/>
  <c r="F97" i="11"/>
  <c r="P96" i="11"/>
  <c r="F96" i="11"/>
  <c r="P95" i="11"/>
  <c r="F95" i="11"/>
  <c r="P94" i="11"/>
  <c r="F94" i="11"/>
  <c r="P93" i="11"/>
  <c r="F93" i="11"/>
  <c r="P92" i="11"/>
  <c r="F92" i="11"/>
  <c r="P91" i="11"/>
  <c r="F91" i="11"/>
  <c r="P90" i="11"/>
  <c r="F90" i="11"/>
  <c r="P89" i="11"/>
  <c r="F89" i="11"/>
  <c r="P88" i="11"/>
  <c r="F88" i="11"/>
  <c r="P87" i="11"/>
  <c r="F87" i="11"/>
  <c r="P86" i="11"/>
  <c r="F86" i="11"/>
  <c r="P85" i="11"/>
  <c r="F85" i="11"/>
  <c r="P84" i="11"/>
  <c r="F84" i="11"/>
  <c r="P83" i="11"/>
  <c r="F83" i="11"/>
  <c r="P82" i="11"/>
  <c r="F82" i="11"/>
  <c r="P81" i="11"/>
  <c r="F81" i="11"/>
  <c r="P80" i="11"/>
  <c r="F80" i="11"/>
  <c r="P79" i="11"/>
  <c r="F79" i="11"/>
  <c r="P78" i="11"/>
  <c r="F78" i="11"/>
  <c r="P77" i="11"/>
  <c r="F77" i="11"/>
  <c r="P76" i="11"/>
  <c r="F76" i="11"/>
  <c r="P75" i="11"/>
  <c r="F75" i="11"/>
  <c r="P74" i="11"/>
  <c r="F74" i="11"/>
  <c r="P73" i="11"/>
  <c r="F73" i="11"/>
  <c r="P72" i="11"/>
  <c r="F72" i="11"/>
  <c r="P71" i="11"/>
  <c r="F71" i="11"/>
  <c r="P70" i="11"/>
  <c r="F70" i="11"/>
  <c r="P69" i="11"/>
  <c r="F69" i="11"/>
  <c r="P68" i="11"/>
  <c r="F68" i="11"/>
  <c r="P67" i="11"/>
  <c r="F67" i="11"/>
  <c r="P66" i="11"/>
  <c r="F66" i="11"/>
  <c r="P65" i="11"/>
  <c r="F65" i="11"/>
  <c r="P64" i="11"/>
  <c r="F64" i="11"/>
  <c r="P63" i="11"/>
  <c r="F63" i="11"/>
  <c r="P62" i="11"/>
  <c r="F62" i="11"/>
  <c r="P61" i="11"/>
  <c r="F61" i="11"/>
  <c r="P60" i="11"/>
  <c r="F60" i="11"/>
  <c r="P59" i="11"/>
  <c r="F59" i="11"/>
  <c r="P58" i="11"/>
  <c r="F58" i="11"/>
  <c r="P57" i="11"/>
  <c r="F57" i="11"/>
  <c r="P56" i="11"/>
  <c r="F56" i="11"/>
  <c r="P55" i="11"/>
  <c r="F55" i="11"/>
  <c r="P54" i="11"/>
  <c r="F54" i="11"/>
  <c r="P53" i="11"/>
  <c r="F53" i="11"/>
  <c r="P52" i="11"/>
  <c r="F52" i="11"/>
  <c r="P51" i="11"/>
  <c r="F51" i="11"/>
  <c r="P50" i="11"/>
  <c r="F50" i="11"/>
  <c r="P49" i="11"/>
  <c r="F49" i="11"/>
  <c r="P48" i="11"/>
  <c r="F48" i="11"/>
  <c r="P47" i="11"/>
  <c r="F47" i="11"/>
  <c r="P46" i="11"/>
  <c r="F46" i="11"/>
  <c r="P45" i="11"/>
  <c r="F45" i="11"/>
  <c r="P44" i="11"/>
  <c r="F44" i="11"/>
  <c r="P43" i="11"/>
  <c r="F43" i="11"/>
  <c r="P42" i="11"/>
  <c r="F42" i="11"/>
  <c r="P41" i="11"/>
  <c r="F41" i="11"/>
  <c r="P40" i="11"/>
  <c r="F40" i="11"/>
  <c r="P39" i="11"/>
  <c r="F39" i="11"/>
  <c r="P38" i="11"/>
  <c r="F38" i="11"/>
  <c r="P37" i="11"/>
  <c r="F37" i="11"/>
  <c r="P36" i="11"/>
  <c r="F36" i="11"/>
  <c r="P35" i="11"/>
  <c r="F35" i="11"/>
  <c r="P34" i="11"/>
  <c r="F34" i="11"/>
  <c r="P33" i="11"/>
  <c r="F33" i="11"/>
  <c r="P32" i="11"/>
  <c r="F32" i="11"/>
  <c r="P31" i="11"/>
  <c r="F31" i="11"/>
  <c r="P30" i="11"/>
  <c r="F30" i="11"/>
  <c r="W29" i="11"/>
  <c r="V29" i="11"/>
  <c r="P29" i="11"/>
  <c r="F29" i="11"/>
  <c r="P28" i="11"/>
  <c r="F28" i="11"/>
  <c r="Q27" i="11"/>
  <c r="P27" i="11"/>
  <c r="M27" i="11"/>
  <c r="M28" i="11" s="1"/>
  <c r="F27" i="11"/>
  <c r="P26" i="11"/>
  <c r="F26" i="11"/>
  <c r="P25" i="11"/>
  <c r="M25" i="11"/>
  <c r="M26" i="11" s="1"/>
  <c r="Q26" i="11" s="1"/>
  <c r="F25" i="11"/>
  <c r="P24" i="11"/>
  <c r="M24" i="11"/>
  <c r="F24" i="11"/>
  <c r="P23" i="11"/>
  <c r="Q23" i="11" s="1"/>
  <c r="F23" i="11"/>
  <c r="P22" i="11"/>
  <c r="Q22" i="11" s="1"/>
  <c r="M22" i="11"/>
  <c r="M23" i="11" s="1"/>
  <c r="F22" i="11"/>
  <c r="P21" i="11"/>
  <c r="Q21" i="11" s="1"/>
  <c r="F21" i="11"/>
  <c r="W20" i="11"/>
  <c r="Q20" i="11"/>
  <c r="P20" i="11"/>
  <c r="F20" i="11"/>
  <c r="P19" i="11"/>
  <c r="F19" i="11"/>
  <c r="Q18" i="11"/>
  <c r="P18" i="11"/>
  <c r="F18" i="11"/>
  <c r="X17" i="11"/>
  <c r="P17" i="11"/>
  <c r="Q17" i="11" s="1"/>
  <c r="F17" i="11"/>
  <c r="P16" i="11"/>
  <c r="Q16" i="11" s="1"/>
  <c r="F16" i="11"/>
  <c r="P15" i="11"/>
  <c r="F15" i="11"/>
  <c r="P14" i="11"/>
  <c r="Q14" i="11" s="1"/>
  <c r="F14" i="11"/>
  <c r="P13" i="11"/>
  <c r="Q13" i="11" s="1"/>
  <c r="F13" i="11"/>
  <c r="P12" i="11"/>
  <c r="Q12" i="11" s="1"/>
  <c r="F12" i="11"/>
  <c r="P11" i="11"/>
  <c r="G11" i="11"/>
  <c r="F11" i="11"/>
  <c r="C11" i="11"/>
  <c r="P10" i="11"/>
  <c r="Q10" i="11" s="1"/>
  <c r="F10" i="11"/>
  <c r="G10" i="11" s="1"/>
  <c r="P9" i="11"/>
  <c r="Q9" i="11" s="1"/>
  <c r="G9" i="11"/>
  <c r="F9" i="11"/>
  <c r="P8" i="11"/>
  <c r="Q8" i="11" s="1"/>
  <c r="F8" i="11"/>
  <c r="G8" i="11" s="1"/>
  <c r="C8" i="11"/>
  <c r="C9" i="11" s="1"/>
  <c r="C10" i="11" s="1"/>
  <c r="B8" i="11"/>
  <c r="B9" i="11" s="1"/>
  <c r="P7" i="11"/>
  <c r="Q7" i="11" s="1"/>
  <c r="M7" i="1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L7" i="11"/>
  <c r="L8" i="11" s="1"/>
  <c r="F7" i="11"/>
  <c r="G7" i="11" s="1"/>
  <c r="C7" i="11"/>
  <c r="B7" i="11"/>
  <c r="P6" i="11"/>
  <c r="Q6" i="11" s="1"/>
  <c r="F6" i="11"/>
  <c r="G6" i="11" s="1"/>
  <c r="P162" i="9"/>
  <c r="F162" i="9"/>
  <c r="P161" i="9"/>
  <c r="F161" i="9"/>
  <c r="P160" i="9"/>
  <c r="F160" i="9"/>
  <c r="P159" i="9"/>
  <c r="F159" i="9"/>
  <c r="P158" i="9"/>
  <c r="F158" i="9"/>
  <c r="P157" i="9"/>
  <c r="F157" i="9"/>
  <c r="P156" i="9"/>
  <c r="F156" i="9"/>
  <c r="P155" i="9"/>
  <c r="F155" i="9"/>
  <c r="P154" i="9"/>
  <c r="F154" i="9"/>
  <c r="P153" i="9"/>
  <c r="F153" i="9"/>
  <c r="P152" i="9"/>
  <c r="F152" i="9"/>
  <c r="P151" i="9"/>
  <c r="F151" i="9"/>
  <c r="P150" i="9"/>
  <c r="F150" i="9"/>
  <c r="P149" i="9"/>
  <c r="F149" i="9"/>
  <c r="P148" i="9"/>
  <c r="F148" i="9"/>
  <c r="P147" i="9"/>
  <c r="F147" i="9"/>
  <c r="P146" i="9"/>
  <c r="F146" i="9"/>
  <c r="P145" i="9"/>
  <c r="F145" i="9"/>
  <c r="P144" i="9"/>
  <c r="F144" i="9"/>
  <c r="P143" i="9"/>
  <c r="F143" i="9"/>
  <c r="P142" i="9"/>
  <c r="F142" i="9"/>
  <c r="P141" i="9"/>
  <c r="F141" i="9"/>
  <c r="P140" i="9"/>
  <c r="F140" i="9"/>
  <c r="P139" i="9"/>
  <c r="F139" i="9"/>
  <c r="P138" i="9"/>
  <c r="F138" i="9"/>
  <c r="P137" i="9"/>
  <c r="F137" i="9"/>
  <c r="P136" i="9"/>
  <c r="F136" i="9"/>
  <c r="P135" i="9"/>
  <c r="F135" i="9"/>
  <c r="P134" i="9"/>
  <c r="F134" i="9"/>
  <c r="P133" i="9"/>
  <c r="F133" i="9"/>
  <c r="P132" i="9"/>
  <c r="F132" i="9"/>
  <c r="P131" i="9"/>
  <c r="F131" i="9"/>
  <c r="P130" i="9"/>
  <c r="F130" i="9"/>
  <c r="P129" i="9"/>
  <c r="F129" i="9"/>
  <c r="P128" i="9"/>
  <c r="F128" i="9"/>
  <c r="P127" i="9"/>
  <c r="F127" i="9"/>
  <c r="P126" i="9"/>
  <c r="F126" i="9"/>
  <c r="P125" i="9"/>
  <c r="F125" i="9"/>
  <c r="P124" i="9"/>
  <c r="F124" i="9"/>
  <c r="P123" i="9"/>
  <c r="F123" i="9"/>
  <c r="P122" i="9"/>
  <c r="F122" i="9"/>
  <c r="P121" i="9"/>
  <c r="F121" i="9"/>
  <c r="P120" i="9"/>
  <c r="F120" i="9"/>
  <c r="P119" i="9"/>
  <c r="F119" i="9"/>
  <c r="P118" i="9"/>
  <c r="F118" i="9"/>
  <c r="P117" i="9"/>
  <c r="F117" i="9"/>
  <c r="P116" i="9"/>
  <c r="F116" i="9"/>
  <c r="P115" i="9"/>
  <c r="F115" i="9"/>
  <c r="P114" i="9"/>
  <c r="F114" i="9"/>
  <c r="P113" i="9"/>
  <c r="F113" i="9"/>
  <c r="P112" i="9"/>
  <c r="F112" i="9"/>
  <c r="P111" i="9"/>
  <c r="F111" i="9"/>
  <c r="P110" i="9"/>
  <c r="F110" i="9"/>
  <c r="P109" i="9"/>
  <c r="F109" i="9"/>
  <c r="P108" i="9"/>
  <c r="F108" i="9"/>
  <c r="P107" i="9"/>
  <c r="F107" i="9"/>
  <c r="P106" i="9"/>
  <c r="F106" i="9"/>
  <c r="P105" i="9"/>
  <c r="F105" i="9"/>
  <c r="P104" i="9"/>
  <c r="F104" i="9"/>
  <c r="P103" i="9"/>
  <c r="F103" i="9"/>
  <c r="P102" i="9"/>
  <c r="F102" i="9"/>
  <c r="P101" i="9"/>
  <c r="F101" i="9"/>
  <c r="P100" i="9"/>
  <c r="F100" i="9"/>
  <c r="P99" i="9"/>
  <c r="F99" i="9"/>
  <c r="P98" i="9"/>
  <c r="F98" i="9"/>
  <c r="P97" i="9"/>
  <c r="F97" i="9"/>
  <c r="P96" i="9"/>
  <c r="F96" i="9"/>
  <c r="P95" i="9"/>
  <c r="F95" i="9"/>
  <c r="P94" i="9"/>
  <c r="F94" i="9"/>
  <c r="P93" i="9"/>
  <c r="F93" i="9"/>
  <c r="P92" i="9"/>
  <c r="F92" i="9"/>
  <c r="P91" i="9"/>
  <c r="F91" i="9"/>
  <c r="P90" i="9"/>
  <c r="F90" i="9"/>
  <c r="P89" i="9"/>
  <c r="F89" i="9"/>
  <c r="P88" i="9"/>
  <c r="F88" i="9"/>
  <c r="P87" i="9"/>
  <c r="F87" i="9"/>
  <c r="P86" i="9"/>
  <c r="F86" i="9"/>
  <c r="P85" i="9"/>
  <c r="F85" i="9"/>
  <c r="P84" i="9"/>
  <c r="F84" i="9"/>
  <c r="P83" i="9"/>
  <c r="F83" i="9"/>
  <c r="P82" i="9"/>
  <c r="F82" i="9"/>
  <c r="P81" i="9"/>
  <c r="F81" i="9"/>
  <c r="P80" i="9"/>
  <c r="F80" i="9"/>
  <c r="P79" i="9"/>
  <c r="F79" i="9"/>
  <c r="P78" i="9"/>
  <c r="F78" i="9"/>
  <c r="P77" i="9"/>
  <c r="F77" i="9"/>
  <c r="P76" i="9"/>
  <c r="F76" i="9"/>
  <c r="P75" i="9"/>
  <c r="F75" i="9"/>
  <c r="P74" i="9"/>
  <c r="F74" i="9"/>
  <c r="P73" i="9"/>
  <c r="F73" i="9"/>
  <c r="P72" i="9"/>
  <c r="F72" i="9"/>
  <c r="P71" i="9"/>
  <c r="F71" i="9"/>
  <c r="P70" i="9"/>
  <c r="F70" i="9"/>
  <c r="P69" i="9"/>
  <c r="F69" i="9"/>
  <c r="P68" i="9"/>
  <c r="F68" i="9"/>
  <c r="P67" i="9"/>
  <c r="F67" i="9"/>
  <c r="P66" i="9"/>
  <c r="F66" i="9"/>
  <c r="P65" i="9"/>
  <c r="F65" i="9"/>
  <c r="P64" i="9"/>
  <c r="F64" i="9"/>
  <c r="P63" i="9"/>
  <c r="F63" i="9"/>
  <c r="P62" i="9"/>
  <c r="F62" i="9"/>
  <c r="P61" i="9"/>
  <c r="F61" i="9"/>
  <c r="P60" i="9"/>
  <c r="F60" i="9"/>
  <c r="P59" i="9"/>
  <c r="F59" i="9"/>
  <c r="P58" i="9"/>
  <c r="F58" i="9"/>
  <c r="P57" i="9"/>
  <c r="F57" i="9"/>
  <c r="P56" i="9"/>
  <c r="F56" i="9"/>
  <c r="P55" i="9"/>
  <c r="F55" i="9"/>
  <c r="P54" i="9"/>
  <c r="F54" i="9"/>
  <c r="P53" i="9"/>
  <c r="F53" i="9"/>
  <c r="P52" i="9"/>
  <c r="F52" i="9"/>
  <c r="P51" i="9"/>
  <c r="F51" i="9"/>
  <c r="P50" i="9"/>
  <c r="F50" i="9"/>
  <c r="P49" i="9"/>
  <c r="F49" i="9"/>
  <c r="P48" i="9"/>
  <c r="F48" i="9"/>
  <c r="P47" i="9"/>
  <c r="F47" i="9"/>
  <c r="P46" i="9"/>
  <c r="F46" i="9"/>
  <c r="P45" i="9"/>
  <c r="F45" i="9"/>
  <c r="P44" i="9"/>
  <c r="F44" i="9"/>
  <c r="P43" i="9"/>
  <c r="F43" i="9"/>
  <c r="P42" i="9"/>
  <c r="F42" i="9"/>
  <c r="P41" i="9"/>
  <c r="F41" i="9"/>
  <c r="P40" i="9"/>
  <c r="F40" i="9"/>
  <c r="P39" i="9"/>
  <c r="F39" i="9"/>
  <c r="P38" i="9"/>
  <c r="F38" i="9"/>
  <c r="P37" i="9"/>
  <c r="F37" i="9"/>
  <c r="P36" i="9"/>
  <c r="F36" i="9"/>
  <c r="P35" i="9"/>
  <c r="F35" i="9"/>
  <c r="P34" i="9"/>
  <c r="F34" i="9"/>
  <c r="P33" i="9"/>
  <c r="F33" i="9"/>
  <c r="P32" i="9"/>
  <c r="F32" i="9"/>
  <c r="P31" i="9"/>
  <c r="F31" i="9"/>
  <c r="P30" i="9"/>
  <c r="F30" i="9"/>
  <c r="W29" i="9"/>
  <c r="V29" i="9"/>
  <c r="P29" i="9"/>
  <c r="F29" i="9"/>
  <c r="P28" i="9"/>
  <c r="F28" i="9"/>
  <c r="P27" i="9"/>
  <c r="F27" i="9"/>
  <c r="P26" i="9"/>
  <c r="F26" i="9"/>
  <c r="P25" i="9"/>
  <c r="F25" i="9"/>
  <c r="P24" i="9"/>
  <c r="F24" i="9"/>
  <c r="P23" i="9"/>
  <c r="F23" i="9"/>
  <c r="P22" i="9"/>
  <c r="F22" i="9"/>
  <c r="P21" i="9"/>
  <c r="F21" i="9"/>
  <c r="W20" i="9"/>
  <c r="P20" i="9"/>
  <c r="F20" i="9"/>
  <c r="P19" i="9"/>
  <c r="F19" i="9"/>
  <c r="P18" i="9"/>
  <c r="F18" i="9"/>
  <c r="X17" i="9"/>
  <c r="P17" i="9"/>
  <c r="F17" i="9"/>
  <c r="P16" i="9"/>
  <c r="F16" i="9"/>
  <c r="P15" i="9"/>
  <c r="F15" i="9"/>
  <c r="P14" i="9"/>
  <c r="F14" i="9"/>
  <c r="P13" i="9"/>
  <c r="F13" i="9"/>
  <c r="P12" i="9"/>
  <c r="F12" i="9"/>
  <c r="P11" i="9"/>
  <c r="F11" i="9"/>
  <c r="P10" i="9"/>
  <c r="F10" i="9"/>
  <c r="P9" i="9"/>
  <c r="F9" i="9"/>
  <c r="P8" i="9"/>
  <c r="F8" i="9"/>
  <c r="P7" i="9"/>
  <c r="Q7" i="9" s="1"/>
  <c r="M7" i="9"/>
  <c r="M8" i="9" s="1"/>
  <c r="L7" i="9"/>
  <c r="L8" i="9" s="1"/>
  <c r="F7" i="9"/>
  <c r="C7" i="9"/>
  <c r="B7" i="9"/>
  <c r="P6" i="9"/>
  <c r="Q6" i="9" s="1"/>
  <c r="G6" i="9"/>
  <c r="F6" i="9"/>
  <c r="P162" i="8"/>
  <c r="F162" i="8"/>
  <c r="P161" i="8"/>
  <c r="F161" i="8"/>
  <c r="P160" i="8"/>
  <c r="F160" i="8"/>
  <c r="P159" i="8"/>
  <c r="F159" i="8"/>
  <c r="P158" i="8"/>
  <c r="F158" i="8"/>
  <c r="P157" i="8"/>
  <c r="F157" i="8"/>
  <c r="P156" i="8"/>
  <c r="F156" i="8"/>
  <c r="P155" i="8"/>
  <c r="F155" i="8"/>
  <c r="P154" i="8"/>
  <c r="F154" i="8"/>
  <c r="P153" i="8"/>
  <c r="F153" i="8"/>
  <c r="P152" i="8"/>
  <c r="F152" i="8"/>
  <c r="P151" i="8"/>
  <c r="F151" i="8"/>
  <c r="P150" i="8"/>
  <c r="F150" i="8"/>
  <c r="P149" i="8"/>
  <c r="F149" i="8"/>
  <c r="P148" i="8"/>
  <c r="F148" i="8"/>
  <c r="P147" i="8"/>
  <c r="F147" i="8"/>
  <c r="P146" i="8"/>
  <c r="F146" i="8"/>
  <c r="P145" i="8"/>
  <c r="F145" i="8"/>
  <c r="P144" i="8"/>
  <c r="F144" i="8"/>
  <c r="P143" i="8"/>
  <c r="F143" i="8"/>
  <c r="P142" i="8"/>
  <c r="F142" i="8"/>
  <c r="P141" i="8"/>
  <c r="F141" i="8"/>
  <c r="P140" i="8"/>
  <c r="F140" i="8"/>
  <c r="P139" i="8"/>
  <c r="F139" i="8"/>
  <c r="P138" i="8"/>
  <c r="F138" i="8"/>
  <c r="P137" i="8"/>
  <c r="F137" i="8"/>
  <c r="P136" i="8"/>
  <c r="F136" i="8"/>
  <c r="P135" i="8"/>
  <c r="F135" i="8"/>
  <c r="P134" i="8"/>
  <c r="F134" i="8"/>
  <c r="P133" i="8"/>
  <c r="F133" i="8"/>
  <c r="P132" i="8"/>
  <c r="F132" i="8"/>
  <c r="P131" i="8"/>
  <c r="F131" i="8"/>
  <c r="P130" i="8"/>
  <c r="F130" i="8"/>
  <c r="P129" i="8"/>
  <c r="F129" i="8"/>
  <c r="P128" i="8"/>
  <c r="F128" i="8"/>
  <c r="P127" i="8"/>
  <c r="F127" i="8"/>
  <c r="P126" i="8"/>
  <c r="F126" i="8"/>
  <c r="P125" i="8"/>
  <c r="F125" i="8"/>
  <c r="P124" i="8"/>
  <c r="F124" i="8"/>
  <c r="P123" i="8"/>
  <c r="F123" i="8"/>
  <c r="P122" i="8"/>
  <c r="F122" i="8"/>
  <c r="P121" i="8"/>
  <c r="F121" i="8"/>
  <c r="P120" i="8"/>
  <c r="F120" i="8"/>
  <c r="P119" i="8"/>
  <c r="F119" i="8"/>
  <c r="P118" i="8"/>
  <c r="F118" i="8"/>
  <c r="P117" i="8"/>
  <c r="F117" i="8"/>
  <c r="P116" i="8"/>
  <c r="F116" i="8"/>
  <c r="P115" i="8"/>
  <c r="F115" i="8"/>
  <c r="P114" i="8"/>
  <c r="F114" i="8"/>
  <c r="P113" i="8"/>
  <c r="F113" i="8"/>
  <c r="P112" i="8"/>
  <c r="F112" i="8"/>
  <c r="P111" i="8"/>
  <c r="F111" i="8"/>
  <c r="P110" i="8"/>
  <c r="F110" i="8"/>
  <c r="P109" i="8"/>
  <c r="F109" i="8"/>
  <c r="P108" i="8"/>
  <c r="F108" i="8"/>
  <c r="P107" i="8"/>
  <c r="F107" i="8"/>
  <c r="P106" i="8"/>
  <c r="F106" i="8"/>
  <c r="P105" i="8"/>
  <c r="F105" i="8"/>
  <c r="P104" i="8"/>
  <c r="F104" i="8"/>
  <c r="P103" i="8"/>
  <c r="F103" i="8"/>
  <c r="P102" i="8"/>
  <c r="F102" i="8"/>
  <c r="P101" i="8"/>
  <c r="F101" i="8"/>
  <c r="P100" i="8"/>
  <c r="F100" i="8"/>
  <c r="P99" i="8"/>
  <c r="F99" i="8"/>
  <c r="P98" i="8"/>
  <c r="F98" i="8"/>
  <c r="P97" i="8"/>
  <c r="F97" i="8"/>
  <c r="P96" i="8"/>
  <c r="F96" i="8"/>
  <c r="P95" i="8"/>
  <c r="F95" i="8"/>
  <c r="P94" i="8"/>
  <c r="F94" i="8"/>
  <c r="P93" i="8"/>
  <c r="F93" i="8"/>
  <c r="P92" i="8"/>
  <c r="F92" i="8"/>
  <c r="P91" i="8"/>
  <c r="F91" i="8"/>
  <c r="P90" i="8"/>
  <c r="F90" i="8"/>
  <c r="P89" i="8"/>
  <c r="F89" i="8"/>
  <c r="P88" i="8"/>
  <c r="F88" i="8"/>
  <c r="P87" i="8"/>
  <c r="F87" i="8"/>
  <c r="P86" i="8"/>
  <c r="F86" i="8"/>
  <c r="P85" i="8"/>
  <c r="F85" i="8"/>
  <c r="P84" i="8"/>
  <c r="F84" i="8"/>
  <c r="P83" i="8"/>
  <c r="F83" i="8"/>
  <c r="P82" i="8"/>
  <c r="F82" i="8"/>
  <c r="P81" i="8"/>
  <c r="F81" i="8"/>
  <c r="P80" i="8"/>
  <c r="F80" i="8"/>
  <c r="P79" i="8"/>
  <c r="F79" i="8"/>
  <c r="P78" i="8"/>
  <c r="F78" i="8"/>
  <c r="P77" i="8"/>
  <c r="F77" i="8"/>
  <c r="P76" i="8"/>
  <c r="F76" i="8"/>
  <c r="P75" i="8"/>
  <c r="F75" i="8"/>
  <c r="P74" i="8"/>
  <c r="F74" i="8"/>
  <c r="P73" i="8"/>
  <c r="F73" i="8"/>
  <c r="P72" i="8"/>
  <c r="F72" i="8"/>
  <c r="P71" i="8"/>
  <c r="F71" i="8"/>
  <c r="P70" i="8"/>
  <c r="F70" i="8"/>
  <c r="P69" i="8"/>
  <c r="F69" i="8"/>
  <c r="P68" i="8"/>
  <c r="F68" i="8"/>
  <c r="P67" i="8"/>
  <c r="F67" i="8"/>
  <c r="P66" i="8"/>
  <c r="F66" i="8"/>
  <c r="P65" i="8"/>
  <c r="F65" i="8"/>
  <c r="P64" i="8"/>
  <c r="F64" i="8"/>
  <c r="P63" i="8"/>
  <c r="F63" i="8"/>
  <c r="P62" i="8"/>
  <c r="F62" i="8"/>
  <c r="P61" i="8"/>
  <c r="F61" i="8"/>
  <c r="P60" i="8"/>
  <c r="F60" i="8"/>
  <c r="P59" i="8"/>
  <c r="F59" i="8"/>
  <c r="P58" i="8"/>
  <c r="F58" i="8"/>
  <c r="P57" i="8"/>
  <c r="F57" i="8"/>
  <c r="P56" i="8"/>
  <c r="F56" i="8"/>
  <c r="P55" i="8"/>
  <c r="F55" i="8"/>
  <c r="P54" i="8"/>
  <c r="F54" i="8"/>
  <c r="P53" i="8"/>
  <c r="F53" i="8"/>
  <c r="P52" i="8"/>
  <c r="F52" i="8"/>
  <c r="P51" i="8"/>
  <c r="F51" i="8"/>
  <c r="P50" i="8"/>
  <c r="F50" i="8"/>
  <c r="P49" i="8"/>
  <c r="F49" i="8"/>
  <c r="P48" i="8"/>
  <c r="F48" i="8"/>
  <c r="P47" i="8"/>
  <c r="F47" i="8"/>
  <c r="P46" i="8"/>
  <c r="F46" i="8"/>
  <c r="P45" i="8"/>
  <c r="F45" i="8"/>
  <c r="P44" i="8"/>
  <c r="F44" i="8"/>
  <c r="P43" i="8"/>
  <c r="F43" i="8"/>
  <c r="P42" i="8"/>
  <c r="F42" i="8"/>
  <c r="P41" i="8"/>
  <c r="F41" i="8"/>
  <c r="P40" i="8"/>
  <c r="F40" i="8"/>
  <c r="P39" i="8"/>
  <c r="F39" i="8"/>
  <c r="P38" i="8"/>
  <c r="F38" i="8"/>
  <c r="P37" i="8"/>
  <c r="F37" i="8"/>
  <c r="P36" i="8"/>
  <c r="F36" i="8"/>
  <c r="P35" i="8"/>
  <c r="F35" i="8"/>
  <c r="P34" i="8"/>
  <c r="F34" i="8"/>
  <c r="P33" i="8"/>
  <c r="F33" i="8"/>
  <c r="P32" i="8"/>
  <c r="F32" i="8"/>
  <c r="P31" i="8"/>
  <c r="F31" i="8"/>
  <c r="P30" i="8"/>
  <c r="F30" i="8"/>
  <c r="W29" i="8"/>
  <c r="V29" i="8"/>
  <c r="P29" i="8"/>
  <c r="F29" i="8"/>
  <c r="P28" i="8"/>
  <c r="F28" i="8"/>
  <c r="P27" i="8"/>
  <c r="F27" i="8"/>
  <c r="P26" i="8"/>
  <c r="F26" i="8"/>
  <c r="P25" i="8"/>
  <c r="F25" i="8"/>
  <c r="P24" i="8"/>
  <c r="F24" i="8"/>
  <c r="P23" i="8"/>
  <c r="F23" i="8"/>
  <c r="P22" i="8"/>
  <c r="F22" i="8"/>
  <c r="P21" i="8"/>
  <c r="F21" i="8"/>
  <c r="W20" i="8"/>
  <c r="P20" i="8"/>
  <c r="F20" i="8"/>
  <c r="P19" i="8"/>
  <c r="F19" i="8"/>
  <c r="P18" i="8"/>
  <c r="F18" i="8"/>
  <c r="X17" i="8"/>
  <c r="P17" i="8"/>
  <c r="F17" i="8"/>
  <c r="P16" i="8"/>
  <c r="F16" i="8"/>
  <c r="P15" i="8"/>
  <c r="F15" i="8"/>
  <c r="P14" i="8"/>
  <c r="F14" i="8"/>
  <c r="P13" i="8"/>
  <c r="F13" i="8"/>
  <c r="P12" i="8"/>
  <c r="F12" i="8"/>
  <c r="P11" i="8"/>
  <c r="F11" i="8"/>
  <c r="P10" i="8"/>
  <c r="F10" i="8"/>
  <c r="C10" i="8"/>
  <c r="C11" i="8" s="1"/>
  <c r="B10" i="8"/>
  <c r="P9" i="8"/>
  <c r="M9" i="8"/>
  <c r="L9" i="8"/>
  <c r="F9" i="8"/>
  <c r="B9" i="8"/>
  <c r="P8" i="8"/>
  <c r="M8" i="8"/>
  <c r="L8" i="8"/>
  <c r="G8" i="8"/>
  <c r="F8" i="8"/>
  <c r="P7" i="8"/>
  <c r="Q7" i="8" s="1"/>
  <c r="M7" i="8"/>
  <c r="L7" i="8"/>
  <c r="G7" i="8"/>
  <c r="F7" i="8"/>
  <c r="C7" i="8"/>
  <c r="C8" i="8" s="1"/>
  <c r="C9" i="8" s="1"/>
  <c r="B7" i="8"/>
  <c r="B8" i="8" s="1"/>
  <c r="P6" i="8"/>
  <c r="Q6" i="8" s="1"/>
  <c r="F6" i="8"/>
  <c r="G6" i="8" s="1"/>
  <c r="P162" i="7"/>
  <c r="F162" i="7"/>
  <c r="P161" i="7"/>
  <c r="F161" i="7"/>
  <c r="P160" i="7"/>
  <c r="F160" i="7"/>
  <c r="P159" i="7"/>
  <c r="F159" i="7"/>
  <c r="P158" i="7"/>
  <c r="F158" i="7"/>
  <c r="P157" i="7"/>
  <c r="F157" i="7"/>
  <c r="P156" i="7"/>
  <c r="F156" i="7"/>
  <c r="P155" i="7"/>
  <c r="F155" i="7"/>
  <c r="P154" i="7"/>
  <c r="F154" i="7"/>
  <c r="P153" i="7"/>
  <c r="F153" i="7"/>
  <c r="P152" i="7"/>
  <c r="F152" i="7"/>
  <c r="P151" i="7"/>
  <c r="F151" i="7"/>
  <c r="P150" i="7"/>
  <c r="F150" i="7"/>
  <c r="P149" i="7"/>
  <c r="F149" i="7"/>
  <c r="P148" i="7"/>
  <c r="F148" i="7"/>
  <c r="P147" i="7"/>
  <c r="F147" i="7"/>
  <c r="P146" i="7"/>
  <c r="F146" i="7"/>
  <c r="P145" i="7"/>
  <c r="F145" i="7"/>
  <c r="P144" i="7"/>
  <c r="F144" i="7"/>
  <c r="P143" i="7"/>
  <c r="F143" i="7"/>
  <c r="P142" i="7"/>
  <c r="F142" i="7"/>
  <c r="P141" i="7"/>
  <c r="F141" i="7"/>
  <c r="P140" i="7"/>
  <c r="F140" i="7"/>
  <c r="P139" i="7"/>
  <c r="F139" i="7"/>
  <c r="P138" i="7"/>
  <c r="F138" i="7"/>
  <c r="P137" i="7"/>
  <c r="F137" i="7"/>
  <c r="P136" i="7"/>
  <c r="F136" i="7"/>
  <c r="P135" i="7"/>
  <c r="F135" i="7"/>
  <c r="P134" i="7"/>
  <c r="F134" i="7"/>
  <c r="P133" i="7"/>
  <c r="F133" i="7"/>
  <c r="P132" i="7"/>
  <c r="F132" i="7"/>
  <c r="P131" i="7"/>
  <c r="F131" i="7"/>
  <c r="P130" i="7"/>
  <c r="F130" i="7"/>
  <c r="P129" i="7"/>
  <c r="F129" i="7"/>
  <c r="P128" i="7"/>
  <c r="F128" i="7"/>
  <c r="P127" i="7"/>
  <c r="F127" i="7"/>
  <c r="P126" i="7"/>
  <c r="F126" i="7"/>
  <c r="P125" i="7"/>
  <c r="F125" i="7"/>
  <c r="P124" i="7"/>
  <c r="F124" i="7"/>
  <c r="P123" i="7"/>
  <c r="F123" i="7"/>
  <c r="P122" i="7"/>
  <c r="F122" i="7"/>
  <c r="P121" i="7"/>
  <c r="F121" i="7"/>
  <c r="P120" i="7"/>
  <c r="F120" i="7"/>
  <c r="P119" i="7"/>
  <c r="F119" i="7"/>
  <c r="P118" i="7"/>
  <c r="F118" i="7"/>
  <c r="P117" i="7"/>
  <c r="F117" i="7"/>
  <c r="P116" i="7"/>
  <c r="F116" i="7"/>
  <c r="P115" i="7"/>
  <c r="F115" i="7"/>
  <c r="P114" i="7"/>
  <c r="F114" i="7"/>
  <c r="P113" i="7"/>
  <c r="F113" i="7"/>
  <c r="P112" i="7"/>
  <c r="F112" i="7"/>
  <c r="P111" i="7"/>
  <c r="F111" i="7"/>
  <c r="P110" i="7"/>
  <c r="F110" i="7"/>
  <c r="P109" i="7"/>
  <c r="F109" i="7"/>
  <c r="P108" i="7"/>
  <c r="F108" i="7"/>
  <c r="P107" i="7"/>
  <c r="F107" i="7"/>
  <c r="P106" i="7"/>
  <c r="F106" i="7"/>
  <c r="P105" i="7"/>
  <c r="F105" i="7"/>
  <c r="P104" i="7"/>
  <c r="F104" i="7"/>
  <c r="P103" i="7"/>
  <c r="F103" i="7"/>
  <c r="P102" i="7"/>
  <c r="F102" i="7"/>
  <c r="P101" i="7"/>
  <c r="F101" i="7"/>
  <c r="P100" i="7"/>
  <c r="F100" i="7"/>
  <c r="P99" i="7"/>
  <c r="F99" i="7"/>
  <c r="P98" i="7"/>
  <c r="F98" i="7"/>
  <c r="P97" i="7"/>
  <c r="F97" i="7"/>
  <c r="P96" i="7"/>
  <c r="F96" i="7"/>
  <c r="P95" i="7"/>
  <c r="F95" i="7"/>
  <c r="P94" i="7"/>
  <c r="F94" i="7"/>
  <c r="P93" i="7"/>
  <c r="F93" i="7"/>
  <c r="P92" i="7"/>
  <c r="F92" i="7"/>
  <c r="P91" i="7"/>
  <c r="F91" i="7"/>
  <c r="P90" i="7"/>
  <c r="F90" i="7"/>
  <c r="P89" i="7"/>
  <c r="F89" i="7"/>
  <c r="P88" i="7"/>
  <c r="F88" i="7"/>
  <c r="P87" i="7"/>
  <c r="F87" i="7"/>
  <c r="P86" i="7"/>
  <c r="F86" i="7"/>
  <c r="P85" i="7"/>
  <c r="F85" i="7"/>
  <c r="P84" i="7"/>
  <c r="F84" i="7"/>
  <c r="P83" i="7"/>
  <c r="F83" i="7"/>
  <c r="P82" i="7"/>
  <c r="F82" i="7"/>
  <c r="P81" i="7"/>
  <c r="F81" i="7"/>
  <c r="P80" i="7"/>
  <c r="F80" i="7"/>
  <c r="P79" i="7"/>
  <c r="F79" i="7"/>
  <c r="P78" i="7"/>
  <c r="F78" i="7"/>
  <c r="P77" i="7"/>
  <c r="F77" i="7"/>
  <c r="P76" i="7"/>
  <c r="F76" i="7"/>
  <c r="P75" i="7"/>
  <c r="F75" i="7"/>
  <c r="P74" i="7"/>
  <c r="F74" i="7"/>
  <c r="P73" i="7"/>
  <c r="F73" i="7"/>
  <c r="P72" i="7"/>
  <c r="F72" i="7"/>
  <c r="P71" i="7"/>
  <c r="F71" i="7"/>
  <c r="P70" i="7"/>
  <c r="F70" i="7"/>
  <c r="P69" i="7"/>
  <c r="F69" i="7"/>
  <c r="P68" i="7"/>
  <c r="F68" i="7"/>
  <c r="P67" i="7"/>
  <c r="F67" i="7"/>
  <c r="P66" i="7"/>
  <c r="F66" i="7"/>
  <c r="P65" i="7"/>
  <c r="F65" i="7"/>
  <c r="P64" i="7"/>
  <c r="F64" i="7"/>
  <c r="P63" i="7"/>
  <c r="F63" i="7"/>
  <c r="P62" i="7"/>
  <c r="F62" i="7"/>
  <c r="P61" i="7"/>
  <c r="F61" i="7"/>
  <c r="P60" i="7"/>
  <c r="F60" i="7"/>
  <c r="P59" i="7"/>
  <c r="F59" i="7"/>
  <c r="P58" i="7"/>
  <c r="F58" i="7"/>
  <c r="P57" i="7"/>
  <c r="F57" i="7"/>
  <c r="P56" i="7"/>
  <c r="F56" i="7"/>
  <c r="P55" i="7"/>
  <c r="F55" i="7"/>
  <c r="P54" i="7"/>
  <c r="F54" i="7"/>
  <c r="P53" i="7"/>
  <c r="F53" i="7"/>
  <c r="P52" i="7"/>
  <c r="F52" i="7"/>
  <c r="P51" i="7"/>
  <c r="F51" i="7"/>
  <c r="P50" i="7"/>
  <c r="F50" i="7"/>
  <c r="P49" i="7"/>
  <c r="F49" i="7"/>
  <c r="P48" i="7"/>
  <c r="F48" i="7"/>
  <c r="P47" i="7"/>
  <c r="F47" i="7"/>
  <c r="P46" i="7"/>
  <c r="F46" i="7"/>
  <c r="P45" i="7"/>
  <c r="F45" i="7"/>
  <c r="P44" i="7"/>
  <c r="F44" i="7"/>
  <c r="P43" i="7"/>
  <c r="F43" i="7"/>
  <c r="P42" i="7"/>
  <c r="F42" i="7"/>
  <c r="P41" i="7"/>
  <c r="F41" i="7"/>
  <c r="P40" i="7"/>
  <c r="F40" i="7"/>
  <c r="P39" i="7"/>
  <c r="F39" i="7"/>
  <c r="P38" i="7"/>
  <c r="F38" i="7"/>
  <c r="P37" i="7"/>
  <c r="F37" i="7"/>
  <c r="P36" i="7"/>
  <c r="F36" i="7"/>
  <c r="P35" i="7"/>
  <c r="F35" i="7"/>
  <c r="P34" i="7"/>
  <c r="F34" i="7"/>
  <c r="P33" i="7"/>
  <c r="F33" i="7"/>
  <c r="P32" i="7"/>
  <c r="F32" i="7"/>
  <c r="P31" i="7"/>
  <c r="F31" i="7"/>
  <c r="P30" i="7"/>
  <c r="F30" i="7"/>
  <c r="W29" i="7"/>
  <c r="V29" i="7"/>
  <c r="P29" i="7"/>
  <c r="F29" i="7"/>
  <c r="P28" i="7"/>
  <c r="F28" i="7"/>
  <c r="P27" i="7"/>
  <c r="F27" i="7"/>
  <c r="P26" i="7"/>
  <c r="F26" i="7"/>
  <c r="P25" i="7"/>
  <c r="F25" i="7"/>
  <c r="P24" i="7"/>
  <c r="F24" i="7"/>
  <c r="P23" i="7"/>
  <c r="F23" i="7"/>
  <c r="P22" i="7"/>
  <c r="F22" i="7"/>
  <c r="P21" i="7"/>
  <c r="F21" i="7"/>
  <c r="W20" i="7"/>
  <c r="P20" i="7"/>
  <c r="F20" i="7"/>
  <c r="P19" i="7"/>
  <c r="F19" i="7"/>
  <c r="P18" i="7"/>
  <c r="M18" i="7"/>
  <c r="F18" i="7"/>
  <c r="X17" i="7"/>
  <c r="P17" i="7"/>
  <c r="F17" i="7"/>
  <c r="P16" i="7"/>
  <c r="F16" i="7"/>
  <c r="P15" i="7"/>
  <c r="F15" i="7"/>
  <c r="P14" i="7"/>
  <c r="Q14" i="7" s="1"/>
  <c r="F14" i="7"/>
  <c r="P13" i="7"/>
  <c r="F13" i="7"/>
  <c r="P12" i="7"/>
  <c r="F12" i="7"/>
  <c r="P11" i="7"/>
  <c r="M11" i="7"/>
  <c r="M12" i="7" s="1"/>
  <c r="M13" i="7" s="1"/>
  <c r="M14" i="7" s="1"/>
  <c r="M15" i="7" s="1"/>
  <c r="M16" i="7" s="1"/>
  <c r="M17" i="7" s="1"/>
  <c r="F11" i="7"/>
  <c r="P10" i="7"/>
  <c r="F10" i="7"/>
  <c r="P9" i="7"/>
  <c r="Q9" i="7" s="1"/>
  <c r="M9" i="7"/>
  <c r="M10" i="7" s="1"/>
  <c r="F9" i="7"/>
  <c r="P8" i="7"/>
  <c r="M8" i="7"/>
  <c r="F8" i="7"/>
  <c r="G8" i="7" s="1"/>
  <c r="C8" i="7"/>
  <c r="B8" i="7"/>
  <c r="P7" i="7"/>
  <c r="M7" i="7"/>
  <c r="L7" i="7"/>
  <c r="L8" i="7" s="1"/>
  <c r="G7" i="7"/>
  <c r="F7" i="7"/>
  <c r="C7" i="7"/>
  <c r="B7" i="7"/>
  <c r="P6" i="7"/>
  <c r="Q6" i="7" s="1"/>
  <c r="F6" i="7"/>
  <c r="G6" i="7" s="1"/>
  <c r="P162" i="5"/>
  <c r="F162" i="5"/>
  <c r="P161" i="5"/>
  <c r="F161" i="5"/>
  <c r="P160" i="5"/>
  <c r="F160" i="5"/>
  <c r="P159" i="5"/>
  <c r="F159" i="5"/>
  <c r="P158" i="5"/>
  <c r="F158" i="5"/>
  <c r="P157" i="5"/>
  <c r="F157" i="5"/>
  <c r="P156" i="5"/>
  <c r="F156" i="5"/>
  <c r="P155" i="5"/>
  <c r="F155" i="5"/>
  <c r="P154" i="5"/>
  <c r="F154" i="5"/>
  <c r="P153" i="5"/>
  <c r="F153" i="5"/>
  <c r="P152" i="5"/>
  <c r="F152" i="5"/>
  <c r="P151" i="5"/>
  <c r="F151" i="5"/>
  <c r="P150" i="5"/>
  <c r="F150" i="5"/>
  <c r="P149" i="5"/>
  <c r="F149" i="5"/>
  <c r="P148" i="5"/>
  <c r="F148" i="5"/>
  <c r="P147" i="5"/>
  <c r="F147" i="5"/>
  <c r="P146" i="5"/>
  <c r="F146" i="5"/>
  <c r="P145" i="5"/>
  <c r="F145" i="5"/>
  <c r="P144" i="5"/>
  <c r="F144" i="5"/>
  <c r="P143" i="5"/>
  <c r="F143" i="5"/>
  <c r="P142" i="5"/>
  <c r="F142" i="5"/>
  <c r="P141" i="5"/>
  <c r="F141" i="5"/>
  <c r="P140" i="5"/>
  <c r="F140" i="5"/>
  <c r="P139" i="5"/>
  <c r="F139" i="5"/>
  <c r="P138" i="5"/>
  <c r="F138" i="5"/>
  <c r="P137" i="5"/>
  <c r="F137" i="5"/>
  <c r="P136" i="5"/>
  <c r="F136" i="5"/>
  <c r="P135" i="5"/>
  <c r="F135" i="5"/>
  <c r="P134" i="5"/>
  <c r="F134" i="5"/>
  <c r="P133" i="5"/>
  <c r="F133" i="5"/>
  <c r="P132" i="5"/>
  <c r="F132" i="5"/>
  <c r="P131" i="5"/>
  <c r="F131" i="5"/>
  <c r="P130" i="5"/>
  <c r="F130" i="5"/>
  <c r="P129" i="5"/>
  <c r="F129" i="5"/>
  <c r="P128" i="5"/>
  <c r="F128" i="5"/>
  <c r="P127" i="5"/>
  <c r="F127" i="5"/>
  <c r="P126" i="5"/>
  <c r="F126" i="5"/>
  <c r="P125" i="5"/>
  <c r="F125" i="5"/>
  <c r="P124" i="5"/>
  <c r="F124" i="5"/>
  <c r="P123" i="5"/>
  <c r="F123" i="5"/>
  <c r="P122" i="5"/>
  <c r="F122" i="5"/>
  <c r="P121" i="5"/>
  <c r="F121" i="5"/>
  <c r="P120" i="5"/>
  <c r="F120" i="5"/>
  <c r="P119" i="5"/>
  <c r="F119" i="5"/>
  <c r="P118" i="5"/>
  <c r="F118" i="5"/>
  <c r="P117" i="5"/>
  <c r="F117" i="5"/>
  <c r="P116" i="5"/>
  <c r="F116" i="5"/>
  <c r="P115" i="5"/>
  <c r="F115" i="5"/>
  <c r="P114" i="5"/>
  <c r="F114" i="5"/>
  <c r="P113" i="5"/>
  <c r="F113" i="5"/>
  <c r="P112" i="5"/>
  <c r="F112" i="5"/>
  <c r="P111" i="5"/>
  <c r="F111" i="5"/>
  <c r="P110" i="5"/>
  <c r="F110" i="5"/>
  <c r="P109" i="5"/>
  <c r="F109" i="5"/>
  <c r="P108" i="5"/>
  <c r="F108" i="5"/>
  <c r="P107" i="5"/>
  <c r="F107" i="5"/>
  <c r="P106" i="5"/>
  <c r="F106" i="5"/>
  <c r="P105" i="5"/>
  <c r="F105" i="5"/>
  <c r="P104" i="5"/>
  <c r="F104" i="5"/>
  <c r="P103" i="5"/>
  <c r="F103" i="5"/>
  <c r="P102" i="5"/>
  <c r="F102" i="5"/>
  <c r="P101" i="5"/>
  <c r="F101" i="5"/>
  <c r="P100" i="5"/>
  <c r="F100" i="5"/>
  <c r="P99" i="5"/>
  <c r="F99" i="5"/>
  <c r="P98" i="5"/>
  <c r="F98" i="5"/>
  <c r="P97" i="5"/>
  <c r="F97" i="5"/>
  <c r="P96" i="5"/>
  <c r="F96" i="5"/>
  <c r="P95" i="5"/>
  <c r="F95" i="5"/>
  <c r="P94" i="5"/>
  <c r="F94" i="5"/>
  <c r="P93" i="5"/>
  <c r="F93" i="5"/>
  <c r="P92" i="5"/>
  <c r="F92" i="5"/>
  <c r="P91" i="5"/>
  <c r="F91" i="5"/>
  <c r="P90" i="5"/>
  <c r="F90" i="5"/>
  <c r="P89" i="5"/>
  <c r="F89" i="5"/>
  <c r="P88" i="5"/>
  <c r="F88" i="5"/>
  <c r="P87" i="5"/>
  <c r="F87" i="5"/>
  <c r="P86" i="5"/>
  <c r="F86" i="5"/>
  <c r="P85" i="5"/>
  <c r="F85" i="5"/>
  <c r="P84" i="5"/>
  <c r="F84" i="5"/>
  <c r="P83" i="5"/>
  <c r="F83" i="5"/>
  <c r="P82" i="5"/>
  <c r="F82" i="5"/>
  <c r="P81" i="5"/>
  <c r="F81" i="5"/>
  <c r="P80" i="5"/>
  <c r="F80" i="5"/>
  <c r="P79" i="5"/>
  <c r="F79" i="5"/>
  <c r="P78" i="5"/>
  <c r="F78" i="5"/>
  <c r="P77" i="5"/>
  <c r="F77" i="5"/>
  <c r="P76" i="5"/>
  <c r="F76" i="5"/>
  <c r="P75" i="5"/>
  <c r="F75" i="5"/>
  <c r="P74" i="5"/>
  <c r="F74" i="5"/>
  <c r="P73" i="5"/>
  <c r="F73" i="5"/>
  <c r="P72" i="5"/>
  <c r="F72" i="5"/>
  <c r="P71" i="5"/>
  <c r="F71" i="5"/>
  <c r="P70" i="5"/>
  <c r="F70" i="5"/>
  <c r="P69" i="5"/>
  <c r="F69" i="5"/>
  <c r="P68" i="5"/>
  <c r="F68" i="5"/>
  <c r="P67" i="5"/>
  <c r="F67" i="5"/>
  <c r="P66" i="5"/>
  <c r="F66" i="5"/>
  <c r="P65" i="5"/>
  <c r="F65" i="5"/>
  <c r="P64" i="5"/>
  <c r="F64" i="5"/>
  <c r="P63" i="5"/>
  <c r="F63" i="5"/>
  <c r="P62" i="5"/>
  <c r="F62" i="5"/>
  <c r="P61" i="5"/>
  <c r="F61" i="5"/>
  <c r="P60" i="5"/>
  <c r="F60" i="5"/>
  <c r="P59" i="5"/>
  <c r="F59" i="5"/>
  <c r="P58" i="5"/>
  <c r="F58" i="5"/>
  <c r="P57" i="5"/>
  <c r="F57" i="5"/>
  <c r="P56" i="5"/>
  <c r="F56" i="5"/>
  <c r="P55" i="5"/>
  <c r="F55" i="5"/>
  <c r="P54" i="5"/>
  <c r="F54" i="5"/>
  <c r="P53" i="5"/>
  <c r="F53" i="5"/>
  <c r="P52" i="5"/>
  <c r="F52" i="5"/>
  <c r="P51" i="5"/>
  <c r="F51" i="5"/>
  <c r="P50" i="5"/>
  <c r="F50" i="5"/>
  <c r="P49" i="5"/>
  <c r="F49" i="5"/>
  <c r="P48" i="5"/>
  <c r="F48" i="5"/>
  <c r="P47" i="5"/>
  <c r="F47" i="5"/>
  <c r="P46" i="5"/>
  <c r="F46" i="5"/>
  <c r="P45" i="5"/>
  <c r="F45" i="5"/>
  <c r="P44" i="5"/>
  <c r="F44" i="5"/>
  <c r="P43" i="5"/>
  <c r="F43" i="5"/>
  <c r="P42" i="5"/>
  <c r="F42" i="5"/>
  <c r="P41" i="5"/>
  <c r="F41" i="5"/>
  <c r="P40" i="5"/>
  <c r="F40" i="5"/>
  <c r="P39" i="5"/>
  <c r="F39" i="5"/>
  <c r="P38" i="5"/>
  <c r="F38" i="5"/>
  <c r="P37" i="5"/>
  <c r="F37" i="5"/>
  <c r="P36" i="5"/>
  <c r="F36" i="5"/>
  <c r="P35" i="5"/>
  <c r="F35" i="5"/>
  <c r="P34" i="5"/>
  <c r="F34" i="5"/>
  <c r="P33" i="5"/>
  <c r="F33" i="5"/>
  <c r="P32" i="5"/>
  <c r="F32" i="5"/>
  <c r="W31" i="5"/>
  <c r="V31" i="5"/>
  <c r="P31" i="5"/>
  <c r="F31" i="5"/>
  <c r="P30" i="5"/>
  <c r="F30" i="5"/>
  <c r="P29" i="5"/>
  <c r="F29" i="5"/>
  <c r="P28" i="5"/>
  <c r="F28" i="5"/>
  <c r="P27" i="5"/>
  <c r="F27" i="5"/>
  <c r="P26" i="5"/>
  <c r="F26" i="5"/>
  <c r="P25" i="5"/>
  <c r="F25" i="5"/>
  <c r="P24" i="5"/>
  <c r="F24" i="5"/>
  <c r="P23" i="5"/>
  <c r="F23" i="5"/>
  <c r="P22" i="5"/>
  <c r="F22" i="5"/>
  <c r="P21" i="5"/>
  <c r="F21" i="5"/>
  <c r="W20" i="5"/>
  <c r="P20" i="5"/>
  <c r="F20" i="5"/>
  <c r="P19" i="5"/>
  <c r="Q19" i="5" s="1"/>
  <c r="F19" i="5"/>
  <c r="P18" i="5"/>
  <c r="F18" i="5"/>
  <c r="X17" i="5"/>
  <c r="P17" i="5"/>
  <c r="F17" i="5"/>
  <c r="P16" i="5"/>
  <c r="M16" i="5"/>
  <c r="M17" i="5" s="1"/>
  <c r="M18" i="5" s="1"/>
  <c r="M19" i="5" s="1"/>
  <c r="M20" i="5" s="1"/>
  <c r="M21" i="5" s="1"/>
  <c r="F16" i="5"/>
  <c r="P15" i="5"/>
  <c r="F15" i="5"/>
  <c r="P14" i="5"/>
  <c r="M14" i="5"/>
  <c r="M15" i="5" s="1"/>
  <c r="F14" i="5"/>
  <c r="P13" i="5"/>
  <c r="F13" i="5"/>
  <c r="P12" i="5"/>
  <c r="Q12" i="5" s="1"/>
  <c r="M12" i="5"/>
  <c r="M13" i="5" s="1"/>
  <c r="F12" i="5"/>
  <c r="P11" i="5"/>
  <c r="F11" i="5"/>
  <c r="P10" i="5"/>
  <c r="M10" i="5"/>
  <c r="M11" i="5" s="1"/>
  <c r="F10" i="5"/>
  <c r="P9" i="5"/>
  <c r="F9" i="5"/>
  <c r="P8" i="5"/>
  <c r="M8" i="5"/>
  <c r="M9" i="5" s="1"/>
  <c r="F8" i="5"/>
  <c r="P7" i="5"/>
  <c r="M7" i="5"/>
  <c r="L7" i="5"/>
  <c r="L8" i="5" s="1"/>
  <c r="L9" i="5" s="1"/>
  <c r="L10" i="5" s="1"/>
  <c r="L11" i="5" s="1"/>
  <c r="L12" i="5" s="1"/>
  <c r="L13" i="5" s="1"/>
  <c r="L14" i="5" s="1"/>
  <c r="L15" i="5" s="1"/>
  <c r="L16" i="5" s="1"/>
  <c r="F7" i="5"/>
  <c r="G7" i="5" s="1"/>
  <c r="C7" i="5"/>
  <c r="B7" i="5"/>
  <c r="P6" i="5"/>
  <c r="Q6" i="5" s="1"/>
  <c r="G6" i="5"/>
  <c r="F6" i="5"/>
  <c r="P162" i="4"/>
  <c r="F162" i="4"/>
  <c r="P161" i="4"/>
  <c r="F161" i="4"/>
  <c r="P160" i="4"/>
  <c r="F160" i="4"/>
  <c r="P159" i="4"/>
  <c r="F159" i="4"/>
  <c r="P158" i="4"/>
  <c r="F158" i="4"/>
  <c r="P157" i="4"/>
  <c r="F157" i="4"/>
  <c r="P156" i="4"/>
  <c r="F156" i="4"/>
  <c r="P155" i="4"/>
  <c r="F155" i="4"/>
  <c r="P154" i="4"/>
  <c r="F154" i="4"/>
  <c r="P153" i="4"/>
  <c r="F153" i="4"/>
  <c r="P152" i="4"/>
  <c r="F152" i="4"/>
  <c r="P151" i="4"/>
  <c r="F151" i="4"/>
  <c r="P150" i="4"/>
  <c r="F150" i="4"/>
  <c r="P149" i="4"/>
  <c r="F149" i="4"/>
  <c r="P148" i="4"/>
  <c r="F148" i="4"/>
  <c r="P147" i="4"/>
  <c r="F147" i="4"/>
  <c r="P146" i="4"/>
  <c r="F146" i="4"/>
  <c r="P145" i="4"/>
  <c r="F145" i="4"/>
  <c r="P144" i="4"/>
  <c r="F144" i="4"/>
  <c r="P143" i="4"/>
  <c r="F143" i="4"/>
  <c r="P142" i="4"/>
  <c r="F142" i="4"/>
  <c r="P141" i="4"/>
  <c r="F141" i="4"/>
  <c r="P140" i="4"/>
  <c r="F140" i="4"/>
  <c r="P139" i="4"/>
  <c r="F139" i="4"/>
  <c r="P138" i="4"/>
  <c r="F138" i="4"/>
  <c r="P137" i="4"/>
  <c r="F137" i="4"/>
  <c r="P136" i="4"/>
  <c r="F136" i="4"/>
  <c r="P135" i="4"/>
  <c r="F135" i="4"/>
  <c r="P134" i="4"/>
  <c r="F134" i="4"/>
  <c r="P133" i="4"/>
  <c r="F133" i="4"/>
  <c r="P132" i="4"/>
  <c r="F132" i="4"/>
  <c r="P131" i="4"/>
  <c r="F131" i="4"/>
  <c r="P130" i="4"/>
  <c r="F130" i="4"/>
  <c r="P129" i="4"/>
  <c r="F129" i="4"/>
  <c r="P128" i="4"/>
  <c r="F128" i="4"/>
  <c r="P127" i="4"/>
  <c r="F127" i="4"/>
  <c r="P126" i="4"/>
  <c r="F126" i="4"/>
  <c r="P125" i="4"/>
  <c r="F125" i="4"/>
  <c r="P124" i="4"/>
  <c r="F124" i="4"/>
  <c r="P123" i="4"/>
  <c r="F123" i="4"/>
  <c r="P122" i="4"/>
  <c r="F122" i="4"/>
  <c r="P121" i="4"/>
  <c r="F121" i="4"/>
  <c r="P120" i="4"/>
  <c r="F120" i="4"/>
  <c r="P119" i="4"/>
  <c r="F119" i="4"/>
  <c r="P118" i="4"/>
  <c r="F118" i="4"/>
  <c r="P117" i="4"/>
  <c r="F117" i="4"/>
  <c r="P116" i="4"/>
  <c r="F116" i="4"/>
  <c r="P115" i="4"/>
  <c r="F115" i="4"/>
  <c r="P114" i="4"/>
  <c r="F114" i="4"/>
  <c r="P113" i="4"/>
  <c r="F113" i="4"/>
  <c r="P112" i="4"/>
  <c r="F112" i="4"/>
  <c r="P111" i="4"/>
  <c r="F111" i="4"/>
  <c r="P110" i="4"/>
  <c r="F110" i="4"/>
  <c r="P109" i="4"/>
  <c r="F109" i="4"/>
  <c r="P108" i="4"/>
  <c r="F108" i="4"/>
  <c r="P107" i="4"/>
  <c r="F107" i="4"/>
  <c r="P106" i="4"/>
  <c r="F106" i="4"/>
  <c r="P105" i="4"/>
  <c r="F105" i="4"/>
  <c r="P104" i="4"/>
  <c r="F104" i="4"/>
  <c r="P103" i="4"/>
  <c r="F103" i="4"/>
  <c r="P102" i="4"/>
  <c r="F102" i="4"/>
  <c r="P101" i="4"/>
  <c r="F101" i="4"/>
  <c r="P100" i="4"/>
  <c r="F100" i="4"/>
  <c r="P99" i="4"/>
  <c r="F99" i="4"/>
  <c r="P98" i="4"/>
  <c r="F98" i="4"/>
  <c r="P97" i="4"/>
  <c r="F97" i="4"/>
  <c r="P96" i="4"/>
  <c r="F96" i="4"/>
  <c r="P95" i="4"/>
  <c r="F95" i="4"/>
  <c r="P94" i="4"/>
  <c r="F94" i="4"/>
  <c r="P93" i="4"/>
  <c r="F93" i="4"/>
  <c r="P92" i="4"/>
  <c r="F92" i="4"/>
  <c r="P91" i="4"/>
  <c r="F91" i="4"/>
  <c r="P90" i="4"/>
  <c r="F90" i="4"/>
  <c r="P89" i="4"/>
  <c r="F89" i="4"/>
  <c r="P88" i="4"/>
  <c r="F88" i="4"/>
  <c r="P87" i="4"/>
  <c r="F87" i="4"/>
  <c r="P86" i="4"/>
  <c r="F86" i="4"/>
  <c r="P85" i="4"/>
  <c r="F85" i="4"/>
  <c r="P84" i="4"/>
  <c r="F84" i="4"/>
  <c r="P83" i="4"/>
  <c r="F83" i="4"/>
  <c r="P82" i="4"/>
  <c r="F82" i="4"/>
  <c r="P81" i="4"/>
  <c r="F81" i="4"/>
  <c r="P80" i="4"/>
  <c r="F80" i="4"/>
  <c r="P79" i="4"/>
  <c r="F79" i="4"/>
  <c r="P78" i="4"/>
  <c r="F78" i="4"/>
  <c r="P77" i="4"/>
  <c r="F77" i="4"/>
  <c r="P76" i="4"/>
  <c r="F76" i="4"/>
  <c r="P75" i="4"/>
  <c r="F75" i="4"/>
  <c r="P74" i="4"/>
  <c r="F74" i="4"/>
  <c r="P73" i="4"/>
  <c r="F73" i="4"/>
  <c r="P72" i="4"/>
  <c r="F72" i="4"/>
  <c r="P71" i="4"/>
  <c r="F71" i="4"/>
  <c r="P70" i="4"/>
  <c r="F70" i="4"/>
  <c r="P69" i="4"/>
  <c r="F69" i="4"/>
  <c r="P68" i="4"/>
  <c r="F68" i="4"/>
  <c r="P67" i="4"/>
  <c r="F67" i="4"/>
  <c r="P66" i="4"/>
  <c r="F66" i="4"/>
  <c r="P65" i="4"/>
  <c r="F65" i="4"/>
  <c r="P64" i="4"/>
  <c r="F64" i="4"/>
  <c r="P63" i="4"/>
  <c r="F63" i="4"/>
  <c r="P62" i="4"/>
  <c r="F62" i="4"/>
  <c r="P61" i="4"/>
  <c r="F61" i="4"/>
  <c r="P60" i="4"/>
  <c r="F60" i="4"/>
  <c r="P59" i="4"/>
  <c r="F59" i="4"/>
  <c r="P58" i="4"/>
  <c r="F58" i="4"/>
  <c r="P57" i="4"/>
  <c r="F57" i="4"/>
  <c r="P56" i="4"/>
  <c r="F56" i="4"/>
  <c r="P55" i="4"/>
  <c r="F55" i="4"/>
  <c r="P54" i="4"/>
  <c r="F54" i="4"/>
  <c r="P53" i="4"/>
  <c r="F53" i="4"/>
  <c r="P52" i="4"/>
  <c r="F52" i="4"/>
  <c r="P51" i="4"/>
  <c r="F51" i="4"/>
  <c r="P50" i="4"/>
  <c r="F50" i="4"/>
  <c r="P49" i="4"/>
  <c r="F49" i="4"/>
  <c r="P48" i="4"/>
  <c r="F48" i="4"/>
  <c r="P47" i="4"/>
  <c r="F47" i="4"/>
  <c r="P46" i="4"/>
  <c r="F46" i="4"/>
  <c r="P45" i="4"/>
  <c r="F45" i="4"/>
  <c r="P44" i="4"/>
  <c r="F44" i="4"/>
  <c r="P43" i="4"/>
  <c r="F43" i="4"/>
  <c r="P42" i="4"/>
  <c r="F42" i="4"/>
  <c r="P41" i="4"/>
  <c r="F41" i="4"/>
  <c r="P40" i="4"/>
  <c r="F40" i="4"/>
  <c r="P39" i="4"/>
  <c r="F39" i="4"/>
  <c r="P38" i="4"/>
  <c r="F38" i="4"/>
  <c r="P37" i="4"/>
  <c r="F37" i="4"/>
  <c r="P36" i="4"/>
  <c r="F36" i="4"/>
  <c r="P35" i="4"/>
  <c r="F35" i="4"/>
  <c r="P34" i="4"/>
  <c r="F34" i="4"/>
  <c r="P33" i="4"/>
  <c r="F33" i="4"/>
  <c r="P32" i="4"/>
  <c r="F32" i="4"/>
  <c r="W31" i="4"/>
  <c r="V31" i="4"/>
  <c r="P31" i="4"/>
  <c r="F31" i="4"/>
  <c r="P30" i="4"/>
  <c r="F30" i="4"/>
  <c r="P29" i="4"/>
  <c r="F29" i="4"/>
  <c r="P28" i="4"/>
  <c r="F28" i="4"/>
  <c r="P27" i="4"/>
  <c r="F27" i="4"/>
  <c r="P26" i="4"/>
  <c r="F26" i="4"/>
  <c r="P25" i="4"/>
  <c r="F25" i="4"/>
  <c r="P24" i="4"/>
  <c r="F24" i="4"/>
  <c r="P23" i="4"/>
  <c r="F23" i="4"/>
  <c r="P22" i="4"/>
  <c r="F22" i="4"/>
  <c r="P21" i="4"/>
  <c r="F21" i="4"/>
  <c r="W20" i="4"/>
  <c r="P20" i="4"/>
  <c r="F20" i="4"/>
  <c r="P19" i="4"/>
  <c r="F19" i="4"/>
  <c r="C19" i="4"/>
  <c r="P18" i="4"/>
  <c r="F18" i="4"/>
  <c r="G18" i="4" s="1"/>
  <c r="C18" i="4"/>
  <c r="X17" i="4"/>
  <c r="P17" i="4"/>
  <c r="G17" i="4"/>
  <c r="F17" i="4"/>
  <c r="P16" i="4"/>
  <c r="G16" i="4"/>
  <c r="F16" i="4"/>
  <c r="P15" i="4"/>
  <c r="G15" i="4"/>
  <c r="F15" i="4"/>
  <c r="P14" i="4"/>
  <c r="F14" i="4"/>
  <c r="P13" i="4"/>
  <c r="F13" i="4"/>
  <c r="G13" i="4" s="1"/>
  <c r="P12" i="4"/>
  <c r="G12" i="4"/>
  <c r="F12" i="4"/>
  <c r="P11" i="4"/>
  <c r="F11" i="4"/>
  <c r="G11" i="4" s="1"/>
  <c r="P10" i="4"/>
  <c r="G10" i="4"/>
  <c r="F10" i="4"/>
  <c r="P9" i="4"/>
  <c r="Q9" i="4" s="1"/>
  <c r="F9" i="4"/>
  <c r="P8" i="4"/>
  <c r="Q8" i="4" s="1"/>
  <c r="M8" i="4"/>
  <c r="M9" i="4" s="1"/>
  <c r="M10" i="4" s="1"/>
  <c r="F8" i="4"/>
  <c r="Q7" i="4"/>
  <c r="P7" i="4"/>
  <c r="M7" i="4"/>
  <c r="L7" i="4"/>
  <c r="L8" i="4" s="1"/>
  <c r="G7" i="4"/>
  <c r="F7" i="4"/>
  <c r="C7" i="4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B7" i="4"/>
  <c r="B8" i="4" s="1"/>
  <c r="B9" i="4" s="1"/>
  <c r="B10" i="4" s="1"/>
  <c r="B11" i="4" s="1"/>
  <c r="B12" i="4" s="1"/>
  <c r="B13" i="4" s="1"/>
  <c r="P6" i="4"/>
  <c r="Q6" i="4" s="1"/>
  <c r="F6" i="4"/>
  <c r="G6" i="4" s="1"/>
  <c r="P162" i="3"/>
  <c r="F162" i="3"/>
  <c r="P161" i="3"/>
  <c r="F161" i="3"/>
  <c r="P160" i="3"/>
  <c r="F160" i="3"/>
  <c r="P159" i="3"/>
  <c r="F159" i="3"/>
  <c r="P158" i="3"/>
  <c r="F158" i="3"/>
  <c r="P157" i="3"/>
  <c r="F157" i="3"/>
  <c r="P156" i="3"/>
  <c r="F156" i="3"/>
  <c r="P155" i="3"/>
  <c r="F155" i="3"/>
  <c r="P154" i="3"/>
  <c r="F154" i="3"/>
  <c r="P153" i="3"/>
  <c r="F153" i="3"/>
  <c r="P152" i="3"/>
  <c r="F152" i="3"/>
  <c r="P151" i="3"/>
  <c r="F151" i="3"/>
  <c r="P150" i="3"/>
  <c r="F150" i="3"/>
  <c r="P149" i="3"/>
  <c r="F149" i="3"/>
  <c r="P148" i="3"/>
  <c r="F148" i="3"/>
  <c r="P147" i="3"/>
  <c r="F147" i="3"/>
  <c r="P146" i="3"/>
  <c r="F146" i="3"/>
  <c r="P145" i="3"/>
  <c r="F145" i="3"/>
  <c r="P144" i="3"/>
  <c r="F144" i="3"/>
  <c r="P143" i="3"/>
  <c r="F143" i="3"/>
  <c r="P142" i="3"/>
  <c r="F142" i="3"/>
  <c r="P141" i="3"/>
  <c r="F141" i="3"/>
  <c r="P140" i="3"/>
  <c r="F140" i="3"/>
  <c r="P139" i="3"/>
  <c r="F139" i="3"/>
  <c r="P138" i="3"/>
  <c r="F138" i="3"/>
  <c r="P137" i="3"/>
  <c r="F137" i="3"/>
  <c r="P136" i="3"/>
  <c r="F136" i="3"/>
  <c r="P135" i="3"/>
  <c r="F135" i="3"/>
  <c r="P134" i="3"/>
  <c r="F134" i="3"/>
  <c r="P133" i="3"/>
  <c r="F133" i="3"/>
  <c r="P132" i="3"/>
  <c r="F132" i="3"/>
  <c r="P131" i="3"/>
  <c r="F131" i="3"/>
  <c r="P130" i="3"/>
  <c r="F130" i="3"/>
  <c r="P129" i="3"/>
  <c r="F129" i="3"/>
  <c r="P128" i="3"/>
  <c r="F128" i="3"/>
  <c r="P127" i="3"/>
  <c r="F127" i="3"/>
  <c r="P126" i="3"/>
  <c r="F126" i="3"/>
  <c r="P125" i="3"/>
  <c r="F125" i="3"/>
  <c r="P124" i="3"/>
  <c r="F124" i="3"/>
  <c r="P123" i="3"/>
  <c r="F123" i="3"/>
  <c r="P122" i="3"/>
  <c r="F122" i="3"/>
  <c r="P121" i="3"/>
  <c r="F121" i="3"/>
  <c r="P120" i="3"/>
  <c r="F120" i="3"/>
  <c r="P119" i="3"/>
  <c r="F119" i="3"/>
  <c r="P118" i="3"/>
  <c r="F118" i="3"/>
  <c r="P117" i="3"/>
  <c r="F117" i="3"/>
  <c r="P116" i="3"/>
  <c r="F116" i="3"/>
  <c r="P115" i="3"/>
  <c r="F115" i="3"/>
  <c r="P114" i="3"/>
  <c r="F114" i="3"/>
  <c r="P113" i="3"/>
  <c r="F113" i="3"/>
  <c r="P112" i="3"/>
  <c r="F112" i="3"/>
  <c r="P111" i="3"/>
  <c r="F111" i="3"/>
  <c r="P110" i="3"/>
  <c r="F110" i="3"/>
  <c r="P109" i="3"/>
  <c r="F109" i="3"/>
  <c r="P108" i="3"/>
  <c r="F108" i="3"/>
  <c r="P107" i="3"/>
  <c r="F107" i="3"/>
  <c r="P106" i="3"/>
  <c r="F106" i="3"/>
  <c r="P105" i="3"/>
  <c r="F105" i="3"/>
  <c r="P104" i="3"/>
  <c r="F104" i="3"/>
  <c r="P103" i="3"/>
  <c r="F103" i="3"/>
  <c r="P102" i="3"/>
  <c r="F102" i="3"/>
  <c r="P101" i="3"/>
  <c r="F101" i="3"/>
  <c r="P100" i="3"/>
  <c r="F100" i="3"/>
  <c r="P99" i="3"/>
  <c r="F99" i="3"/>
  <c r="P98" i="3"/>
  <c r="F98" i="3"/>
  <c r="P97" i="3"/>
  <c r="F97" i="3"/>
  <c r="P96" i="3"/>
  <c r="F96" i="3"/>
  <c r="P95" i="3"/>
  <c r="F95" i="3"/>
  <c r="P94" i="3"/>
  <c r="F94" i="3"/>
  <c r="P93" i="3"/>
  <c r="F93" i="3"/>
  <c r="P92" i="3"/>
  <c r="F92" i="3"/>
  <c r="P91" i="3"/>
  <c r="F91" i="3"/>
  <c r="P90" i="3"/>
  <c r="F90" i="3"/>
  <c r="P89" i="3"/>
  <c r="F89" i="3"/>
  <c r="P88" i="3"/>
  <c r="F88" i="3"/>
  <c r="P87" i="3"/>
  <c r="F87" i="3"/>
  <c r="P86" i="3"/>
  <c r="F86" i="3"/>
  <c r="P85" i="3"/>
  <c r="F85" i="3"/>
  <c r="P84" i="3"/>
  <c r="F84" i="3"/>
  <c r="P83" i="3"/>
  <c r="F83" i="3"/>
  <c r="P82" i="3"/>
  <c r="F82" i="3"/>
  <c r="P81" i="3"/>
  <c r="F81" i="3"/>
  <c r="P80" i="3"/>
  <c r="F80" i="3"/>
  <c r="P79" i="3"/>
  <c r="F79" i="3"/>
  <c r="P78" i="3"/>
  <c r="F78" i="3"/>
  <c r="P77" i="3"/>
  <c r="F77" i="3"/>
  <c r="P76" i="3"/>
  <c r="F76" i="3"/>
  <c r="P75" i="3"/>
  <c r="F75" i="3"/>
  <c r="P74" i="3"/>
  <c r="F74" i="3"/>
  <c r="P73" i="3"/>
  <c r="F73" i="3"/>
  <c r="P72" i="3"/>
  <c r="F72" i="3"/>
  <c r="P71" i="3"/>
  <c r="F71" i="3"/>
  <c r="P70" i="3"/>
  <c r="F70" i="3"/>
  <c r="P69" i="3"/>
  <c r="F69" i="3"/>
  <c r="P68" i="3"/>
  <c r="F68" i="3"/>
  <c r="P67" i="3"/>
  <c r="F67" i="3"/>
  <c r="P66" i="3"/>
  <c r="F66" i="3"/>
  <c r="P65" i="3"/>
  <c r="F65" i="3"/>
  <c r="P64" i="3"/>
  <c r="F64" i="3"/>
  <c r="P63" i="3"/>
  <c r="F63" i="3"/>
  <c r="P62" i="3"/>
  <c r="F62" i="3"/>
  <c r="P61" i="3"/>
  <c r="F61" i="3"/>
  <c r="P60" i="3"/>
  <c r="F60" i="3"/>
  <c r="P59" i="3"/>
  <c r="F59" i="3"/>
  <c r="P58" i="3"/>
  <c r="F58" i="3"/>
  <c r="P57" i="3"/>
  <c r="F57" i="3"/>
  <c r="P56" i="3"/>
  <c r="F56" i="3"/>
  <c r="P55" i="3"/>
  <c r="F55" i="3"/>
  <c r="P54" i="3"/>
  <c r="F54" i="3"/>
  <c r="P53" i="3"/>
  <c r="F53" i="3"/>
  <c r="P52" i="3"/>
  <c r="F52" i="3"/>
  <c r="P51" i="3"/>
  <c r="F51" i="3"/>
  <c r="P50" i="3"/>
  <c r="F50" i="3"/>
  <c r="P49" i="3"/>
  <c r="F49" i="3"/>
  <c r="P48" i="3"/>
  <c r="F48" i="3"/>
  <c r="P47" i="3"/>
  <c r="F47" i="3"/>
  <c r="P46" i="3"/>
  <c r="F46" i="3"/>
  <c r="P45" i="3"/>
  <c r="F45" i="3"/>
  <c r="P44" i="3"/>
  <c r="F44" i="3"/>
  <c r="P43" i="3"/>
  <c r="F43" i="3"/>
  <c r="P42" i="3"/>
  <c r="F42" i="3"/>
  <c r="P41" i="3"/>
  <c r="F41" i="3"/>
  <c r="P40" i="3"/>
  <c r="F40" i="3"/>
  <c r="P39" i="3"/>
  <c r="F39" i="3"/>
  <c r="P38" i="3"/>
  <c r="F38" i="3"/>
  <c r="P37" i="3"/>
  <c r="F37" i="3"/>
  <c r="P36" i="3"/>
  <c r="F36" i="3"/>
  <c r="P35" i="3"/>
  <c r="F35" i="3"/>
  <c r="P34" i="3"/>
  <c r="F34" i="3"/>
  <c r="P33" i="3"/>
  <c r="F33" i="3"/>
  <c r="P32" i="3"/>
  <c r="F32" i="3"/>
  <c r="W31" i="3"/>
  <c r="V31" i="3"/>
  <c r="P31" i="3"/>
  <c r="F31" i="3"/>
  <c r="P30" i="3"/>
  <c r="F30" i="3"/>
  <c r="P29" i="3"/>
  <c r="F29" i="3"/>
  <c r="P28" i="3"/>
  <c r="F28" i="3"/>
  <c r="P27" i="3"/>
  <c r="F27" i="3"/>
  <c r="P26" i="3"/>
  <c r="F26" i="3"/>
  <c r="P25" i="3"/>
  <c r="F25" i="3"/>
  <c r="P24" i="3"/>
  <c r="F24" i="3"/>
  <c r="P23" i="3"/>
  <c r="F23" i="3"/>
  <c r="P22" i="3"/>
  <c r="F22" i="3"/>
  <c r="P21" i="3"/>
  <c r="F21" i="3"/>
  <c r="W20" i="3"/>
  <c r="P20" i="3"/>
  <c r="F20" i="3"/>
  <c r="P19" i="3"/>
  <c r="F19" i="3"/>
  <c r="P18" i="3"/>
  <c r="F18" i="3"/>
  <c r="X17" i="3"/>
  <c r="P17" i="3"/>
  <c r="F17" i="3"/>
  <c r="P16" i="3"/>
  <c r="F16" i="3"/>
  <c r="P15" i="3"/>
  <c r="F15" i="3"/>
  <c r="P14" i="3"/>
  <c r="F14" i="3"/>
  <c r="P13" i="3"/>
  <c r="F13" i="3"/>
  <c r="P12" i="3"/>
  <c r="F12" i="3"/>
  <c r="P11" i="3"/>
  <c r="F11" i="3"/>
  <c r="P10" i="3"/>
  <c r="F10" i="3"/>
  <c r="B10" i="3"/>
  <c r="B11" i="3" s="1"/>
  <c r="Q9" i="3"/>
  <c r="P9" i="3"/>
  <c r="F9" i="3"/>
  <c r="B9" i="3"/>
  <c r="P8" i="3"/>
  <c r="M8" i="3"/>
  <c r="M9" i="3" s="1"/>
  <c r="M10" i="3" s="1"/>
  <c r="L8" i="3"/>
  <c r="L9" i="3" s="1"/>
  <c r="F8" i="3"/>
  <c r="G8" i="3" s="1"/>
  <c r="B8" i="3"/>
  <c r="Q7" i="3"/>
  <c r="P7" i="3"/>
  <c r="M7" i="3"/>
  <c r="L7" i="3"/>
  <c r="G7" i="3"/>
  <c r="F7" i="3"/>
  <c r="C7" i="3"/>
  <c r="C8" i="3" s="1"/>
  <c r="B7" i="3"/>
  <c r="P6" i="3"/>
  <c r="Q6" i="3" s="1"/>
  <c r="F6" i="3"/>
  <c r="G6" i="3" s="1"/>
  <c r="C20" i="4" l="1"/>
  <c r="G19" i="4"/>
  <c r="L10" i="3"/>
  <c r="B9" i="14"/>
  <c r="C8" i="5"/>
  <c r="M11" i="3"/>
  <c r="Q10" i="3"/>
  <c r="Q8" i="3"/>
  <c r="B8" i="9"/>
  <c r="B12" i="3"/>
  <c r="L9" i="4"/>
  <c r="C9" i="3"/>
  <c r="M19" i="7"/>
  <c r="Q18" i="7"/>
  <c r="B11" i="8"/>
  <c r="B9" i="7"/>
  <c r="C8" i="9"/>
  <c r="L9" i="9"/>
  <c r="Q15" i="7"/>
  <c r="M9" i="9"/>
  <c r="M10" i="9" s="1"/>
  <c r="M11" i="9" s="1"/>
  <c r="M12" i="9" s="1"/>
  <c r="M13" i="9" s="1"/>
  <c r="M14" i="9" s="1"/>
  <c r="M15" i="9" s="1"/>
  <c r="M16" i="9" s="1"/>
  <c r="M17" i="9" s="1"/>
  <c r="M18" i="9" s="1"/>
  <c r="M11" i="4"/>
  <c r="M12" i="4" s="1"/>
  <c r="Q10" i="4"/>
  <c r="Q14" i="5"/>
  <c r="Q21" i="5"/>
  <c r="M22" i="5"/>
  <c r="L10" i="8"/>
  <c r="L9" i="7"/>
  <c r="M10" i="8"/>
  <c r="M11" i="8" s="1"/>
  <c r="M12" i="8" s="1"/>
  <c r="B8" i="5"/>
  <c r="Q11" i="7"/>
  <c r="G9" i="4"/>
  <c r="C9" i="7"/>
  <c r="Q20" i="5"/>
  <c r="G8" i="4"/>
  <c r="Q9" i="5"/>
  <c r="Q13" i="5"/>
  <c r="Q17" i="5"/>
  <c r="B14" i="4"/>
  <c r="Q11" i="5"/>
  <c r="G14" i="4"/>
  <c r="C12" i="8"/>
  <c r="G11" i="8"/>
  <c r="Q8" i="5"/>
  <c r="Q16" i="5"/>
  <c r="G10" i="8"/>
  <c r="Q15" i="9"/>
  <c r="W33" i="5" a="1"/>
  <c r="W33" i="5" s="1"/>
  <c r="L17" i="5"/>
  <c r="Q10" i="5"/>
  <c r="Q7" i="5"/>
  <c r="Q15" i="5"/>
  <c r="Q18" i="5"/>
  <c r="Q11" i="8"/>
  <c r="Q13" i="7"/>
  <c r="Q17" i="7"/>
  <c r="Q10" i="7"/>
  <c r="G9" i="8"/>
  <c r="G7" i="9"/>
  <c r="C12" i="11"/>
  <c r="C13" i="11" s="1"/>
  <c r="Q8" i="7"/>
  <c r="Q10" i="8"/>
  <c r="Q11" i="9"/>
  <c r="Q14" i="9"/>
  <c r="Q17" i="9"/>
  <c r="Q7" i="7"/>
  <c r="Q12" i="7"/>
  <c r="B10" i="11"/>
  <c r="Q16" i="7"/>
  <c r="M29" i="11"/>
  <c r="Q28" i="11"/>
  <c r="M10" i="14"/>
  <c r="Q8" i="9"/>
  <c r="Q10" i="9"/>
  <c r="Q13" i="9"/>
  <c r="M10" i="13"/>
  <c r="Q9" i="8"/>
  <c r="Q16" i="9"/>
  <c r="G12" i="11"/>
  <c r="Q8" i="8"/>
  <c r="Q25" i="11"/>
  <c r="Q9" i="9"/>
  <c r="Q12" i="9"/>
  <c r="Q9" i="13"/>
  <c r="L10" i="15"/>
  <c r="Q24" i="11"/>
  <c r="B9" i="13"/>
  <c r="G10" i="13"/>
  <c r="C9" i="13"/>
  <c r="C10" i="13" s="1"/>
  <c r="C11" i="13" s="1"/>
  <c r="G18" i="14"/>
  <c r="L9" i="11"/>
  <c r="C22" i="14"/>
  <c r="C23" i="14" s="1"/>
  <c r="C24" i="14" s="1"/>
  <c r="C25" i="14" s="1"/>
  <c r="C26" i="14" s="1"/>
  <c r="C27" i="14" s="1"/>
  <c r="C28" i="14" s="1"/>
  <c r="C29" i="14" s="1"/>
  <c r="C30" i="14" s="1"/>
  <c r="G21" i="14"/>
  <c r="Q11" i="11"/>
  <c r="Q15" i="11"/>
  <c r="Q19" i="11"/>
  <c r="Q9" i="14"/>
  <c r="L9" i="13"/>
  <c r="G19" i="14"/>
  <c r="M10" i="15"/>
  <c r="Q9" i="15"/>
  <c r="G12" i="14"/>
  <c r="G9" i="13"/>
  <c r="G25" i="14"/>
  <c r="G28" i="14"/>
  <c r="G8" i="14"/>
  <c r="Q8" i="14"/>
  <c r="G9" i="14"/>
  <c r="G11" i="14"/>
  <c r="G24" i="14"/>
  <c r="L8" i="14"/>
  <c r="G22" i="14"/>
  <c r="G27" i="14"/>
  <c r="G20" i="14"/>
  <c r="C13" i="15"/>
  <c r="G16" i="14"/>
  <c r="G9" i="15"/>
  <c r="G15" i="14"/>
  <c r="G14" i="14"/>
  <c r="G29" i="14"/>
  <c r="B10" i="15"/>
  <c r="G17" i="14"/>
  <c r="G10" i="15"/>
  <c r="G26" i="14"/>
  <c r="G8" i="15"/>
  <c r="G10" i="14"/>
  <c r="G23" i="14"/>
  <c r="G13" i="14"/>
  <c r="M8" i="17"/>
  <c r="Q7" i="17"/>
  <c r="L11" i="19"/>
  <c r="B8" i="17"/>
  <c r="G7" i="17"/>
  <c r="C8" i="17"/>
  <c r="L10" i="17"/>
  <c r="B9" i="19"/>
  <c r="Q8" i="19"/>
  <c r="M9" i="19"/>
  <c r="C9" i="19"/>
  <c r="G8" i="19"/>
  <c r="L11" i="20"/>
  <c r="M11" i="20"/>
  <c r="C11" i="20"/>
  <c r="G10" i="20"/>
  <c r="Q10" i="20"/>
  <c r="B10" i="20"/>
  <c r="B9" i="21"/>
  <c r="Q7" i="19"/>
  <c r="G7" i="21"/>
  <c r="C8" i="21"/>
  <c r="C9" i="21" s="1"/>
  <c r="C10" i="21" s="1"/>
  <c r="L9" i="21"/>
  <c r="G8" i="21"/>
  <c r="G11" i="20"/>
  <c r="G9" i="21"/>
  <c r="Q13" i="21"/>
  <c r="M14" i="21"/>
  <c r="M15" i="21" s="1"/>
  <c r="Q11" i="21"/>
  <c r="M10" i="23"/>
  <c r="Q12" i="21"/>
  <c r="Q9" i="23"/>
  <c r="G8" i="23"/>
  <c r="C9" i="23"/>
  <c r="B14" i="23"/>
  <c r="M22" i="24"/>
  <c r="M23" i="24" s="1"/>
  <c r="B11" i="24"/>
  <c r="L9" i="23"/>
  <c r="Q22" i="24"/>
  <c r="C9" i="24"/>
  <c r="Q21" i="24"/>
  <c r="B9" i="25"/>
  <c r="C15" i="25"/>
  <c r="C16" i="25" s="1"/>
  <c r="C17" i="25" s="1"/>
  <c r="C18" i="25" s="1"/>
  <c r="G14" i="25"/>
  <c r="G9" i="25"/>
  <c r="L10" i="25"/>
  <c r="G10" i="25"/>
  <c r="M9" i="25"/>
  <c r="G13" i="25"/>
  <c r="L9" i="24"/>
  <c r="G8" i="25"/>
  <c r="G11" i="25"/>
  <c r="L10" i="26"/>
  <c r="C22" i="27"/>
  <c r="G21" i="27"/>
  <c r="Q8" i="26"/>
  <c r="M9" i="26"/>
  <c r="G19" i="27"/>
  <c r="B11" i="27"/>
  <c r="C10" i="26"/>
  <c r="G9" i="26"/>
  <c r="M8" i="27"/>
  <c r="Q7" i="27"/>
  <c r="B9" i="26"/>
  <c r="L8" i="27"/>
  <c r="G13" i="27"/>
  <c r="G20" i="27"/>
  <c r="G16" i="27"/>
  <c r="G18" i="27"/>
  <c r="G8" i="27"/>
  <c r="G11" i="27"/>
  <c r="G14" i="27"/>
  <c r="G17" i="27"/>
  <c r="G12" i="27"/>
  <c r="G15" i="27"/>
  <c r="B10" i="26" l="1"/>
  <c r="B12" i="27"/>
  <c r="M10" i="19"/>
  <c r="Q9" i="19"/>
  <c r="B11" i="15"/>
  <c r="C13" i="8"/>
  <c r="G12" i="8"/>
  <c r="C19" i="25"/>
  <c r="G18" i="25"/>
  <c r="L10" i="23"/>
  <c r="L10" i="11"/>
  <c r="Q19" i="7"/>
  <c r="M20" i="7"/>
  <c r="M30" i="11"/>
  <c r="Q29" i="11"/>
  <c r="C10" i="19"/>
  <c r="G9" i="19"/>
  <c r="B10" i="21"/>
  <c r="G15" i="25"/>
  <c r="B15" i="23"/>
  <c r="L11" i="26"/>
  <c r="M11" i="13"/>
  <c r="Q10" i="13"/>
  <c r="C10" i="23"/>
  <c r="G9" i="23"/>
  <c r="B10" i="19"/>
  <c r="B12" i="24"/>
  <c r="M24" i="24"/>
  <c r="Q23" i="24"/>
  <c r="M12" i="20"/>
  <c r="Q11" i="20"/>
  <c r="L11" i="17"/>
  <c r="G8" i="17"/>
  <c r="C9" i="17"/>
  <c r="M11" i="14"/>
  <c r="Q10" i="14"/>
  <c r="B9" i="9"/>
  <c r="Q15" i="21"/>
  <c r="M16" i="21"/>
  <c r="B9" i="5"/>
  <c r="M11" i="23"/>
  <c r="Q10" i="23"/>
  <c r="L10" i="24"/>
  <c r="B10" i="25"/>
  <c r="C12" i="20"/>
  <c r="B12" i="8"/>
  <c r="C23" i="27"/>
  <c r="G22" i="27"/>
  <c r="G10" i="21"/>
  <c r="C11" i="21"/>
  <c r="G17" i="25"/>
  <c r="G16" i="25"/>
  <c r="L11" i="25"/>
  <c r="C10" i="24"/>
  <c r="G9" i="24"/>
  <c r="C11" i="26"/>
  <c r="G10" i="26"/>
  <c r="L11" i="15"/>
  <c r="L10" i="13"/>
  <c r="C10" i="7"/>
  <c r="G9" i="7"/>
  <c r="L10" i="21"/>
  <c r="L12" i="19"/>
  <c r="M9" i="17"/>
  <c r="Q8" i="17"/>
  <c r="M13" i="8"/>
  <c r="Q12" i="8"/>
  <c r="B13" i="3"/>
  <c r="C9" i="5"/>
  <c r="G8" i="5"/>
  <c r="B10" i="14"/>
  <c r="L9" i="27"/>
  <c r="M10" i="26"/>
  <c r="Q9" i="26"/>
  <c r="M10" i="25"/>
  <c r="Q9" i="25"/>
  <c r="Q14" i="21"/>
  <c r="B11" i="11"/>
  <c r="L10" i="7"/>
  <c r="L10" i="9"/>
  <c r="L10" i="4"/>
  <c r="C21" i="4"/>
  <c r="G20" i="4"/>
  <c r="B11" i="20"/>
  <c r="Q8" i="27"/>
  <c r="M9" i="27"/>
  <c r="M12" i="3"/>
  <c r="Q11" i="3"/>
  <c r="B10" i="13"/>
  <c r="Q22" i="5"/>
  <c r="M23" i="5"/>
  <c r="M11" i="15"/>
  <c r="Q10" i="15"/>
  <c r="M19" i="9"/>
  <c r="Q18" i="9"/>
  <c r="C9" i="9"/>
  <c r="G8" i="9"/>
  <c r="C14" i="11"/>
  <c r="G13" i="11"/>
  <c r="L12" i="20"/>
  <c r="B9" i="17"/>
  <c r="G11" i="13"/>
  <c r="C12" i="13"/>
  <c r="M13" i="4"/>
  <c r="Q12" i="4"/>
  <c r="G9" i="3"/>
  <c r="C10" i="3"/>
  <c r="L11" i="3"/>
  <c r="B10" i="7"/>
  <c r="C14" i="15"/>
  <c r="G13" i="15"/>
  <c r="L9" i="14"/>
  <c r="C31" i="14"/>
  <c r="G30" i="14"/>
  <c r="L18" i="5"/>
  <c r="B15" i="4"/>
  <c r="L11" i="8"/>
  <c r="Q11" i="4"/>
  <c r="C15" i="11" l="1"/>
  <c r="G14" i="11"/>
  <c r="Q19" i="9"/>
  <c r="M20" i="9"/>
  <c r="L11" i="9"/>
  <c r="C12" i="26"/>
  <c r="G11" i="26"/>
  <c r="M25" i="24"/>
  <c r="Q24" i="24"/>
  <c r="B16" i="23"/>
  <c r="L12" i="8"/>
  <c r="B14" i="3"/>
  <c r="C24" i="27"/>
  <c r="G23" i="27"/>
  <c r="L11" i="24"/>
  <c r="L10" i="14"/>
  <c r="M12" i="14"/>
  <c r="Q11" i="14"/>
  <c r="B13" i="24"/>
  <c r="B11" i="21"/>
  <c r="M31" i="11"/>
  <c r="Q30" i="11"/>
  <c r="L11" i="11"/>
  <c r="B11" i="7"/>
  <c r="B13" i="8"/>
  <c r="M11" i="19"/>
  <c r="Q10" i="19"/>
  <c r="M13" i="3"/>
  <c r="Q12" i="3"/>
  <c r="G9" i="17"/>
  <c r="C10" i="17"/>
  <c r="Q11" i="23"/>
  <c r="M12" i="23"/>
  <c r="C11" i="3"/>
  <c r="G10" i="3"/>
  <c r="V31" i="11" a="1"/>
  <c r="V31" i="11" s="1"/>
  <c r="B12" i="11"/>
  <c r="L10" i="27"/>
  <c r="B10" i="5"/>
  <c r="L12" i="17"/>
  <c r="C13" i="13"/>
  <c r="G12" i="13"/>
  <c r="B12" i="15"/>
  <c r="M10" i="17"/>
  <c r="Q9" i="17"/>
  <c r="L11" i="23"/>
  <c r="B12" i="20"/>
  <c r="G10" i="7"/>
  <c r="C11" i="7"/>
  <c r="C20" i="25"/>
  <c r="G19" i="25"/>
  <c r="M10" i="27"/>
  <c r="Q9" i="27"/>
  <c r="M14" i="8"/>
  <c r="Q13" i="8"/>
  <c r="M12" i="13"/>
  <c r="Q11" i="13"/>
  <c r="B16" i="4"/>
  <c r="B10" i="17"/>
  <c r="L12" i="3"/>
  <c r="C13" i="20"/>
  <c r="G12" i="20"/>
  <c r="B11" i="19"/>
  <c r="L12" i="26"/>
  <c r="L11" i="4"/>
  <c r="C12" i="21"/>
  <c r="G11" i="21"/>
  <c r="C10" i="5"/>
  <c r="G9" i="5"/>
  <c r="L12" i="25"/>
  <c r="B11" i="25"/>
  <c r="M11" i="25"/>
  <c r="Q10" i="25"/>
  <c r="L11" i="7"/>
  <c r="M24" i="5"/>
  <c r="Q23" i="5"/>
  <c r="M11" i="26"/>
  <c r="Q10" i="26"/>
  <c r="L19" i="5"/>
  <c r="M14" i="4"/>
  <c r="Q13" i="4"/>
  <c r="L13" i="20"/>
  <c r="L13" i="19"/>
  <c r="M21" i="7"/>
  <c r="Q20" i="7"/>
  <c r="B10" i="9"/>
  <c r="B13" i="27"/>
  <c r="V31" i="27" a="1"/>
  <c r="V31" i="27" s="1"/>
  <c r="C15" i="15"/>
  <c r="G14" i="15"/>
  <c r="C32" i="14"/>
  <c r="G31" i="14"/>
  <c r="B11" i="14"/>
  <c r="L11" i="13"/>
  <c r="M13" i="20"/>
  <c r="Q12" i="20"/>
  <c r="C11" i="23"/>
  <c r="G10" i="23"/>
  <c r="C11" i="19"/>
  <c r="G10" i="19"/>
  <c r="B11" i="13"/>
  <c r="M17" i="21"/>
  <c r="Q16" i="21"/>
  <c r="B11" i="26"/>
  <c r="C22" i="4"/>
  <c r="G21" i="4"/>
  <c r="C10" i="9"/>
  <c r="G9" i="9"/>
  <c r="M12" i="15"/>
  <c r="Q11" i="15"/>
  <c r="L11" i="21"/>
  <c r="L12" i="15"/>
  <c r="C11" i="24"/>
  <c r="G10" i="24"/>
  <c r="C14" i="8"/>
  <c r="G13" i="8"/>
  <c r="B13" i="11" l="1"/>
  <c r="L12" i="11"/>
  <c r="L13" i="8"/>
  <c r="B14" i="27"/>
  <c r="B12" i="14"/>
  <c r="M14" i="3"/>
  <c r="Q13" i="3"/>
  <c r="B14" i="8"/>
  <c r="B12" i="25"/>
  <c r="L13" i="26"/>
  <c r="B17" i="4"/>
  <c r="V33" i="4" a="1"/>
  <c r="V33" i="4" s="1"/>
  <c r="M32" i="11"/>
  <c r="Q31" i="11"/>
  <c r="B17" i="23"/>
  <c r="L12" i="9"/>
  <c r="L11" i="27"/>
  <c r="C21" i="25"/>
  <c r="G20" i="25"/>
  <c r="B12" i="21"/>
  <c r="L14" i="20"/>
  <c r="B11" i="9"/>
  <c r="B12" i="19"/>
  <c r="B12" i="26"/>
  <c r="C12" i="19"/>
  <c r="G11" i="19"/>
  <c r="M21" i="9"/>
  <c r="Q20" i="9"/>
  <c r="C33" i="14"/>
  <c r="G32" i="14"/>
  <c r="B13" i="15"/>
  <c r="L13" i="25"/>
  <c r="L12" i="23"/>
  <c r="C12" i="3"/>
  <c r="G11" i="3"/>
  <c r="B14" i="24"/>
  <c r="C11" i="5"/>
  <c r="G10" i="5"/>
  <c r="C14" i="20"/>
  <c r="G13" i="20"/>
  <c r="M15" i="8"/>
  <c r="Q14" i="8"/>
  <c r="B11" i="5"/>
  <c r="C25" i="27"/>
  <c r="G24" i="27"/>
  <c r="C12" i="7"/>
  <c r="G11" i="7"/>
  <c r="L13" i="17"/>
  <c r="L12" i="24"/>
  <c r="C15" i="8"/>
  <c r="G14" i="8"/>
  <c r="M15" i="4"/>
  <c r="Q14" i="4"/>
  <c r="M13" i="14"/>
  <c r="Q12" i="14"/>
  <c r="M26" i="24"/>
  <c r="Q25" i="24"/>
  <c r="C16" i="11"/>
  <c r="G15" i="11"/>
  <c r="C11" i="9"/>
  <c r="G10" i="9"/>
  <c r="M25" i="5"/>
  <c r="Q24" i="5"/>
  <c r="M11" i="27"/>
  <c r="Q10" i="27"/>
  <c r="M13" i="23"/>
  <c r="Q12" i="23"/>
  <c r="B15" i="3"/>
  <c r="C12" i="24"/>
  <c r="G11" i="24"/>
  <c r="M13" i="15"/>
  <c r="Q12" i="15"/>
  <c r="M13" i="13"/>
  <c r="Q12" i="13"/>
  <c r="C12" i="23"/>
  <c r="G11" i="23"/>
  <c r="M11" i="17"/>
  <c r="Q10" i="17"/>
  <c r="L20" i="5"/>
  <c r="B13" i="20"/>
  <c r="L13" i="15"/>
  <c r="M14" i="20"/>
  <c r="Q13" i="20"/>
  <c r="C13" i="21"/>
  <c r="G12" i="21"/>
  <c r="L13" i="3"/>
  <c r="C14" i="13"/>
  <c r="G13" i="13"/>
  <c r="B12" i="7"/>
  <c r="V31" i="7" a="1"/>
  <c r="V31" i="7" s="1"/>
  <c r="M18" i="21"/>
  <c r="Q17" i="21"/>
  <c r="M22" i="7"/>
  <c r="Q21" i="7"/>
  <c r="C16" i="15"/>
  <c r="G15" i="15"/>
  <c r="L14" i="19"/>
  <c r="L12" i="7"/>
  <c r="M12" i="19"/>
  <c r="Q11" i="19"/>
  <c r="B11" i="17"/>
  <c r="M12" i="26"/>
  <c r="Q11" i="26"/>
  <c r="L12" i="4"/>
  <c r="G10" i="17"/>
  <c r="C11" i="17"/>
  <c r="L11" i="14"/>
  <c r="L12" i="21"/>
  <c r="G22" i="4"/>
  <c r="C23" i="4"/>
  <c r="B12" i="13"/>
  <c r="L12" i="13"/>
  <c r="M12" i="25"/>
  <c r="Q11" i="25"/>
  <c r="C13" i="26"/>
  <c r="G12" i="26"/>
  <c r="C13" i="3" l="1"/>
  <c r="G12" i="3"/>
  <c r="L12" i="27"/>
  <c r="L12" i="14"/>
  <c r="C15" i="20"/>
  <c r="G14" i="20"/>
  <c r="C34" i="14"/>
  <c r="G33" i="14"/>
  <c r="L15" i="20"/>
  <c r="M15" i="3"/>
  <c r="Q14" i="3"/>
  <c r="B12" i="9"/>
  <c r="C22" i="25"/>
  <c r="G21" i="25"/>
  <c r="B15" i="8"/>
  <c r="L13" i="7"/>
  <c r="W31" i="7" a="1"/>
  <c r="W31" i="7" s="1"/>
  <c r="B12" i="17"/>
  <c r="M16" i="4"/>
  <c r="Q15" i="4"/>
  <c r="B14" i="11"/>
  <c r="M23" i="7"/>
  <c r="Q22" i="7"/>
  <c r="M14" i="14"/>
  <c r="Q13" i="14"/>
  <c r="Q12" i="26"/>
  <c r="M13" i="26"/>
  <c r="L14" i="17"/>
  <c r="B13" i="19"/>
  <c r="B13" i="25"/>
  <c r="B13" i="14"/>
  <c r="G15" i="8"/>
  <c r="C16" i="8"/>
  <c r="M12" i="27"/>
  <c r="Q11" i="27"/>
  <c r="M26" i="5"/>
  <c r="Q25" i="5"/>
  <c r="L14" i="26"/>
  <c r="L15" i="19"/>
  <c r="L13" i="4"/>
  <c r="C17" i="15"/>
  <c r="G16" i="15"/>
  <c r="L21" i="5"/>
  <c r="M22" i="9"/>
  <c r="Q21" i="9"/>
  <c r="B13" i="21"/>
  <c r="M27" i="24"/>
  <c r="Q26" i="24"/>
  <c r="M16" i="8"/>
  <c r="Q15" i="8"/>
  <c r="M14" i="13"/>
  <c r="Q13" i="13"/>
  <c r="C13" i="24"/>
  <c r="G12" i="24"/>
  <c r="C12" i="9"/>
  <c r="G11" i="9"/>
  <c r="C26" i="27"/>
  <c r="G25" i="27"/>
  <c r="L14" i="25"/>
  <c r="M33" i="11"/>
  <c r="Q32" i="11"/>
  <c r="L13" i="21"/>
  <c r="C13" i="23"/>
  <c r="G12" i="23"/>
  <c r="W31" i="24" a="1"/>
  <c r="W31" i="24" s="1"/>
  <c r="L13" i="24"/>
  <c r="B13" i="26"/>
  <c r="L14" i="8"/>
  <c r="L14" i="3"/>
  <c r="L13" i="11"/>
  <c r="G11" i="17"/>
  <c r="C12" i="17"/>
  <c r="C12" i="5"/>
  <c r="G11" i="5"/>
  <c r="B14" i="20"/>
  <c r="W31" i="23" a="1"/>
  <c r="W31" i="23" s="1"/>
  <c r="L13" i="23"/>
  <c r="L13" i="13"/>
  <c r="M15" i="20"/>
  <c r="Q14" i="20"/>
  <c r="B13" i="13"/>
  <c r="Q12" i="19"/>
  <c r="M13" i="19"/>
  <c r="B16" i="3"/>
  <c r="C13" i="19"/>
  <c r="G12" i="19"/>
  <c r="G14" i="13"/>
  <c r="C15" i="13"/>
  <c r="B15" i="24"/>
  <c r="C14" i="26"/>
  <c r="G13" i="26"/>
  <c r="M19" i="21"/>
  <c r="Q18" i="21"/>
  <c r="L13" i="9"/>
  <c r="M14" i="15"/>
  <c r="Q13" i="15"/>
  <c r="G12" i="7"/>
  <c r="C13" i="7"/>
  <c r="B18" i="23"/>
  <c r="B13" i="7"/>
  <c r="C24" i="4"/>
  <c r="G23" i="4"/>
  <c r="B14" i="15"/>
  <c r="M12" i="17"/>
  <c r="Q11" i="17"/>
  <c r="B15" i="27"/>
  <c r="C14" i="21"/>
  <c r="G13" i="21"/>
  <c r="B18" i="4"/>
  <c r="M13" i="25"/>
  <c r="Q12" i="25"/>
  <c r="L14" i="15"/>
  <c r="C17" i="11"/>
  <c r="G16" i="11"/>
  <c r="M14" i="23"/>
  <c r="Q13" i="23"/>
  <c r="B12" i="5"/>
  <c r="B13" i="9" l="1"/>
  <c r="C16" i="20"/>
  <c r="G15" i="20"/>
  <c r="M34" i="11"/>
  <c r="Q33" i="11"/>
  <c r="M13" i="27"/>
  <c r="Q12" i="27"/>
  <c r="Q16" i="4"/>
  <c r="M17" i="4"/>
  <c r="B13" i="17"/>
  <c r="Q13" i="26"/>
  <c r="M14" i="26"/>
  <c r="C23" i="25"/>
  <c r="G22" i="25"/>
  <c r="M13" i="17"/>
  <c r="Q12" i="17"/>
  <c r="B19" i="4"/>
  <c r="L14" i="13"/>
  <c r="C18" i="15"/>
  <c r="G17" i="15"/>
  <c r="L22" i="5"/>
  <c r="C14" i="19"/>
  <c r="G13" i="19"/>
  <c r="C13" i="5"/>
  <c r="G12" i="5"/>
  <c r="L14" i="4"/>
  <c r="C27" i="27"/>
  <c r="G26" i="27"/>
  <c r="L14" i="7"/>
  <c r="M14" i="25"/>
  <c r="Q13" i="25"/>
  <c r="B14" i="7"/>
  <c r="B14" i="26"/>
  <c r="M16" i="20"/>
  <c r="Q15" i="20"/>
  <c r="B13" i="5"/>
  <c r="C14" i="7"/>
  <c r="G13" i="7"/>
  <c r="B14" i="21"/>
  <c r="M15" i="14"/>
  <c r="Q14" i="14"/>
  <c r="C16" i="13"/>
  <c r="G15" i="13"/>
  <c r="L14" i="23"/>
  <c r="C14" i="23"/>
  <c r="G13" i="23"/>
  <c r="M15" i="13"/>
  <c r="Q14" i="13"/>
  <c r="L14" i="9"/>
  <c r="L14" i="21"/>
  <c r="B14" i="14"/>
  <c r="M27" i="5"/>
  <c r="Q26" i="5"/>
  <c r="L13" i="27"/>
  <c r="C15" i="26"/>
  <c r="G14" i="26"/>
  <c r="C18" i="11"/>
  <c r="G17" i="11"/>
  <c r="L14" i="24"/>
  <c r="M28" i="24"/>
  <c r="Q27" i="24"/>
  <c r="V33" i="3" a="1"/>
  <c r="V33" i="3" s="1"/>
  <c r="B17" i="3"/>
  <c r="M15" i="23"/>
  <c r="Q14" i="23"/>
  <c r="L16" i="19"/>
  <c r="L15" i="17"/>
  <c r="M24" i="7"/>
  <c r="Q23" i="7"/>
  <c r="B16" i="8"/>
  <c r="L13" i="14"/>
  <c r="B14" i="19"/>
  <c r="L15" i="15"/>
  <c r="B15" i="15"/>
  <c r="M15" i="15"/>
  <c r="Q14" i="15"/>
  <c r="L14" i="11"/>
  <c r="M23" i="9"/>
  <c r="Q22" i="9"/>
  <c r="B15" i="20"/>
  <c r="C13" i="9"/>
  <c r="G12" i="9"/>
  <c r="B15" i="11"/>
  <c r="M16" i="3"/>
  <c r="Q15" i="3"/>
  <c r="L15" i="3"/>
  <c r="B14" i="25"/>
  <c r="B14" i="13"/>
  <c r="L15" i="25"/>
  <c r="G16" i="8"/>
  <c r="C17" i="8"/>
  <c r="G13" i="3"/>
  <c r="C14" i="3"/>
  <c r="C15" i="21"/>
  <c r="G14" i="21"/>
  <c r="B16" i="24"/>
  <c r="L15" i="26"/>
  <c r="C25" i="4"/>
  <c r="G24" i="4"/>
  <c r="C35" i="14"/>
  <c r="G34" i="14"/>
  <c r="M20" i="21"/>
  <c r="Q19" i="21"/>
  <c r="L15" i="8"/>
  <c r="C14" i="24"/>
  <c r="G13" i="24"/>
  <c r="B19" i="23"/>
  <c r="G12" i="17"/>
  <c r="C13" i="17"/>
  <c r="M17" i="8"/>
  <c r="Q16" i="8"/>
  <c r="B16" i="27"/>
  <c r="Q13" i="19"/>
  <c r="M14" i="19"/>
  <c r="L16" i="20"/>
  <c r="M25" i="7" l="1"/>
  <c r="Q24" i="7"/>
  <c r="L15" i="4"/>
  <c r="L16" i="17"/>
  <c r="L15" i="21"/>
  <c r="C17" i="13"/>
  <c r="G16" i="13"/>
  <c r="B15" i="26"/>
  <c r="L15" i="11"/>
  <c r="M21" i="21"/>
  <c r="Q20" i="21"/>
  <c r="L16" i="25"/>
  <c r="Q16" i="3"/>
  <c r="M17" i="3"/>
  <c r="M16" i="14"/>
  <c r="Q15" i="14"/>
  <c r="M15" i="25"/>
  <c r="Q14" i="25"/>
  <c r="M15" i="26"/>
  <c r="Q14" i="26"/>
  <c r="M18" i="4"/>
  <c r="Q17" i="4"/>
  <c r="L16" i="26"/>
  <c r="B18" i="3"/>
  <c r="B17" i="27"/>
  <c r="L16" i="3"/>
  <c r="C24" i="25"/>
  <c r="G23" i="25"/>
  <c r="C36" i="14"/>
  <c r="G35" i="14"/>
  <c r="L15" i="13"/>
  <c r="L17" i="19"/>
  <c r="B14" i="17"/>
  <c r="B15" i="14"/>
  <c r="B15" i="7"/>
  <c r="C16" i="26"/>
  <c r="G15" i="26"/>
  <c r="L16" i="8"/>
  <c r="C19" i="15"/>
  <c r="G18" i="15"/>
  <c r="B14" i="9"/>
  <c r="L15" i="24"/>
  <c r="L16" i="15"/>
  <c r="M16" i="15"/>
  <c r="Q15" i="15"/>
  <c r="G13" i="17"/>
  <c r="C14" i="17"/>
  <c r="B15" i="21"/>
  <c r="B17" i="24"/>
  <c r="V31" i="24" a="1"/>
  <c r="V31" i="24" s="1"/>
  <c r="B15" i="13"/>
  <c r="C15" i="19"/>
  <c r="G14" i="19"/>
  <c r="M14" i="27"/>
  <c r="Q13" i="27"/>
  <c r="L17" i="20"/>
  <c r="G25" i="4"/>
  <c r="C26" i="4"/>
  <c r="L14" i="27"/>
  <c r="C15" i="7"/>
  <c r="G14" i="7"/>
  <c r="L15" i="23"/>
  <c r="C18" i="8"/>
  <c r="G17" i="8"/>
  <c r="C14" i="5"/>
  <c r="G13" i="5"/>
  <c r="C17" i="20"/>
  <c r="G16" i="20"/>
  <c r="B16" i="11"/>
  <c r="B16" i="15"/>
  <c r="M29" i="24"/>
  <c r="Q28" i="24"/>
  <c r="C16" i="21"/>
  <c r="G15" i="21"/>
  <c r="C14" i="9"/>
  <c r="G13" i="9"/>
  <c r="M16" i="13"/>
  <c r="Q15" i="13"/>
  <c r="B14" i="5"/>
  <c r="L15" i="7"/>
  <c r="M24" i="9"/>
  <c r="Q23" i="9"/>
  <c r="G14" i="3"/>
  <c r="C15" i="3"/>
  <c r="L14" i="14"/>
  <c r="B20" i="4"/>
  <c r="C15" i="24"/>
  <c r="G14" i="24"/>
  <c r="Q16" i="20"/>
  <c r="M17" i="20"/>
  <c r="L15" i="9"/>
  <c r="B15" i="25"/>
  <c r="B16" i="20"/>
  <c r="M16" i="23"/>
  <c r="Q15" i="23"/>
  <c r="M18" i="8"/>
  <c r="Q17" i="8"/>
  <c r="G18" i="11"/>
  <c r="C19" i="11"/>
  <c r="B15" i="19"/>
  <c r="M28" i="5"/>
  <c r="Q27" i="5"/>
  <c r="M15" i="19"/>
  <c r="Q14" i="19"/>
  <c r="B20" i="23"/>
  <c r="B17" i="8"/>
  <c r="V31" i="8" a="1"/>
  <c r="V31" i="8" s="1"/>
  <c r="C15" i="23"/>
  <c r="G14" i="23"/>
  <c r="C28" i="27"/>
  <c r="G27" i="27"/>
  <c r="L23" i="5"/>
  <c r="M14" i="17"/>
  <c r="Q13" i="17"/>
  <c r="M35" i="11"/>
  <c r="Q34" i="11"/>
  <c r="B17" i="20" l="1"/>
  <c r="C16" i="24"/>
  <c r="G15" i="24"/>
  <c r="Q24" i="9"/>
  <c r="M25" i="9"/>
  <c r="L17" i="17"/>
  <c r="C16" i="3"/>
  <c r="G15" i="3"/>
  <c r="B17" i="11"/>
  <c r="L16" i="11"/>
  <c r="B16" i="19"/>
  <c r="M16" i="26"/>
  <c r="Q15" i="26"/>
  <c r="C15" i="9"/>
  <c r="G14" i="9"/>
  <c r="G15" i="7"/>
  <c r="C16" i="7"/>
  <c r="C16" i="19"/>
  <c r="G15" i="19"/>
  <c r="M36" i="11"/>
  <c r="Q35" i="11"/>
  <c r="B21" i="23"/>
  <c r="C20" i="11"/>
  <c r="G19" i="11"/>
  <c r="B16" i="25"/>
  <c r="C18" i="20"/>
  <c r="G17" i="20"/>
  <c r="L17" i="15"/>
  <c r="C25" i="25"/>
  <c r="G24" i="25"/>
  <c r="B18" i="24"/>
  <c r="L16" i="21"/>
  <c r="L15" i="27"/>
  <c r="B18" i="27"/>
  <c r="B21" i="4"/>
  <c r="L16" i="24"/>
  <c r="L17" i="8"/>
  <c r="L16" i="4"/>
  <c r="L17" i="3"/>
  <c r="L18" i="19"/>
  <c r="L24" i="5"/>
  <c r="C27" i="4"/>
  <c r="G26" i="4"/>
  <c r="B19" i="3"/>
  <c r="M17" i="14"/>
  <c r="Q16" i="14"/>
  <c r="B15" i="17"/>
  <c r="C15" i="5"/>
  <c r="G14" i="5"/>
  <c r="Q18" i="8"/>
  <c r="M19" i="8"/>
  <c r="L16" i="13"/>
  <c r="C29" i="27"/>
  <c r="G28" i="27"/>
  <c r="L16" i="9"/>
  <c r="L16" i="7"/>
  <c r="M26" i="7"/>
  <c r="Q25" i="7"/>
  <c r="M19" i="4"/>
  <c r="Q18" i="4"/>
  <c r="M15" i="27"/>
  <c r="Q14" i="27"/>
  <c r="C17" i="21"/>
  <c r="G16" i="21"/>
  <c r="B15" i="5"/>
  <c r="C19" i="8"/>
  <c r="G18" i="8"/>
  <c r="B16" i="26"/>
  <c r="M16" i="25"/>
  <c r="Q15" i="25"/>
  <c r="M22" i="21"/>
  <c r="Q21" i="21"/>
  <c r="M15" i="17"/>
  <c r="Q14" i="17"/>
  <c r="Q15" i="19"/>
  <c r="M16" i="19"/>
  <c r="G14" i="17"/>
  <c r="C15" i="17"/>
  <c r="L15" i="14"/>
  <c r="M30" i="24"/>
  <c r="Q29" i="24"/>
  <c r="B16" i="13"/>
  <c r="M17" i="15"/>
  <c r="Q16" i="15"/>
  <c r="B15" i="9"/>
  <c r="L17" i="26"/>
  <c r="M17" i="13"/>
  <c r="Q16" i="13"/>
  <c r="C20" i="15"/>
  <c r="G19" i="15"/>
  <c r="M18" i="20"/>
  <c r="Q17" i="20"/>
  <c r="B17" i="15"/>
  <c r="L16" i="23"/>
  <c r="G16" i="26"/>
  <c r="C17" i="26"/>
  <c r="M18" i="3"/>
  <c r="Q17" i="3"/>
  <c r="L17" i="25"/>
  <c r="B18" i="8"/>
  <c r="B16" i="14"/>
  <c r="B16" i="21"/>
  <c r="M29" i="5"/>
  <c r="Q28" i="5"/>
  <c r="C16" i="23"/>
  <c r="G15" i="23"/>
  <c r="M17" i="23"/>
  <c r="Q16" i="23"/>
  <c r="W31" i="20" a="1"/>
  <c r="W31" i="20" s="1"/>
  <c r="L18" i="20"/>
  <c r="B16" i="7"/>
  <c r="C37" i="14"/>
  <c r="G36" i="14"/>
  <c r="C18" i="13"/>
  <c r="G17" i="13"/>
  <c r="C17" i="23" l="1"/>
  <c r="G16" i="23"/>
  <c r="B17" i="13"/>
  <c r="V31" i="13" a="1"/>
  <c r="V31" i="13" s="1"/>
  <c r="G15" i="17"/>
  <c r="C16" i="17"/>
  <c r="B16" i="5"/>
  <c r="L17" i="4"/>
  <c r="W33" i="4" a="1"/>
  <c r="W33" i="4" s="1"/>
  <c r="C17" i="19"/>
  <c r="G16" i="19"/>
  <c r="C16" i="5"/>
  <c r="G15" i="5"/>
  <c r="M18" i="15"/>
  <c r="Q17" i="15"/>
  <c r="L17" i="9"/>
  <c r="B17" i="7"/>
  <c r="M27" i="7"/>
  <c r="Q26" i="7"/>
  <c r="C30" i="27"/>
  <c r="G29" i="27"/>
  <c r="M18" i="14"/>
  <c r="Q17" i="14"/>
  <c r="L16" i="27"/>
  <c r="L18" i="15"/>
  <c r="G16" i="7"/>
  <c r="C17" i="7"/>
  <c r="L19" i="20"/>
  <c r="M30" i="5"/>
  <c r="Q29" i="5"/>
  <c r="B20" i="3"/>
  <c r="M17" i="26"/>
  <c r="Q16" i="26"/>
  <c r="C21" i="15"/>
  <c r="G20" i="15"/>
  <c r="L16" i="14"/>
  <c r="L18" i="8"/>
  <c r="L17" i="21"/>
  <c r="C19" i="20"/>
  <c r="G18" i="20"/>
  <c r="C18" i="26"/>
  <c r="G17" i="26"/>
  <c r="M18" i="13"/>
  <c r="Q17" i="13"/>
  <c r="G17" i="21"/>
  <c r="C18" i="21"/>
  <c r="Q19" i="8"/>
  <c r="M20" i="8"/>
  <c r="C28" i="4"/>
  <c r="G27" i="4"/>
  <c r="L17" i="11"/>
  <c r="W31" i="11" a="1"/>
  <c r="W31" i="11" s="1"/>
  <c r="C17" i="24"/>
  <c r="G16" i="24"/>
  <c r="C38" i="14"/>
  <c r="G37" i="14"/>
  <c r="M20" i="4"/>
  <c r="Q19" i="4"/>
  <c r="L17" i="24"/>
  <c r="G15" i="9"/>
  <c r="C16" i="9"/>
  <c r="C26" i="25"/>
  <c r="G25" i="25"/>
  <c r="M26" i="9"/>
  <c r="Q25" i="9"/>
  <c r="B17" i="21"/>
  <c r="M19" i="3"/>
  <c r="Q18" i="3"/>
  <c r="B17" i="19"/>
  <c r="B17" i="26"/>
  <c r="B16" i="17"/>
  <c r="V31" i="25" a="1"/>
  <c r="V31" i="25" s="1"/>
  <c r="B17" i="25"/>
  <c r="B17" i="14"/>
  <c r="L18" i="26"/>
  <c r="M16" i="17"/>
  <c r="Q15" i="17"/>
  <c r="B19" i="24"/>
  <c r="L17" i="23"/>
  <c r="G20" i="11"/>
  <c r="C21" i="11"/>
  <c r="B18" i="20"/>
  <c r="L17" i="13"/>
  <c r="M17" i="19"/>
  <c r="Q16" i="19"/>
  <c r="C19" i="13"/>
  <c r="G18" i="13"/>
  <c r="M18" i="23"/>
  <c r="Q17" i="23"/>
  <c r="M23" i="21"/>
  <c r="Q22" i="21"/>
  <c r="L25" i="5"/>
  <c r="B19" i="27"/>
  <c r="B19" i="8"/>
  <c r="L19" i="19"/>
  <c r="B22" i="23"/>
  <c r="B18" i="11"/>
  <c r="C20" i="8"/>
  <c r="G19" i="8"/>
  <c r="W33" i="3" a="1"/>
  <c r="W33" i="3" s="1"/>
  <c r="L18" i="3"/>
  <c r="M31" i="24"/>
  <c r="Q30" i="24"/>
  <c r="B18" i="15"/>
  <c r="M17" i="25"/>
  <c r="Q16" i="25"/>
  <c r="L17" i="7"/>
  <c r="B22" i="4"/>
  <c r="M19" i="20"/>
  <c r="Q18" i="20"/>
  <c r="W31" i="17" a="1"/>
  <c r="W31" i="17" s="1"/>
  <c r="L18" i="17"/>
  <c r="L18" i="25"/>
  <c r="B16" i="9"/>
  <c r="Q15" i="27"/>
  <c r="M16" i="27"/>
  <c r="M37" i="11"/>
  <c r="Q36" i="11"/>
  <c r="C17" i="3"/>
  <c r="G16" i="3"/>
  <c r="G18" i="26" l="1"/>
  <c r="C19" i="26"/>
  <c r="M18" i="26"/>
  <c r="Q17" i="26"/>
  <c r="B18" i="13"/>
  <c r="C21" i="8"/>
  <c r="G20" i="8"/>
  <c r="C29" i="4"/>
  <c r="G28" i="4"/>
  <c r="L18" i="7"/>
  <c r="B20" i="24"/>
  <c r="V31" i="17" a="1"/>
  <c r="V31" i="17" s="1"/>
  <c r="B17" i="17"/>
  <c r="M27" i="9"/>
  <c r="Q26" i="9"/>
  <c r="M21" i="8"/>
  <c r="Q20" i="8"/>
  <c r="B21" i="3"/>
  <c r="B18" i="7"/>
  <c r="C18" i="19"/>
  <c r="G17" i="19"/>
  <c r="C18" i="3"/>
  <c r="G17" i="3"/>
  <c r="M18" i="25"/>
  <c r="Q17" i="25"/>
  <c r="B19" i="11"/>
  <c r="M24" i="21"/>
  <c r="Q23" i="21"/>
  <c r="B19" i="20"/>
  <c r="M21" i="4"/>
  <c r="Q20" i="4"/>
  <c r="C18" i="7"/>
  <c r="G17" i="7"/>
  <c r="M19" i="23"/>
  <c r="Q18" i="23"/>
  <c r="C22" i="11"/>
  <c r="G21" i="11"/>
  <c r="B18" i="26"/>
  <c r="V31" i="26" a="1"/>
  <c r="V31" i="26" s="1"/>
  <c r="W31" i="21" a="1"/>
  <c r="W31" i="21" s="1"/>
  <c r="L18" i="21"/>
  <c r="W31" i="9" a="1"/>
  <c r="W31" i="9" s="1"/>
  <c r="L18" i="9"/>
  <c r="B18" i="25"/>
  <c r="L26" i="5"/>
  <c r="B18" i="21"/>
  <c r="C39" i="14"/>
  <c r="G38" i="14"/>
  <c r="C20" i="20"/>
  <c r="G19" i="20"/>
  <c r="L19" i="15"/>
  <c r="L18" i="4"/>
  <c r="B19" i="15"/>
  <c r="G18" i="21"/>
  <c r="C19" i="21"/>
  <c r="L19" i="25"/>
  <c r="L19" i="3"/>
  <c r="M20" i="3"/>
  <c r="Q19" i="3"/>
  <c r="M31" i="5"/>
  <c r="Q30" i="5"/>
  <c r="M17" i="17"/>
  <c r="Q16" i="17"/>
  <c r="L19" i="8"/>
  <c r="L17" i="27"/>
  <c r="C18" i="23"/>
  <c r="G17" i="23"/>
  <c r="L20" i="19"/>
  <c r="B20" i="27"/>
  <c r="C20" i="13"/>
  <c r="G19" i="13"/>
  <c r="L19" i="26"/>
  <c r="C17" i="9"/>
  <c r="G16" i="9"/>
  <c r="M19" i="15"/>
  <c r="Q18" i="15"/>
  <c r="B23" i="23"/>
  <c r="C18" i="24"/>
  <c r="G17" i="24"/>
  <c r="L17" i="14"/>
  <c r="M19" i="14"/>
  <c r="Q18" i="14"/>
  <c r="L19" i="17"/>
  <c r="M38" i="11"/>
  <c r="Q37" i="11"/>
  <c r="M20" i="20"/>
  <c r="Q19" i="20"/>
  <c r="B20" i="8"/>
  <c r="C27" i="25"/>
  <c r="G26" i="25"/>
  <c r="M17" i="27"/>
  <c r="Q16" i="27"/>
  <c r="B23" i="4"/>
  <c r="M18" i="19"/>
  <c r="Q17" i="19"/>
  <c r="B18" i="19"/>
  <c r="L18" i="24"/>
  <c r="B17" i="5"/>
  <c r="V33" i="5" a="1"/>
  <c r="V33" i="5" s="1"/>
  <c r="M19" i="13"/>
  <c r="Q18" i="13"/>
  <c r="M28" i="7"/>
  <c r="Q27" i="7"/>
  <c r="L20" i="20"/>
  <c r="V31" i="9" a="1"/>
  <c r="V31" i="9" s="1"/>
  <c r="B17" i="9"/>
  <c r="M32" i="24"/>
  <c r="Q31" i="24"/>
  <c r="W31" i="13" a="1"/>
  <c r="W31" i="13" s="1"/>
  <c r="L18" i="13"/>
  <c r="L18" i="23"/>
  <c r="B18" i="14"/>
  <c r="C31" i="27"/>
  <c r="G30" i="27"/>
  <c r="C17" i="5"/>
  <c r="G16" i="5"/>
  <c r="L18" i="11"/>
  <c r="C22" i="15"/>
  <c r="G21" i="15"/>
  <c r="G16" i="17"/>
  <c r="C17" i="17"/>
  <c r="V31" i="21" l="1" a="1"/>
  <c r="V31" i="21" s="1"/>
  <c r="B19" i="21"/>
  <c r="M39" i="11"/>
  <c r="Q38" i="11"/>
  <c r="L21" i="20"/>
  <c r="B21" i="27"/>
  <c r="M32" i="5"/>
  <c r="Q31" i="5"/>
  <c r="C19" i="7"/>
  <c r="G18" i="7"/>
  <c r="C21" i="13"/>
  <c r="G20" i="13"/>
  <c r="B21" i="24"/>
  <c r="L19" i="23"/>
  <c r="L19" i="13"/>
  <c r="L19" i="24"/>
  <c r="B24" i="23"/>
  <c r="C19" i="19"/>
  <c r="G18" i="19"/>
  <c r="M29" i="7"/>
  <c r="Q28" i="7"/>
  <c r="L21" i="19"/>
  <c r="M21" i="3"/>
  <c r="Q20" i="3"/>
  <c r="B19" i="26"/>
  <c r="B19" i="7"/>
  <c r="B22" i="3"/>
  <c r="M20" i="15"/>
  <c r="Q19" i="15"/>
  <c r="L20" i="25"/>
  <c r="G20" i="20"/>
  <c r="C21" i="20"/>
  <c r="L19" i="7"/>
  <c r="M19" i="19"/>
  <c r="Q18" i="19"/>
  <c r="B19" i="14"/>
  <c r="C19" i="24"/>
  <c r="G18" i="24"/>
  <c r="B20" i="15"/>
  <c r="L19" i="4"/>
  <c r="C19" i="3"/>
  <c r="G18" i="3"/>
  <c r="B19" i="25"/>
  <c r="M22" i="4"/>
  <c r="Q21" i="4"/>
  <c r="B20" i="20"/>
  <c r="M18" i="17"/>
  <c r="Q17" i="17"/>
  <c r="C23" i="11"/>
  <c r="G22" i="11"/>
  <c r="G17" i="17"/>
  <c r="C18" i="17"/>
  <c r="M20" i="23"/>
  <c r="Q19" i="23"/>
  <c r="M25" i="21"/>
  <c r="Q24" i="21"/>
  <c r="Q21" i="8"/>
  <c r="M22" i="8"/>
  <c r="M19" i="26"/>
  <c r="Q18" i="26"/>
  <c r="C18" i="5"/>
  <c r="G17" i="5"/>
  <c r="M33" i="24"/>
  <c r="Q32" i="24"/>
  <c r="B18" i="5"/>
  <c r="B24" i="4"/>
  <c r="C28" i="25"/>
  <c r="G27" i="25"/>
  <c r="C40" i="14"/>
  <c r="G39" i="14"/>
  <c r="C20" i="26"/>
  <c r="G19" i="26"/>
  <c r="Q17" i="27"/>
  <c r="M18" i="27"/>
  <c r="L20" i="8"/>
  <c r="L19" i="11"/>
  <c r="B19" i="19"/>
  <c r="L20" i="15"/>
  <c r="G21" i="8"/>
  <c r="C22" i="8"/>
  <c r="M20" i="13"/>
  <c r="Q19" i="13"/>
  <c r="L20" i="17"/>
  <c r="L20" i="3"/>
  <c r="B19" i="13"/>
  <c r="B18" i="9"/>
  <c r="L19" i="9"/>
  <c r="C20" i="21"/>
  <c r="G19" i="21"/>
  <c r="B20" i="11"/>
  <c r="M28" i="9"/>
  <c r="Q27" i="9"/>
  <c r="M21" i="20"/>
  <c r="Q20" i="20"/>
  <c r="C32" i="27"/>
  <c r="G31" i="27"/>
  <c r="M20" i="14"/>
  <c r="Q19" i="14"/>
  <c r="C19" i="23"/>
  <c r="G18" i="23"/>
  <c r="L19" i="21"/>
  <c r="B18" i="17"/>
  <c r="C30" i="4"/>
  <c r="G29" i="4"/>
  <c r="M19" i="25"/>
  <c r="Q18" i="25"/>
  <c r="L27" i="5"/>
  <c r="B21" i="8"/>
  <c r="C18" i="9"/>
  <c r="G17" i="9"/>
  <c r="G22" i="15"/>
  <c r="C23" i="15"/>
  <c r="W31" i="14" a="1"/>
  <c r="W31" i="14" s="1"/>
  <c r="L18" i="14"/>
  <c r="L20" i="26"/>
  <c r="L18" i="27"/>
  <c r="B20" i="25" l="1"/>
  <c r="B22" i="24"/>
  <c r="C21" i="21"/>
  <c r="G20" i="21"/>
  <c r="M20" i="26"/>
  <c r="Q19" i="26"/>
  <c r="B21" i="15"/>
  <c r="C41" i="14"/>
  <c r="G40" i="14"/>
  <c r="C19" i="17"/>
  <c r="G18" i="17"/>
  <c r="M22" i="3"/>
  <c r="Q21" i="3"/>
  <c r="C22" i="13"/>
  <c r="G21" i="13"/>
  <c r="L22" i="20"/>
  <c r="M21" i="14"/>
  <c r="Q20" i="14"/>
  <c r="B20" i="19"/>
  <c r="L19" i="14"/>
  <c r="L21" i="25"/>
  <c r="B20" i="14"/>
  <c r="L22" i="19"/>
  <c r="M40" i="11"/>
  <c r="Q39" i="11"/>
  <c r="C21" i="26"/>
  <c r="G20" i="26"/>
  <c r="C19" i="5"/>
  <c r="G18" i="5"/>
  <c r="B19" i="9"/>
  <c r="M20" i="25"/>
  <c r="Q19" i="25"/>
  <c r="C22" i="20"/>
  <c r="G21" i="20"/>
  <c r="L20" i="11"/>
  <c r="C29" i="25"/>
  <c r="G28" i="25"/>
  <c r="L21" i="3"/>
  <c r="L21" i="8"/>
  <c r="M26" i="21"/>
  <c r="Q25" i="21"/>
  <c r="C24" i="15"/>
  <c r="G23" i="15"/>
  <c r="L20" i="21"/>
  <c r="M22" i="20"/>
  <c r="Q21" i="20"/>
  <c r="B25" i="4"/>
  <c r="Q18" i="17"/>
  <c r="M19" i="17"/>
  <c r="M20" i="19"/>
  <c r="Q19" i="19"/>
  <c r="B20" i="21"/>
  <c r="L20" i="7"/>
  <c r="B20" i="26"/>
  <c r="C20" i="23"/>
  <c r="G19" i="23"/>
  <c r="B22" i="27"/>
  <c r="B19" i="17"/>
  <c r="B20" i="13"/>
  <c r="C24" i="11"/>
  <c r="G23" i="11"/>
  <c r="L21" i="17"/>
  <c r="M19" i="27"/>
  <c r="Q18" i="27"/>
  <c r="B19" i="5"/>
  <c r="M21" i="23"/>
  <c r="Q20" i="23"/>
  <c r="M21" i="15"/>
  <c r="Q20" i="15"/>
  <c r="B20" i="7"/>
  <c r="M30" i="7"/>
  <c r="Q29" i="7"/>
  <c r="L20" i="24"/>
  <c r="C20" i="7"/>
  <c r="G19" i="7"/>
  <c r="B21" i="11"/>
  <c r="L21" i="15"/>
  <c r="L19" i="27"/>
  <c r="L21" i="26"/>
  <c r="C31" i="4"/>
  <c r="G30" i="4"/>
  <c r="C20" i="24"/>
  <c r="G19" i="24"/>
  <c r="B23" i="3"/>
  <c r="L20" i="23"/>
  <c r="M23" i="4"/>
  <c r="Q22" i="4"/>
  <c r="C20" i="19"/>
  <c r="G19" i="19"/>
  <c r="L28" i="5"/>
  <c r="C33" i="27"/>
  <c r="G32" i="27"/>
  <c r="C19" i="9"/>
  <c r="G18" i="9"/>
  <c r="M29" i="9"/>
  <c r="Q28" i="9"/>
  <c r="M21" i="13"/>
  <c r="Q20" i="13"/>
  <c r="B21" i="20"/>
  <c r="C20" i="3"/>
  <c r="G19" i="3"/>
  <c r="L20" i="13"/>
  <c r="M33" i="5"/>
  <c r="Q32" i="5"/>
  <c r="B25" i="23"/>
  <c r="M23" i="8"/>
  <c r="Q22" i="8"/>
  <c r="L20" i="9"/>
  <c r="B22" i="8"/>
  <c r="G22" i="8"/>
  <c r="C23" i="8"/>
  <c r="M34" i="24"/>
  <c r="Q33" i="24"/>
  <c r="L20" i="4"/>
  <c r="B20" i="17" l="1"/>
  <c r="C30" i="25"/>
  <c r="G29" i="25"/>
  <c r="C21" i="24"/>
  <c r="G20" i="24"/>
  <c r="M22" i="23"/>
  <c r="Q21" i="23"/>
  <c r="C34" i="27"/>
  <c r="G33" i="27"/>
  <c r="C24" i="8"/>
  <c r="G23" i="8"/>
  <c r="C20" i="5"/>
  <c r="G19" i="5"/>
  <c r="B21" i="19"/>
  <c r="C21" i="19"/>
  <c r="G20" i="19"/>
  <c r="B22" i="11"/>
  <c r="B20" i="5"/>
  <c r="C25" i="15"/>
  <c r="G24" i="15"/>
  <c r="M22" i="13"/>
  <c r="Q21" i="13"/>
  <c r="M21" i="19"/>
  <c r="Q20" i="19"/>
  <c r="L21" i="11"/>
  <c r="C42" i="14"/>
  <c r="G41" i="14"/>
  <c r="B24" i="3"/>
  <c r="C22" i="21"/>
  <c r="G21" i="21"/>
  <c r="M30" i="9"/>
  <c r="Q29" i="9"/>
  <c r="C21" i="7"/>
  <c r="G20" i="7"/>
  <c r="M20" i="27"/>
  <c r="Q19" i="27"/>
  <c r="M34" i="5"/>
  <c r="Q33" i="5"/>
  <c r="Q19" i="17"/>
  <c r="M20" i="17"/>
  <c r="C20" i="9"/>
  <c r="G19" i="9"/>
  <c r="L22" i="17"/>
  <c r="C21" i="23"/>
  <c r="G20" i="23"/>
  <c r="C23" i="20"/>
  <c r="G22" i="20"/>
  <c r="L23" i="20"/>
  <c r="B23" i="27"/>
  <c r="Q22" i="20"/>
  <c r="M23" i="20"/>
  <c r="L22" i="15"/>
  <c r="M21" i="26"/>
  <c r="Q20" i="26"/>
  <c r="L29" i="5"/>
  <c r="C22" i="26"/>
  <c r="G21" i="26"/>
  <c r="M22" i="14"/>
  <c r="Q21" i="14"/>
  <c r="L21" i="23"/>
  <c r="C32" i="4"/>
  <c r="G31" i="4"/>
  <c r="L22" i="25"/>
  <c r="B23" i="24"/>
  <c r="L21" i="4"/>
  <c r="L22" i="26"/>
  <c r="L21" i="24"/>
  <c r="L21" i="13"/>
  <c r="M27" i="21"/>
  <c r="Q26" i="21"/>
  <c r="L21" i="9"/>
  <c r="M31" i="7"/>
  <c r="Q30" i="7"/>
  <c r="B21" i="26"/>
  <c r="B26" i="4"/>
  <c r="M21" i="25"/>
  <c r="Q20" i="25"/>
  <c r="M41" i="11"/>
  <c r="Q40" i="11"/>
  <c r="C23" i="13"/>
  <c r="G22" i="13"/>
  <c r="B22" i="20"/>
  <c r="L21" i="21"/>
  <c r="C20" i="17"/>
  <c r="G19" i="17"/>
  <c r="B23" i="8"/>
  <c r="M24" i="4"/>
  <c r="Q23" i="4"/>
  <c r="B21" i="7"/>
  <c r="C25" i="11"/>
  <c r="G24" i="11"/>
  <c r="L22" i="8"/>
  <c r="B20" i="9"/>
  <c r="L23" i="19"/>
  <c r="B22" i="15"/>
  <c r="M23" i="3"/>
  <c r="Q22" i="3"/>
  <c r="M35" i="24"/>
  <c r="Q34" i="24"/>
  <c r="M24" i="8"/>
  <c r="Q23" i="8"/>
  <c r="B21" i="25"/>
  <c r="L21" i="7"/>
  <c r="L22" i="3"/>
  <c r="B26" i="23"/>
  <c r="C21" i="3"/>
  <c r="G20" i="3"/>
  <c r="L20" i="27"/>
  <c r="M22" i="15"/>
  <c r="Q21" i="15"/>
  <c r="B21" i="13"/>
  <c r="B21" i="21"/>
  <c r="B21" i="14"/>
  <c r="L20" i="14"/>
  <c r="M23" i="14" l="1"/>
  <c r="Q22" i="14"/>
  <c r="L23" i="3"/>
  <c r="L22" i="4"/>
  <c r="L21" i="27"/>
  <c r="B22" i="19"/>
  <c r="L21" i="14"/>
  <c r="C22" i="3"/>
  <c r="G21" i="3"/>
  <c r="M28" i="21"/>
  <c r="Q27" i="21"/>
  <c r="L30" i="5"/>
  <c r="L24" i="20"/>
  <c r="M22" i="19"/>
  <c r="Q21" i="19"/>
  <c r="B22" i="26"/>
  <c r="L22" i="21"/>
  <c r="B23" i="20"/>
  <c r="M21" i="17"/>
  <c r="Q20" i="17"/>
  <c r="L23" i="25"/>
  <c r="B21" i="9"/>
  <c r="M35" i="5"/>
  <c r="Q34" i="5"/>
  <c r="B21" i="5"/>
  <c r="C24" i="13"/>
  <c r="G23" i="13"/>
  <c r="M22" i="26"/>
  <c r="Q21" i="26"/>
  <c r="B23" i="11"/>
  <c r="M23" i="23"/>
  <c r="Q22" i="23"/>
  <c r="B22" i="14"/>
  <c r="L23" i="8"/>
  <c r="M25" i="4"/>
  <c r="Q24" i="4"/>
  <c r="L22" i="9"/>
  <c r="C21" i="5"/>
  <c r="G20" i="5"/>
  <c r="C22" i="23"/>
  <c r="G21" i="23"/>
  <c r="C35" i="27"/>
  <c r="G34" i="27"/>
  <c r="M23" i="13"/>
  <c r="Q22" i="13"/>
  <c r="C22" i="24"/>
  <c r="G21" i="24"/>
  <c r="C21" i="17"/>
  <c r="G20" i="17"/>
  <c r="L24" i="19"/>
  <c r="B22" i="21"/>
  <c r="C26" i="11"/>
  <c r="G25" i="11"/>
  <c r="B24" i="8"/>
  <c r="L22" i="13"/>
  <c r="L23" i="26"/>
  <c r="Q22" i="15"/>
  <c r="M23" i="15"/>
  <c r="M42" i="11"/>
  <c r="Q41" i="11"/>
  <c r="B25" i="3"/>
  <c r="C23" i="21"/>
  <c r="G22" i="21"/>
  <c r="C26" i="15"/>
  <c r="G25" i="15"/>
  <c r="B22" i="25"/>
  <c r="B27" i="23"/>
  <c r="M25" i="8"/>
  <c r="Q24" i="8"/>
  <c r="C33" i="4"/>
  <c r="G32" i="4"/>
  <c r="G23" i="20"/>
  <c r="C24" i="20"/>
  <c r="M36" i="24"/>
  <c r="Q35" i="24"/>
  <c r="B22" i="7"/>
  <c r="M22" i="25"/>
  <c r="Q21" i="25"/>
  <c r="L22" i="24"/>
  <c r="L22" i="23"/>
  <c r="L23" i="15"/>
  <c r="B22" i="13"/>
  <c r="B27" i="4"/>
  <c r="C22" i="19"/>
  <c r="G21" i="19"/>
  <c r="M24" i="3"/>
  <c r="Q23" i="3"/>
  <c r="M24" i="20"/>
  <c r="Q23" i="20"/>
  <c r="M21" i="27"/>
  <c r="Q20" i="27"/>
  <c r="C43" i="14"/>
  <c r="G42" i="14"/>
  <c r="C31" i="25"/>
  <c r="G30" i="25"/>
  <c r="C22" i="7"/>
  <c r="G21" i="7"/>
  <c r="B23" i="15"/>
  <c r="C23" i="26"/>
  <c r="G22" i="26"/>
  <c r="C25" i="8"/>
  <c r="G24" i="8"/>
  <c r="L23" i="17"/>
  <c r="Q30" i="9"/>
  <c r="M31" i="9"/>
  <c r="L22" i="7"/>
  <c r="M32" i="7"/>
  <c r="Q31" i="7"/>
  <c r="B24" i="24"/>
  <c r="B24" i="27"/>
  <c r="C21" i="9"/>
  <c r="G20" i="9"/>
  <c r="L22" i="11"/>
  <c r="B21" i="17"/>
  <c r="B25" i="24" l="1"/>
  <c r="B22" i="17"/>
  <c r="M32" i="9"/>
  <c r="Q31" i="9"/>
  <c r="M25" i="3"/>
  <c r="Q24" i="3"/>
  <c r="Q23" i="15"/>
  <c r="M24" i="15"/>
  <c r="L22" i="14"/>
  <c r="L23" i="9"/>
  <c r="B23" i="19"/>
  <c r="B24" i="15"/>
  <c r="L25" i="19"/>
  <c r="Q23" i="13"/>
  <c r="M24" i="13"/>
  <c r="B22" i="9"/>
  <c r="M23" i="19"/>
  <c r="Q22" i="19"/>
  <c r="G23" i="21"/>
  <c r="C24" i="21"/>
  <c r="L24" i="26"/>
  <c r="B23" i="7"/>
  <c r="C23" i="24"/>
  <c r="G22" i="24"/>
  <c r="C25" i="20"/>
  <c r="G24" i="20"/>
  <c r="L24" i="25"/>
  <c r="L23" i="7"/>
  <c r="L24" i="15"/>
  <c r="M23" i="26"/>
  <c r="Q22" i="26"/>
  <c r="L25" i="20"/>
  <c r="B23" i="13"/>
  <c r="M37" i="24"/>
  <c r="Q36" i="24"/>
  <c r="C44" i="14"/>
  <c r="G43" i="14"/>
  <c r="C27" i="15"/>
  <c r="G26" i="15"/>
  <c r="C36" i="27"/>
  <c r="G35" i="27"/>
  <c r="L23" i="11"/>
  <c r="M22" i="27"/>
  <c r="Q21" i="27"/>
  <c r="C23" i="19"/>
  <c r="G22" i="19"/>
  <c r="B26" i="3"/>
  <c r="M33" i="7"/>
  <c r="Q32" i="7"/>
  <c r="M26" i="4"/>
  <c r="Q25" i="4"/>
  <c r="L23" i="13"/>
  <c r="C23" i="23"/>
  <c r="G22" i="23"/>
  <c r="L24" i="8"/>
  <c r="L22" i="27"/>
  <c r="L23" i="23"/>
  <c r="C25" i="13"/>
  <c r="G24" i="13"/>
  <c r="M22" i="17"/>
  <c r="Q21" i="17"/>
  <c r="L31" i="5"/>
  <c r="L24" i="17"/>
  <c r="C34" i="4"/>
  <c r="G33" i="4"/>
  <c r="B25" i="8"/>
  <c r="B24" i="20"/>
  <c r="C24" i="26"/>
  <c r="G23" i="26"/>
  <c r="C23" i="7"/>
  <c r="G22" i="7"/>
  <c r="C22" i="17"/>
  <c r="G21" i="17"/>
  <c r="G21" i="5"/>
  <c r="C22" i="5"/>
  <c r="B23" i="14"/>
  <c r="M29" i="21"/>
  <c r="Q28" i="21"/>
  <c r="L23" i="4"/>
  <c r="B23" i="25"/>
  <c r="C22" i="9"/>
  <c r="G21" i="9"/>
  <c r="M25" i="20"/>
  <c r="Q24" i="20"/>
  <c r="L23" i="24"/>
  <c r="M26" i="8"/>
  <c r="Q25" i="8"/>
  <c r="C27" i="11"/>
  <c r="G26" i="11"/>
  <c r="C32" i="25"/>
  <c r="G31" i="25"/>
  <c r="B25" i="27"/>
  <c r="B28" i="4"/>
  <c r="B28" i="23"/>
  <c r="M43" i="11"/>
  <c r="Q42" i="11"/>
  <c r="M24" i="23"/>
  <c r="Q23" i="23"/>
  <c r="B22" i="5"/>
  <c r="L23" i="21"/>
  <c r="L24" i="3"/>
  <c r="G22" i="3"/>
  <c r="C23" i="3"/>
  <c r="C26" i="8"/>
  <c r="G25" i="8"/>
  <c r="M23" i="25"/>
  <c r="Q22" i="25"/>
  <c r="B23" i="21"/>
  <c r="B24" i="11"/>
  <c r="M36" i="5"/>
  <c r="Q35" i="5"/>
  <c r="B23" i="26"/>
  <c r="M24" i="14"/>
  <c r="Q23" i="14"/>
  <c r="C26" i="13" l="1"/>
  <c r="G25" i="13"/>
  <c r="L25" i="8"/>
  <c r="C24" i="19"/>
  <c r="G23" i="19"/>
  <c r="B24" i="13"/>
  <c r="L24" i="7"/>
  <c r="B27" i="3"/>
  <c r="B24" i="7"/>
  <c r="C33" i="25"/>
  <c r="G32" i="25"/>
  <c r="B26" i="8"/>
  <c r="C24" i="23"/>
  <c r="G23" i="23"/>
  <c r="M23" i="27"/>
  <c r="Q22" i="27"/>
  <c r="M25" i="13"/>
  <c r="Q24" i="13"/>
  <c r="L24" i="9"/>
  <c r="B24" i="26"/>
  <c r="B29" i="4"/>
  <c r="L26" i="20"/>
  <c r="L25" i="26"/>
  <c r="Q25" i="3"/>
  <c r="M26" i="3"/>
  <c r="M44" i="11"/>
  <c r="Q43" i="11"/>
  <c r="B29" i="23"/>
  <c r="W31" i="19" a="1"/>
  <c r="W31" i="19" s="1"/>
  <c r="L26" i="19"/>
  <c r="G34" i="4"/>
  <c r="C35" i="4"/>
  <c r="C25" i="21"/>
  <c r="G24" i="21"/>
  <c r="C23" i="5"/>
  <c r="G22" i="5"/>
  <c r="B25" i="20"/>
  <c r="M38" i="24"/>
  <c r="Q37" i="24"/>
  <c r="M26" i="20"/>
  <c r="Q25" i="20"/>
  <c r="C28" i="11"/>
  <c r="G27" i="11"/>
  <c r="L24" i="13"/>
  <c r="M25" i="14"/>
  <c r="Q24" i="14"/>
  <c r="C24" i="3"/>
  <c r="G23" i="3"/>
  <c r="Q36" i="5"/>
  <c r="M37" i="5"/>
  <c r="C24" i="7"/>
  <c r="G23" i="7"/>
  <c r="L24" i="23"/>
  <c r="M27" i="4"/>
  <c r="Q26" i="4"/>
  <c r="L24" i="11"/>
  <c r="Q23" i="26"/>
  <c r="M24" i="26"/>
  <c r="L25" i="25"/>
  <c r="M27" i="8"/>
  <c r="Q26" i="8"/>
  <c r="B24" i="25"/>
  <c r="L25" i="3"/>
  <c r="B25" i="11"/>
  <c r="L25" i="17"/>
  <c r="C37" i="27"/>
  <c r="G36" i="27"/>
  <c r="L23" i="14"/>
  <c r="M33" i="9"/>
  <c r="Q32" i="9"/>
  <c r="M23" i="17"/>
  <c r="Q22" i="17"/>
  <c r="B24" i="19"/>
  <c r="B23" i="9"/>
  <c r="G26" i="8"/>
  <c r="C27" i="8"/>
  <c r="C23" i="9"/>
  <c r="G22" i="9"/>
  <c r="C23" i="17"/>
  <c r="G22" i="17"/>
  <c r="L24" i="21"/>
  <c r="C26" i="20"/>
  <c r="G25" i="20"/>
  <c r="B25" i="15"/>
  <c r="Q24" i="15"/>
  <c r="M25" i="15"/>
  <c r="M24" i="25"/>
  <c r="Q23" i="25"/>
  <c r="L24" i="4"/>
  <c r="L25" i="15"/>
  <c r="B24" i="21"/>
  <c r="B23" i="5"/>
  <c r="C25" i="26"/>
  <c r="G24" i="26"/>
  <c r="M34" i="7"/>
  <c r="Q33" i="7"/>
  <c r="G27" i="15"/>
  <c r="C28" i="15"/>
  <c r="B23" i="17"/>
  <c r="B26" i="24"/>
  <c r="B26" i="27"/>
  <c r="M30" i="21"/>
  <c r="Q29" i="21"/>
  <c r="L23" i="27"/>
  <c r="L32" i="5"/>
  <c r="C45" i="14"/>
  <c r="G44" i="14"/>
  <c r="C24" i="24"/>
  <c r="G23" i="24"/>
  <c r="M25" i="23"/>
  <c r="Q24" i="23"/>
  <c r="L24" i="24"/>
  <c r="B24" i="14"/>
  <c r="M24" i="19"/>
  <c r="Q23" i="19"/>
  <c r="L24" i="27" l="1"/>
  <c r="C27" i="20"/>
  <c r="G26" i="20"/>
  <c r="B25" i="19"/>
  <c r="C29" i="15"/>
  <c r="G28" i="15"/>
  <c r="M25" i="26"/>
  <c r="Q24" i="26"/>
  <c r="C29" i="11"/>
  <c r="G28" i="11"/>
  <c r="B28" i="3"/>
  <c r="Q30" i="21"/>
  <c r="M31" i="21"/>
  <c r="L26" i="15"/>
  <c r="B26" i="15"/>
  <c r="B27" i="27"/>
  <c r="G24" i="24"/>
  <c r="C25" i="24"/>
  <c r="C38" i="27"/>
  <c r="G37" i="27"/>
  <c r="M24" i="27"/>
  <c r="Q23" i="27"/>
  <c r="Q44" i="11"/>
  <c r="M45" i="11"/>
  <c r="L25" i="7"/>
  <c r="L25" i="23"/>
  <c r="M27" i="20"/>
  <c r="Q26" i="20"/>
  <c r="L26" i="3"/>
  <c r="Q26" i="3"/>
  <c r="M27" i="3"/>
  <c r="C26" i="26"/>
  <c r="G25" i="26"/>
  <c r="B25" i="25"/>
  <c r="B27" i="8"/>
  <c r="B25" i="13"/>
  <c r="B25" i="14"/>
  <c r="G23" i="17"/>
  <c r="C24" i="17"/>
  <c r="M34" i="9"/>
  <c r="Q33" i="9"/>
  <c r="M26" i="14"/>
  <c r="Q25" i="14"/>
  <c r="C36" i="4"/>
  <c r="G35" i="4"/>
  <c r="B25" i="26"/>
  <c r="L25" i="4"/>
  <c r="C26" i="21"/>
  <c r="G25" i="21"/>
  <c r="B30" i="23"/>
  <c r="C46" i="14"/>
  <c r="G45" i="14"/>
  <c r="L33" i="5"/>
  <c r="L25" i="21"/>
  <c r="C25" i="3"/>
  <c r="G24" i="3"/>
  <c r="L25" i="24"/>
  <c r="Q24" i="25"/>
  <c r="M25" i="25"/>
  <c r="M28" i="8"/>
  <c r="Q27" i="8"/>
  <c r="C25" i="7"/>
  <c r="G24" i="7"/>
  <c r="W31" i="26" a="1"/>
  <c r="W31" i="26" s="1"/>
  <c r="L26" i="26"/>
  <c r="L25" i="11"/>
  <c r="M24" i="17"/>
  <c r="Q23" i="17"/>
  <c r="Q25" i="15"/>
  <c r="M26" i="15"/>
  <c r="L24" i="14"/>
  <c r="M39" i="24"/>
  <c r="Q38" i="24"/>
  <c r="C25" i="19"/>
  <c r="G24" i="19"/>
  <c r="M35" i="7"/>
  <c r="Q34" i="7"/>
  <c r="B30" i="4"/>
  <c r="M25" i="19"/>
  <c r="Q24" i="19"/>
  <c r="B26" i="20"/>
  <c r="L27" i="20"/>
  <c r="L25" i="9"/>
  <c r="M28" i="4"/>
  <c r="Q27" i="4"/>
  <c r="B24" i="5"/>
  <c r="B25" i="21"/>
  <c r="C34" i="25"/>
  <c r="G33" i="25"/>
  <c r="L26" i="8"/>
  <c r="W31" i="8" a="1"/>
  <c r="W31" i="8" s="1"/>
  <c r="C25" i="23"/>
  <c r="G24" i="23"/>
  <c r="L26" i="17"/>
  <c r="C24" i="9"/>
  <c r="G23" i="9"/>
  <c r="C28" i="8"/>
  <c r="G27" i="8"/>
  <c r="B26" i="11"/>
  <c r="M26" i="23"/>
  <c r="Q25" i="23"/>
  <c r="B24" i="9"/>
  <c r="M38" i="5"/>
  <c r="Q37" i="5"/>
  <c r="M26" i="13"/>
  <c r="Q25" i="13"/>
  <c r="B27" i="24"/>
  <c r="B24" i="17"/>
  <c r="W31" i="25" a="1"/>
  <c r="W31" i="25" s="1"/>
  <c r="L26" i="25"/>
  <c r="L25" i="13"/>
  <c r="C24" i="5"/>
  <c r="G23" i="5"/>
  <c r="L27" i="19"/>
  <c r="B25" i="7"/>
  <c r="C27" i="13"/>
  <c r="G26" i="13"/>
  <c r="L25" i="14" l="1"/>
  <c r="M46" i="11"/>
  <c r="Q45" i="11"/>
  <c r="C25" i="17"/>
  <c r="G24" i="17"/>
  <c r="L27" i="26"/>
  <c r="C26" i="3"/>
  <c r="G25" i="3"/>
  <c r="L26" i="4"/>
  <c r="B26" i="25"/>
  <c r="B28" i="27"/>
  <c r="G29" i="11"/>
  <c r="C30" i="11"/>
  <c r="B26" i="19"/>
  <c r="L28" i="19"/>
  <c r="Q38" i="5"/>
  <c r="M39" i="5"/>
  <c r="L27" i="17"/>
  <c r="M29" i="4"/>
  <c r="Q28" i="4"/>
  <c r="Q25" i="19"/>
  <c r="M26" i="19"/>
  <c r="B25" i="9"/>
  <c r="B31" i="4"/>
  <c r="L26" i="21"/>
  <c r="M25" i="17"/>
  <c r="Q24" i="17"/>
  <c r="C26" i="7"/>
  <c r="G25" i="7"/>
  <c r="L34" i="5"/>
  <c r="B26" i="26"/>
  <c r="M25" i="27"/>
  <c r="Q24" i="27"/>
  <c r="M26" i="26"/>
  <c r="Q25" i="26"/>
  <c r="C28" i="20"/>
  <c r="G27" i="20"/>
  <c r="Q27" i="20"/>
  <c r="M28" i="20"/>
  <c r="B27" i="15"/>
  <c r="M29" i="8"/>
  <c r="Q28" i="8"/>
  <c r="C37" i="4"/>
  <c r="G36" i="4"/>
  <c r="Q34" i="9"/>
  <c r="M35" i="9"/>
  <c r="B25" i="5"/>
  <c r="Q26" i="15"/>
  <c r="M27" i="15"/>
  <c r="G24" i="5"/>
  <c r="C25" i="5"/>
  <c r="C27" i="26"/>
  <c r="G26" i="26"/>
  <c r="L26" i="13"/>
  <c r="B26" i="14"/>
  <c r="L27" i="15"/>
  <c r="M27" i="23"/>
  <c r="Q26" i="23"/>
  <c r="C26" i="23"/>
  <c r="G25" i="23"/>
  <c r="M36" i="7"/>
  <c r="Q35" i="7"/>
  <c r="L26" i="23"/>
  <c r="L26" i="11"/>
  <c r="M26" i="25"/>
  <c r="Q25" i="25"/>
  <c r="C47" i="14"/>
  <c r="G46" i="14"/>
  <c r="B26" i="13"/>
  <c r="M32" i="21"/>
  <c r="Q31" i="21"/>
  <c r="B27" i="20"/>
  <c r="C25" i="9"/>
  <c r="G24" i="9"/>
  <c r="C26" i="19"/>
  <c r="G25" i="19"/>
  <c r="B31" i="23"/>
  <c r="B28" i="8"/>
  <c r="C39" i="27"/>
  <c r="G38" i="27"/>
  <c r="C30" i="15"/>
  <c r="G29" i="15"/>
  <c r="L25" i="27"/>
  <c r="M27" i="13"/>
  <c r="Q26" i="13"/>
  <c r="B27" i="11"/>
  <c r="L28" i="20"/>
  <c r="M40" i="24"/>
  <c r="Q39" i="24"/>
  <c r="L26" i="7"/>
  <c r="B26" i="7"/>
  <c r="L26" i="24"/>
  <c r="L27" i="25"/>
  <c r="L27" i="8"/>
  <c r="L26" i="9"/>
  <c r="M27" i="14"/>
  <c r="Q26" i="14"/>
  <c r="M28" i="3"/>
  <c r="Q27" i="3"/>
  <c r="B28" i="24"/>
  <c r="B25" i="17"/>
  <c r="C35" i="25"/>
  <c r="G34" i="25"/>
  <c r="C27" i="21"/>
  <c r="G26" i="21"/>
  <c r="L27" i="3"/>
  <c r="G27" i="13"/>
  <c r="C28" i="13"/>
  <c r="C29" i="8"/>
  <c r="G28" i="8"/>
  <c r="B26" i="21"/>
  <c r="C26" i="24"/>
  <c r="G25" i="24"/>
  <c r="B29" i="3"/>
  <c r="M30" i="4" l="1"/>
  <c r="Q29" i="4"/>
  <c r="L27" i="24"/>
  <c r="M28" i="13"/>
  <c r="Q27" i="13"/>
  <c r="B32" i="23"/>
  <c r="C48" i="14"/>
  <c r="G47" i="14"/>
  <c r="L28" i="17"/>
  <c r="L28" i="26"/>
  <c r="M29" i="3"/>
  <c r="Q28" i="3"/>
  <c r="M37" i="7"/>
  <c r="Q36" i="7"/>
  <c r="M26" i="17"/>
  <c r="Q25" i="17"/>
  <c r="B30" i="3"/>
  <c r="G27" i="21"/>
  <c r="C28" i="21"/>
  <c r="L27" i="7"/>
  <c r="B28" i="20"/>
  <c r="L27" i="11"/>
  <c r="C27" i="23"/>
  <c r="G26" i="23"/>
  <c r="C26" i="5"/>
  <c r="G25" i="5"/>
  <c r="Q29" i="8"/>
  <c r="M30" i="8"/>
  <c r="L29" i="19"/>
  <c r="L26" i="27"/>
  <c r="C27" i="19"/>
  <c r="G26" i="19"/>
  <c r="B27" i="19"/>
  <c r="B29" i="27"/>
  <c r="L28" i="3"/>
  <c r="M40" i="5"/>
  <c r="Q39" i="5"/>
  <c r="C40" i="27"/>
  <c r="G39" i="27"/>
  <c r="M27" i="26"/>
  <c r="Q26" i="26"/>
  <c r="C27" i="7"/>
  <c r="G26" i="7"/>
  <c r="G37" i="4"/>
  <c r="C38" i="4"/>
  <c r="M28" i="14"/>
  <c r="Q27" i="14"/>
  <c r="B32" i="4"/>
  <c r="C29" i="20"/>
  <c r="G28" i="20"/>
  <c r="C27" i="24"/>
  <c r="G26" i="24"/>
  <c r="L27" i="9"/>
  <c r="L27" i="21"/>
  <c r="B26" i="9"/>
  <c r="C31" i="11"/>
  <c r="G30" i="11"/>
  <c r="B27" i="25"/>
  <c r="C26" i="17"/>
  <c r="G25" i="17"/>
  <c r="L28" i="8"/>
  <c r="M41" i="24"/>
  <c r="Q40" i="24"/>
  <c r="M33" i="21"/>
  <c r="Q32" i="21"/>
  <c r="B26" i="5"/>
  <c r="M26" i="27"/>
  <c r="Q25" i="27"/>
  <c r="C31" i="15"/>
  <c r="G30" i="15"/>
  <c r="M28" i="23"/>
  <c r="Q27" i="23"/>
  <c r="L28" i="25"/>
  <c r="B27" i="7"/>
  <c r="M27" i="25"/>
  <c r="Q26" i="25"/>
  <c r="Q27" i="15"/>
  <c r="M28" i="15"/>
  <c r="G35" i="25"/>
  <c r="C36" i="25"/>
  <c r="L28" i="15"/>
  <c r="M36" i="9"/>
  <c r="Q35" i="9"/>
  <c r="B28" i="15"/>
  <c r="B26" i="17"/>
  <c r="L29" i="20"/>
  <c r="L27" i="23"/>
  <c r="B27" i="21"/>
  <c r="B27" i="13"/>
  <c r="M29" i="20"/>
  <c r="Q28" i="20"/>
  <c r="M27" i="19"/>
  <c r="Q26" i="19"/>
  <c r="L27" i="4"/>
  <c r="M47" i="11"/>
  <c r="Q46" i="11"/>
  <c r="C30" i="8"/>
  <c r="G29" i="8"/>
  <c r="C29" i="13"/>
  <c r="G28" i="13"/>
  <c r="C28" i="26"/>
  <c r="G27" i="26"/>
  <c r="B28" i="11"/>
  <c r="B27" i="14"/>
  <c r="B27" i="26"/>
  <c r="L26" i="14"/>
  <c r="B29" i="24"/>
  <c r="B29" i="8"/>
  <c r="C26" i="9"/>
  <c r="G25" i="9"/>
  <c r="L27" i="13"/>
  <c r="L35" i="5"/>
  <c r="C27" i="3"/>
  <c r="G26" i="3"/>
  <c r="B28" i="14" l="1"/>
  <c r="C31" i="8"/>
  <c r="G30" i="8"/>
  <c r="B27" i="17"/>
  <c r="L29" i="25"/>
  <c r="C28" i="24"/>
  <c r="G27" i="24"/>
  <c r="L30" i="19"/>
  <c r="B29" i="20"/>
  <c r="B28" i="21"/>
  <c r="M34" i="21"/>
  <c r="Q33" i="21"/>
  <c r="M38" i="7"/>
  <c r="Q37" i="7"/>
  <c r="M48" i="11"/>
  <c r="Q47" i="11"/>
  <c r="Q28" i="15"/>
  <c r="M29" i="15"/>
  <c r="C30" i="20"/>
  <c r="G29" i="20"/>
  <c r="B30" i="27"/>
  <c r="L28" i="7"/>
  <c r="B30" i="8"/>
  <c r="B30" i="24"/>
  <c r="L29" i="8"/>
  <c r="B33" i="4"/>
  <c r="C30" i="13"/>
  <c r="G29" i="13"/>
  <c r="C28" i="3"/>
  <c r="G27" i="3"/>
  <c r="L27" i="14"/>
  <c r="C49" i="14"/>
  <c r="G48" i="14"/>
  <c r="B28" i="19"/>
  <c r="L28" i="4"/>
  <c r="L29" i="26"/>
  <c r="L28" i="13"/>
  <c r="L28" i="23"/>
  <c r="L29" i="15"/>
  <c r="B28" i="25"/>
  <c r="C39" i="4"/>
  <c r="G38" i="4"/>
  <c r="C28" i="19"/>
  <c r="G27" i="19"/>
  <c r="M29" i="13"/>
  <c r="Q28" i="13"/>
  <c r="C29" i="21"/>
  <c r="G28" i="21"/>
  <c r="M29" i="23"/>
  <c r="Q28" i="23"/>
  <c r="C27" i="17"/>
  <c r="G26" i="17"/>
  <c r="M29" i="14"/>
  <c r="Q28" i="14"/>
  <c r="M31" i="8"/>
  <c r="Q30" i="8"/>
  <c r="B28" i="26"/>
  <c r="G31" i="15"/>
  <c r="C32" i="15"/>
  <c r="B31" i="3"/>
  <c r="B33" i="23"/>
  <c r="M28" i="19"/>
  <c r="Q27" i="19"/>
  <c r="C27" i="5"/>
  <c r="G26" i="5"/>
  <c r="L29" i="17"/>
  <c r="L28" i="24"/>
  <c r="M42" i="24"/>
  <c r="Q41" i="24"/>
  <c r="M30" i="3"/>
  <c r="Q29" i="3"/>
  <c r="Q36" i="9"/>
  <c r="M37" i="9"/>
  <c r="L36" i="5"/>
  <c r="C28" i="7"/>
  <c r="G27" i="7"/>
  <c r="M41" i="5"/>
  <c r="Q40" i="5"/>
  <c r="C37" i="25"/>
  <c r="G36" i="25"/>
  <c r="M27" i="27"/>
  <c r="Q26" i="27"/>
  <c r="B27" i="9"/>
  <c r="L29" i="3"/>
  <c r="C28" i="23"/>
  <c r="G27" i="23"/>
  <c r="B29" i="11"/>
  <c r="B29" i="15"/>
  <c r="C29" i="26"/>
  <c r="G28" i="26"/>
  <c r="Q29" i="20"/>
  <c r="M30" i="20"/>
  <c r="C32" i="11"/>
  <c r="G31" i="11"/>
  <c r="C27" i="9"/>
  <c r="G26" i="9"/>
  <c r="B28" i="13"/>
  <c r="M28" i="25"/>
  <c r="Q27" i="25"/>
  <c r="B27" i="5"/>
  <c r="L28" i="9"/>
  <c r="M28" i="26"/>
  <c r="Q27" i="26"/>
  <c r="L27" i="27"/>
  <c r="M31" i="4"/>
  <c r="Q30" i="4"/>
  <c r="L28" i="11"/>
  <c r="M27" i="17"/>
  <c r="Q26" i="17"/>
  <c r="L30" i="20"/>
  <c r="B28" i="7"/>
  <c r="L28" i="21"/>
  <c r="C41" i="27"/>
  <c r="G40" i="27"/>
  <c r="Q27" i="17" l="1"/>
  <c r="M28" i="17"/>
  <c r="C28" i="5"/>
  <c r="G27" i="5"/>
  <c r="B29" i="25"/>
  <c r="Q34" i="21"/>
  <c r="M35" i="21"/>
  <c r="G28" i="24"/>
  <c r="C29" i="24"/>
  <c r="M29" i="26"/>
  <c r="Q28" i="26"/>
  <c r="M38" i="9"/>
  <c r="Q37" i="9"/>
  <c r="M30" i="23"/>
  <c r="Q29" i="23"/>
  <c r="L37" i="5"/>
  <c r="L29" i="9"/>
  <c r="L30" i="15"/>
  <c r="C50" i="14"/>
  <c r="G49" i="14"/>
  <c r="M29" i="25"/>
  <c r="Q28" i="25"/>
  <c r="C30" i="21"/>
  <c r="G29" i="21"/>
  <c r="B31" i="27"/>
  <c r="B29" i="21"/>
  <c r="L30" i="25"/>
  <c r="B28" i="5"/>
  <c r="C42" i="27"/>
  <c r="G41" i="27"/>
  <c r="B34" i="4"/>
  <c r="L30" i="3"/>
  <c r="M42" i="5"/>
  <c r="Q41" i="5"/>
  <c r="L30" i="8"/>
  <c r="M30" i="13"/>
  <c r="Q29" i="13"/>
  <c r="L29" i="23"/>
  <c r="C31" i="20"/>
  <c r="G30" i="20"/>
  <c r="C29" i="7"/>
  <c r="G28" i="7"/>
  <c r="M31" i="3"/>
  <c r="Q30" i="3"/>
  <c r="L29" i="4"/>
  <c r="B31" i="24"/>
  <c r="M30" i="15"/>
  <c r="Q29" i="15"/>
  <c r="C30" i="26"/>
  <c r="G29" i="26"/>
  <c r="M32" i="4"/>
  <c r="Q31" i="4"/>
  <c r="B29" i="13"/>
  <c r="B29" i="7"/>
  <c r="M43" i="24"/>
  <c r="Q42" i="24"/>
  <c r="C28" i="9"/>
  <c r="G27" i="9"/>
  <c r="M28" i="27"/>
  <c r="Q27" i="27"/>
  <c r="B29" i="26"/>
  <c r="L29" i="13"/>
  <c r="B30" i="20"/>
  <c r="C28" i="17"/>
  <c r="G27" i="17"/>
  <c r="L29" i="11"/>
  <c r="C29" i="23"/>
  <c r="G28" i="23"/>
  <c r="B28" i="17"/>
  <c r="M29" i="19"/>
  <c r="Q28" i="19"/>
  <c r="G32" i="15"/>
  <c r="C33" i="15"/>
  <c r="L29" i="21"/>
  <c r="B28" i="9"/>
  <c r="L29" i="24"/>
  <c r="C29" i="19"/>
  <c r="G28" i="19"/>
  <c r="L28" i="14"/>
  <c r="C32" i="8"/>
  <c r="G31" i="8"/>
  <c r="C33" i="11"/>
  <c r="G32" i="11"/>
  <c r="M32" i="8"/>
  <c r="Q31" i="8"/>
  <c r="B29" i="19"/>
  <c r="B31" i="8"/>
  <c r="M49" i="11"/>
  <c r="Q48" i="11"/>
  <c r="L28" i="27"/>
  <c r="B30" i="15"/>
  <c r="L31" i="20"/>
  <c r="B30" i="11"/>
  <c r="C38" i="25"/>
  <c r="G37" i="25"/>
  <c r="B34" i="23"/>
  <c r="C40" i="4"/>
  <c r="G39" i="4"/>
  <c r="L30" i="26"/>
  <c r="C29" i="3"/>
  <c r="G28" i="3"/>
  <c r="L31" i="19"/>
  <c r="M30" i="14"/>
  <c r="Q29" i="14"/>
  <c r="M39" i="7"/>
  <c r="Q38" i="7"/>
  <c r="L30" i="17"/>
  <c r="Q30" i="20"/>
  <c r="M31" i="20"/>
  <c r="B32" i="3"/>
  <c r="G30" i="13"/>
  <c r="C31" i="13"/>
  <c r="L29" i="7"/>
  <c r="B29" i="14"/>
  <c r="L30" i="24" l="1"/>
  <c r="L30" i="13"/>
  <c r="L31" i="8"/>
  <c r="B35" i="4"/>
  <c r="M32" i="3"/>
  <c r="Q31" i="3"/>
  <c r="C30" i="23"/>
  <c r="G29" i="23"/>
  <c r="B30" i="26"/>
  <c r="C31" i="26"/>
  <c r="G30" i="26"/>
  <c r="C31" i="21"/>
  <c r="G30" i="21"/>
  <c r="Q29" i="25"/>
  <c r="M30" i="25"/>
  <c r="B31" i="15"/>
  <c r="B29" i="9"/>
  <c r="L29" i="27"/>
  <c r="M43" i="5"/>
  <c r="Q42" i="5"/>
  <c r="B30" i="25"/>
  <c r="C43" i="27"/>
  <c r="G42" i="27"/>
  <c r="G50" i="14"/>
  <c r="C51" i="14"/>
  <c r="M31" i="23"/>
  <c r="Q30" i="23"/>
  <c r="L29" i="14"/>
  <c r="B32" i="24"/>
  <c r="L31" i="15"/>
  <c r="G28" i="5"/>
  <c r="C29" i="5"/>
  <c r="L31" i="26"/>
  <c r="C30" i="7"/>
  <c r="G29" i="7"/>
  <c r="M40" i="7"/>
  <c r="Q39" i="7"/>
  <c r="C34" i="15"/>
  <c r="G33" i="15"/>
  <c r="M31" i="15"/>
  <c r="Q30" i="15"/>
  <c r="B29" i="5"/>
  <c r="G38" i="25"/>
  <c r="C39" i="25"/>
  <c r="M50" i="11"/>
  <c r="Q49" i="11"/>
  <c r="C29" i="9"/>
  <c r="G28" i="9"/>
  <c r="B30" i="7"/>
  <c r="L30" i="23"/>
  <c r="L31" i="25"/>
  <c r="M39" i="9"/>
  <c r="Q38" i="9"/>
  <c r="M33" i="8"/>
  <c r="Q32" i="8"/>
  <c r="L31" i="17"/>
  <c r="B35" i="23"/>
  <c r="G32" i="8"/>
  <c r="C33" i="8"/>
  <c r="L30" i="21"/>
  <c r="L30" i="11"/>
  <c r="C32" i="20"/>
  <c r="G31" i="20"/>
  <c r="L31" i="3"/>
  <c r="L30" i="7"/>
  <c r="B30" i="14"/>
  <c r="G40" i="4"/>
  <c r="C41" i="4"/>
  <c r="C34" i="11"/>
  <c r="G33" i="11"/>
  <c r="M29" i="27"/>
  <c r="Q28" i="27"/>
  <c r="B31" i="11"/>
  <c r="Q28" i="17"/>
  <c r="M29" i="17"/>
  <c r="B30" i="13"/>
  <c r="M31" i="13"/>
  <c r="Q30" i="13"/>
  <c r="B30" i="21"/>
  <c r="M30" i="26"/>
  <c r="Q29" i="26"/>
  <c r="G31" i="13"/>
  <c r="C32" i="13"/>
  <c r="Q30" i="14"/>
  <c r="M31" i="14"/>
  <c r="B32" i="8"/>
  <c r="C29" i="17"/>
  <c r="G28" i="17"/>
  <c r="L30" i="4"/>
  <c r="L32" i="19"/>
  <c r="B31" i="20"/>
  <c r="L32" i="20"/>
  <c r="C30" i="19"/>
  <c r="G29" i="19"/>
  <c r="M30" i="19"/>
  <c r="Q29" i="19"/>
  <c r="B32" i="27"/>
  <c r="L30" i="9"/>
  <c r="C30" i="24"/>
  <c r="G29" i="24"/>
  <c r="B33" i="3"/>
  <c r="B30" i="19"/>
  <c r="B29" i="17"/>
  <c r="Q32" i="4"/>
  <c r="M33" i="4"/>
  <c r="M32" i="20"/>
  <c r="Q31" i="20"/>
  <c r="G29" i="3"/>
  <c r="C30" i="3"/>
  <c r="M44" i="24"/>
  <c r="Q43" i="24"/>
  <c r="L38" i="5"/>
  <c r="M36" i="21"/>
  <c r="Q35" i="21"/>
  <c r="L32" i="17" l="1"/>
  <c r="L32" i="26"/>
  <c r="M33" i="3"/>
  <c r="Q32" i="3"/>
  <c r="B32" i="15"/>
  <c r="C32" i="21"/>
  <c r="G31" i="21"/>
  <c r="M32" i="15"/>
  <c r="Q31" i="15"/>
  <c r="Q30" i="25"/>
  <c r="M31" i="25"/>
  <c r="L30" i="14"/>
  <c r="M44" i="5"/>
  <c r="Q43" i="5"/>
  <c r="C31" i="3"/>
  <c r="G30" i="3"/>
  <c r="M31" i="19"/>
  <c r="Q30" i="19"/>
  <c r="M32" i="13"/>
  <c r="Q31" i="13"/>
  <c r="L39" i="5"/>
  <c r="B36" i="4"/>
  <c r="C32" i="26"/>
  <c r="G31" i="26"/>
  <c r="L32" i="8"/>
  <c r="L33" i="20"/>
  <c r="L32" i="15"/>
  <c r="C35" i="11"/>
  <c r="G34" i="11"/>
  <c r="L31" i="11"/>
  <c r="M34" i="8"/>
  <c r="Q33" i="8"/>
  <c r="B32" i="20"/>
  <c r="C42" i="4"/>
  <c r="G41" i="4"/>
  <c r="C33" i="13"/>
  <c r="G32" i="13"/>
  <c r="M30" i="17"/>
  <c r="Q29" i="17"/>
  <c r="B31" i="14"/>
  <c r="M51" i="11"/>
  <c r="Q50" i="11"/>
  <c r="M32" i="23"/>
  <c r="Q31" i="23"/>
  <c r="B31" i="26"/>
  <c r="C30" i="17"/>
  <c r="G29" i="17"/>
  <c r="C33" i="20"/>
  <c r="G32" i="20"/>
  <c r="M41" i="7"/>
  <c r="Q40" i="7"/>
  <c r="L31" i="9"/>
  <c r="B33" i="27"/>
  <c r="C52" i="14"/>
  <c r="G51" i="14"/>
  <c r="L31" i="7"/>
  <c r="B33" i="8"/>
  <c r="G29" i="9"/>
  <c r="C30" i="9"/>
  <c r="G30" i="24"/>
  <c r="C31" i="24"/>
  <c r="M32" i="14"/>
  <c r="Q31" i="14"/>
  <c r="B31" i="13"/>
  <c r="L33" i="19"/>
  <c r="C40" i="25"/>
  <c r="G39" i="25"/>
  <c r="C31" i="23"/>
  <c r="G30" i="23"/>
  <c r="C30" i="5"/>
  <c r="G29" i="5"/>
  <c r="Q36" i="21"/>
  <c r="M37" i="21"/>
  <c r="M30" i="27"/>
  <c r="Q29" i="27"/>
  <c r="B31" i="7"/>
  <c r="Q33" i="4"/>
  <c r="M34" i="4"/>
  <c r="L31" i="21"/>
  <c r="G33" i="8"/>
  <c r="C34" i="8"/>
  <c r="M40" i="9"/>
  <c r="Q39" i="9"/>
  <c r="B33" i="24"/>
  <c r="L31" i="13"/>
  <c r="C31" i="19"/>
  <c r="G30" i="19"/>
  <c r="C35" i="15"/>
  <c r="G34" i="15"/>
  <c r="M45" i="24"/>
  <c r="Q44" i="24"/>
  <c r="L31" i="4"/>
  <c r="M31" i="26"/>
  <c r="Q30" i="26"/>
  <c r="C44" i="27"/>
  <c r="G43" i="27"/>
  <c r="L30" i="27"/>
  <c r="L31" i="23"/>
  <c r="B34" i="3"/>
  <c r="M33" i="20"/>
  <c r="Q32" i="20"/>
  <c r="B30" i="17"/>
  <c r="B36" i="23"/>
  <c r="L32" i="25"/>
  <c r="B30" i="5"/>
  <c r="C31" i="7"/>
  <c r="G30" i="7"/>
  <c r="B31" i="25"/>
  <c r="L31" i="24"/>
  <c r="L32" i="3"/>
  <c r="B31" i="21"/>
  <c r="B31" i="19"/>
  <c r="B32" i="11"/>
  <c r="B30" i="9"/>
  <c r="L31" i="14" l="1"/>
  <c r="M46" i="24"/>
  <c r="Q45" i="24"/>
  <c r="G33" i="20"/>
  <c r="C34" i="20"/>
  <c r="M41" i="9"/>
  <c r="Q40" i="9"/>
  <c r="C32" i="24"/>
  <c r="G31" i="24"/>
  <c r="L31" i="27"/>
  <c r="B31" i="17"/>
  <c r="C31" i="9"/>
  <c r="G30" i="9"/>
  <c r="Q30" i="17"/>
  <c r="M31" i="17"/>
  <c r="M35" i="8"/>
  <c r="Q34" i="8"/>
  <c r="G34" i="8"/>
  <c r="C35" i="8"/>
  <c r="M33" i="13"/>
  <c r="Q32" i="13"/>
  <c r="B32" i="7"/>
  <c r="B34" i="27"/>
  <c r="C34" i="13"/>
  <c r="G33" i="13"/>
  <c r="M34" i="3"/>
  <c r="Q33" i="3"/>
  <c r="B34" i="8"/>
  <c r="M32" i="25"/>
  <c r="Q31" i="25"/>
  <c r="B32" i="25"/>
  <c r="B32" i="26"/>
  <c r="C43" i="4"/>
  <c r="G42" i="4"/>
  <c r="G32" i="26"/>
  <c r="C33" i="26"/>
  <c r="M32" i="19"/>
  <c r="Q31" i="19"/>
  <c r="B33" i="11"/>
  <c r="M34" i="20"/>
  <c r="Q33" i="20"/>
  <c r="M31" i="27"/>
  <c r="Q30" i="27"/>
  <c r="C36" i="11"/>
  <c r="G35" i="11"/>
  <c r="L33" i="8"/>
  <c r="B33" i="20"/>
  <c r="L32" i="9"/>
  <c r="C32" i="3"/>
  <c r="G31" i="3"/>
  <c r="L33" i="26"/>
  <c r="L32" i="23"/>
  <c r="C32" i="23"/>
  <c r="G31" i="23"/>
  <c r="L32" i="24"/>
  <c r="G31" i="19"/>
  <c r="C32" i="19"/>
  <c r="G30" i="17"/>
  <c r="C31" i="17"/>
  <c r="C32" i="7"/>
  <c r="G31" i="7"/>
  <c r="M32" i="26"/>
  <c r="Q31" i="26"/>
  <c r="L34" i="19"/>
  <c r="M33" i="23"/>
  <c r="Q32" i="23"/>
  <c r="B37" i="4"/>
  <c r="M33" i="15"/>
  <c r="Q32" i="15"/>
  <c r="L33" i="3"/>
  <c r="M33" i="14"/>
  <c r="Q32" i="14"/>
  <c r="B31" i="9"/>
  <c r="L32" i="13"/>
  <c r="B34" i="24"/>
  <c r="B31" i="5"/>
  <c r="B32" i="13"/>
  <c r="L33" i="15"/>
  <c r="L32" i="21"/>
  <c r="B35" i="3"/>
  <c r="L33" i="25"/>
  <c r="C31" i="5"/>
  <c r="G30" i="5"/>
  <c r="M42" i="7"/>
  <c r="Q41" i="7"/>
  <c r="M52" i="11"/>
  <c r="Q51" i="11"/>
  <c r="L40" i="5"/>
  <c r="C33" i="21"/>
  <c r="G32" i="21"/>
  <c r="L33" i="17"/>
  <c r="C53" i="14"/>
  <c r="G52" i="14"/>
  <c r="B37" i="23"/>
  <c r="C36" i="15"/>
  <c r="G35" i="15"/>
  <c r="C45" i="27"/>
  <c r="G44" i="27"/>
  <c r="L32" i="11"/>
  <c r="C41" i="25"/>
  <c r="G40" i="25"/>
  <c r="L32" i="7"/>
  <c r="M38" i="21"/>
  <c r="Q37" i="21"/>
  <c r="B32" i="19"/>
  <c r="L32" i="4"/>
  <c r="B32" i="21"/>
  <c r="M35" i="4"/>
  <c r="Q34" i="4"/>
  <c r="L34" i="20"/>
  <c r="B32" i="14"/>
  <c r="M45" i="5"/>
  <c r="Q44" i="5"/>
  <c r="B33" i="15"/>
  <c r="B33" i="7" l="1"/>
  <c r="Q41" i="9"/>
  <c r="M42" i="9"/>
  <c r="B33" i="13"/>
  <c r="M34" i="14"/>
  <c r="Q33" i="14"/>
  <c r="C32" i="9"/>
  <c r="G31" i="9"/>
  <c r="C42" i="25"/>
  <c r="G41" i="25"/>
  <c r="L33" i="24"/>
  <c r="B34" i="20"/>
  <c r="V31" i="20" a="1"/>
  <c r="V31" i="20" s="1"/>
  <c r="Q31" i="27"/>
  <c r="M32" i="27"/>
  <c r="Q32" i="19"/>
  <c r="M33" i="19"/>
  <c r="M34" i="13"/>
  <c r="Q33" i="13"/>
  <c r="L33" i="7"/>
  <c r="M34" i="23"/>
  <c r="Q33" i="23"/>
  <c r="C37" i="11"/>
  <c r="G36" i="11"/>
  <c r="M35" i="20"/>
  <c r="Q34" i="20"/>
  <c r="B35" i="8"/>
  <c r="G35" i="8"/>
  <c r="C36" i="8"/>
  <c r="L41" i="5"/>
  <c r="L34" i="3"/>
  <c r="L33" i="21"/>
  <c r="C33" i="23"/>
  <c r="G32" i="23"/>
  <c r="L34" i="25"/>
  <c r="L33" i="9"/>
  <c r="V31" i="15" a="1"/>
  <c r="V31" i="15" s="1"/>
  <c r="B34" i="15"/>
  <c r="C34" i="21"/>
  <c r="G33" i="21"/>
  <c r="L33" i="11"/>
  <c r="C34" i="26"/>
  <c r="G33" i="26"/>
  <c r="M33" i="26"/>
  <c r="Q32" i="26"/>
  <c r="B34" i="11"/>
  <c r="G43" i="4"/>
  <c r="C44" i="4"/>
  <c r="L34" i="17"/>
  <c r="B32" i="5"/>
  <c r="L35" i="19"/>
  <c r="M36" i="4"/>
  <c r="Q35" i="4"/>
  <c r="M34" i="15"/>
  <c r="Q33" i="15"/>
  <c r="L33" i="23"/>
  <c r="L34" i="8"/>
  <c r="B33" i="26"/>
  <c r="Q34" i="3"/>
  <c r="M35" i="3"/>
  <c r="B32" i="17"/>
  <c r="C46" i="27"/>
  <c r="G45" i="27"/>
  <c r="C33" i="7"/>
  <c r="G32" i="7"/>
  <c r="G34" i="20"/>
  <c r="C35" i="20"/>
  <c r="C33" i="19"/>
  <c r="G32" i="19"/>
  <c r="B36" i="3"/>
  <c r="M46" i="5"/>
  <c r="Q45" i="5"/>
  <c r="B35" i="24"/>
  <c r="M53" i="11"/>
  <c r="Q52" i="11"/>
  <c r="L33" i="13"/>
  <c r="C37" i="15"/>
  <c r="G36" i="15"/>
  <c r="M43" i="7"/>
  <c r="Q42" i="7"/>
  <c r="L32" i="27"/>
  <c r="B33" i="14"/>
  <c r="B33" i="21"/>
  <c r="L33" i="4"/>
  <c r="L34" i="26"/>
  <c r="L34" i="15"/>
  <c r="B38" i="4"/>
  <c r="B33" i="25"/>
  <c r="G34" i="13"/>
  <c r="C35" i="13"/>
  <c r="Q35" i="8"/>
  <c r="M36" i="8"/>
  <c r="B38" i="23"/>
  <c r="C32" i="5"/>
  <c r="G31" i="5"/>
  <c r="M32" i="17"/>
  <c r="Q31" i="17"/>
  <c r="Q46" i="24"/>
  <c r="M47" i="24"/>
  <c r="L35" i="20"/>
  <c r="G32" i="3"/>
  <c r="C33" i="3"/>
  <c r="B35" i="27"/>
  <c r="C33" i="24"/>
  <c r="G32" i="24"/>
  <c r="L32" i="14"/>
  <c r="B33" i="19"/>
  <c r="B32" i="9"/>
  <c r="M39" i="21"/>
  <c r="Q38" i="21"/>
  <c r="C54" i="14"/>
  <c r="G53" i="14"/>
  <c r="C32" i="17"/>
  <c r="G31" i="17"/>
  <c r="M33" i="25"/>
  <c r="Q32" i="25"/>
  <c r="B33" i="9" l="1"/>
  <c r="L35" i="15"/>
  <c r="M35" i="15"/>
  <c r="Q34" i="15"/>
  <c r="C34" i="23"/>
  <c r="G33" i="23"/>
  <c r="L34" i="24"/>
  <c r="L34" i="7"/>
  <c r="M35" i="14"/>
  <c r="Q34" i="14"/>
  <c r="L34" i="21"/>
  <c r="G36" i="8"/>
  <c r="C37" i="8"/>
  <c r="Q35" i="3"/>
  <c r="M36" i="3"/>
  <c r="B35" i="11"/>
  <c r="C35" i="21"/>
  <c r="G34" i="21"/>
  <c r="Q34" i="13"/>
  <c r="M35" i="13"/>
  <c r="C43" i="25"/>
  <c r="G42" i="25"/>
  <c r="B34" i="13"/>
  <c r="C45" i="4"/>
  <c r="G44" i="4"/>
  <c r="Q33" i="25"/>
  <c r="M34" i="25"/>
  <c r="B34" i="19"/>
  <c r="V31" i="19" a="1"/>
  <c r="V31" i="19" s="1"/>
  <c r="C34" i="19"/>
  <c r="G33" i="19"/>
  <c r="G35" i="20"/>
  <c r="C36" i="20"/>
  <c r="B35" i="15"/>
  <c r="B36" i="8"/>
  <c r="B34" i="21"/>
  <c r="B34" i="26"/>
  <c r="C55" i="14"/>
  <c r="G54" i="14"/>
  <c r="C34" i="24"/>
  <c r="G33" i="24"/>
  <c r="M48" i="24"/>
  <c r="Q47" i="24"/>
  <c r="C36" i="13"/>
  <c r="G35" i="13"/>
  <c r="C34" i="7"/>
  <c r="G33" i="7"/>
  <c r="M34" i="19"/>
  <c r="Q33" i="19"/>
  <c r="C33" i="9"/>
  <c r="G32" i="9"/>
  <c r="M43" i="9"/>
  <c r="Q42" i="9"/>
  <c r="L33" i="27"/>
  <c r="B33" i="17"/>
  <c r="M37" i="4"/>
  <c r="Q36" i="4"/>
  <c r="B39" i="23"/>
  <c r="L34" i="4"/>
  <c r="Q36" i="8"/>
  <c r="M37" i="8"/>
  <c r="M47" i="5"/>
  <c r="Q46" i="5"/>
  <c r="B33" i="5"/>
  <c r="L34" i="9"/>
  <c r="M36" i="20"/>
  <c r="Q35" i="20"/>
  <c r="M33" i="27"/>
  <c r="Q32" i="27"/>
  <c r="L35" i="26"/>
  <c r="L36" i="20"/>
  <c r="L33" i="14"/>
  <c r="C33" i="17"/>
  <c r="G32" i="17"/>
  <c r="B36" i="24"/>
  <c r="M40" i="21"/>
  <c r="Q39" i="21"/>
  <c r="B36" i="27"/>
  <c r="B34" i="25"/>
  <c r="M44" i="7"/>
  <c r="Q43" i="7"/>
  <c r="B37" i="3"/>
  <c r="L35" i="8"/>
  <c r="L35" i="25"/>
  <c r="L35" i="3"/>
  <c r="B34" i="7"/>
  <c r="Q53" i="11"/>
  <c r="M54" i="11"/>
  <c r="G32" i="5"/>
  <c r="C33" i="5"/>
  <c r="L36" i="19"/>
  <c r="M34" i="26"/>
  <c r="Q33" i="26"/>
  <c r="V31" i="14" a="1"/>
  <c r="V31" i="14" s="1"/>
  <c r="B34" i="14"/>
  <c r="M33" i="17"/>
  <c r="Q32" i="17"/>
  <c r="B39" i="4"/>
  <c r="C38" i="15"/>
  <c r="G37" i="15"/>
  <c r="L34" i="23"/>
  <c r="L35" i="17"/>
  <c r="G34" i="26"/>
  <c r="C35" i="26"/>
  <c r="L42" i="5"/>
  <c r="C38" i="11"/>
  <c r="G37" i="11"/>
  <c r="C34" i="3"/>
  <c r="G33" i="3"/>
  <c r="L34" i="13"/>
  <c r="C47" i="27"/>
  <c r="G46" i="27"/>
  <c r="B35" i="20"/>
  <c r="L34" i="11"/>
  <c r="M35" i="23"/>
  <c r="Q34" i="23"/>
  <c r="M55" i="11" l="1"/>
  <c r="Q54" i="11"/>
  <c r="L37" i="19"/>
  <c r="L36" i="8"/>
  <c r="G34" i="7"/>
  <c r="C35" i="7"/>
  <c r="B37" i="8"/>
  <c r="C44" i="25"/>
  <c r="G43" i="25"/>
  <c r="L35" i="21"/>
  <c r="L35" i="13"/>
  <c r="L36" i="17"/>
  <c r="B35" i="19"/>
  <c r="M36" i="13"/>
  <c r="Q35" i="13"/>
  <c r="C35" i="23"/>
  <c r="G34" i="23"/>
  <c r="C34" i="5"/>
  <c r="G33" i="5"/>
  <c r="B37" i="24"/>
  <c r="M48" i="5"/>
  <c r="Q47" i="5"/>
  <c r="M35" i="25"/>
  <c r="Q34" i="25"/>
  <c r="L34" i="27"/>
  <c r="M38" i="8"/>
  <c r="Q37" i="8"/>
  <c r="M36" i="15"/>
  <c r="Q35" i="15"/>
  <c r="M36" i="14"/>
  <c r="Q35" i="14"/>
  <c r="L35" i="11"/>
  <c r="C37" i="13"/>
  <c r="G36" i="13"/>
  <c r="B36" i="15"/>
  <c r="C36" i="21"/>
  <c r="G35" i="21"/>
  <c r="C35" i="3"/>
  <c r="G34" i="3"/>
  <c r="Q44" i="7"/>
  <c r="M45" i="7"/>
  <c r="B35" i="14"/>
  <c r="B35" i="7"/>
  <c r="L34" i="14"/>
  <c r="Q48" i="24"/>
  <c r="M49" i="24"/>
  <c r="B36" i="11"/>
  <c r="B35" i="25"/>
  <c r="B40" i="23"/>
  <c r="M35" i="19"/>
  <c r="Q34" i="19"/>
  <c r="G36" i="20"/>
  <c r="C37" i="20"/>
  <c r="B35" i="13"/>
  <c r="Q36" i="3"/>
  <c r="M37" i="3"/>
  <c r="M34" i="17"/>
  <c r="Q33" i="17"/>
  <c r="B38" i="3"/>
  <c r="M34" i="27"/>
  <c r="Q33" i="27"/>
  <c r="M44" i="9"/>
  <c r="Q43" i="9"/>
  <c r="C46" i="4"/>
  <c r="G45" i="4"/>
  <c r="C35" i="24"/>
  <c r="G34" i="24"/>
  <c r="L35" i="7"/>
  <c r="L36" i="15"/>
  <c r="L36" i="3"/>
  <c r="L35" i="9"/>
  <c r="C56" i="14"/>
  <c r="G55" i="14"/>
  <c r="C39" i="15"/>
  <c r="G38" i="15"/>
  <c r="B37" i="27"/>
  <c r="L37" i="20"/>
  <c r="M37" i="20"/>
  <c r="Q36" i="20"/>
  <c r="B36" i="20"/>
  <c r="L43" i="5"/>
  <c r="B40" i="4"/>
  <c r="B35" i="26"/>
  <c r="L35" i="4"/>
  <c r="G33" i="9"/>
  <c r="C34" i="9"/>
  <c r="C39" i="11"/>
  <c r="G38" i="11"/>
  <c r="M35" i="26"/>
  <c r="Q34" i="26"/>
  <c r="L36" i="25"/>
  <c r="M41" i="21"/>
  <c r="Q40" i="21"/>
  <c r="M38" i="4"/>
  <c r="Q37" i="4"/>
  <c r="G37" i="8"/>
  <c r="C38" i="8"/>
  <c r="B34" i="9"/>
  <c r="M36" i="23"/>
  <c r="Q35" i="23"/>
  <c r="C48" i="27"/>
  <c r="G47" i="27"/>
  <c r="C35" i="19"/>
  <c r="G34" i="19"/>
  <c r="L35" i="23"/>
  <c r="C34" i="17"/>
  <c r="G33" i="17"/>
  <c r="B34" i="17"/>
  <c r="B35" i="21"/>
  <c r="L35" i="24"/>
  <c r="C36" i="26"/>
  <c r="G35" i="26"/>
  <c r="L36" i="26"/>
  <c r="B34" i="5"/>
  <c r="B38" i="27" l="1"/>
  <c r="L37" i="3"/>
  <c r="Q37" i="3"/>
  <c r="M38" i="3"/>
  <c r="C38" i="13"/>
  <c r="G37" i="13"/>
  <c r="B36" i="21"/>
  <c r="C36" i="19"/>
  <c r="G35" i="19"/>
  <c r="B37" i="11"/>
  <c r="B36" i="19"/>
  <c r="B38" i="8"/>
  <c r="G35" i="7"/>
  <c r="C36" i="7"/>
  <c r="M39" i="8"/>
  <c r="Q38" i="8"/>
  <c r="C38" i="20"/>
  <c r="G37" i="20"/>
  <c r="B35" i="17"/>
  <c r="B36" i="13"/>
  <c r="M46" i="7"/>
  <c r="Q45" i="7"/>
  <c r="C40" i="15"/>
  <c r="G39" i="15"/>
  <c r="L36" i="7"/>
  <c r="M49" i="5"/>
  <c r="Q48" i="5"/>
  <c r="L36" i="11"/>
  <c r="M39" i="4"/>
  <c r="Q38" i="4"/>
  <c r="C35" i="9"/>
  <c r="G34" i="9"/>
  <c r="L44" i="5"/>
  <c r="K43" i="5"/>
  <c r="M50" i="24"/>
  <c r="Q49" i="24"/>
  <c r="C36" i="3"/>
  <c r="G35" i="3"/>
  <c r="L37" i="8"/>
  <c r="L37" i="17"/>
  <c r="L38" i="19"/>
  <c r="B41" i="4"/>
  <c r="L37" i="26"/>
  <c r="B38" i="24"/>
  <c r="L36" i="4"/>
  <c r="B37" i="20"/>
  <c r="Q35" i="19"/>
  <c r="M36" i="19"/>
  <c r="Q44" i="9"/>
  <c r="M45" i="9"/>
  <c r="L36" i="13"/>
  <c r="C37" i="21"/>
  <c r="G36" i="21"/>
  <c r="B41" i="23"/>
  <c r="L35" i="14"/>
  <c r="M37" i="14"/>
  <c r="Q36" i="14"/>
  <c r="G48" i="27"/>
  <c r="C49" i="27"/>
  <c r="C37" i="26"/>
  <c r="G36" i="26"/>
  <c r="M37" i="23"/>
  <c r="Q36" i="23"/>
  <c r="M42" i="21"/>
  <c r="Q41" i="21"/>
  <c r="M35" i="27"/>
  <c r="Q34" i="27"/>
  <c r="L35" i="27"/>
  <c r="G34" i="5"/>
  <c r="C35" i="5"/>
  <c r="C35" i="17"/>
  <c r="G34" i="17"/>
  <c r="L36" i="23"/>
  <c r="B35" i="9"/>
  <c r="C36" i="24"/>
  <c r="G35" i="24"/>
  <c r="M37" i="15"/>
  <c r="Q36" i="15"/>
  <c r="L36" i="21"/>
  <c r="L37" i="15"/>
  <c r="L37" i="25"/>
  <c r="M38" i="20"/>
  <c r="Q37" i="20"/>
  <c r="C57" i="14"/>
  <c r="G56" i="14"/>
  <c r="B39" i="3"/>
  <c r="B36" i="7"/>
  <c r="B37" i="15"/>
  <c r="G35" i="23"/>
  <c r="C36" i="23"/>
  <c r="C40" i="11"/>
  <c r="G39" i="11"/>
  <c r="B35" i="5"/>
  <c r="C47" i="4"/>
  <c r="G46" i="4"/>
  <c r="L36" i="24"/>
  <c r="G38" i="8"/>
  <c r="C39" i="8"/>
  <c r="B36" i="26"/>
  <c r="L38" i="20"/>
  <c r="L36" i="9"/>
  <c r="B36" i="25"/>
  <c r="M36" i="26"/>
  <c r="Q35" i="26"/>
  <c r="M35" i="17"/>
  <c r="Q34" i="17"/>
  <c r="B36" i="14"/>
  <c r="M36" i="25"/>
  <c r="Q35" i="25"/>
  <c r="M37" i="13"/>
  <c r="Q36" i="13"/>
  <c r="C45" i="25"/>
  <c r="G44" i="25"/>
  <c r="M56" i="11"/>
  <c r="Q55" i="11"/>
  <c r="B37" i="26" l="1"/>
  <c r="B40" i="3"/>
  <c r="C36" i="17"/>
  <c r="G35" i="17"/>
  <c r="B38" i="20"/>
  <c r="L38" i="17"/>
  <c r="G36" i="19"/>
  <c r="C37" i="19"/>
  <c r="B36" i="5"/>
  <c r="L37" i="4"/>
  <c r="M50" i="5"/>
  <c r="Q49" i="5"/>
  <c r="M57" i="11"/>
  <c r="Q56" i="11"/>
  <c r="B37" i="25"/>
  <c r="G39" i="8"/>
  <c r="C40" i="8"/>
  <c r="G57" i="14"/>
  <c r="C58" i="14"/>
  <c r="L38" i="8"/>
  <c r="B39" i="8"/>
  <c r="B37" i="21"/>
  <c r="M40" i="4"/>
  <c r="Q39" i="4"/>
  <c r="M39" i="20"/>
  <c r="Q38" i="20"/>
  <c r="M43" i="21"/>
  <c r="Q42" i="21"/>
  <c r="M38" i="14"/>
  <c r="Q37" i="14"/>
  <c r="B37" i="19"/>
  <c r="L37" i="7"/>
  <c r="B39" i="24"/>
  <c r="C37" i="3"/>
  <c r="G36" i="3"/>
  <c r="M38" i="13"/>
  <c r="Q37" i="13"/>
  <c r="L37" i="9"/>
  <c r="L37" i="24"/>
  <c r="C41" i="11"/>
  <c r="G40" i="11"/>
  <c r="G35" i="5"/>
  <c r="C36" i="5"/>
  <c r="M38" i="23"/>
  <c r="Q37" i="23"/>
  <c r="G38" i="20"/>
  <c r="C39" i="20"/>
  <c r="L36" i="14"/>
  <c r="L38" i="25"/>
  <c r="B42" i="23"/>
  <c r="M51" i="24"/>
  <c r="Q50" i="24"/>
  <c r="Q36" i="25"/>
  <c r="M37" i="25"/>
  <c r="C38" i="26"/>
  <c r="G37" i="26"/>
  <c r="C41" i="15"/>
  <c r="G40" i="15"/>
  <c r="L38" i="15"/>
  <c r="B36" i="9"/>
  <c r="L36" i="27"/>
  <c r="L38" i="26"/>
  <c r="C39" i="13"/>
  <c r="G38" i="13"/>
  <c r="B37" i="14"/>
  <c r="Q36" i="19"/>
  <c r="M37" i="19"/>
  <c r="B42" i="4"/>
  <c r="L37" i="11"/>
  <c r="B38" i="11"/>
  <c r="Q38" i="3"/>
  <c r="M39" i="3"/>
  <c r="C37" i="24"/>
  <c r="G36" i="24"/>
  <c r="C37" i="23"/>
  <c r="G36" i="23"/>
  <c r="C48" i="4"/>
  <c r="G47" i="4"/>
  <c r="L37" i="21"/>
  <c r="L37" i="23"/>
  <c r="C38" i="21"/>
  <c r="G37" i="21"/>
  <c r="B38" i="15"/>
  <c r="K11" i="5"/>
  <c r="K9" i="5"/>
  <c r="K7" i="5"/>
  <c r="K8" i="5"/>
  <c r="K14" i="5"/>
  <c r="K10" i="5"/>
  <c r="L45" i="5"/>
  <c r="K16" i="5"/>
  <c r="K15" i="5"/>
  <c r="K13" i="5"/>
  <c r="K12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M47" i="7"/>
  <c r="Q46" i="7"/>
  <c r="M40" i="8"/>
  <c r="Q39" i="8"/>
  <c r="L38" i="3"/>
  <c r="C46" i="25"/>
  <c r="G45" i="25"/>
  <c r="M36" i="17"/>
  <c r="Q35" i="17"/>
  <c r="L39" i="20"/>
  <c r="L37" i="13"/>
  <c r="B37" i="13"/>
  <c r="C37" i="7"/>
  <c r="G36" i="7"/>
  <c r="L39" i="19"/>
  <c r="B37" i="7"/>
  <c r="C36" i="9"/>
  <c r="G35" i="9"/>
  <c r="B39" i="27"/>
  <c r="M37" i="26"/>
  <c r="Q36" i="26"/>
  <c r="Q37" i="15"/>
  <c r="M38" i="15"/>
  <c r="M36" i="27"/>
  <c r="Q35" i="27"/>
  <c r="C50" i="27"/>
  <c r="G49" i="27"/>
  <c r="M46" i="9"/>
  <c r="Q45" i="9"/>
  <c r="B36" i="17"/>
  <c r="G37" i="19" l="1"/>
  <c r="C38" i="19"/>
  <c r="L38" i="7"/>
  <c r="M44" i="21"/>
  <c r="Q43" i="21"/>
  <c r="B40" i="8"/>
  <c r="B38" i="25"/>
  <c r="M38" i="26"/>
  <c r="Q37" i="26"/>
  <c r="B38" i="13"/>
  <c r="B39" i="11"/>
  <c r="C42" i="15"/>
  <c r="G41" i="15"/>
  <c r="C42" i="11"/>
  <c r="G41" i="11"/>
  <c r="M58" i="11"/>
  <c r="Q57" i="11"/>
  <c r="B43" i="23"/>
  <c r="Q36" i="17"/>
  <c r="M37" i="17"/>
  <c r="L39" i="8"/>
  <c r="M51" i="5"/>
  <c r="Q50" i="5"/>
  <c r="G36" i="5"/>
  <c r="C37" i="5"/>
  <c r="B37" i="17"/>
  <c r="C38" i="7"/>
  <c r="G37" i="7"/>
  <c r="C39" i="21"/>
  <c r="G38" i="21"/>
  <c r="L38" i="23"/>
  <c r="G38" i="26"/>
  <c r="C39" i="26"/>
  <c r="L39" i="25"/>
  <c r="G39" i="20"/>
  <c r="C40" i="20"/>
  <c r="L38" i="9"/>
  <c r="L38" i="4"/>
  <c r="B39" i="20"/>
  <c r="L46" i="5"/>
  <c r="B40" i="27"/>
  <c r="M40" i="20"/>
  <c r="Q39" i="20"/>
  <c r="G48" i="4"/>
  <c r="C49" i="4"/>
  <c r="B38" i="19"/>
  <c r="Q38" i="13"/>
  <c r="M39" i="13"/>
  <c r="L39" i="15"/>
  <c r="W31" i="15" a="1"/>
  <c r="W31" i="15" s="1"/>
  <c r="C37" i="9"/>
  <c r="G36" i="9"/>
  <c r="L39" i="17"/>
  <c r="C47" i="25"/>
  <c r="G46" i="25"/>
  <c r="M37" i="27"/>
  <c r="Q36" i="27"/>
  <c r="M38" i="25"/>
  <c r="Q37" i="25"/>
  <c r="L37" i="14"/>
  <c r="L38" i="11"/>
  <c r="B38" i="7"/>
  <c r="L38" i="13"/>
  <c r="B39" i="15"/>
  <c r="L39" i="26"/>
  <c r="B43" i="4"/>
  <c r="L37" i="27"/>
  <c r="C38" i="3"/>
  <c r="G37" i="3"/>
  <c r="M41" i="4"/>
  <c r="Q40" i="4"/>
  <c r="G36" i="17"/>
  <c r="C37" i="17"/>
  <c r="M48" i="7"/>
  <c r="Q47" i="7"/>
  <c r="L38" i="21"/>
  <c r="C51" i="27"/>
  <c r="G50" i="27"/>
  <c r="L39" i="3"/>
  <c r="G37" i="23"/>
  <c r="C38" i="23"/>
  <c r="M38" i="19"/>
  <c r="Q37" i="19"/>
  <c r="C40" i="13"/>
  <c r="G39" i="13"/>
  <c r="M39" i="15"/>
  <c r="Q38" i="15"/>
  <c r="L40" i="19"/>
  <c r="B37" i="9"/>
  <c r="B40" i="24"/>
  <c r="C59" i="14"/>
  <c r="G58" i="14"/>
  <c r="B38" i="14"/>
  <c r="G40" i="8"/>
  <c r="C41" i="8"/>
  <c r="Q39" i="3"/>
  <c r="M40" i="3"/>
  <c r="L40" i="20"/>
  <c r="L38" i="24"/>
  <c r="M47" i="9"/>
  <c r="Q46" i="9"/>
  <c r="M41" i="8"/>
  <c r="Q40" i="8"/>
  <c r="C38" i="24"/>
  <c r="G37" i="24"/>
  <c r="M52" i="24"/>
  <c r="Q51" i="24"/>
  <c r="M39" i="23"/>
  <c r="Q38" i="23"/>
  <c r="B37" i="5"/>
  <c r="B41" i="3"/>
  <c r="M39" i="14"/>
  <c r="Q38" i="14"/>
  <c r="B38" i="21"/>
  <c r="B38" i="26"/>
  <c r="C50" i="4" l="1"/>
  <c r="G49" i="4"/>
  <c r="G38" i="7"/>
  <c r="C39" i="7"/>
  <c r="L40" i="15"/>
  <c r="C40" i="26"/>
  <c r="G39" i="26"/>
  <c r="B38" i="17"/>
  <c r="M39" i="26"/>
  <c r="Q38" i="26"/>
  <c r="M40" i="23"/>
  <c r="Q39" i="23"/>
  <c r="C52" i="27"/>
  <c r="G51" i="27"/>
  <c r="L39" i="11"/>
  <c r="M38" i="27"/>
  <c r="Q37" i="27"/>
  <c r="C43" i="15"/>
  <c r="G42" i="15"/>
  <c r="B39" i="25"/>
  <c r="M38" i="17"/>
  <c r="Q37" i="17"/>
  <c r="M40" i="14"/>
  <c r="Q39" i="14"/>
  <c r="C39" i="3"/>
  <c r="G38" i="3"/>
  <c r="L40" i="26"/>
  <c r="C48" i="25"/>
  <c r="G47" i="25"/>
  <c r="L47" i="5"/>
  <c r="G37" i="5"/>
  <c r="C38" i="5"/>
  <c r="L40" i="3"/>
  <c r="C39" i="24"/>
  <c r="G38" i="24"/>
  <c r="B40" i="11"/>
  <c r="B41" i="8"/>
  <c r="M42" i="4"/>
  <c r="Q41" i="4"/>
  <c r="M39" i="25"/>
  <c r="Q38" i="25"/>
  <c r="M53" i="24"/>
  <c r="Q52" i="24"/>
  <c r="B41" i="27"/>
  <c r="M42" i="8"/>
  <c r="Q41" i="8"/>
  <c r="L40" i="17"/>
  <c r="M40" i="13"/>
  <c r="Q39" i="13"/>
  <c r="B40" i="20"/>
  <c r="B44" i="23"/>
  <c r="Q47" i="9"/>
  <c r="M48" i="9"/>
  <c r="B41" i="24"/>
  <c r="L40" i="8"/>
  <c r="Q40" i="3"/>
  <c r="M41" i="3"/>
  <c r="Q44" i="21"/>
  <c r="M45" i="21"/>
  <c r="B39" i="26"/>
  <c r="B39" i="21"/>
  <c r="L40" i="25"/>
  <c r="M40" i="15"/>
  <c r="Q39" i="15"/>
  <c r="L41" i="20"/>
  <c r="B38" i="9"/>
  <c r="G41" i="8"/>
  <c r="C42" i="8"/>
  <c r="B39" i="14"/>
  <c r="L38" i="27"/>
  <c r="B40" i="15"/>
  <c r="L39" i="4"/>
  <c r="M52" i="5"/>
  <c r="Q51" i="5"/>
  <c r="M59" i="11"/>
  <c r="Q58" i="11"/>
  <c r="B39" i="13"/>
  <c r="L39" i="21"/>
  <c r="B42" i="3"/>
  <c r="B38" i="5"/>
  <c r="Q38" i="19"/>
  <c r="M39" i="19"/>
  <c r="Q48" i="7"/>
  <c r="M49" i="7"/>
  <c r="L39" i="13"/>
  <c r="C38" i="9"/>
  <c r="G37" i="9"/>
  <c r="L39" i="7"/>
  <c r="M41" i="20"/>
  <c r="Q40" i="20"/>
  <c r="A43" i="4"/>
  <c r="B44" i="4"/>
  <c r="C41" i="13"/>
  <c r="G40" i="13"/>
  <c r="C39" i="23"/>
  <c r="G38" i="23"/>
  <c r="G37" i="17"/>
  <c r="C38" i="17"/>
  <c r="L41" i="19"/>
  <c r="L39" i="9"/>
  <c r="L39" i="23"/>
  <c r="C43" i="11"/>
  <c r="G42" i="11"/>
  <c r="C39" i="19"/>
  <c r="G38" i="19"/>
  <c r="B39" i="7"/>
  <c r="B39" i="19"/>
  <c r="C41" i="20"/>
  <c r="G40" i="20"/>
  <c r="C60" i="14"/>
  <c r="G59" i="14"/>
  <c r="L39" i="24"/>
  <c r="L38" i="14"/>
  <c r="C40" i="21"/>
  <c r="G39" i="21"/>
  <c r="M39" i="17" l="1"/>
  <c r="Q38" i="17"/>
  <c r="C41" i="26"/>
  <c r="G40" i="26"/>
  <c r="C40" i="19"/>
  <c r="G39" i="19"/>
  <c r="A7" i="23"/>
  <c r="A11" i="23"/>
  <c r="B45" i="23"/>
  <c r="A10" i="23"/>
  <c r="A9" i="23"/>
  <c r="A12" i="23"/>
  <c r="A8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M54" i="24"/>
  <c r="Q53" i="24"/>
  <c r="C40" i="24"/>
  <c r="G39" i="24"/>
  <c r="M41" i="15"/>
  <c r="Q40" i="15"/>
  <c r="A43" i="23"/>
  <c r="L41" i="15"/>
  <c r="M40" i="19"/>
  <c r="Q39" i="19"/>
  <c r="C53" i="27"/>
  <c r="G52" i="27"/>
  <c r="G38" i="9"/>
  <c r="C39" i="9"/>
  <c r="L42" i="19"/>
  <c r="C41" i="21"/>
  <c r="G40" i="21"/>
  <c r="C44" i="11"/>
  <c r="G43" i="11"/>
  <c r="Q59" i="11"/>
  <c r="M60" i="11"/>
  <c r="B40" i="14"/>
  <c r="L41" i="25"/>
  <c r="G48" i="25"/>
  <c r="C49" i="25"/>
  <c r="M43" i="4"/>
  <c r="Q42" i="4"/>
  <c r="B40" i="25"/>
  <c r="M41" i="13"/>
  <c r="Q40" i="13"/>
  <c r="B40" i="13"/>
  <c r="B41" i="20"/>
  <c r="M53" i="5"/>
  <c r="Q52" i="5"/>
  <c r="L40" i="4"/>
  <c r="B40" i="21"/>
  <c r="L41" i="3"/>
  <c r="L41" i="26"/>
  <c r="G39" i="7"/>
  <c r="C40" i="7"/>
  <c r="L40" i="13"/>
  <c r="G41" i="20"/>
  <c r="C42" i="20"/>
  <c r="L41" i="17"/>
  <c r="B42" i="8"/>
  <c r="C44" i="15"/>
  <c r="G43" i="15"/>
  <c r="M41" i="23"/>
  <c r="Q40" i="23"/>
  <c r="M40" i="25"/>
  <c r="Q39" i="25"/>
  <c r="G42" i="8"/>
  <c r="C43" i="8"/>
  <c r="C40" i="23"/>
  <c r="G39" i="23"/>
  <c r="L40" i="7"/>
  <c r="L41" i="8"/>
  <c r="C40" i="3"/>
  <c r="G39" i="3"/>
  <c r="M50" i="7"/>
  <c r="Q49" i="7"/>
  <c r="M42" i="20"/>
  <c r="Q41" i="20"/>
  <c r="L40" i="23"/>
  <c r="B41" i="15"/>
  <c r="B39" i="9"/>
  <c r="Q42" i="8"/>
  <c r="M43" i="8"/>
  <c r="M40" i="26"/>
  <c r="Q39" i="26"/>
  <c r="L39" i="14"/>
  <c r="Q41" i="3"/>
  <c r="M42" i="3"/>
  <c r="B39" i="5"/>
  <c r="B43" i="3"/>
  <c r="B42" i="24"/>
  <c r="B41" i="11"/>
  <c r="M39" i="27"/>
  <c r="Q38" i="27"/>
  <c r="C61" i="14"/>
  <c r="G60" i="14"/>
  <c r="A7" i="4"/>
  <c r="B45" i="4"/>
  <c r="A9" i="4"/>
  <c r="A10" i="4"/>
  <c r="A12" i="4"/>
  <c r="A13" i="4"/>
  <c r="A8" i="4"/>
  <c r="A11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C39" i="17"/>
  <c r="G38" i="17"/>
  <c r="L40" i="9"/>
  <c r="C42" i="13"/>
  <c r="G41" i="13"/>
  <c r="B40" i="7"/>
  <c r="B40" i="26"/>
  <c r="B42" i="27"/>
  <c r="L40" i="11"/>
  <c r="B40" i="19"/>
  <c r="L40" i="24"/>
  <c r="L40" i="21"/>
  <c r="L39" i="27"/>
  <c r="W31" i="27" a="1"/>
  <c r="W31" i="27" s="1"/>
  <c r="M46" i="21"/>
  <c r="Q45" i="21"/>
  <c r="G38" i="5"/>
  <c r="C39" i="5"/>
  <c r="M41" i="14"/>
  <c r="Q40" i="14"/>
  <c r="B39" i="17"/>
  <c r="G50" i="4"/>
  <c r="C51" i="4"/>
  <c r="M49" i="9"/>
  <c r="Q48" i="9"/>
  <c r="L42" i="20"/>
  <c r="L48" i="5"/>
  <c r="B43" i="27" l="1"/>
  <c r="Q42" i="3"/>
  <c r="M43" i="3"/>
  <c r="C43" i="20"/>
  <c r="G42" i="20"/>
  <c r="L41" i="4"/>
  <c r="C54" i="27"/>
  <c r="G53" i="27"/>
  <c r="L41" i="24"/>
  <c r="B41" i="25"/>
  <c r="M41" i="25"/>
  <c r="Q40" i="25"/>
  <c r="M42" i="14"/>
  <c r="Q41" i="14"/>
  <c r="G39" i="5"/>
  <c r="C40" i="5"/>
  <c r="B41" i="26"/>
  <c r="B40" i="9"/>
  <c r="C41" i="3"/>
  <c r="G40" i="3"/>
  <c r="L43" i="20"/>
  <c r="C40" i="17"/>
  <c r="G39" i="17"/>
  <c r="L40" i="14"/>
  <c r="M42" i="23"/>
  <c r="Q41" i="23"/>
  <c r="L41" i="13"/>
  <c r="M54" i="5"/>
  <c r="Q53" i="5"/>
  <c r="M44" i="4"/>
  <c r="Q43" i="4"/>
  <c r="C45" i="11"/>
  <c r="G44" i="11"/>
  <c r="Q41" i="15"/>
  <c r="M42" i="15"/>
  <c r="C41" i="19"/>
  <c r="G40" i="19"/>
  <c r="B42" i="11"/>
  <c r="C41" i="7"/>
  <c r="G40" i="7"/>
  <c r="C45" i="15"/>
  <c r="G44" i="15"/>
  <c r="M41" i="19"/>
  <c r="Q40" i="19"/>
  <c r="B42" i="15"/>
  <c r="L42" i="8"/>
  <c r="B42" i="20"/>
  <c r="B41" i="19"/>
  <c r="B43" i="24"/>
  <c r="C42" i="21"/>
  <c r="G41" i="21"/>
  <c r="L41" i="23"/>
  <c r="L41" i="7"/>
  <c r="C50" i="25"/>
  <c r="G49" i="25"/>
  <c r="M47" i="21"/>
  <c r="Q46" i="21"/>
  <c r="B44" i="3"/>
  <c r="A43" i="3"/>
  <c r="B43" i="8"/>
  <c r="B41" i="13"/>
  <c r="C42" i="26"/>
  <c r="G41" i="26"/>
  <c r="B41" i="7"/>
  <c r="M43" i="20"/>
  <c r="Q42" i="20"/>
  <c r="L42" i="17"/>
  <c r="L42" i="26"/>
  <c r="C41" i="24"/>
  <c r="G40" i="24"/>
  <c r="L42" i="25"/>
  <c r="L42" i="15"/>
  <c r="M50" i="9"/>
  <c r="Q49" i="9"/>
  <c r="L40" i="27"/>
  <c r="C43" i="13"/>
  <c r="G42" i="13"/>
  <c r="B40" i="5"/>
  <c r="M41" i="26"/>
  <c r="Q40" i="26"/>
  <c r="C41" i="23"/>
  <c r="G40" i="23"/>
  <c r="L42" i="3"/>
  <c r="Q54" i="24"/>
  <c r="M55" i="24"/>
  <c r="C62" i="14"/>
  <c r="G61" i="14"/>
  <c r="G43" i="8"/>
  <c r="C44" i="8"/>
  <c r="M42" i="13"/>
  <c r="Q41" i="13"/>
  <c r="L43" i="19"/>
  <c r="M40" i="17"/>
  <c r="Q39" i="17"/>
  <c r="B46" i="4"/>
  <c r="C52" i="4"/>
  <c r="G51" i="4"/>
  <c r="L41" i="21"/>
  <c r="M51" i="7"/>
  <c r="Q50" i="7"/>
  <c r="B41" i="14"/>
  <c r="C40" i="9"/>
  <c r="G39" i="9"/>
  <c r="L49" i="5"/>
  <c r="L41" i="11"/>
  <c r="B40" i="17"/>
  <c r="L41" i="9"/>
  <c r="M40" i="27"/>
  <c r="Q39" i="27"/>
  <c r="Q43" i="8"/>
  <c r="M44" i="8"/>
  <c r="B41" i="21"/>
  <c r="M61" i="11"/>
  <c r="Q60" i="11"/>
  <c r="B46" i="23"/>
  <c r="C42" i="19" l="1"/>
  <c r="G41" i="19"/>
  <c r="M43" i="23"/>
  <c r="Q42" i="23"/>
  <c r="M43" i="15"/>
  <c r="Q42" i="15"/>
  <c r="L41" i="14"/>
  <c r="B47" i="4"/>
  <c r="B42" i="25"/>
  <c r="C63" i="14"/>
  <c r="G62" i="14"/>
  <c r="L43" i="15"/>
  <c r="C41" i="17"/>
  <c r="G40" i="17"/>
  <c r="M52" i="7"/>
  <c r="Q51" i="7"/>
  <c r="M41" i="17"/>
  <c r="Q40" i="17"/>
  <c r="L43" i="3"/>
  <c r="L43" i="25"/>
  <c r="A7" i="3"/>
  <c r="A8" i="3"/>
  <c r="B45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K43" i="20"/>
  <c r="L44" i="20"/>
  <c r="G40" i="5"/>
  <c r="C41" i="5"/>
  <c r="M56" i="24"/>
  <c r="Q55" i="24"/>
  <c r="B42" i="26"/>
  <c r="C46" i="15"/>
  <c r="G45" i="15"/>
  <c r="G43" i="20"/>
  <c r="C44" i="20"/>
  <c r="C41" i="9"/>
  <c r="G40" i="9"/>
  <c r="C44" i="13"/>
  <c r="G43" i="13"/>
  <c r="L42" i="7"/>
  <c r="G45" i="11"/>
  <c r="C46" i="11"/>
  <c r="B41" i="17"/>
  <c r="L42" i="24"/>
  <c r="A43" i="8"/>
  <c r="B44" i="8"/>
  <c r="C43" i="21"/>
  <c r="G42" i="21"/>
  <c r="M62" i="11"/>
  <c r="Q61" i="11"/>
  <c r="K43" i="19"/>
  <c r="L44" i="19"/>
  <c r="Q47" i="21"/>
  <c r="M48" i="21"/>
  <c r="B42" i="7"/>
  <c r="M43" i="13"/>
  <c r="Q42" i="13"/>
  <c r="C42" i="23"/>
  <c r="G41" i="23"/>
  <c r="L43" i="8"/>
  <c r="M45" i="4"/>
  <c r="Q44" i="4"/>
  <c r="M43" i="14"/>
  <c r="Q42" i="14"/>
  <c r="Q43" i="3"/>
  <c r="M44" i="3"/>
  <c r="L43" i="26"/>
  <c r="M41" i="27"/>
  <c r="Q40" i="27"/>
  <c r="L42" i="9"/>
  <c r="M44" i="20"/>
  <c r="Q43" i="20"/>
  <c r="L42" i="23"/>
  <c r="B43" i="20"/>
  <c r="L42" i="11"/>
  <c r="L42" i="21"/>
  <c r="C42" i="24"/>
  <c r="G41" i="24"/>
  <c r="G50" i="25"/>
  <c r="C51" i="25"/>
  <c r="B47" i="23"/>
  <c r="L43" i="17"/>
  <c r="M42" i="19"/>
  <c r="Q41" i="19"/>
  <c r="B42" i="21"/>
  <c r="C45" i="8"/>
  <c r="G44" i="8"/>
  <c r="C42" i="7"/>
  <c r="G41" i="7"/>
  <c r="M55" i="5"/>
  <c r="Q54" i="5"/>
  <c r="C42" i="3"/>
  <c r="G41" i="3"/>
  <c r="M42" i="25"/>
  <c r="Q41" i="25"/>
  <c r="B42" i="14"/>
  <c r="C53" i="4"/>
  <c r="G52" i="4"/>
  <c r="B43" i="15"/>
  <c r="C55" i="27"/>
  <c r="G54" i="27"/>
  <c r="B42" i="19"/>
  <c r="L50" i="5"/>
  <c r="Q41" i="26"/>
  <c r="M42" i="26"/>
  <c r="L41" i="27"/>
  <c r="C43" i="26"/>
  <c r="G42" i="26"/>
  <c r="B41" i="5"/>
  <c r="B44" i="24"/>
  <c r="B43" i="11"/>
  <c r="L42" i="13"/>
  <c r="B41" i="9"/>
  <c r="L42" i="4"/>
  <c r="Q44" i="8"/>
  <c r="M45" i="8"/>
  <c r="M51" i="9"/>
  <c r="Q50" i="9"/>
  <c r="B42" i="13"/>
  <c r="A43" i="27"/>
  <c r="B44" i="27"/>
  <c r="Q48" i="21" l="1"/>
  <c r="M49" i="21"/>
  <c r="L45" i="20"/>
  <c r="K7" i="20"/>
  <c r="K8" i="20"/>
  <c r="K10" i="20"/>
  <c r="K9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M42" i="17"/>
  <c r="Q41" i="17"/>
  <c r="B48" i="4"/>
  <c r="Q52" i="7"/>
  <c r="M53" i="7"/>
  <c r="C46" i="8"/>
  <c r="G45" i="8"/>
  <c r="B43" i="14"/>
  <c r="M44" i="15"/>
  <c r="Q43" i="15"/>
  <c r="K43" i="26"/>
  <c r="L44" i="26"/>
  <c r="B45" i="8"/>
  <c r="A9" i="8"/>
  <c r="A8" i="8"/>
  <c r="A10" i="8"/>
  <c r="A7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C45" i="13"/>
  <c r="G44" i="13"/>
  <c r="L43" i="11"/>
  <c r="Q42" i="26"/>
  <c r="M43" i="26"/>
  <c r="B43" i="21"/>
  <c r="L43" i="7"/>
  <c r="B43" i="19"/>
  <c r="L43" i="4"/>
  <c r="B44" i="20"/>
  <c r="A43" i="20" s="1"/>
  <c r="B43" i="26"/>
  <c r="L43" i="24"/>
  <c r="C42" i="9"/>
  <c r="G41" i="9"/>
  <c r="B45" i="24"/>
  <c r="A8" i="24"/>
  <c r="A7" i="24"/>
  <c r="A10" i="24"/>
  <c r="A9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B46" i="3"/>
  <c r="G55" i="27"/>
  <c r="C56" i="27"/>
  <c r="M45" i="3"/>
  <c r="Q44" i="3"/>
  <c r="M63" i="11"/>
  <c r="Q62" i="11"/>
  <c r="L51" i="5"/>
  <c r="L44" i="15"/>
  <c r="K43" i="15" s="1"/>
  <c r="B42" i="5"/>
  <c r="Q42" i="25"/>
  <c r="M43" i="25"/>
  <c r="L44" i="17"/>
  <c r="K43" i="17"/>
  <c r="C45" i="20"/>
  <c r="G44" i="20"/>
  <c r="L44" i="25"/>
  <c r="K43" i="25"/>
  <c r="B43" i="13"/>
  <c r="C43" i="24"/>
  <c r="G42" i="24"/>
  <c r="L43" i="23"/>
  <c r="M57" i="24"/>
  <c r="Q56" i="24"/>
  <c r="C64" i="14"/>
  <c r="G63" i="14"/>
  <c r="L42" i="14"/>
  <c r="C42" i="17"/>
  <c r="G41" i="17"/>
  <c r="M43" i="19"/>
  <c r="Q42" i="19"/>
  <c r="M44" i="13"/>
  <c r="Q43" i="13"/>
  <c r="B42" i="9"/>
  <c r="L43" i="13"/>
  <c r="B44" i="15"/>
  <c r="A43" i="15" s="1"/>
  <c r="C43" i="3"/>
  <c r="G42" i="3"/>
  <c r="M44" i="14"/>
  <c r="Q43" i="14"/>
  <c r="B43" i="25"/>
  <c r="M44" i="23"/>
  <c r="Q43" i="23"/>
  <c r="M45" i="20"/>
  <c r="Q44" i="20"/>
  <c r="L43" i="9"/>
  <c r="C44" i="21"/>
  <c r="G43" i="21"/>
  <c r="C54" i="4"/>
  <c r="G53" i="4"/>
  <c r="M42" i="27"/>
  <c r="Q41" i="27"/>
  <c r="L45" i="19"/>
  <c r="K9" i="19"/>
  <c r="K7" i="19"/>
  <c r="K8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C43" i="23"/>
  <c r="G42" i="23"/>
  <c r="B48" i="23"/>
  <c r="C44" i="26"/>
  <c r="G43" i="26"/>
  <c r="M56" i="5"/>
  <c r="Q55" i="5"/>
  <c r="C52" i="25"/>
  <c r="G51" i="25"/>
  <c r="C47" i="15"/>
  <c r="G46" i="15"/>
  <c r="M46" i="8"/>
  <c r="Q45" i="8"/>
  <c r="L43" i="21"/>
  <c r="B44" i="11"/>
  <c r="A43" i="11" s="1"/>
  <c r="M46" i="4"/>
  <c r="Q45" i="4"/>
  <c r="B43" i="7"/>
  <c r="B42" i="17"/>
  <c r="C43" i="19"/>
  <c r="G42" i="19"/>
  <c r="L42" i="27"/>
  <c r="G46" i="11"/>
  <c r="C47" i="11"/>
  <c r="G41" i="5"/>
  <c r="C42" i="5"/>
  <c r="L44" i="3"/>
  <c r="K43" i="3" s="1"/>
  <c r="B45" i="27"/>
  <c r="A8" i="27"/>
  <c r="A9" i="27"/>
  <c r="A10" i="27"/>
  <c r="A7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M52" i="9"/>
  <c r="Q51" i="9"/>
  <c r="A43" i="24"/>
  <c r="G42" i="7"/>
  <c r="C43" i="7"/>
  <c r="L44" i="8"/>
  <c r="K7" i="8" l="1"/>
  <c r="L45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M44" i="19"/>
  <c r="Q43" i="19"/>
  <c r="M45" i="15"/>
  <c r="Q44" i="15"/>
  <c r="C44" i="19"/>
  <c r="G43" i="19"/>
  <c r="G42" i="5"/>
  <c r="C43" i="5"/>
  <c r="C55" i="4"/>
  <c r="G54" i="4"/>
  <c r="L52" i="5"/>
  <c r="Q43" i="25"/>
  <c r="M44" i="25"/>
  <c r="A43" i="14"/>
  <c r="B44" i="14"/>
  <c r="L44" i="13"/>
  <c r="K43" i="13"/>
  <c r="Q63" i="11"/>
  <c r="M64" i="11"/>
  <c r="B46" i="24"/>
  <c r="L45" i="3"/>
  <c r="K7" i="3"/>
  <c r="K9" i="3"/>
  <c r="K8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B44" i="21"/>
  <c r="A43" i="21"/>
  <c r="M47" i="8"/>
  <c r="Q46" i="8"/>
  <c r="G47" i="11"/>
  <c r="C48" i="11"/>
  <c r="C43" i="17"/>
  <c r="G42" i="17"/>
  <c r="B45" i="20"/>
  <c r="A7" i="20"/>
  <c r="A9" i="20"/>
  <c r="A8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C53" i="25"/>
  <c r="G52" i="25"/>
  <c r="G43" i="23"/>
  <c r="C44" i="23"/>
  <c r="M46" i="20"/>
  <c r="Q45" i="20"/>
  <c r="B44" i="7"/>
  <c r="A43" i="7" s="1"/>
  <c r="L43" i="14"/>
  <c r="A43" i="13"/>
  <c r="B44" i="13"/>
  <c r="B43" i="5"/>
  <c r="C47" i="8"/>
  <c r="G46" i="8"/>
  <c r="M45" i="14"/>
  <c r="Q44" i="14"/>
  <c r="C44" i="7"/>
  <c r="G43" i="7"/>
  <c r="M46" i="3"/>
  <c r="Q45" i="3"/>
  <c r="M54" i="7"/>
  <c r="Q53" i="7"/>
  <c r="C44" i="3"/>
  <c r="G43" i="3"/>
  <c r="L45" i="17"/>
  <c r="K8" i="17"/>
  <c r="K7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M44" i="26"/>
  <c r="Q43" i="26"/>
  <c r="M53" i="9"/>
  <c r="Q52" i="9"/>
  <c r="L44" i="4"/>
  <c r="K43" i="11"/>
  <c r="L44" i="11"/>
  <c r="B46" i="8"/>
  <c r="L46" i="20"/>
  <c r="B49" i="4"/>
  <c r="K43" i="8"/>
  <c r="G47" i="15"/>
  <c r="C48" i="15"/>
  <c r="C45" i="21"/>
  <c r="G44" i="21"/>
  <c r="C44" i="24"/>
  <c r="G43" i="24"/>
  <c r="M57" i="5"/>
  <c r="Q56" i="5"/>
  <c r="B43" i="9"/>
  <c r="C57" i="27"/>
  <c r="G56" i="27"/>
  <c r="M45" i="23"/>
  <c r="Q44" i="23"/>
  <c r="C43" i="9"/>
  <c r="G42" i="9"/>
  <c r="B43" i="17"/>
  <c r="B45" i="15"/>
  <c r="A8" i="15"/>
  <c r="A7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C46" i="13"/>
  <c r="G45" i="13"/>
  <c r="Q42" i="17"/>
  <c r="M43" i="17"/>
  <c r="K43" i="9"/>
  <c r="L44" i="9"/>
  <c r="M47" i="4"/>
  <c r="Q46" i="4"/>
  <c r="B45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L46" i="19"/>
  <c r="C65" i="14"/>
  <c r="G64" i="14"/>
  <c r="C45" i="26"/>
  <c r="G44" i="26"/>
  <c r="B44" i="25"/>
  <c r="A43" i="25"/>
  <c r="L45" i="25"/>
  <c r="K7" i="25"/>
  <c r="K9" i="25"/>
  <c r="K8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3" i="25"/>
  <c r="K24" i="25"/>
  <c r="K25" i="25"/>
  <c r="K26" i="25"/>
  <c r="K27" i="25"/>
  <c r="K28" i="25"/>
  <c r="K29" i="25"/>
  <c r="K30" i="25"/>
  <c r="K31" i="25"/>
  <c r="K32" i="25"/>
  <c r="K33" i="25"/>
  <c r="K34" i="25"/>
  <c r="K35" i="25"/>
  <c r="K36" i="25"/>
  <c r="K37" i="25"/>
  <c r="K38" i="25"/>
  <c r="K39" i="25"/>
  <c r="K40" i="25"/>
  <c r="K41" i="25"/>
  <c r="K42" i="25"/>
  <c r="B47" i="3"/>
  <c r="K43" i="24"/>
  <c r="L44" i="24"/>
  <c r="B44" i="19"/>
  <c r="A43" i="19"/>
  <c r="L45" i="26"/>
  <c r="K9" i="26"/>
  <c r="K7" i="26"/>
  <c r="K8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M50" i="21"/>
  <c r="Q49" i="21"/>
  <c r="B49" i="23"/>
  <c r="L44" i="23"/>
  <c r="K43" i="23"/>
  <c r="B46" i="27"/>
  <c r="L43" i="27"/>
  <c r="M43" i="27"/>
  <c r="Q42" i="27"/>
  <c r="M45" i="13"/>
  <c r="Q44" i="13"/>
  <c r="M58" i="24"/>
  <c r="Q57" i="24"/>
  <c r="L45" i="15"/>
  <c r="K8" i="15"/>
  <c r="K7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21"/>
  <c r="L44" i="21"/>
  <c r="C46" i="20"/>
  <c r="G45" i="20"/>
  <c r="B44" i="26"/>
  <c r="A43" i="26"/>
  <c r="L44" i="7"/>
  <c r="C47" i="20" l="1"/>
  <c r="G46" i="20"/>
  <c r="B50" i="23"/>
  <c r="M48" i="4"/>
  <c r="Q47" i="4"/>
  <c r="C46" i="21"/>
  <c r="G45" i="21"/>
  <c r="L45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C44" i="17"/>
  <c r="G43" i="17"/>
  <c r="B45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L45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M59" i="24"/>
  <c r="Q58" i="24"/>
  <c r="B46" i="15"/>
  <c r="C49" i="15"/>
  <c r="G48" i="15"/>
  <c r="K43" i="4"/>
  <c r="C45" i="3"/>
  <c r="G44" i="3"/>
  <c r="B45" i="14"/>
  <c r="A8" i="14"/>
  <c r="A7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B45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K7" i="21"/>
  <c r="L45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7" i="9"/>
  <c r="L45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M55" i="7"/>
  <c r="Q54" i="7"/>
  <c r="M46" i="14"/>
  <c r="Q45" i="14"/>
  <c r="M45" i="25"/>
  <c r="Q44" i="25"/>
  <c r="C56" i="4"/>
  <c r="G55" i="4"/>
  <c r="M45" i="19"/>
  <c r="Q44" i="19"/>
  <c r="M54" i="9"/>
  <c r="Q53" i="9"/>
  <c r="M47" i="20"/>
  <c r="Q46" i="20"/>
  <c r="G48" i="11"/>
  <c r="C49" i="11"/>
  <c r="G43" i="5"/>
  <c r="C44" i="5"/>
  <c r="L44" i="14"/>
  <c r="K43" i="14" s="1"/>
  <c r="M46" i="23"/>
  <c r="Q45" i="23"/>
  <c r="Q43" i="27"/>
  <c r="M44" i="27"/>
  <c r="L47" i="19"/>
  <c r="M44" i="17"/>
  <c r="Q43" i="17"/>
  <c r="C58" i="27"/>
  <c r="G57" i="27"/>
  <c r="B50" i="4"/>
  <c r="G47" i="8"/>
  <c r="C48" i="8"/>
  <c r="C45" i="23"/>
  <c r="G44" i="23"/>
  <c r="L46" i="15"/>
  <c r="L46" i="17"/>
  <c r="M51" i="21"/>
  <c r="Q50" i="21"/>
  <c r="M46" i="13"/>
  <c r="Q45" i="13"/>
  <c r="L46" i="25"/>
  <c r="C66" i="14"/>
  <c r="G65" i="14"/>
  <c r="B44" i="17"/>
  <c r="A43" i="17"/>
  <c r="B44" i="9"/>
  <c r="A43" i="9"/>
  <c r="L46" i="3"/>
  <c r="C45" i="19"/>
  <c r="G44" i="19"/>
  <c r="B45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C47" i="13"/>
  <c r="G46" i="13"/>
  <c r="C54" i="25"/>
  <c r="G53" i="25"/>
  <c r="L44" i="27"/>
  <c r="L46" i="26"/>
  <c r="K7" i="7"/>
  <c r="L45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A7" i="19"/>
  <c r="B45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L47" i="20"/>
  <c r="M45" i="26"/>
  <c r="Q44" i="26"/>
  <c r="M47" i="3"/>
  <c r="Q46" i="3"/>
  <c r="B47" i="24"/>
  <c r="L53" i="5"/>
  <c r="Q45" i="15"/>
  <c r="M46" i="15"/>
  <c r="B47" i="27"/>
  <c r="K7" i="24"/>
  <c r="L45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M58" i="5"/>
  <c r="Q57" i="5"/>
  <c r="B44" i="5"/>
  <c r="C44" i="9"/>
  <c r="G43" i="9"/>
  <c r="B47" i="8"/>
  <c r="B45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M65" i="11"/>
  <c r="Q64" i="11"/>
  <c r="B45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C45" i="24"/>
  <c r="G44" i="24"/>
  <c r="C45" i="7"/>
  <c r="G44" i="7"/>
  <c r="L46" i="8"/>
  <c r="B46" i="11"/>
  <c r="K7" i="23"/>
  <c r="L45" i="23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K40" i="23"/>
  <c r="K41" i="23"/>
  <c r="K42" i="23"/>
  <c r="B48" i="3"/>
  <c r="C46" i="26"/>
  <c r="G45" i="26"/>
  <c r="K7" i="11"/>
  <c r="L45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B46" i="20"/>
  <c r="M48" i="8"/>
  <c r="Q47" i="8"/>
  <c r="M47" i="14" l="1"/>
  <c r="Q46" i="14"/>
  <c r="M46" i="26"/>
  <c r="Q45" i="26"/>
  <c r="C45" i="9"/>
  <c r="G44" i="9"/>
  <c r="G66" i="14"/>
  <c r="C67" i="14"/>
  <c r="C46" i="23"/>
  <c r="G45" i="23"/>
  <c r="L47" i="8"/>
  <c r="B48" i="27"/>
  <c r="G46" i="21"/>
  <c r="C47" i="21"/>
  <c r="L54" i="5"/>
  <c r="L45" i="27"/>
  <c r="K7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35" i="27"/>
  <c r="K36" i="27"/>
  <c r="K37" i="27"/>
  <c r="K38" i="27"/>
  <c r="K39" i="27"/>
  <c r="K40" i="27"/>
  <c r="K41" i="27"/>
  <c r="K42" i="27"/>
  <c r="C49" i="8"/>
  <c r="G48" i="8"/>
  <c r="M47" i="15"/>
  <c r="Q46" i="15"/>
  <c r="K43" i="27"/>
  <c r="L47" i="25"/>
  <c r="M48" i="20"/>
  <c r="Q47" i="20"/>
  <c r="B46" i="21"/>
  <c r="B48" i="24"/>
  <c r="M47" i="13"/>
  <c r="Q46" i="13"/>
  <c r="M55" i="9"/>
  <c r="Q54" i="9"/>
  <c r="M56" i="7"/>
  <c r="Q55" i="7"/>
  <c r="L46" i="21"/>
  <c r="B46" i="14"/>
  <c r="M45" i="27"/>
  <c r="Q44" i="27"/>
  <c r="B46" i="25"/>
  <c r="M49" i="8"/>
  <c r="Q48" i="8"/>
  <c r="B45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M60" i="24"/>
  <c r="Q59" i="24"/>
  <c r="Q51" i="21"/>
  <c r="M52" i="21"/>
  <c r="C59" i="27"/>
  <c r="G58" i="27"/>
  <c r="M47" i="23"/>
  <c r="Q46" i="23"/>
  <c r="C46" i="3"/>
  <c r="G45" i="3"/>
  <c r="M66" i="11"/>
  <c r="Q65" i="11"/>
  <c r="B45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C46" i="7"/>
  <c r="G45" i="7"/>
  <c r="M59" i="5"/>
  <c r="Q58" i="5"/>
  <c r="L46" i="11"/>
  <c r="C46" i="24"/>
  <c r="G45" i="24"/>
  <c r="M48" i="3"/>
  <c r="Q47" i="3"/>
  <c r="B47" i="11"/>
  <c r="B46" i="13"/>
  <c r="L47" i="17"/>
  <c r="Q44" i="17"/>
  <c r="M45" i="17"/>
  <c r="B51" i="23"/>
  <c r="M49" i="4"/>
  <c r="Q48" i="4"/>
  <c r="B51" i="4"/>
  <c r="L48" i="19"/>
  <c r="L45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M46" i="19"/>
  <c r="Q45" i="19"/>
  <c r="C50" i="15"/>
  <c r="G49" i="15"/>
  <c r="L47" i="3"/>
  <c r="B47" i="20"/>
  <c r="B45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C45" i="5"/>
  <c r="G44" i="5"/>
  <c r="B46" i="7"/>
  <c r="L46" i="23"/>
  <c r="A43" i="5"/>
  <c r="B46" i="19"/>
  <c r="L47" i="15"/>
  <c r="C57" i="4"/>
  <c r="G56" i="4"/>
  <c r="L46" i="9"/>
  <c r="L46" i="13"/>
  <c r="G44" i="17"/>
  <c r="C45" i="17"/>
  <c r="C55" i="25"/>
  <c r="G54" i="25"/>
  <c r="B48" i="8"/>
  <c r="G46" i="26"/>
  <c r="C47" i="26"/>
  <c r="L48" i="20"/>
  <c r="L46" i="7"/>
  <c r="B49" i="3"/>
  <c r="L46" i="24"/>
  <c r="G45" i="19"/>
  <c r="C46" i="19"/>
  <c r="B47" i="15"/>
  <c r="C48" i="20"/>
  <c r="G47" i="20"/>
  <c r="B46" i="26"/>
  <c r="L47" i="26"/>
  <c r="G47" i="13"/>
  <c r="C48" i="13"/>
  <c r="G49" i="11"/>
  <c r="C50" i="11"/>
  <c r="Q45" i="25"/>
  <c r="M46" i="25"/>
  <c r="L46" i="4"/>
  <c r="C47" i="3" l="1"/>
  <c r="G46" i="3"/>
  <c r="M48" i="13"/>
  <c r="Q47" i="13"/>
  <c r="L47" i="7"/>
  <c r="B48" i="20"/>
  <c r="B52" i="4"/>
  <c r="B47" i="7"/>
  <c r="B47" i="25"/>
  <c r="M49" i="20"/>
  <c r="Q48" i="20"/>
  <c r="C49" i="13"/>
  <c r="G48" i="13"/>
  <c r="M46" i="27"/>
  <c r="Q45" i="27"/>
  <c r="G57" i="4"/>
  <c r="C58" i="4"/>
  <c r="C46" i="5"/>
  <c r="G45" i="5"/>
  <c r="B47" i="14"/>
  <c r="L48" i="25"/>
  <c r="B49" i="27"/>
  <c r="L47" i="13"/>
  <c r="L49" i="20"/>
  <c r="C47" i="19"/>
  <c r="G46" i="19"/>
  <c r="L48" i="8"/>
  <c r="M60" i="5"/>
  <c r="Q59" i="5"/>
  <c r="B52" i="23"/>
  <c r="B48" i="11"/>
  <c r="C60" i="27"/>
  <c r="G59" i="27"/>
  <c r="M53" i="21"/>
  <c r="Q52" i="21"/>
  <c r="L47" i="21"/>
  <c r="M47" i="26"/>
  <c r="Q46" i="26"/>
  <c r="B47" i="26"/>
  <c r="C47" i="7"/>
  <c r="G46" i="7"/>
  <c r="M61" i="24"/>
  <c r="Q60" i="24"/>
  <c r="B47" i="21"/>
  <c r="L48" i="3"/>
  <c r="B47" i="13"/>
  <c r="B49" i="8"/>
  <c r="C51" i="15"/>
  <c r="G50" i="15"/>
  <c r="M49" i="3"/>
  <c r="Q48" i="3"/>
  <c r="L47" i="4"/>
  <c r="M47" i="19"/>
  <c r="Q46" i="19"/>
  <c r="L46" i="27"/>
  <c r="L47" i="24"/>
  <c r="L48" i="15"/>
  <c r="Q45" i="17"/>
  <c r="M46" i="17"/>
  <c r="C47" i="24"/>
  <c r="G46" i="24"/>
  <c r="L55" i="5"/>
  <c r="L47" i="23"/>
  <c r="L48" i="26"/>
  <c r="M50" i="4"/>
  <c r="Q49" i="4"/>
  <c r="M48" i="23"/>
  <c r="Q47" i="23"/>
  <c r="C56" i="25"/>
  <c r="G55" i="25"/>
  <c r="B46" i="9"/>
  <c r="Q56" i="7"/>
  <c r="M57" i="7"/>
  <c r="M48" i="15"/>
  <c r="Q47" i="15"/>
  <c r="L47" i="9"/>
  <c r="C49" i="20"/>
  <c r="G48" i="20"/>
  <c r="C48" i="21"/>
  <c r="G47" i="21"/>
  <c r="M48" i="14"/>
  <c r="Q47" i="14"/>
  <c r="B49" i="24"/>
  <c r="C50" i="8"/>
  <c r="G49" i="8"/>
  <c r="M47" i="25"/>
  <c r="Q46" i="25"/>
  <c r="B50" i="3"/>
  <c r="L48" i="17"/>
  <c r="B46" i="5"/>
  <c r="Q55" i="9"/>
  <c r="M56" i="9"/>
  <c r="C48" i="26"/>
  <c r="G47" i="26"/>
  <c r="L47" i="11"/>
  <c r="B46" i="17"/>
  <c r="G50" i="11"/>
  <c r="C51" i="11"/>
  <c r="B48" i="15"/>
  <c r="B47" i="19"/>
  <c r="M67" i="11"/>
  <c r="Q66" i="11"/>
  <c r="C47" i="23"/>
  <c r="G46" i="23"/>
  <c r="C46" i="9"/>
  <c r="G45" i="9"/>
  <c r="C46" i="17"/>
  <c r="G45" i="17"/>
  <c r="L46" i="14"/>
  <c r="C68" i="14"/>
  <c r="G67" i="14"/>
  <c r="L49" i="19"/>
  <c r="M50" i="8"/>
  <c r="Q49" i="8"/>
  <c r="M48" i="26" l="1"/>
  <c r="Q47" i="26"/>
  <c r="M61" i="5"/>
  <c r="Q60" i="5"/>
  <c r="B50" i="27"/>
  <c r="B49" i="20"/>
  <c r="B48" i="19"/>
  <c r="M57" i="9"/>
  <c r="Q56" i="9"/>
  <c r="L47" i="27"/>
  <c r="L49" i="3"/>
  <c r="M47" i="27"/>
  <c r="Q46" i="27"/>
  <c r="B48" i="7"/>
  <c r="M48" i="25"/>
  <c r="Q47" i="25"/>
  <c r="B48" i="21"/>
  <c r="C48" i="24"/>
  <c r="G47" i="24"/>
  <c r="L49" i="8"/>
  <c r="C50" i="13"/>
  <c r="G49" i="13"/>
  <c r="B50" i="24"/>
  <c r="L48" i="9"/>
  <c r="M49" i="23"/>
  <c r="Q48" i="23"/>
  <c r="M54" i="21"/>
  <c r="Q53" i="21"/>
  <c r="L47" i="14"/>
  <c r="C47" i="17"/>
  <c r="G46" i="17"/>
  <c r="C50" i="20"/>
  <c r="G49" i="20"/>
  <c r="L48" i="21"/>
  <c r="M48" i="19"/>
  <c r="Q47" i="19"/>
  <c r="G50" i="8"/>
  <c r="C51" i="8"/>
  <c r="C47" i="9"/>
  <c r="G46" i="9"/>
  <c r="B49" i="15"/>
  <c r="B47" i="5"/>
  <c r="G51" i="11"/>
  <c r="C52" i="11"/>
  <c r="L48" i="4"/>
  <c r="M47" i="17"/>
  <c r="Q46" i="17"/>
  <c r="C48" i="19"/>
  <c r="G47" i="19"/>
  <c r="Q50" i="8"/>
  <c r="M51" i="8"/>
  <c r="B47" i="17"/>
  <c r="M49" i="15"/>
  <c r="Q48" i="15"/>
  <c r="M62" i="24"/>
  <c r="Q61" i="24"/>
  <c r="M50" i="3"/>
  <c r="Q49" i="3"/>
  <c r="C57" i="25"/>
  <c r="G56" i="25"/>
  <c r="C69" i="14"/>
  <c r="G68" i="14"/>
  <c r="C48" i="7"/>
  <c r="G47" i="7"/>
  <c r="C61" i="27"/>
  <c r="G60" i="27"/>
  <c r="L50" i="20"/>
  <c r="M50" i="20"/>
  <c r="Q49" i="20"/>
  <c r="M49" i="13"/>
  <c r="Q48" i="13"/>
  <c r="B48" i="13"/>
  <c r="L48" i="7"/>
  <c r="B48" i="14"/>
  <c r="M51" i="4"/>
  <c r="Q50" i="4"/>
  <c r="B51" i="3"/>
  <c r="C52" i="15"/>
  <c r="G51" i="15"/>
  <c r="C47" i="5"/>
  <c r="G46" i="5"/>
  <c r="B47" i="9"/>
  <c r="L49" i="25"/>
  <c r="C48" i="23"/>
  <c r="G47" i="23"/>
  <c r="L49" i="17"/>
  <c r="M49" i="14"/>
  <c r="Q48" i="14"/>
  <c r="L50" i="19"/>
  <c r="B53" i="4"/>
  <c r="L48" i="11"/>
  <c r="M58" i="7"/>
  <c r="Q57" i="7"/>
  <c r="L49" i="15"/>
  <c r="L49" i="26"/>
  <c r="L48" i="13"/>
  <c r="M68" i="11"/>
  <c r="Q67" i="11"/>
  <c r="C49" i="21"/>
  <c r="G48" i="21"/>
  <c r="B50" i="8"/>
  <c r="B48" i="26"/>
  <c r="B49" i="11"/>
  <c r="C59" i="4"/>
  <c r="G58" i="4"/>
  <c r="C48" i="3"/>
  <c r="G47" i="3"/>
  <c r="L48" i="23"/>
  <c r="L48" i="24"/>
  <c r="B48" i="25"/>
  <c r="C49" i="26"/>
  <c r="G48" i="26"/>
  <c r="L56" i="5"/>
  <c r="B53" i="23"/>
  <c r="M69" i="11" l="1"/>
  <c r="Q68" i="11"/>
  <c r="L50" i="25"/>
  <c r="L49" i="4"/>
  <c r="G47" i="9"/>
  <c r="C48" i="9"/>
  <c r="Q54" i="21"/>
  <c r="M55" i="21"/>
  <c r="L50" i="3"/>
  <c r="L48" i="27"/>
  <c r="B51" i="27"/>
  <c r="G48" i="3"/>
  <c r="C49" i="3"/>
  <c r="B48" i="17"/>
  <c r="G52" i="11"/>
  <c r="C53" i="11"/>
  <c r="C49" i="24"/>
  <c r="G48" i="24"/>
  <c r="M48" i="27"/>
  <c r="Q47" i="27"/>
  <c r="B50" i="20"/>
  <c r="B54" i="4"/>
  <c r="M51" i="20"/>
  <c r="Q50" i="20"/>
  <c r="B54" i="23"/>
  <c r="L51" i="20"/>
  <c r="M62" i="5"/>
  <c r="Q61" i="5"/>
  <c r="B49" i="21"/>
  <c r="M49" i="19"/>
  <c r="Q48" i="19"/>
  <c r="C60" i="4"/>
  <c r="G59" i="4"/>
  <c r="L49" i="7"/>
  <c r="C49" i="23"/>
  <c r="G48" i="23"/>
  <c r="M48" i="17"/>
  <c r="Q47" i="17"/>
  <c r="L49" i="13"/>
  <c r="B49" i="25"/>
  <c r="L50" i="26"/>
  <c r="L49" i="21"/>
  <c r="L49" i="9"/>
  <c r="C62" i="27"/>
  <c r="G61" i="27"/>
  <c r="M51" i="3"/>
  <c r="Q50" i="3"/>
  <c r="M52" i="8"/>
  <c r="Q51" i="8"/>
  <c r="B48" i="5"/>
  <c r="L49" i="24"/>
  <c r="B50" i="11"/>
  <c r="L51" i="19"/>
  <c r="M58" i="9"/>
  <c r="Q57" i="9"/>
  <c r="M50" i="23"/>
  <c r="Q49" i="23"/>
  <c r="L49" i="23"/>
  <c r="C49" i="7"/>
  <c r="G48" i="7"/>
  <c r="B50" i="15"/>
  <c r="C51" i="20"/>
  <c r="G50" i="20"/>
  <c r="B51" i="24"/>
  <c r="M49" i="25"/>
  <c r="Q48" i="25"/>
  <c r="B49" i="19"/>
  <c r="C48" i="5"/>
  <c r="G47" i="5"/>
  <c r="B49" i="13"/>
  <c r="M50" i="14"/>
  <c r="Q49" i="14"/>
  <c r="G47" i="17"/>
  <c r="C48" i="17"/>
  <c r="C58" i="25"/>
  <c r="G57" i="25"/>
  <c r="M52" i="4"/>
  <c r="Q51" i="4"/>
  <c r="M50" i="15"/>
  <c r="Q49" i="15"/>
  <c r="C52" i="8"/>
  <c r="G51" i="8"/>
  <c r="B49" i="14"/>
  <c r="L57" i="5"/>
  <c r="G49" i="21"/>
  <c r="C50" i="21"/>
  <c r="B52" i="3"/>
  <c r="L50" i="8"/>
  <c r="L49" i="11"/>
  <c r="B48" i="9"/>
  <c r="B49" i="26"/>
  <c r="L50" i="15"/>
  <c r="B51" i="8"/>
  <c r="C53" i="15"/>
  <c r="G52" i="15"/>
  <c r="C70" i="14"/>
  <c r="G69" i="14"/>
  <c r="G48" i="19"/>
  <c r="C49" i="19"/>
  <c r="Q58" i="7"/>
  <c r="M59" i="7"/>
  <c r="L50" i="17"/>
  <c r="M63" i="24"/>
  <c r="Q62" i="24"/>
  <c r="L48" i="14"/>
  <c r="B49" i="7"/>
  <c r="C50" i="26"/>
  <c r="G49" i="26"/>
  <c r="Q49" i="13"/>
  <c r="M50" i="13"/>
  <c r="G50" i="13"/>
  <c r="C51" i="13"/>
  <c r="M49" i="26"/>
  <c r="Q48" i="26"/>
  <c r="B52" i="8" l="1"/>
  <c r="B51" i="15"/>
  <c r="L50" i="7"/>
  <c r="B52" i="27"/>
  <c r="B50" i="14"/>
  <c r="M59" i="9"/>
  <c r="Q58" i="9"/>
  <c r="M50" i="26"/>
  <c r="Q49" i="26"/>
  <c r="B53" i="3"/>
  <c r="C52" i="13"/>
  <c r="G51" i="13"/>
  <c r="B50" i="7"/>
  <c r="L51" i="15"/>
  <c r="G50" i="21"/>
  <c r="C51" i="21"/>
  <c r="G60" i="4"/>
  <c r="C61" i="4"/>
  <c r="L52" i="20"/>
  <c r="L51" i="25"/>
  <c r="C53" i="8"/>
  <c r="G52" i="8"/>
  <c r="B50" i="13"/>
  <c r="C50" i="19"/>
  <c r="G49" i="19"/>
  <c r="C49" i="5"/>
  <c r="G48" i="5"/>
  <c r="C52" i="20"/>
  <c r="G51" i="20"/>
  <c r="L50" i="9"/>
  <c r="Q50" i="15"/>
  <c r="M51" i="15"/>
  <c r="C50" i="7"/>
  <c r="G49" i="7"/>
  <c r="L51" i="26"/>
  <c r="G48" i="17"/>
  <c r="C49" i="17"/>
  <c r="L49" i="27"/>
  <c r="B49" i="5"/>
  <c r="M50" i="19"/>
  <c r="Q49" i="19"/>
  <c r="B55" i="23"/>
  <c r="G53" i="11"/>
  <c r="C54" i="11"/>
  <c r="L49" i="14"/>
  <c r="B50" i="26"/>
  <c r="M53" i="4"/>
  <c r="Q52" i="4"/>
  <c r="Q69" i="11"/>
  <c r="M70" i="11"/>
  <c r="M51" i="14"/>
  <c r="Q50" i="14"/>
  <c r="M53" i="8"/>
  <c r="Q52" i="8"/>
  <c r="L51" i="3"/>
  <c r="M60" i="7"/>
  <c r="Q59" i="7"/>
  <c r="L51" i="8"/>
  <c r="L50" i="24"/>
  <c r="M63" i="5"/>
  <c r="Q62" i="5"/>
  <c r="C50" i="24"/>
  <c r="G49" i="24"/>
  <c r="C71" i="14"/>
  <c r="G70" i="14"/>
  <c r="G58" i="25"/>
  <c r="C59" i="25"/>
  <c r="B50" i="19"/>
  <c r="B50" i="25"/>
  <c r="Q55" i="21"/>
  <c r="M56" i="21"/>
  <c r="L50" i="21"/>
  <c r="C51" i="26"/>
  <c r="G50" i="26"/>
  <c r="M64" i="24"/>
  <c r="Q63" i="24"/>
  <c r="B49" i="9"/>
  <c r="M50" i="25"/>
  <c r="Q49" i="25"/>
  <c r="C50" i="23"/>
  <c r="G49" i="23"/>
  <c r="M49" i="27"/>
  <c r="Q48" i="27"/>
  <c r="M51" i="13"/>
  <c r="Q50" i="13"/>
  <c r="L50" i="23"/>
  <c r="L52" i="19"/>
  <c r="M52" i="3"/>
  <c r="Q51" i="3"/>
  <c r="M52" i="20"/>
  <c r="Q51" i="20"/>
  <c r="L50" i="13"/>
  <c r="B49" i="17"/>
  <c r="C49" i="9"/>
  <c r="G48" i="9"/>
  <c r="B52" i="24"/>
  <c r="M51" i="23"/>
  <c r="Q50" i="23"/>
  <c r="C63" i="27"/>
  <c r="G62" i="27"/>
  <c r="B55" i="4"/>
  <c r="C54" i="15"/>
  <c r="G53" i="15"/>
  <c r="L50" i="11"/>
  <c r="L51" i="17"/>
  <c r="L58" i="5"/>
  <c r="B51" i="11"/>
  <c r="M49" i="17"/>
  <c r="Q48" i="17"/>
  <c r="B50" i="21"/>
  <c r="B51" i="20"/>
  <c r="G49" i="3"/>
  <c r="C50" i="3"/>
  <c r="L50" i="4"/>
  <c r="M52" i="13" l="1"/>
  <c r="Q51" i="13"/>
  <c r="C51" i="24"/>
  <c r="G50" i="24"/>
  <c r="B50" i="5"/>
  <c r="L52" i="25"/>
  <c r="B51" i="7"/>
  <c r="L51" i="13"/>
  <c r="L51" i="24"/>
  <c r="M52" i="14"/>
  <c r="Q51" i="14"/>
  <c r="B51" i="26"/>
  <c r="C50" i="5"/>
  <c r="G49" i="5"/>
  <c r="L51" i="21"/>
  <c r="M64" i="5"/>
  <c r="Q63" i="5"/>
  <c r="L52" i="17"/>
  <c r="L53" i="20"/>
  <c r="M57" i="21"/>
  <c r="Q56" i="21"/>
  <c r="C53" i="13"/>
  <c r="G52" i="13"/>
  <c r="B52" i="20"/>
  <c r="C53" i="20"/>
  <c r="G52" i="20"/>
  <c r="L52" i="15"/>
  <c r="C60" i="25"/>
  <c r="G59" i="25"/>
  <c r="B50" i="17"/>
  <c r="L50" i="27"/>
  <c r="B56" i="4"/>
  <c r="B54" i="3"/>
  <c r="C52" i="26"/>
  <c r="G51" i="26"/>
  <c r="M52" i="15"/>
  <c r="Q51" i="15"/>
  <c r="Q53" i="8"/>
  <c r="M54" i="8"/>
  <c r="L51" i="4"/>
  <c r="L52" i="26"/>
  <c r="C51" i="7"/>
  <c r="G50" i="7"/>
  <c r="M50" i="27"/>
  <c r="Q49" i="27"/>
  <c r="L50" i="14"/>
  <c r="C62" i="4"/>
  <c r="G61" i="4"/>
  <c r="B51" i="21"/>
  <c r="M53" i="20"/>
  <c r="Q52" i="20"/>
  <c r="C72" i="14"/>
  <c r="G71" i="14"/>
  <c r="C51" i="19"/>
  <c r="G50" i="19"/>
  <c r="Q50" i="26"/>
  <c r="M51" i="26"/>
  <c r="C64" i="27"/>
  <c r="G63" i="27"/>
  <c r="C51" i="23"/>
  <c r="G50" i="23"/>
  <c r="G54" i="11"/>
  <c r="C55" i="11"/>
  <c r="L51" i="7"/>
  <c r="Q52" i="3"/>
  <c r="M53" i="3"/>
  <c r="L52" i="8"/>
  <c r="M71" i="11"/>
  <c r="Q70" i="11"/>
  <c r="B52" i="15"/>
  <c r="L59" i="5"/>
  <c r="M65" i="24"/>
  <c r="Q64" i="24"/>
  <c r="M52" i="23"/>
  <c r="Q51" i="23"/>
  <c r="B51" i="25"/>
  <c r="M54" i="4"/>
  <c r="Q53" i="4"/>
  <c r="B53" i="27"/>
  <c r="M50" i="17"/>
  <c r="Q49" i="17"/>
  <c r="L51" i="11"/>
  <c r="M51" i="25"/>
  <c r="Q50" i="25"/>
  <c r="B56" i="23"/>
  <c r="C50" i="9"/>
  <c r="G49" i="9"/>
  <c r="L53" i="19"/>
  <c r="M61" i="7"/>
  <c r="Q60" i="7"/>
  <c r="B51" i="19"/>
  <c r="C51" i="3"/>
  <c r="G50" i="3"/>
  <c r="M60" i="9"/>
  <c r="Q59" i="9"/>
  <c r="B53" i="8"/>
  <c r="B53" i="24"/>
  <c r="B50" i="9"/>
  <c r="C50" i="17"/>
  <c r="G49" i="17"/>
  <c r="L51" i="9"/>
  <c r="B51" i="13"/>
  <c r="C52" i="21"/>
  <c r="G51" i="21"/>
  <c r="B51" i="14"/>
  <c r="C55" i="15"/>
  <c r="G54" i="15"/>
  <c r="L51" i="23"/>
  <c r="M51" i="19"/>
  <c r="Q50" i="19"/>
  <c r="B52" i="11"/>
  <c r="L52" i="3"/>
  <c r="C54" i="8"/>
  <c r="G53" i="8"/>
  <c r="C53" i="21" l="1"/>
  <c r="G52" i="21"/>
  <c r="B54" i="24"/>
  <c r="M52" i="25"/>
  <c r="Q51" i="25"/>
  <c r="M54" i="20"/>
  <c r="Q53" i="20"/>
  <c r="C54" i="13"/>
  <c r="G53" i="13"/>
  <c r="L53" i="25"/>
  <c r="L52" i="11"/>
  <c r="M51" i="27"/>
  <c r="Q50" i="27"/>
  <c r="C51" i="5"/>
  <c r="G50" i="5"/>
  <c r="M72" i="11"/>
  <c r="Q71" i="11"/>
  <c r="B52" i="13"/>
  <c r="B54" i="8"/>
  <c r="M66" i="24"/>
  <c r="Q65" i="24"/>
  <c r="L52" i="7"/>
  <c r="G64" i="27"/>
  <c r="C65" i="27"/>
  <c r="B52" i="21"/>
  <c r="M53" i="15"/>
  <c r="Q52" i="15"/>
  <c r="M58" i="21"/>
  <c r="Q57" i="21"/>
  <c r="B51" i="17"/>
  <c r="L54" i="19"/>
  <c r="L53" i="8"/>
  <c r="C61" i="25"/>
  <c r="G60" i="25"/>
  <c r="C51" i="17"/>
  <c r="G50" i="17"/>
  <c r="C53" i="26"/>
  <c r="G52" i="26"/>
  <c r="B52" i="26"/>
  <c r="B51" i="5"/>
  <c r="M52" i="19"/>
  <c r="Q51" i="19"/>
  <c r="B55" i="3"/>
  <c r="B54" i="27"/>
  <c r="L52" i="9"/>
  <c r="M51" i="17"/>
  <c r="Q50" i="17"/>
  <c r="Q51" i="26"/>
  <c r="M52" i="26"/>
  <c r="M53" i="14"/>
  <c r="Q52" i="14"/>
  <c r="L53" i="15"/>
  <c r="C55" i="8"/>
  <c r="G54" i="8"/>
  <c r="M61" i="9"/>
  <c r="Q60" i="9"/>
  <c r="L54" i="20"/>
  <c r="L60" i="5"/>
  <c r="L52" i="24"/>
  <c r="M54" i="3"/>
  <c r="Q53" i="3"/>
  <c r="G55" i="11"/>
  <c r="C56" i="11"/>
  <c r="C54" i="20"/>
  <c r="G53" i="20"/>
  <c r="M55" i="4"/>
  <c r="Q54" i="4"/>
  <c r="G51" i="19"/>
  <c r="C52" i="19"/>
  <c r="C63" i="4"/>
  <c r="G62" i="4"/>
  <c r="C52" i="24"/>
  <c r="G51" i="24"/>
  <c r="L53" i="3"/>
  <c r="L52" i="23"/>
  <c r="L53" i="17"/>
  <c r="L52" i="13"/>
  <c r="M62" i="7"/>
  <c r="Q61" i="7"/>
  <c r="L51" i="14"/>
  <c r="L53" i="26"/>
  <c r="M65" i="5"/>
  <c r="Q64" i="5"/>
  <c r="Q52" i="13"/>
  <c r="M53" i="13"/>
  <c r="C51" i="9"/>
  <c r="G50" i="9"/>
  <c r="B52" i="14"/>
  <c r="B52" i="25"/>
  <c r="B53" i="20"/>
  <c r="C56" i="15"/>
  <c r="G55" i="15"/>
  <c r="B53" i="15"/>
  <c r="C73" i="14"/>
  <c r="G72" i="14"/>
  <c r="B52" i="19"/>
  <c r="C52" i="7"/>
  <c r="G51" i="7"/>
  <c r="C52" i="3"/>
  <c r="G51" i="3"/>
  <c r="B57" i="23"/>
  <c r="B57" i="4"/>
  <c r="B51" i="9"/>
  <c r="L52" i="4"/>
  <c r="L51" i="27"/>
  <c r="L52" i="21"/>
  <c r="B52" i="7"/>
  <c r="B53" i="11"/>
  <c r="M53" i="23"/>
  <c r="Q52" i="23"/>
  <c r="C52" i="23"/>
  <c r="G51" i="23"/>
  <c r="M55" i="8"/>
  <c r="Q54" i="8"/>
  <c r="B53" i="26" l="1"/>
  <c r="L55" i="19"/>
  <c r="L53" i="7"/>
  <c r="M73" i="11"/>
  <c r="Q72" i="11"/>
  <c r="L54" i="25"/>
  <c r="G54" i="13"/>
  <c r="C55" i="13"/>
  <c r="L61" i="5"/>
  <c r="C64" i="4"/>
  <c r="G63" i="4"/>
  <c r="M67" i="24"/>
  <c r="Q66" i="24"/>
  <c r="B54" i="15"/>
  <c r="L54" i="8"/>
  <c r="L54" i="26"/>
  <c r="B52" i="17"/>
  <c r="L53" i="21"/>
  <c r="B55" i="8"/>
  <c r="B54" i="11"/>
  <c r="C53" i="7"/>
  <c r="G52" i="7"/>
  <c r="M52" i="17"/>
  <c r="Q51" i="17"/>
  <c r="B58" i="23"/>
  <c r="L53" i="9"/>
  <c r="M56" i="8"/>
  <c r="Q55" i="8"/>
  <c r="L55" i="20"/>
  <c r="C54" i="26"/>
  <c r="G53" i="26"/>
  <c r="M66" i="5"/>
  <c r="Q65" i="5"/>
  <c r="B54" i="20"/>
  <c r="L52" i="14"/>
  <c r="M56" i="4"/>
  <c r="Q55" i="4"/>
  <c r="L52" i="27"/>
  <c r="M55" i="3"/>
  <c r="Q54" i="3"/>
  <c r="B55" i="27"/>
  <c r="C52" i="17"/>
  <c r="G51" i="17"/>
  <c r="M55" i="20"/>
  <c r="Q54" i="20"/>
  <c r="C53" i="23"/>
  <c r="G52" i="23"/>
  <c r="Q62" i="7"/>
  <c r="M63" i="7"/>
  <c r="L53" i="24"/>
  <c r="Q58" i="21"/>
  <c r="M59" i="21"/>
  <c r="C53" i="3"/>
  <c r="G52" i="3"/>
  <c r="M54" i="13"/>
  <c r="Q53" i="13"/>
  <c r="L53" i="4"/>
  <c r="B53" i="19"/>
  <c r="B53" i="25"/>
  <c r="B56" i="3"/>
  <c r="B53" i="13"/>
  <c r="M52" i="27"/>
  <c r="Q51" i="27"/>
  <c r="M53" i="25"/>
  <c r="Q52" i="25"/>
  <c r="B53" i="7"/>
  <c r="C57" i="15"/>
  <c r="G56" i="15"/>
  <c r="C55" i="20"/>
  <c r="G54" i="20"/>
  <c r="G56" i="11"/>
  <c r="C57" i="11"/>
  <c r="L53" i="23"/>
  <c r="M62" i="9"/>
  <c r="Q61" i="9"/>
  <c r="M54" i="14"/>
  <c r="Q53" i="14"/>
  <c r="C62" i="25"/>
  <c r="G61" i="25"/>
  <c r="M54" i="15"/>
  <c r="Q53" i="15"/>
  <c r="B55" i="24"/>
  <c r="C53" i="19"/>
  <c r="G52" i="19"/>
  <c r="B53" i="14"/>
  <c r="G73" i="14"/>
  <c r="C74" i="14"/>
  <c r="C52" i="5"/>
  <c r="G51" i="5"/>
  <c r="L53" i="13"/>
  <c r="B52" i="9"/>
  <c r="L54" i="15"/>
  <c r="M54" i="23"/>
  <c r="Q53" i="23"/>
  <c r="L54" i="3"/>
  <c r="G55" i="8"/>
  <c r="C56" i="8"/>
  <c r="M53" i="26"/>
  <c r="Q52" i="26"/>
  <c r="M53" i="19"/>
  <c r="Q52" i="19"/>
  <c r="C52" i="9"/>
  <c r="G51" i="9"/>
  <c r="B53" i="21"/>
  <c r="L53" i="11"/>
  <c r="C54" i="21"/>
  <c r="G53" i="21"/>
  <c r="B58" i="4"/>
  <c r="L54" i="17"/>
  <c r="C53" i="24"/>
  <c r="G52" i="24"/>
  <c r="B52" i="5"/>
  <c r="C66" i="27"/>
  <c r="G65" i="27"/>
  <c r="M55" i="23" l="1"/>
  <c r="Q54" i="23"/>
  <c r="B56" i="24"/>
  <c r="B57" i="3"/>
  <c r="C54" i="3"/>
  <c r="G53" i="3"/>
  <c r="L54" i="11"/>
  <c r="M55" i="15"/>
  <c r="Q54" i="15"/>
  <c r="C58" i="15"/>
  <c r="G57" i="15"/>
  <c r="L54" i="9"/>
  <c r="L55" i="8"/>
  <c r="C54" i="19"/>
  <c r="G53" i="19"/>
  <c r="M55" i="13"/>
  <c r="Q54" i="13"/>
  <c r="G52" i="9"/>
  <c r="C53" i="9"/>
  <c r="M57" i="4"/>
  <c r="Q56" i="4"/>
  <c r="C55" i="21"/>
  <c r="G54" i="21"/>
  <c r="C56" i="20"/>
  <c r="G55" i="20"/>
  <c r="C67" i="27"/>
  <c r="G66" i="27"/>
  <c r="M60" i="21"/>
  <c r="Q59" i="21"/>
  <c r="B56" i="27"/>
  <c r="B54" i="7"/>
  <c r="L53" i="14"/>
  <c r="C56" i="13"/>
  <c r="G55" i="13"/>
  <c r="B53" i="5"/>
  <c r="M54" i="26"/>
  <c r="Q53" i="26"/>
  <c r="L55" i="15"/>
  <c r="C53" i="5"/>
  <c r="G52" i="5"/>
  <c r="B55" i="11"/>
  <c r="B54" i="21"/>
  <c r="C57" i="8"/>
  <c r="G56" i="8"/>
  <c r="M55" i="14"/>
  <c r="Q54" i="14"/>
  <c r="B54" i="25"/>
  <c r="M56" i="3"/>
  <c r="Q55" i="3"/>
  <c r="B55" i="20"/>
  <c r="B59" i="23"/>
  <c r="L54" i="21"/>
  <c r="B55" i="15"/>
  <c r="L54" i="13"/>
  <c r="L62" i="5"/>
  <c r="C53" i="17"/>
  <c r="G52" i="17"/>
  <c r="M54" i="19"/>
  <c r="Q53" i="19"/>
  <c r="C63" i="25"/>
  <c r="G62" i="25"/>
  <c r="M54" i="25"/>
  <c r="Q53" i="25"/>
  <c r="B54" i="19"/>
  <c r="L55" i="17"/>
  <c r="B53" i="9"/>
  <c r="L56" i="20"/>
  <c r="L55" i="26"/>
  <c r="M56" i="20"/>
  <c r="Q55" i="20"/>
  <c r="M57" i="8"/>
  <c r="Q56" i="8"/>
  <c r="M53" i="17"/>
  <c r="Q52" i="17"/>
  <c r="M68" i="24"/>
  <c r="Q67" i="24"/>
  <c r="M63" i="9"/>
  <c r="Q62" i="9"/>
  <c r="L55" i="25"/>
  <c r="B59" i="4"/>
  <c r="L56" i="19"/>
  <c r="C75" i="14"/>
  <c r="G74" i="14"/>
  <c r="L54" i="24"/>
  <c r="B53" i="17"/>
  <c r="B54" i="26"/>
  <c r="M53" i="27"/>
  <c r="Q52" i="27"/>
  <c r="M64" i="7"/>
  <c r="Q63" i="7"/>
  <c r="L53" i="27"/>
  <c r="M67" i="5"/>
  <c r="Q66" i="5"/>
  <c r="B56" i="8"/>
  <c r="B54" i="14"/>
  <c r="L54" i="23"/>
  <c r="L54" i="4"/>
  <c r="C65" i="4"/>
  <c r="G64" i="4"/>
  <c r="M74" i="11"/>
  <c r="Q73" i="11"/>
  <c r="C54" i="24"/>
  <c r="G53" i="24"/>
  <c r="B54" i="13"/>
  <c r="C55" i="26"/>
  <c r="G54" i="26"/>
  <c r="C54" i="7"/>
  <c r="G53" i="7"/>
  <c r="L54" i="7"/>
  <c r="L55" i="3"/>
  <c r="G57" i="11"/>
  <c r="C58" i="11"/>
  <c r="C54" i="23"/>
  <c r="G53" i="23"/>
  <c r="L55" i="7" l="1"/>
  <c r="M54" i="17"/>
  <c r="Q53" i="17"/>
  <c r="B54" i="9"/>
  <c r="L55" i="13"/>
  <c r="L56" i="15"/>
  <c r="C54" i="9"/>
  <c r="G53" i="9"/>
  <c r="L55" i="9"/>
  <c r="L56" i="17"/>
  <c r="B56" i="15"/>
  <c r="M55" i="26"/>
  <c r="Q54" i="26"/>
  <c r="G58" i="15"/>
  <c r="C59" i="15"/>
  <c r="C66" i="4"/>
  <c r="G65" i="4"/>
  <c r="B54" i="17"/>
  <c r="M64" i="9"/>
  <c r="Q63" i="9"/>
  <c r="C64" i="25"/>
  <c r="G63" i="25"/>
  <c r="B55" i="25"/>
  <c r="B55" i="26"/>
  <c r="M58" i="8"/>
  <c r="Q57" i="8"/>
  <c r="B54" i="5"/>
  <c r="Q55" i="15"/>
  <c r="M56" i="15"/>
  <c r="C55" i="3"/>
  <c r="G54" i="3"/>
  <c r="B57" i="27"/>
  <c r="C58" i="8"/>
  <c r="G57" i="8"/>
  <c r="L55" i="24"/>
  <c r="M56" i="13"/>
  <c r="Q55" i="13"/>
  <c r="C56" i="26"/>
  <c r="G55" i="26"/>
  <c r="B57" i="8"/>
  <c r="B55" i="21"/>
  <c r="M61" i="21"/>
  <c r="Q60" i="21"/>
  <c r="L55" i="11"/>
  <c r="B58" i="3"/>
  <c r="C55" i="23"/>
  <c r="G54" i="23"/>
  <c r="M57" i="20"/>
  <c r="Q56" i="20"/>
  <c r="B56" i="20"/>
  <c r="G54" i="19"/>
  <c r="C55" i="19"/>
  <c r="M54" i="27"/>
  <c r="Q53" i="27"/>
  <c r="C54" i="5"/>
  <c r="G53" i="5"/>
  <c r="L55" i="21"/>
  <c r="B60" i="23"/>
  <c r="M68" i="5"/>
  <c r="Q67" i="5"/>
  <c r="C76" i="14"/>
  <c r="G75" i="14"/>
  <c r="L56" i="26"/>
  <c r="B55" i="19"/>
  <c r="C57" i="13"/>
  <c r="G56" i="13"/>
  <c r="G67" i="27"/>
  <c r="C68" i="27"/>
  <c r="C56" i="21"/>
  <c r="G55" i="21"/>
  <c r="B57" i="24"/>
  <c r="M58" i="4"/>
  <c r="Q57" i="4"/>
  <c r="M75" i="11"/>
  <c r="Q74" i="11"/>
  <c r="C55" i="7"/>
  <c r="G54" i="7"/>
  <c r="B55" i="13"/>
  <c r="M56" i="14"/>
  <c r="Q55" i="14"/>
  <c r="L56" i="25"/>
  <c r="G58" i="11"/>
  <c r="C59" i="11"/>
  <c r="B56" i="11"/>
  <c r="B55" i="7"/>
  <c r="L55" i="4"/>
  <c r="L54" i="27"/>
  <c r="M55" i="19"/>
  <c r="Q54" i="19"/>
  <c r="L57" i="19"/>
  <c r="Q56" i="3"/>
  <c r="M57" i="3"/>
  <c r="L55" i="23"/>
  <c r="L57" i="20"/>
  <c r="M55" i="25"/>
  <c r="Q54" i="25"/>
  <c r="C54" i="17"/>
  <c r="G53" i="17"/>
  <c r="M56" i="23"/>
  <c r="Q55" i="23"/>
  <c r="B55" i="14"/>
  <c r="M65" i="7"/>
  <c r="Q64" i="7"/>
  <c r="Q68" i="24"/>
  <c r="M69" i="24"/>
  <c r="L54" i="14"/>
  <c r="L56" i="8"/>
  <c r="L56" i="3"/>
  <c r="C55" i="24"/>
  <c r="G54" i="24"/>
  <c r="B60" i="4"/>
  <c r="L63" i="5"/>
  <c r="C57" i="20"/>
  <c r="G56" i="20"/>
  <c r="Q57" i="3" l="1"/>
  <c r="M58" i="3"/>
  <c r="B57" i="15"/>
  <c r="L58" i="20"/>
  <c r="C69" i="27"/>
  <c r="G68" i="27"/>
  <c r="B55" i="5"/>
  <c r="L57" i="15"/>
  <c r="B56" i="14"/>
  <c r="Q64" i="9"/>
  <c r="M65" i="9"/>
  <c r="L57" i="17"/>
  <c r="B56" i="7"/>
  <c r="C58" i="13"/>
  <c r="G57" i="13"/>
  <c r="B61" i="23"/>
  <c r="L56" i="11"/>
  <c r="L58" i="19"/>
  <c r="B56" i="26"/>
  <c r="L56" i="13"/>
  <c r="M70" i="24"/>
  <c r="Q69" i="24"/>
  <c r="C55" i="5"/>
  <c r="G54" i="5"/>
  <c r="M66" i="7"/>
  <c r="Q65" i="7"/>
  <c r="C57" i="26"/>
  <c r="G56" i="26"/>
  <c r="L56" i="23"/>
  <c r="M57" i="13"/>
  <c r="Q56" i="13"/>
  <c r="B55" i="17"/>
  <c r="B57" i="11"/>
  <c r="L56" i="24"/>
  <c r="C58" i="20"/>
  <c r="G57" i="20"/>
  <c r="M57" i="23"/>
  <c r="Q56" i="23"/>
  <c r="L56" i="21"/>
  <c r="Q61" i="21"/>
  <c r="M62" i="21"/>
  <c r="B56" i="25"/>
  <c r="C67" i="4"/>
  <c r="G66" i="4"/>
  <c r="L57" i="8"/>
  <c r="C56" i="7"/>
  <c r="G55" i="7"/>
  <c r="L57" i="26"/>
  <c r="B57" i="20"/>
  <c r="B58" i="27"/>
  <c r="B56" i="13"/>
  <c r="B56" i="19"/>
  <c r="L64" i="5"/>
  <c r="G59" i="11"/>
  <c r="C60" i="11"/>
  <c r="G59" i="15"/>
  <c r="C60" i="15"/>
  <c r="B55" i="9"/>
  <c r="Q55" i="25"/>
  <c r="M56" i="25"/>
  <c r="M69" i="5"/>
  <c r="Q68" i="5"/>
  <c r="B59" i="3"/>
  <c r="G55" i="19"/>
  <c r="C56" i="19"/>
  <c r="Q58" i="8"/>
  <c r="M59" i="8"/>
  <c r="L56" i="4"/>
  <c r="C57" i="21"/>
  <c r="G56" i="21"/>
  <c r="C56" i="23"/>
  <c r="G55" i="23"/>
  <c r="B56" i="21"/>
  <c r="B61" i="4"/>
  <c r="C55" i="9"/>
  <c r="G54" i="9"/>
  <c r="B58" i="8"/>
  <c r="M55" i="27"/>
  <c r="Q54" i="27"/>
  <c r="C56" i="24"/>
  <c r="G55" i="24"/>
  <c r="M57" i="14"/>
  <c r="Q56" i="14"/>
  <c r="L57" i="3"/>
  <c r="Q75" i="11"/>
  <c r="M76" i="11"/>
  <c r="M56" i="19"/>
  <c r="Q55" i="19"/>
  <c r="M58" i="20"/>
  <c r="Q57" i="20"/>
  <c r="C59" i="8"/>
  <c r="G58" i="8"/>
  <c r="Q54" i="17"/>
  <c r="M55" i="17"/>
  <c r="L55" i="14"/>
  <c r="M59" i="4"/>
  <c r="Q58" i="4"/>
  <c r="C56" i="3"/>
  <c r="G55" i="3"/>
  <c r="C55" i="17"/>
  <c r="G54" i="17"/>
  <c r="B58" i="24"/>
  <c r="C77" i="14"/>
  <c r="G76" i="14"/>
  <c r="M57" i="15"/>
  <c r="Q56" i="15"/>
  <c r="L56" i="9"/>
  <c r="L56" i="7"/>
  <c r="L55" i="27"/>
  <c r="L57" i="25"/>
  <c r="C65" i="25"/>
  <c r="G64" i="25"/>
  <c r="Q55" i="26"/>
  <c r="M56" i="26"/>
  <c r="L56" i="27" l="1"/>
  <c r="B58" i="20"/>
  <c r="C57" i="24"/>
  <c r="G56" i="24"/>
  <c r="B57" i="19"/>
  <c r="C57" i="7"/>
  <c r="G56" i="7"/>
  <c r="M67" i="7"/>
  <c r="Q66" i="7"/>
  <c r="G77" i="14"/>
  <c r="C78" i="14"/>
  <c r="B60" i="3"/>
  <c r="B57" i="26"/>
  <c r="L58" i="17"/>
  <c r="L56" i="14"/>
  <c r="M56" i="27"/>
  <c r="Q55" i="27"/>
  <c r="G56" i="23"/>
  <c r="C57" i="23"/>
  <c r="M58" i="23"/>
  <c r="Q57" i="23"/>
  <c r="M66" i="9"/>
  <c r="Q65" i="9"/>
  <c r="C70" i="27"/>
  <c r="G69" i="27"/>
  <c r="C59" i="20"/>
  <c r="G58" i="20"/>
  <c r="M57" i="26"/>
  <c r="Q56" i="26"/>
  <c r="B56" i="17"/>
  <c r="B57" i="14"/>
  <c r="C56" i="17"/>
  <c r="G55" i="17"/>
  <c r="M56" i="17"/>
  <c r="Q55" i="17"/>
  <c r="M57" i="19"/>
  <c r="Q56" i="19"/>
  <c r="M70" i="5"/>
  <c r="Q69" i="5"/>
  <c r="L58" i="8"/>
  <c r="L59" i="19"/>
  <c r="C58" i="21"/>
  <c r="G57" i="21"/>
  <c r="M57" i="25"/>
  <c r="Q56" i="25"/>
  <c r="L57" i="11"/>
  <c r="C66" i="25"/>
  <c r="G65" i="25"/>
  <c r="L57" i="7"/>
  <c r="B59" i="24"/>
  <c r="B59" i="8"/>
  <c r="M58" i="13"/>
  <c r="Q57" i="13"/>
  <c r="L57" i="4"/>
  <c r="G55" i="9"/>
  <c r="C56" i="9"/>
  <c r="C57" i="3"/>
  <c r="G56" i="3"/>
  <c r="B59" i="27"/>
  <c r="L59" i="20"/>
  <c r="B62" i="4"/>
  <c r="B57" i="25"/>
  <c r="L57" i="23"/>
  <c r="B62" i="23"/>
  <c r="G60" i="11"/>
  <c r="C61" i="11"/>
  <c r="C68" i="4"/>
  <c r="G67" i="4"/>
  <c r="L57" i="9"/>
  <c r="C56" i="5"/>
  <c r="G55" i="5"/>
  <c r="Q76" i="11"/>
  <c r="M77" i="11"/>
  <c r="M63" i="21"/>
  <c r="Q62" i="21"/>
  <c r="L58" i="15"/>
  <c r="C59" i="13"/>
  <c r="G58" i="13"/>
  <c r="L58" i="3"/>
  <c r="B57" i="21"/>
  <c r="M60" i="4"/>
  <c r="Q59" i="4"/>
  <c r="L58" i="26"/>
  <c r="B57" i="13"/>
  <c r="M60" i="8"/>
  <c r="Q59" i="8"/>
  <c r="L57" i="24"/>
  <c r="M58" i="15"/>
  <c r="Q57" i="15"/>
  <c r="C60" i="8"/>
  <c r="G59" i="8"/>
  <c r="L57" i="21"/>
  <c r="L65" i="5"/>
  <c r="M71" i="24"/>
  <c r="Q70" i="24"/>
  <c r="B57" i="7"/>
  <c r="B56" i="5"/>
  <c r="B58" i="15"/>
  <c r="M58" i="14"/>
  <c r="Q57" i="14"/>
  <c r="C57" i="19"/>
  <c r="G56" i="19"/>
  <c r="B56" i="9"/>
  <c r="B58" i="11"/>
  <c r="C58" i="26"/>
  <c r="G57" i="26"/>
  <c r="L57" i="13"/>
  <c r="M59" i="3"/>
  <c r="Q58" i="3"/>
  <c r="L58" i="25"/>
  <c r="M59" i="20"/>
  <c r="Q58" i="20"/>
  <c r="C61" i="15"/>
  <c r="G60" i="15"/>
  <c r="B60" i="8" l="1"/>
  <c r="M58" i="25"/>
  <c r="Q57" i="25"/>
  <c r="L59" i="25"/>
  <c r="B63" i="23"/>
  <c r="M59" i="14"/>
  <c r="Q58" i="14"/>
  <c r="L58" i="23"/>
  <c r="M60" i="3"/>
  <c r="Q59" i="3"/>
  <c r="L58" i="21"/>
  <c r="B58" i="13"/>
  <c r="L58" i="9"/>
  <c r="C57" i="17"/>
  <c r="G56" i="17"/>
  <c r="C60" i="20"/>
  <c r="G59" i="20"/>
  <c r="L59" i="3"/>
  <c r="C58" i="23"/>
  <c r="G57" i="23"/>
  <c r="C59" i="21"/>
  <c r="G58" i="21"/>
  <c r="M58" i="26"/>
  <c r="Q57" i="26"/>
  <c r="Q56" i="17"/>
  <c r="M57" i="17"/>
  <c r="B60" i="24"/>
  <c r="L59" i="26"/>
  <c r="M61" i="8"/>
  <c r="Q60" i="8"/>
  <c r="M68" i="7"/>
  <c r="Q67" i="7"/>
  <c r="L58" i="7"/>
  <c r="C60" i="13"/>
  <c r="G59" i="13"/>
  <c r="B58" i="25"/>
  <c r="M57" i="27"/>
  <c r="Q56" i="27"/>
  <c r="C57" i="9"/>
  <c r="G56" i="9"/>
  <c r="L60" i="19"/>
  <c r="L58" i="13"/>
  <c r="B58" i="14"/>
  <c r="B61" i="3"/>
  <c r="C58" i="24"/>
  <c r="G57" i="24"/>
  <c r="M59" i="23"/>
  <c r="Q58" i="23"/>
  <c r="C58" i="3"/>
  <c r="G57" i="3"/>
  <c r="C62" i="15"/>
  <c r="G61" i="15"/>
  <c r="B59" i="15"/>
  <c r="C61" i="8"/>
  <c r="G60" i="8"/>
  <c r="L59" i="8"/>
  <c r="B57" i="5"/>
  <c r="M61" i="4"/>
  <c r="Q60" i="4"/>
  <c r="C69" i="4"/>
  <c r="G68" i="4"/>
  <c r="C67" i="25"/>
  <c r="G66" i="25"/>
  <c r="C71" i="27"/>
  <c r="G70" i="27"/>
  <c r="L57" i="14"/>
  <c r="L66" i="5"/>
  <c r="G58" i="26"/>
  <c r="C59" i="26"/>
  <c r="M59" i="13"/>
  <c r="Q58" i="13"/>
  <c r="C57" i="5"/>
  <c r="G56" i="5"/>
  <c r="G61" i="11"/>
  <c r="C62" i="11"/>
  <c r="B57" i="9"/>
  <c r="M78" i="11"/>
  <c r="Q77" i="11"/>
  <c r="C58" i="7"/>
  <c r="G57" i="7"/>
  <c r="M64" i="21"/>
  <c r="Q63" i="21"/>
  <c r="M59" i="15"/>
  <c r="Q58" i="15"/>
  <c r="M60" i="20"/>
  <c r="Q59" i="20"/>
  <c r="B60" i="27"/>
  <c r="M58" i="19"/>
  <c r="Q57" i="19"/>
  <c r="G57" i="19"/>
  <c r="C58" i="19"/>
  <c r="B58" i="19"/>
  <c r="B59" i="20"/>
  <c r="B58" i="7"/>
  <c r="B63" i="4"/>
  <c r="L58" i="4"/>
  <c r="M71" i="5"/>
  <c r="Q70" i="5"/>
  <c r="B57" i="17"/>
  <c r="L59" i="17"/>
  <c r="C79" i="14"/>
  <c r="G78" i="14"/>
  <c r="B59" i="11"/>
  <c r="L58" i="24"/>
  <c r="Q66" i="9"/>
  <c r="M67" i="9"/>
  <c r="Q71" i="24"/>
  <c r="M72" i="24"/>
  <c r="B58" i="21"/>
  <c r="L59" i="15"/>
  <c r="L60" i="20"/>
  <c r="L58" i="11"/>
  <c r="B58" i="26"/>
  <c r="L57" i="27"/>
  <c r="M72" i="5" l="1"/>
  <c r="Q71" i="5"/>
  <c r="B59" i="19"/>
  <c r="G57" i="9"/>
  <c r="C58" i="9"/>
  <c r="M61" i="20"/>
  <c r="Q60" i="20"/>
  <c r="L60" i="8"/>
  <c r="B60" i="15"/>
  <c r="C59" i="24"/>
  <c r="G58" i="24"/>
  <c r="G57" i="17"/>
  <c r="C58" i="17"/>
  <c r="C61" i="20"/>
  <c r="G60" i="20"/>
  <c r="M60" i="14"/>
  <c r="Q59" i="14"/>
  <c r="L60" i="15"/>
  <c r="L58" i="27"/>
  <c r="B64" i="23"/>
  <c r="G62" i="15"/>
  <c r="C63" i="15"/>
  <c r="B62" i="3"/>
  <c r="B59" i="26"/>
  <c r="B64" i="4"/>
  <c r="M60" i="15"/>
  <c r="Q59" i="15"/>
  <c r="M62" i="8"/>
  <c r="Q61" i="8"/>
  <c r="C60" i="21"/>
  <c r="G59" i="21"/>
  <c r="L60" i="25"/>
  <c r="L60" i="26"/>
  <c r="C72" i="27"/>
  <c r="G71" i="27"/>
  <c r="M69" i="7"/>
  <c r="Q68" i="7"/>
  <c r="M73" i="24"/>
  <c r="Q72" i="24"/>
  <c r="C58" i="5"/>
  <c r="G57" i="5"/>
  <c r="M59" i="26"/>
  <c r="Q58" i="26"/>
  <c r="G62" i="11"/>
  <c r="C63" i="11"/>
  <c r="C70" i="4"/>
  <c r="G69" i="4"/>
  <c r="B59" i="14"/>
  <c r="Q64" i="21"/>
  <c r="M65" i="21"/>
  <c r="M58" i="27"/>
  <c r="Q57" i="27"/>
  <c r="B61" i="24"/>
  <c r="C59" i="23"/>
  <c r="G58" i="23"/>
  <c r="B59" i="13"/>
  <c r="B58" i="9"/>
  <c r="B59" i="21"/>
  <c r="L59" i="4"/>
  <c r="B60" i="11"/>
  <c r="C80" i="14"/>
  <c r="G79" i="14"/>
  <c r="G58" i="19"/>
  <c r="C59" i="19"/>
  <c r="L67" i="5"/>
  <c r="L59" i="11"/>
  <c r="C59" i="7"/>
  <c r="G58" i="7"/>
  <c r="C62" i="8"/>
  <c r="G61" i="8"/>
  <c r="L59" i="21"/>
  <c r="L59" i="24"/>
  <c r="M68" i="9"/>
  <c r="Q67" i="9"/>
  <c r="L60" i="17"/>
  <c r="M62" i="4"/>
  <c r="Q61" i="4"/>
  <c r="C59" i="3"/>
  <c r="G58" i="3"/>
  <c r="L59" i="13"/>
  <c r="B59" i="25"/>
  <c r="L60" i="3"/>
  <c r="M60" i="23"/>
  <c r="Q59" i="23"/>
  <c r="G59" i="26"/>
  <c r="C60" i="26"/>
  <c r="C68" i="25"/>
  <c r="G67" i="25"/>
  <c r="M59" i="19"/>
  <c r="Q58" i="19"/>
  <c r="L59" i="9"/>
  <c r="C61" i="13"/>
  <c r="G60" i="13"/>
  <c r="M58" i="17"/>
  <c r="Q57" i="17"/>
  <c r="M61" i="3"/>
  <c r="Q60" i="3"/>
  <c r="M59" i="25"/>
  <c r="Q58" i="25"/>
  <c r="L61" i="20"/>
  <c r="B58" i="17"/>
  <c r="B59" i="7"/>
  <c r="B61" i="27"/>
  <c r="M79" i="11"/>
  <c r="Q78" i="11"/>
  <c r="B58" i="5"/>
  <c r="L61" i="19"/>
  <c r="L59" i="23"/>
  <c r="B60" i="20"/>
  <c r="M60" i="13"/>
  <c r="Q59" i="13"/>
  <c r="L58" i="14"/>
  <c r="L59" i="7"/>
  <c r="B61" i="8"/>
  <c r="C63" i="8" l="1"/>
  <c r="G62" i="8"/>
  <c r="L60" i="4"/>
  <c r="M70" i="7"/>
  <c r="Q69" i="7"/>
  <c r="L61" i="15"/>
  <c r="L61" i="8"/>
  <c r="M61" i="15"/>
  <c r="Q60" i="15"/>
  <c r="B60" i="26"/>
  <c r="C73" i="27"/>
  <c r="G72" i="27"/>
  <c r="M61" i="14"/>
  <c r="Q60" i="14"/>
  <c r="L61" i="3"/>
  <c r="L68" i="5"/>
  <c r="L59" i="27"/>
  <c r="B59" i="17"/>
  <c r="M60" i="25"/>
  <c r="Q59" i="25"/>
  <c r="C60" i="3"/>
  <c r="G59" i="3"/>
  <c r="B60" i="21"/>
  <c r="B60" i="25"/>
  <c r="C60" i="19"/>
  <c r="G59" i="19"/>
  <c r="M59" i="27"/>
  <c r="Q58" i="27"/>
  <c r="M66" i="21"/>
  <c r="Q65" i="21"/>
  <c r="M62" i="20"/>
  <c r="Q61" i="20"/>
  <c r="C81" i="14"/>
  <c r="G80" i="14"/>
  <c r="B59" i="5"/>
  <c r="M63" i="4"/>
  <c r="Q62" i="4"/>
  <c r="C59" i="17"/>
  <c r="G58" i="17"/>
  <c r="M60" i="26"/>
  <c r="Q59" i="26"/>
  <c r="L60" i="24"/>
  <c r="C62" i="20"/>
  <c r="G61" i="20"/>
  <c r="M62" i="3"/>
  <c r="Q61" i="3"/>
  <c r="B59" i="9"/>
  <c r="M59" i="17"/>
  <c r="Q58" i="17"/>
  <c r="B63" i="3"/>
  <c r="C59" i="9"/>
  <c r="G58" i="9"/>
  <c r="C61" i="21"/>
  <c r="G60" i="21"/>
  <c r="L62" i="20"/>
  <c r="L60" i="13"/>
  <c r="L60" i="7"/>
  <c r="L62" i="19"/>
  <c r="C60" i="7"/>
  <c r="G59" i="7"/>
  <c r="M60" i="19"/>
  <c r="Q59" i="19"/>
  <c r="L60" i="11"/>
  <c r="B60" i="13"/>
  <c r="B60" i="14"/>
  <c r="C59" i="5"/>
  <c r="G58" i="5"/>
  <c r="G63" i="15"/>
  <c r="C64" i="15"/>
  <c r="B60" i="7"/>
  <c r="C61" i="26"/>
  <c r="G60" i="26"/>
  <c r="B65" i="4"/>
  <c r="B62" i="8"/>
  <c r="C62" i="13"/>
  <c r="G61" i="13"/>
  <c r="L60" i="21"/>
  <c r="L59" i="14"/>
  <c r="Q79" i="11"/>
  <c r="M80" i="11"/>
  <c r="L61" i="26"/>
  <c r="M74" i="24"/>
  <c r="Q73" i="24"/>
  <c r="B61" i="15"/>
  <c r="L60" i="9"/>
  <c r="G63" i="11"/>
  <c r="C64" i="11"/>
  <c r="L60" i="23"/>
  <c r="M63" i="8"/>
  <c r="Q62" i="8"/>
  <c r="L61" i="17"/>
  <c r="C60" i="23"/>
  <c r="G59" i="23"/>
  <c r="B60" i="19"/>
  <c r="M61" i="13"/>
  <c r="Q60" i="13"/>
  <c r="B62" i="27"/>
  <c r="M61" i="23"/>
  <c r="Q60" i="23"/>
  <c r="C71" i="4"/>
  <c r="G70" i="4"/>
  <c r="C60" i="24"/>
  <c r="G59" i="24"/>
  <c r="B61" i="20"/>
  <c r="C69" i="25"/>
  <c r="G68" i="25"/>
  <c r="M69" i="9"/>
  <c r="Q68" i="9"/>
  <c r="B61" i="11"/>
  <c r="B62" i="24"/>
  <c r="L61" i="25"/>
  <c r="B65" i="23"/>
  <c r="M73" i="5"/>
  <c r="Q72" i="5"/>
  <c r="L61" i="21" l="1"/>
  <c r="M61" i="19"/>
  <c r="Q60" i="19"/>
  <c r="B60" i="17"/>
  <c r="C62" i="21"/>
  <c r="G61" i="21"/>
  <c r="C74" i="27"/>
  <c r="G73" i="27"/>
  <c r="B62" i="15"/>
  <c r="C63" i="13"/>
  <c r="G62" i="13"/>
  <c r="M70" i="9"/>
  <c r="Q69" i="9"/>
  <c r="C60" i="9"/>
  <c r="G59" i="9"/>
  <c r="M60" i="17"/>
  <c r="Q59" i="17"/>
  <c r="C61" i="19"/>
  <c r="G60" i="19"/>
  <c r="Q61" i="15"/>
  <c r="M62" i="15"/>
  <c r="B63" i="24"/>
  <c r="M62" i="23"/>
  <c r="Q61" i="23"/>
  <c r="M60" i="27"/>
  <c r="Q59" i="27"/>
  <c r="M75" i="24"/>
  <c r="Q74" i="24"/>
  <c r="C61" i="7"/>
  <c r="G60" i="7"/>
  <c r="B66" i="4"/>
  <c r="C60" i="5"/>
  <c r="G59" i="5"/>
  <c r="L62" i="8"/>
  <c r="B63" i="8"/>
  <c r="M74" i="5"/>
  <c r="Q73" i="5"/>
  <c r="C70" i="25"/>
  <c r="G69" i="25"/>
  <c r="B61" i="14"/>
  <c r="M63" i="3"/>
  <c r="Q62" i="3"/>
  <c r="C82" i="14"/>
  <c r="G81" i="14"/>
  <c r="B61" i="25"/>
  <c r="B66" i="23"/>
  <c r="M62" i="13"/>
  <c r="Q61" i="13"/>
  <c r="M64" i="8"/>
  <c r="Q63" i="8"/>
  <c r="B64" i="3"/>
  <c r="L62" i="3"/>
  <c r="L62" i="15"/>
  <c r="B61" i="7"/>
  <c r="L63" i="20"/>
  <c r="L62" i="17"/>
  <c r="C65" i="15"/>
  <c r="G64" i="15"/>
  <c r="B60" i="9"/>
  <c r="B60" i="5"/>
  <c r="L62" i="26"/>
  <c r="B62" i="20"/>
  <c r="C63" i="20"/>
  <c r="G62" i="20"/>
  <c r="B63" i="27"/>
  <c r="B61" i="19"/>
  <c r="L62" i="25"/>
  <c r="L61" i="24"/>
  <c r="M63" i="20"/>
  <c r="Q62" i="20"/>
  <c r="B61" i="21"/>
  <c r="B61" i="13"/>
  <c r="C60" i="17"/>
  <c r="G59" i="17"/>
  <c r="L61" i="23"/>
  <c r="M62" i="14"/>
  <c r="Q61" i="14"/>
  <c r="B61" i="26"/>
  <c r="L60" i="27"/>
  <c r="L69" i="5"/>
  <c r="L63" i="19"/>
  <c r="C61" i="24"/>
  <c r="G60" i="24"/>
  <c r="G64" i="11"/>
  <c r="C65" i="11"/>
  <c r="M81" i="11"/>
  <c r="Q80" i="11"/>
  <c r="L61" i="11"/>
  <c r="L61" i="7"/>
  <c r="M67" i="21"/>
  <c r="Q66" i="21"/>
  <c r="G60" i="3"/>
  <c r="C61" i="3"/>
  <c r="M71" i="7"/>
  <c r="Q70" i="7"/>
  <c r="C61" i="23"/>
  <c r="G60" i="23"/>
  <c r="L61" i="9"/>
  <c r="L60" i="14"/>
  <c r="M61" i="26"/>
  <c r="Q60" i="26"/>
  <c r="L61" i="4"/>
  <c r="G71" i="4"/>
  <c r="C72" i="4"/>
  <c r="G61" i="26"/>
  <c r="C62" i="26"/>
  <c r="B62" i="11"/>
  <c r="M64" i="4"/>
  <c r="Q63" i="4"/>
  <c r="L61" i="13"/>
  <c r="M61" i="25"/>
  <c r="Q60" i="25"/>
  <c r="G63" i="8"/>
  <c r="C64" i="8"/>
  <c r="B63" i="11" l="1"/>
  <c r="B64" i="27"/>
  <c r="G63" i="20"/>
  <c r="C64" i="20"/>
  <c r="L63" i="17"/>
  <c r="B67" i="4"/>
  <c r="B63" i="15"/>
  <c r="Q61" i="26"/>
  <c r="M62" i="26"/>
  <c r="L62" i="11"/>
  <c r="L64" i="19"/>
  <c r="M64" i="20"/>
  <c r="Q63" i="20"/>
  <c r="B63" i="20"/>
  <c r="G82" i="14"/>
  <c r="C83" i="14"/>
  <c r="B64" i="24"/>
  <c r="L62" i="24"/>
  <c r="L64" i="20"/>
  <c r="M63" i="15"/>
  <c r="Q62" i="15"/>
  <c r="C63" i="21"/>
  <c r="G62" i="21"/>
  <c r="L63" i="26"/>
  <c r="B62" i="7"/>
  <c r="M65" i="8"/>
  <c r="Q64" i="8"/>
  <c r="M64" i="3"/>
  <c r="Q63" i="3"/>
  <c r="L63" i="25"/>
  <c r="G61" i="19"/>
  <c r="C62" i="19"/>
  <c r="C62" i="7"/>
  <c r="G61" i="7"/>
  <c r="B61" i="17"/>
  <c r="L62" i="13"/>
  <c r="C73" i="4"/>
  <c r="G72" i="4"/>
  <c r="C62" i="3"/>
  <c r="G61" i="3"/>
  <c r="G65" i="11"/>
  <c r="C66" i="11"/>
  <c r="G60" i="17"/>
  <c r="C61" i="17"/>
  <c r="L61" i="27"/>
  <c r="L63" i="15"/>
  <c r="B67" i="23"/>
  <c r="B62" i="14"/>
  <c r="Q60" i="17"/>
  <c r="M61" i="17"/>
  <c r="M82" i="11"/>
  <c r="Q81" i="11"/>
  <c r="L63" i="8"/>
  <c r="M63" i="13"/>
  <c r="Q62" i="13"/>
  <c r="B62" i="19"/>
  <c r="B61" i="5"/>
  <c r="L62" i="23"/>
  <c r="L63" i="3"/>
  <c r="C61" i="9"/>
  <c r="G60" i="9"/>
  <c r="M62" i="19"/>
  <c r="Q61" i="19"/>
  <c r="L62" i="9"/>
  <c r="B62" i="13"/>
  <c r="B61" i="9"/>
  <c r="C71" i="25"/>
  <c r="G70" i="25"/>
  <c r="L62" i="21"/>
  <c r="L70" i="5"/>
  <c r="L61" i="14"/>
  <c r="Q67" i="21"/>
  <c r="M68" i="21"/>
  <c r="L62" i="4"/>
  <c r="C62" i="24"/>
  <c r="G61" i="24"/>
  <c r="B62" i="26"/>
  <c r="M76" i="24"/>
  <c r="Q75" i="24"/>
  <c r="M71" i="9"/>
  <c r="Q70" i="9"/>
  <c r="C66" i="15"/>
  <c r="G65" i="15"/>
  <c r="M75" i="5"/>
  <c r="Q74" i="5"/>
  <c r="C65" i="8"/>
  <c r="G64" i="8"/>
  <c r="M61" i="27"/>
  <c r="Q60" i="27"/>
  <c r="C63" i="26"/>
  <c r="G62" i="26"/>
  <c r="Q61" i="25"/>
  <c r="M62" i="25"/>
  <c r="M72" i="7"/>
  <c r="Q71" i="7"/>
  <c r="C62" i="23"/>
  <c r="G61" i="23"/>
  <c r="M63" i="14"/>
  <c r="Q62" i="14"/>
  <c r="B64" i="8"/>
  <c r="L62" i="7"/>
  <c r="C64" i="13"/>
  <c r="G63" i="13"/>
  <c r="C75" i="27"/>
  <c r="G74" i="27"/>
  <c r="M65" i="4"/>
  <c r="Q64" i="4"/>
  <c r="B62" i="21"/>
  <c r="B65" i="3"/>
  <c r="B62" i="25"/>
  <c r="C61" i="5"/>
  <c r="G60" i="5"/>
  <c r="M63" i="23"/>
  <c r="Q62" i="23"/>
  <c r="B63" i="25" l="1"/>
  <c r="L63" i="9"/>
  <c r="L64" i="26"/>
  <c r="L65" i="20"/>
  <c r="C63" i="23"/>
  <c r="G62" i="23"/>
  <c r="L63" i="23"/>
  <c r="M63" i="25"/>
  <c r="Q62" i="25"/>
  <c r="C63" i="24"/>
  <c r="G62" i="24"/>
  <c r="C72" i="25"/>
  <c r="G71" i="25"/>
  <c r="M83" i="11"/>
  <c r="Q82" i="11"/>
  <c r="L63" i="13"/>
  <c r="C84" i="14"/>
  <c r="G83" i="14"/>
  <c r="B64" i="15"/>
  <c r="B63" i="19"/>
  <c r="B62" i="17"/>
  <c r="C64" i="21"/>
  <c r="G63" i="21"/>
  <c r="B68" i="4"/>
  <c r="L63" i="4"/>
  <c r="M69" i="21"/>
  <c r="Q68" i="21"/>
  <c r="M62" i="17"/>
  <c r="Q61" i="17"/>
  <c r="M65" i="3"/>
  <c r="Q64" i="3"/>
  <c r="C62" i="9"/>
  <c r="G61" i="9"/>
  <c r="B62" i="5"/>
  <c r="M66" i="8"/>
  <c r="Q65" i="8"/>
  <c r="C67" i="15"/>
  <c r="G66" i="15"/>
  <c r="M66" i="4"/>
  <c r="Q65" i="4"/>
  <c r="C64" i="26"/>
  <c r="G63" i="26"/>
  <c r="B62" i="9"/>
  <c r="B64" i="20"/>
  <c r="M64" i="23"/>
  <c r="Q63" i="23"/>
  <c r="B65" i="8"/>
  <c r="B63" i="14"/>
  <c r="M64" i="15"/>
  <c r="Q63" i="15"/>
  <c r="L62" i="14"/>
  <c r="B63" i="13"/>
  <c r="C63" i="7"/>
  <c r="G62" i="7"/>
  <c r="M62" i="27"/>
  <c r="Q61" i="27"/>
  <c r="B63" i="7"/>
  <c r="B65" i="27"/>
  <c r="C76" i="27"/>
  <c r="G75" i="27"/>
  <c r="C62" i="17"/>
  <c r="G61" i="17"/>
  <c r="C62" i="5"/>
  <c r="G61" i="5"/>
  <c r="C65" i="13"/>
  <c r="G64" i="13"/>
  <c r="Q71" i="9"/>
  <c r="M72" i="9"/>
  <c r="L64" i="3"/>
  <c r="B68" i="23"/>
  <c r="M65" i="20"/>
  <c r="Q64" i="20"/>
  <c r="L64" i="17"/>
  <c r="M64" i="14"/>
  <c r="Q63" i="14"/>
  <c r="G66" i="11"/>
  <c r="C67" i="11"/>
  <c r="L65" i="19"/>
  <c r="G64" i="20"/>
  <c r="C65" i="20"/>
  <c r="L71" i="5"/>
  <c r="M77" i="24"/>
  <c r="Q76" i="24"/>
  <c r="L63" i="21"/>
  <c r="L63" i="24"/>
  <c r="L63" i="11"/>
  <c r="Q63" i="13"/>
  <c r="M64" i="13"/>
  <c r="G65" i="8"/>
  <c r="C66" i="8"/>
  <c r="C63" i="19"/>
  <c r="G62" i="19"/>
  <c r="B66" i="3"/>
  <c r="L64" i="15"/>
  <c r="C63" i="3"/>
  <c r="G62" i="3"/>
  <c r="L63" i="7"/>
  <c r="M63" i="19"/>
  <c r="Q62" i="19"/>
  <c r="B63" i="21"/>
  <c r="B63" i="26"/>
  <c r="L64" i="8"/>
  <c r="L62" i="27"/>
  <c r="C74" i="4"/>
  <c r="G73" i="4"/>
  <c r="L64" i="25"/>
  <c r="B65" i="24"/>
  <c r="M63" i="26"/>
  <c r="Q62" i="26"/>
  <c r="M73" i="7"/>
  <c r="Q72" i="7"/>
  <c r="M76" i="5"/>
  <c r="Q75" i="5"/>
  <c r="B64" i="11"/>
  <c r="M63" i="17" l="1"/>
  <c r="Q62" i="17"/>
  <c r="C65" i="21"/>
  <c r="G64" i="21"/>
  <c r="L72" i="5"/>
  <c r="B66" i="27"/>
  <c r="M65" i="15"/>
  <c r="Q64" i="15"/>
  <c r="Q66" i="8"/>
  <c r="M67" i="8"/>
  <c r="C85" i="14"/>
  <c r="G84" i="14"/>
  <c r="M65" i="14"/>
  <c r="Q64" i="14"/>
  <c r="G65" i="13"/>
  <c r="C66" i="13"/>
  <c r="B64" i="14"/>
  <c r="B65" i="11"/>
  <c r="B64" i="7"/>
  <c r="B63" i="17"/>
  <c r="M64" i="26"/>
  <c r="Q63" i="26"/>
  <c r="B66" i="24"/>
  <c r="C64" i="3"/>
  <c r="G63" i="3"/>
  <c r="M66" i="20"/>
  <c r="Q65" i="20"/>
  <c r="C63" i="5"/>
  <c r="G62" i="5"/>
  <c r="M67" i="4"/>
  <c r="Q66" i="4"/>
  <c r="M70" i="21"/>
  <c r="Q69" i="21"/>
  <c r="L64" i="13"/>
  <c r="L64" i="23"/>
  <c r="L65" i="17"/>
  <c r="B66" i="8"/>
  <c r="L64" i="24"/>
  <c r="M63" i="27"/>
  <c r="Q62" i="27"/>
  <c r="B64" i="21"/>
  <c r="C68" i="15"/>
  <c r="G67" i="15"/>
  <c r="B63" i="5"/>
  <c r="C64" i="23"/>
  <c r="G63" i="23"/>
  <c r="L65" i="25"/>
  <c r="L64" i="21"/>
  <c r="C66" i="20"/>
  <c r="G65" i="20"/>
  <c r="C63" i="17"/>
  <c r="G62" i="17"/>
  <c r="C64" i="7"/>
  <c r="G63" i="7"/>
  <c r="M65" i="23"/>
  <c r="Q64" i="23"/>
  <c r="M84" i="11"/>
  <c r="Q83" i="11"/>
  <c r="B65" i="20"/>
  <c r="C63" i="9"/>
  <c r="G62" i="9"/>
  <c r="L66" i="20"/>
  <c r="B64" i="26"/>
  <c r="L66" i="19"/>
  <c r="B64" i="19"/>
  <c r="C73" i="25"/>
  <c r="G72" i="25"/>
  <c r="L65" i="26"/>
  <c r="C75" i="4"/>
  <c r="G74" i="4"/>
  <c r="L63" i="27"/>
  <c r="M64" i="19"/>
  <c r="Q63" i="19"/>
  <c r="L65" i="15"/>
  <c r="B69" i="23"/>
  <c r="G67" i="11"/>
  <c r="C68" i="11"/>
  <c r="M77" i="5"/>
  <c r="Q76" i="5"/>
  <c r="M65" i="13"/>
  <c r="Q64" i="13"/>
  <c r="B64" i="13"/>
  <c r="L64" i="4"/>
  <c r="L65" i="8"/>
  <c r="B67" i="3"/>
  <c r="B63" i="9"/>
  <c r="B65" i="15"/>
  <c r="C64" i="24"/>
  <c r="G63" i="24"/>
  <c r="L64" i="7"/>
  <c r="L65" i="3"/>
  <c r="G76" i="27"/>
  <c r="C77" i="27"/>
  <c r="L63" i="14"/>
  <c r="B69" i="4"/>
  <c r="L64" i="9"/>
  <c r="M74" i="7"/>
  <c r="Q73" i="7"/>
  <c r="C64" i="19"/>
  <c r="G63" i="19"/>
  <c r="M73" i="9"/>
  <c r="Q72" i="9"/>
  <c r="M66" i="3"/>
  <c r="Q65" i="3"/>
  <c r="C67" i="8"/>
  <c r="G66" i="8"/>
  <c r="L64" i="11"/>
  <c r="M78" i="24"/>
  <c r="Q77" i="24"/>
  <c r="C65" i="26"/>
  <c r="G64" i="26"/>
  <c r="M64" i="25"/>
  <c r="Q63" i="25"/>
  <c r="B64" i="25"/>
  <c r="M67" i="3" l="1"/>
  <c r="Q66" i="3"/>
  <c r="B70" i="4"/>
  <c r="L65" i="4"/>
  <c r="G73" i="25"/>
  <c r="C74" i="25"/>
  <c r="L66" i="25"/>
  <c r="B65" i="14"/>
  <c r="M66" i="15"/>
  <c r="Q65" i="15"/>
  <c r="M65" i="19"/>
  <c r="Q64" i="19"/>
  <c r="C69" i="15"/>
  <c r="G68" i="15"/>
  <c r="B67" i="8"/>
  <c r="C64" i="5"/>
  <c r="G63" i="5"/>
  <c r="C67" i="13"/>
  <c r="G66" i="13"/>
  <c r="B67" i="27"/>
  <c r="L64" i="27"/>
  <c r="C67" i="20"/>
  <c r="G66" i="20"/>
  <c r="B64" i="17"/>
  <c r="M64" i="27"/>
  <c r="Q63" i="27"/>
  <c r="L66" i="17"/>
  <c r="M67" i="20"/>
  <c r="Q66" i="20"/>
  <c r="L73" i="5"/>
  <c r="B68" i="3"/>
  <c r="M78" i="5"/>
  <c r="Q77" i="5"/>
  <c r="M65" i="25"/>
  <c r="Q64" i="25"/>
  <c r="M66" i="14"/>
  <c r="Q65" i="14"/>
  <c r="G67" i="8"/>
  <c r="C68" i="8"/>
  <c r="L65" i="21"/>
  <c r="B65" i="25"/>
  <c r="L65" i="7"/>
  <c r="L66" i="8"/>
  <c r="L66" i="26"/>
  <c r="L65" i="24"/>
  <c r="B65" i="7"/>
  <c r="G64" i="19"/>
  <c r="C65" i="19"/>
  <c r="C76" i="4"/>
  <c r="G75" i="4"/>
  <c r="L67" i="19"/>
  <c r="M75" i="7"/>
  <c r="Q74" i="7"/>
  <c r="M85" i="11"/>
  <c r="Q84" i="11"/>
  <c r="L65" i="9"/>
  <c r="G68" i="11"/>
  <c r="C69" i="11"/>
  <c r="B65" i="26"/>
  <c r="L65" i="23"/>
  <c r="C65" i="24"/>
  <c r="G64" i="24"/>
  <c r="L66" i="3"/>
  <c r="L65" i="13"/>
  <c r="C86" i="14"/>
  <c r="G85" i="14"/>
  <c r="L65" i="11"/>
  <c r="L67" i="20"/>
  <c r="B65" i="13"/>
  <c r="B66" i="15"/>
  <c r="C66" i="21"/>
  <c r="G65" i="21"/>
  <c r="C65" i="23"/>
  <c r="G64" i="23"/>
  <c r="B70" i="23"/>
  <c r="G64" i="3"/>
  <c r="C65" i="3"/>
  <c r="C66" i="26"/>
  <c r="G65" i="26"/>
  <c r="B65" i="19"/>
  <c r="M66" i="23"/>
  <c r="Q65" i="23"/>
  <c r="B67" i="24"/>
  <c r="M74" i="9"/>
  <c r="Q73" i="9"/>
  <c r="L64" i="14"/>
  <c r="M66" i="13"/>
  <c r="Q65" i="13"/>
  <c r="L66" i="15"/>
  <c r="G63" i="9"/>
  <c r="C64" i="9"/>
  <c r="C65" i="7"/>
  <c r="G64" i="7"/>
  <c r="B65" i="21"/>
  <c r="Q70" i="21"/>
  <c r="M71" i="21"/>
  <c r="M68" i="8"/>
  <c r="Q67" i="8"/>
  <c r="M64" i="17"/>
  <c r="Q63" i="17"/>
  <c r="C78" i="27"/>
  <c r="G77" i="27"/>
  <c r="B64" i="9"/>
  <c r="B66" i="20"/>
  <c r="M79" i="24"/>
  <c r="Q78" i="24"/>
  <c r="G63" i="17"/>
  <c r="C64" i="17"/>
  <c r="B64" i="5"/>
  <c r="M68" i="4"/>
  <c r="Q67" i="4"/>
  <c r="M65" i="26"/>
  <c r="Q64" i="26"/>
  <c r="B66" i="11"/>
  <c r="M75" i="9" l="1"/>
  <c r="Q74" i="9"/>
  <c r="M67" i="23"/>
  <c r="Q66" i="23"/>
  <c r="B66" i="19"/>
  <c r="B65" i="5"/>
  <c r="B65" i="9"/>
  <c r="B68" i="24"/>
  <c r="C69" i="8"/>
  <c r="G68" i="8"/>
  <c r="L74" i="5"/>
  <c r="C66" i="23"/>
  <c r="G65" i="23"/>
  <c r="B71" i="23"/>
  <c r="B67" i="15"/>
  <c r="L66" i="9"/>
  <c r="C66" i="19"/>
  <c r="G65" i="19"/>
  <c r="G67" i="20"/>
  <c r="C68" i="20"/>
  <c r="B68" i="8"/>
  <c r="L66" i="11"/>
  <c r="C79" i="27"/>
  <c r="G78" i="27"/>
  <c r="C66" i="24"/>
  <c r="G65" i="24"/>
  <c r="L67" i="8"/>
  <c r="L65" i="27"/>
  <c r="M68" i="20"/>
  <c r="Q67" i="20"/>
  <c r="C70" i="15"/>
  <c r="G69" i="15"/>
  <c r="L66" i="7"/>
  <c r="M80" i="24"/>
  <c r="Q79" i="24"/>
  <c r="C87" i="14"/>
  <c r="G86" i="14"/>
  <c r="M65" i="17"/>
  <c r="Q64" i="17"/>
  <c r="M67" i="13"/>
  <c r="Q66" i="13"/>
  <c r="M66" i="26"/>
  <c r="Q65" i="26"/>
  <c r="L66" i="13"/>
  <c r="G74" i="25"/>
  <c r="C75" i="25"/>
  <c r="L67" i="15"/>
  <c r="B67" i="11"/>
  <c r="L66" i="23"/>
  <c r="Q85" i="11"/>
  <c r="M86" i="11"/>
  <c r="L67" i="17"/>
  <c r="B68" i="27"/>
  <c r="L67" i="25"/>
  <c r="Q68" i="8"/>
  <c r="M69" i="8"/>
  <c r="L65" i="14"/>
  <c r="B66" i="7"/>
  <c r="M67" i="14"/>
  <c r="Q66" i="14"/>
  <c r="M66" i="19"/>
  <c r="Q65" i="19"/>
  <c r="M69" i="4"/>
  <c r="Q68" i="4"/>
  <c r="Q71" i="21"/>
  <c r="M72" i="21"/>
  <c r="B66" i="13"/>
  <c r="M76" i="7"/>
  <c r="Q75" i="7"/>
  <c r="M65" i="27"/>
  <c r="Q64" i="27"/>
  <c r="C68" i="13"/>
  <c r="G67" i="13"/>
  <c r="M67" i="15"/>
  <c r="Q66" i="15"/>
  <c r="L67" i="3"/>
  <c r="L66" i="24"/>
  <c r="M66" i="25"/>
  <c r="Q65" i="25"/>
  <c r="C65" i="5"/>
  <c r="G64" i="5"/>
  <c r="B66" i="14"/>
  <c r="L66" i="4"/>
  <c r="B66" i="25"/>
  <c r="B71" i="4"/>
  <c r="L67" i="26"/>
  <c r="C67" i="21"/>
  <c r="G66" i="21"/>
  <c r="B67" i="20"/>
  <c r="L68" i="20"/>
  <c r="B66" i="21"/>
  <c r="L68" i="19"/>
  <c r="G64" i="17"/>
  <c r="C65" i="17"/>
  <c r="M79" i="5"/>
  <c r="Q78" i="5"/>
  <c r="C66" i="7"/>
  <c r="G65" i="7"/>
  <c r="C67" i="26"/>
  <c r="G66" i="26"/>
  <c r="B66" i="26"/>
  <c r="L66" i="21"/>
  <c r="B65" i="17"/>
  <c r="M68" i="3"/>
  <c r="Q67" i="3"/>
  <c r="C65" i="9"/>
  <c r="G64" i="9"/>
  <c r="G65" i="3"/>
  <c r="C66" i="3"/>
  <c r="G69" i="11"/>
  <c r="C70" i="11"/>
  <c r="C77" i="4"/>
  <c r="G76" i="4"/>
  <c r="B69" i="3"/>
  <c r="L67" i="24" l="1"/>
  <c r="B72" i="4"/>
  <c r="M66" i="27"/>
  <c r="Q65" i="27"/>
  <c r="L68" i="25"/>
  <c r="B72" i="23"/>
  <c r="Q68" i="3"/>
  <c r="M69" i="3"/>
  <c r="B69" i="27"/>
  <c r="L68" i="15"/>
  <c r="L67" i="7"/>
  <c r="B66" i="9"/>
  <c r="M70" i="4"/>
  <c r="Q69" i="4"/>
  <c r="M67" i="19"/>
  <c r="Q66" i="19"/>
  <c r="M68" i="13"/>
  <c r="Q67" i="13"/>
  <c r="C67" i="23"/>
  <c r="G66" i="23"/>
  <c r="L69" i="20"/>
  <c r="B68" i="20"/>
  <c r="M77" i="7"/>
  <c r="Q76" i="7"/>
  <c r="C76" i="25"/>
  <c r="G75" i="25"/>
  <c r="C67" i="24"/>
  <c r="G66" i="24"/>
  <c r="C68" i="26"/>
  <c r="G67" i="26"/>
  <c r="L68" i="8"/>
  <c r="B67" i="25"/>
  <c r="C67" i="19"/>
  <c r="G66" i="19"/>
  <c r="L75" i="5"/>
  <c r="L68" i="3"/>
  <c r="M66" i="17"/>
  <c r="Q65" i="17"/>
  <c r="L67" i="13"/>
  <c r="B66" i="5"/>
  <c r="M81" i="24"/>
  <c r="Q80" i="24"/>
  <c r="B70" i="3"/>
  <c r="C67" i="7"/>
  <c r="G66" i="7"/>
  <c r="L68" i="17"/>
  <c r="M68" i="14"/>
  <c r="Q67" i="14"/>
  <c r="C78" i="4"/>
  <c r="G77" i="4"/>
  <c r="C66" i="17"/>
  <c r="G65" i="17"/>
  <c r="B67" i="13"/>
  <c r="M87" i="11"/>
  <c r="Q86" i="11"/>
  <c r="L67" i="9"/>
  <c r="G70" i="11"/>
  <c r="C71" i="11"/>
  <c r="B66" i="17"/>
  <c r="B67" i="7"/>
  <c r="C88" i="14"/>
  <c r="G87" i="14"/>
  <c r="C80" i="27"/>
  <c r="G79" i="27"/>
  <c r="B67" i="19"/>
  <c r="L67" i="4"/>
  <c r="L67" i="11"/>
  <c r="C70" i="8"/>
  <c r="G69" i="8"/>
  <c r="M80" i="5"/>
  <c r="Q79" i="5"/>
  <c r="B67" i="14"/>
  <c r="L67" i="23"/>
  <c r="C71" i="15"/>
  <c r="G70" i="15"/>
  <c r="B68" i="15"/>
  <c r="L67" i="21"/>
  <c r="C68" i="21"/>
  <c r="G67" i="21"/>
  <c r="Q67" i="15"/>
  <c r="M68" i="15"/>
  <c r="C67" i="3"/>
  <c r="G66" i="3"/>
  <c r="M73" i="21"/>
  <c r="Q72" i="21"/>
  <c r="L66" i="14"/>
  <c r="M69" i="20"/>
  <c r="Q68" i="20"/>
  <c r="L69" i="19"/>
  <c r="L68" i="26"/>
  <c r="C66" i="5"/>
  <c r="G65" i="5"/>
  <c r="M70" i="8"/>
  <c r="Q69" i="8"/>
  <c r="M67" i="26"/>
  <c r="Q66" i="26"/>
  <c r="B69" i="8"/>
  <c r="M68" i="23"/>
  <c r="Q67" i="23"/>
  <c r="C66" i="9"/>
  <c r="G65" i="9"/>
  <c r="B67" i="26"/>
  <c r="B67" i="21"/>
  <c r="M67" i="25"/>
  <c r="Q66" i="25"/>
  <c r="C69" i="13"/>
  <c r="G68" i="13"/>
  <c r="B68" i="11"/>
  <c r="L66" i="27"/>
  <c r="C69" i="20"/>
  <c r="G68" i="20"/>
  <c r="B69" i="24"/>
  <c r="Q75" i="9"/>
  <c r="M76" i="9"/>
  <c r="B68" i="21" l="1"/>
  <c r="M69" i="23"/>
  <c r="Q68" i="23"/>
  <c r="C67" i="9"/>
  <c r="G66" i="9"/>
  <c r="C70" i="13"/>
  <c r="G69" i="13"/>
  <c r="C67" i="5"/>
  <c r="G66" i="5"/>
  <c r="C68" i="7"/>
  <c r="G67" i="7"/>
  <c r="B69" i="15"/>
  <c r="M81" i="5"/>
  <c r="Q80" i="5"/>
  <c r="C89" i="14"/>
  <c r="G88" i="14"/>
  <c r="C69" i="26"/>
  <c r="G68" i="26"/>
  <c r="B70" i="27"/>
  <c r="M68" i="25"/>
  <c r="Q67" i="25"/>
  <c r="M88" i="11"/>
  <c r="Q87" i="11"/>
  <c r="B71" i="3"/>
  <c r="M77" i="9"/>
  <c r="Q76" i="9"/>
  <c r="L69" i="26"/>
  <c r="C68" i="3"/>
  <c r="G67" i="3"/>
  <c r="L70" i="19"/>
  <c r="C72" i="15"/>
  <c r="G71" i="15"/>
  <c r="C71" i="8"/>
  <c r="G70" i="8"/>
  <c r="M71" i="4"/>
  <c r="Q70" i="4"/>
  <c r="L68" i="11"/>
  <c r="B68" i="7"/>
  <c r="B68" i="13"/>
  <c r="C68" i="24"/>
  <c r="G67" i="24"/>
  <c r="L69" i="25"/>
  <c r="B70" i="8"/>
  <c r="M69" i="15"/>
  <c r="Q68" i="15"/>
  <c r="M82" i="24"/>
  <c r="Q81" i="24"/>
  <c r="C68" i="23"/>
  <c r="G67" i="23"/>
  <c r="G67" i="19"/>
  <c r="C68" i="19"/>
  <c r="C77" i="25"/>
  <c r="G76" i="25"/>
  <c r="B67" i="9"/>
  <c r="C70" i="20"/>
  <c r="G69" i="20"/>
  <c r="B68" i="26"/>
  <c r="M70" i="20"/>
  <c r="Q69" i="20"/>
  <c r="L68" i="23"/>
  <c r="L68" i="4"/>
  <c r="B67" i="17"/>
  <c r="C67" i="17"/>
  <c r="G66" i="17"/>
  <c r="B67" i="5"/>
  <c r="Q66" i="27"/>
  <c r="M67" i="27"/>
  <c r="L68" i="13"/>
  <c r="M78" i="7"/>
  <c r="Q77" i="7"/>
  <c r="B70" i="24"/>
  <c r="C69" i="21"/>
  <c r="G68" i="21"/>
  <c r="L68" i="21"/>
  <c r="B68" i="19"/>
  <c r="M69" i="13"/>
  <c r="Q68" i="13"/>
  <c r="B73" i="4"/>
  <c r="C79" i="4"/>
  <c r="G78" i="4"/>
  <c r="B68" i="25"/>
  <c r="L68" i="7"/>
  <c r="L67" i="27"/>
  <c r="G71" i="11"/>
  <c r="C72" i="11"/>
  <c r="M70" i="3"/>
  <c r="Q69" i="3"/>
  <c r="Q67" i="26"/>
  <c r="M68" i="26"/>
  <c r="B69" i="20"/>
  <c r="L68" i="24"/>
  <c r="L68" i="9"/>
  <c r="M69" i="14"/>
  <c r="Q68" i="14"/>
  <c r="M67" i="17"/>
  <c r="Q66" i="17"/>
  <c r="B69" i="11"/>
  <c r="M71" i="8"/>
  <c r="Q70" i="8"/>
  <c r="L67" i="14"/>
  <c r="B68" i="14"/>
  <c r="L69" i="8"/>
  <c r="C81" i="27"/>
  <c r="G80" i="27"/>
  <c r="L69" i="17"/>
  <c r="L69" i="3"/>
  <c r="L70" i="20"/>
  <c r="Q73" i="21"/>
  <c r="M74" i="21"/>
  <c r="L76" i="5"/>
  <c r="M68" i="19"/>
  <c r="Q67" i="19"/>
  <c r="L69" i="15"/>
  <c r="B73" i="23"/>
  <c r="L68" i="27" l="1"/>
  <c r="B68" i="9"/>
  <c r="C70" i="26"/>
  <c r="G69" i="26"/>
  <c r="C69" i="7"/>
  <c r="G68" i="7"/>
  <c r="B72" i="3"/>
  <c r="C78" i="25"/>
  <c r="G77" i="25"/>
  <c r="L69" i="13"/>
  <c r="C69" i="19"/>
  <c r="G68" i="19"/>
  <c r="C90" i="14"/>
  <c r="G89" i="14"/>
  <c r="M79" i="7"/>
  <c r="Q78" i="7"/>
  <c r="L68" i="14"/>
  <c r="B74" i="4"/>
  <c r="C69" i="3"/>
  <c r="G68" i="3"/>
  <c r="M89" i="11"/>
  <c r="Q88" i="11"/>
  <c r="C68" i="5"/>
  <c r="G67" i="5"/>
  <c r="L69" i="4"/>
  <c r="L71" i="19"/>
  <c r="L69" i="23"/>
  <c r="C82" i="27"/>
  <c r="G81" i="27"/>
  <c r="M82" i="5"/>
  <c r="Q81" i="5"/>
  <c r="M72" i="8"/>
  <c r="Q71" i="8"/>
  <c r="B74" i="23"/>
  <c r="L69" i="7"/>
  <c r="G68" i="24"/>
  <c r="C69" i="24"/>
  <c r="B69" i="25"/>
  <c r="M71" i="20"/>
  <c r="Q70" i="20"/>
  <c r="M83" i="24"/>
  <c r="Q82" i="24"/>
  <c r="L70" i="26"/>
  <c r="L70" i="15"/>
  <c r="L69" i="24"/>
  <c r="M68" i="27"/>
  <c r="Q67" i="27"/>
  <c r="M70" i="13"/>
  <c r="Q69" i="13"/>
  <c r="M72" i="4"/>
  <c r="Q71" i="4"/>
  <c r="C71" i="13"/>
  <c r="G70" i="13"/>
  <c r="M69" i="19"/>
  <c r="Q68" i="19"/>
  <c r="B70" i="11"/>
  <c r="B70" i="20"/>
  <c r="B69" i="19"/>
  <c r="B70" i="15"/>
  <c r="M69" i="26"/>
  <c r="Q68" i="26"/>
  <c r="M78" i="9"/>
  <c r="Q77" i="9"/>
  <c r="C68" i="9"/>
  <c r="G67" i="9"/>
  <c r="M70" i="15"/>
  <c r="Q69" i="15"/>
  <c r="L69" i="9"/>
  <c r="B69" i="26"/>
  <c r="L69" i="21"/>
  <c r="L77" i="5"/>
  <c r="L70" i="8"/>
  <c r="B71" i="8"/>
  <c r="B68" i="5"/>
  <c r="L69" i="11"/>
  <c r="M69" i="25"/>
  <c r="Q68" i="25"/>
  <c r="C70" i="21"/>
  <c r="G69" i="21"/>
  <c r="L71" i="20"/>
  <c r="C71" i="20"/>
  <c r="G70" i="20"/>
  <c r="M71" i="3"/>
  <c r="Q70" i="3"/>
  <c r="G71" i="8"/>
  <c r="C72" i="8"/>
  <c r="B69" i="14"/>
  <c r="C69" i="23"/>
  <c r="G68" i="23"/>
  <c r="B71" i="27"/>
  <c r="L70" i="3"/>
  <c r="M68" i="17"/>
  <c r="Q67" i="17"/>
  <c r="C80" i="4"/>
  <c r="G79" i="4"/>
  <c r="C68" i="17"/>
  <c r="G67" i="17"/>
  <c r="B69" i="13"/>
  <c r="C73" i="15"/>
  <c r="G72" i="15"/>
  <c r="M70" i="23"/>
  <c r="Q69" i="23"/>
  <c r="G72" i="11"/>
  <c r="C73" i="11"/>
  <c r="B71" i="24"/>
  <c r="L70" i="25"/>
  <c r="B69" i="21"/>
  <c r="Q74" i="21"/>
  <c r="M75" i="21"/>
  <c r="L70" i="17"/>
  <c r="M70" i="14"/>
  <c r="Q69" i="14"/>
  <c r="B68" i="17"/>
  <c r="B69" i="7"/>
  <c r="M70" i="26" l="1"/>
  <c r="Q69" i="26"/>
  <c r="B69" i="5"/>
  <c r="B75" i="23"/>
  <c r="M90" i="11"/>
  <c r="Q89" i="11"/>
  <c r="C79" i="25"/>
  <c r="G78" i="25"/>
  <c r="B70" i="26"/>
  <c r="M79" i="9"/>
  <c r="Q78" i="9"/>
  <c r="B70" i="14"/>
  <c r="B72" i="24"/>
  <c r="B72" i="8"/>
  <c r="M72" i="20"/>
  <c r="Q71" i="20"/>
  <c r="C70" i="3"/>
  <c r="G69" i="3"/>
  <c r="C70" i="19"/>
  <c r="G69" i="19"/>
  <c r="M71" i="13"/>
  <c r="Q70" i="13"/>
  <c r="L70" i="13"/>
  <c r="B73" i="3"/>
  <c r="L72" i="20"/>
  <c r="C69" i="17"/>
  <c r="G68" i="17"/>
  <c r="C81" i="4"/>
  <c r="G80" i="4"/>
  <c r="B70" i="25"/>
  <c r="C83" i="27"/>
  <c r="G82" i="27"/>
  <c r="B70" i="19"/>
  <c r="M76" i="21"/>
  <c r="Q75" i="21"/>
  <c r="G73" i="11"/>
  <c r="C74" i="11"/>
  <c r="B70" i="7"/>
  <c r="B70" i="21"/>
  <c r="C73" i="8"/>
  <c r="G72" i="8"/>
  <c r="B71" i="20"/>
  <c r="C71" i="21"/>
  <c r="G70" i="21"/>
  <c r="L70" i="9"/>
  <c r="L70" i="23"/>
  <c r="C70" i="7"/>
  <c r="G69" i="7"/>
  <c r="M69" i="17"/>
  <c r="Q68" i="17"/>
  <c r="L71" i="8"/>
  <c r="M73" i="8"/>
  <c r="Q72" i="8"/>
  <c r="B75" i="4"/>
  <c r="Q69" i="25"/>
  <c r="M70" i="25"/>
  <c r="L78" i="5"/>
  <c r="Q68" i="27"/>
  <c r="M69" i="27"/>
  <c r="G70" i="26"/>
  <c r="C71" i="26"/>
  <c r="L69" i="14"/>
  <c r="L72" i="19"/>
  <c r="C70" i="23"/>
  <c r="G69" i="23"/>
  <c r="L71" i="3"/>
  <c r="M71" i="23"/>
  <c r="Q70" i="23"/>
  <c r="B69" i="9"/>
  <c r="M73" i="4"/>
  <c r="Q72" i="4"/>
  <c r="L71" i="17"/>
  <c r="L70" i="24"/>
  <c r="B71" i="11"/>
  <c r="B70" i="13"/>
  <c r="C70" i="24"/>
  <c r="G69" i="24"/>
  <c r="B69" i="17"/>
  <c r="L71" i="15"/>
  <c r="M80" i="7"/>
  <c r="Q79" i="7"/>
  <c r="L70" i="11"/>
  <c r="M84" i="24"/>
  <c r="Q83" i="24"/>
  <c r="M72" i="3"/>
  <c r="Q71" i="3"/>
  <c r="M71" i="15"/>
  <c r="Q70" i="15"/>
  <c r="L70" i="4"/>
  <c r="B71" i="15"/>
  <c r="M70" i="19"/>
  <c r="Q69" i="19"/>
  <c r="L70" i="7"/>
  <c r="M71" i="14"/>
  <c r="Q70" i="14"/>
  <c r="L71" i="25"/>
  <c r="B72" i="27"/>
  <c r="C72" i="20"/>
  <c r="G71" i="20"/>
  <c r="L70" i="21"/>
  <c r="G68" i="9"/>
  <c r="C69" i="9"/>
  <c r="L71" i="26"/>
  <c r="M83" i="5"/>
  <c r="Q82" i="5"/>
  <c r="C69" i="5"/>
  <c r="G68" i="5"/>
  <c r="C91" i="14"/>
  <c r="G90" i="14"/>
  <c r="L69" i="27"/>
  <c r="C74" i="15"/>
  <c r="G73" i="15"/>
  <c r="C72" i="13"/>
  <c r="G71" i="13"/>
  <c r="M80" i="9" l="1"/>
  <c r="Q79" i="9"/>
  <c r="B71" i="26"/>
  <c r="C70" i="5"/>
  <c r="G69" i="5"/>
  <c r="C84" i="27"/>
  <c r="G83" i="27"/>
  <c r="L71" i="4"/>
  <c r="B73" i="8"/>
  <c r="Q71" i="15"/>
  <c r="M72" i="15"/>
  <c r="B70" i="5"/>
  <c r="L72" i="25"/>
  <c r="M81" i="7"/>
  <c r="Q80" i="7"/>
  <c r="L72" i="26"/>
  <c r="B71" i="7"/>
  <c r="B71" i="13"/>
  <c r="M70" i="17"/>
  <c r="Q69" i="17"/>
  <c r="L71" i="9"/>
  <c r="B71" i="25"/>
  <c r="C80" i="25"/>
  <c r="G79" i="25"/>
  <c r="B73" i="24"/>
  <c r="M70" i="27"/>
  <c r="Q69" i="27"/>
  <c r="M72" i="14"/>
  <c r="Q71" i="14"/>
  <c r="B70" i="9"/>
  <c r="L70" i="14"/>
  <c r="C72" i="26"/>
  <c r="G71" i="26"/>
  <c r="M72" i="13"/>
  <c r="Q71" i="13"/>
  <c r="C70" i="9"/>
  <c r="G69" i="9"/>
  <c r="B76" i="4"/>
  <c r="M91" i="11"/>
  <c r="Q90" i="11"/>
  <c r="G72" i="13"/>
  <c r="C73" i="13"/>
  <c r="L71" i="7"/>
  <c r="Q72" i="3"/>
  <c r="M73" i="3"/>
  <c r="B72" i="11"/>
  <c r="Q71" i="23"/>
  <c r="M72" i="23"/>
  <c r="G74" i="11"/>
  <c r="C75" i="11"/>
  <c r="C82" i="4"/>
  <c r="G81" i="4"/>
  <c r="B76" i="23"/>
  <c r="L71" i="21"/>
  <c r="C72" i="21"/>
  <c r="G71" i="21"/>
  <c r="B71" i="14"/>
  <c r="L72" i="15"/>
  <c r="G70" i="19"/>
  <c r="C71" i="19"/>
  <c r="L71" i="13"/>
  <c r="C71" i="7"/>
  <c r="G70" i="7"/>
  <c r="B72" i="15"/>
  <c r="L73" i="20"/>
  <c r="M71" i="26"/>
  <c r="Q70" i="26"/>
  <c r="M74" i="8"/>
  <c r="Q73" i="8"/>
  <c r="C73" i="20"/>
  <c r="G72" i="20"/>
  <c r="L71" i="11"/>
  <c r="L70" i="27"/>
  <c r="B70" i="17"/>
  <c r="M71" i="19"/>
  <c r="Q70" i="19"/>
  <c r="L72" i="3"/>
  <c r="C70" i="17"/>
  <c r="G69" i="17"/>
  <c r="L71" i="24"/>
  <c r="M85" i="24"/>
  <c r="Q84" i="24"/>
  <c r="L79" i="5"/>
  <c r="M84" i="5"/>
  <c r="Q83" i="5"/>
  <c r="C75" i="15"/>
  <c r="G74" i="15"/>
  <c r="C71" i="3"/>
  <c r="G70" i="3"/>
  <c r="C71" i="23"/>
  <c r="G70" i="23"/>
  <c r="B72" i="20"/>
  <c r="M77" i="21"/>
  <c r="Q76" i="21"/>
  <c r="B73" i="27"/>
  <c r="C71" i="24"/>
  <c r="G70" i="24"/>
  <c r="L72" i="17"/>
  <c r="L71" i="23"/>
  <c r="B71" i="19"/>
  <c r="M73" i="20"/>
  <c r="Q72" i="20"/>
  <c r="C92" i="14"/>
  <c r="G91" i="14"/>
  <c r="L73" i="19"/>
  <c r="M71" i="25"/>
  <c r="Q70" i="25"/>
  <c r="L72" i="8"/>
  <c r="G73" i="8"/>
  <c r="C74" i="8"/>
  <c r="M74" i="4"/>
  <c r="Q73" i="4"/>
  <c r="B71" i="21"/>
  <c r="B74" i="3"/>
  <c r="C72" i="24" l="1"/>
  <c r="G71" i="24"/>
  <c r="L73" i="3"/>
  <c r="C72" i="7"/>
  <c r="G71" i="7"/>
  <c r="B72" i="14"/>
  <c r="B77" i="23"/>
  <c r="B77" i="4"/>
  <c r="M73" i="14"/>
  <c r="Q72" i="14"/>
  <c r="B71" i="5"/>
  <c r="M71" i="27"/>
  <c r="Q70" i="27"/>
  <c r="B72" i="25"/>
  <c r="G84" i="27"/>
  <c r="C85" i="27"/>
  <c r="B74" i="27"/>
  <c r="L72" i="13"/>
  <c r="C71" i="9"/>
  <c r="G70" i="9"/>
  <c r="B72" i="7"/>
  <c r="M73" i="15"/>
  <c r="Q72" i="15"/>
  <c r="Q74" i="8"/>
  <c r="M75" i="8"/>
  <c r="B74" i="24"/>
  <c r="M72" i="19"/>
  <c r="Q71" i="19"/>
  <c r="C75" i="8"/>
  <c r="G74" i="8"/>
  <c r="C74" i="20"/>
  <c r="G73" i="20"/>
  <c r="M85" i="5"/>
  <c r="Q84" i="5"/>
  <c r="C73" i="21"/>
  <c r="G72" i="21"/>
  <c r="C83" i="4"/>
  <c r="G82" i="4"/>
  <c r="C71" i="5"/>
  <c r="G70" i="5"/>
  <c r="G75" i="15"/>
  <c r="C76" i="15"/>
  <c r="L72" i="7"/>
  <c r="M73" i="13"/>
  <c r="Q72" i="13"/>
  <c r="B75" i="3"/>
  <c r="M74" i="20"/>
  <c r="Q73" i="20"/>
  <c r="L80" i="5"/>
  <c r="C74" i="13"/>
  <c r="G73" i="13"/>
  <c r="L73" i="26"/>
  <c r="B72" i="21"/>
  <c r="L73" i="8"/>
  <c r="B72" i="19"/>
  <c r="M78" i="21"/>
  <c r="Q77" i="21"/>
  <c r="G75" i="11"/>
  <c r="C76" i="11"/>
  <c r="L72" i="9"/>
  <c r="C93" i="14"/>
  <c r="G92" i="14"/>
  <c r="B71" i="17"/>
  <c r="B73" i="20"/>
  <c r="M72" i="26"/>
  <c r="Q71" i="26"/>
  <c r="Q91" i="11"/>
  <c r="M92" i="11"/>
  <c r="C73" i="26"/>
  <c r="G72" i="26"/>
  <c r="Q70" i="17"/>
  <c r="M71" i="17"/>
  <c r="B74" i="8"/>
  <c r="B72" i="26"/>
  <c r="L72" i="23"/>
  <c r="L74" i="19"/>
  <c r="C72" i="3"/>
  <c r="G71" i="3"/>
  <c r="M86" i="24"/>
  <c r="Q85" i="24"/>
  <c r="L74" i="20"/>
  <c r="Q73" i="3"/>
  <c r="M74" i="3"/>
  <c r="Q71" i="25"/>
  <c r="M72" i="25"/>
  <c r="L71" i="27"/>
  <c r="G71" i="19"/>
  <c r="C72" i="19"/>
  <c r="M73" i="23"/>
  <c r="Q72" i="23"/>
  <c r="L71" i="14"/>
  <c r="L72" i="24"/>
  <c r="L72" i="11"/>
  <c r="M82" i="7"/>
  <c r="Q81" i="7"/>
  <c r="M75" i="4"/>
  <c r="Q74" i="4"/>
  <c r="L73" i="17"/>
  <c r="C72" i="23"/>
  <c r="G71" i="23"/>
  <c r="B73" i="15"/>
  <c r="L73" i="15"/>
  <c r="L72" i="21"/>
  <c r="B71" i="9"/>
  <c r="L72" i="4"/>
  <c r="C71" i="17"/>
  <c r="G70" i="17"/>
  <c r="B73" i="11"/>
  <c r="C81" i="25"/>
  <c r="G80" i="25"/>
  <c r="B72" i="13"/>
  <c r="L73" i="25"/>
  <c r="M81" i="9"/>
  <c r="Q80" i="9"/>
  <c r="M74" i="23" l="1"/>
  <c r="Q73" i="23"/>
  <c r="M87" i="24"/>
  <c r="Q86" i="24"/>
  <c r="M79" i="21"/>
  <c r="Q78" i="21"/>
  <c r="C72" i="9"/>
  <c r="G71" i="9"/>
  <c r="B73" i="25"/>
  <c r="B73" i="14"/>
  <c r="M72" i="27"/>
  <c r="Q71" i="27"/>
  <c r="L74" i="8"/>
  <c r="L81" i="5"/>
  <c r="M76" i="8"/>
  <c r="Q75" i="8"/>
  <c r="L75" i="19"/>
  <c r="M93" i="11"/>
  <c r="Q92" i="11"/>
  <c r="C76" i="8"/>
  <c r="G75" i="8"/>
  <c r="C73" i="7"/>
  <c r="G72" i="7"/>
  <c r="B74" i="15"/>
  <c r="M75" i="20"/>
  <c r="Q74" i="20"/>
  <c r="L73" i="13"/>
  <c r="B73" i="19"/>
  <c r="L73" i="11"/>
  <c r="C74" i="26"/>
  <c r="G73" i="26"/>
  <c r="B73" i="26"/>
  <c r="L73" i="24"/>
  <c r="B73" i="21"/>
  <c r="B72" i="5"/>
  <c r="C73" i="23"/>
  <c r="G72" i="23"/>
  <c r="C75" i="20"/>
  <c r="G74" i="20"/>
  <c r="L74" i="25"/>
  <c r="L73" i="9"/>
  <c r="M73" i="25"/>
  <c r="Q72" i="25"/>
  <c r="M73" i="19"/>
  <c r="Q72" i="19"/>
  <c r="B73" i="13"/>
  <c r="M73" i="26"/>
  <c r="Q72" i="26"/>
  <c r="L74" i="26"/>
  <c r="L74" i="3"/>
  <c r="L73" i="4"/>
  <c r="L74" i="17"/>
  <c r="B74" i="20"/>
  <c r="B76" i="3"/>
  <c r="C72" i="5"/>
  <c r="G71" i="5"/>
  <c r="M74" i="15"/>
  <c r="Q73" i="15"/>
  <c r="B75" i="27"/>
  <c r="C73" i="24"/>
  <c r="G72" i="24"/>
  <c r="C77" i="15"/>
  <c r="G76" i="15"/>
  <c r="C72" i="17"/>
  <c r="G71" i="17"/>
  <c r="L72" i="27"/>
  <c r="G76" i="11"/>
  <c r="C77" i="11"/>
  <c r="B75" i="24"/>
  <c r="C82" i="25"/>
  <c r="G81" i="25"/>
  <c r="B72" i="9"/>
  <c r="C73" i="19"/>
  <c r="G72" i="19"/>
  <c r="L73" i="23"/>
  <c r="C73" i="3"/>
  <c r="G72" i="3"/>
  <c r="M82" i="9"/>
  <c r="Q81" i="9"/>
  <c r="M76" i="4"/>
  <c r="Q75" i="4"/>
  <c r="C84" i="4"/>
  <c r="G83" i="4"/>
  <c r="M75" i="3"/>
  <c r="Q74" i="3"/>
  <c r="C86" i="27"/>
  <c r="G85" i="27"/>
  <c r="B75" i="8"/>
  <c r="C75" i="13"/>
  <c r="G74" i="13"/>
  <c r="Q73" i="13"/>
  <c r="M74" i="13"/>
  <c r="C74" i="21"/>
  <c r="G73" i="21"/>
  <c r="M74" i="14"/>
  <c r="Q73" i="14"/>
  <c r="B72" i="17"/>
  <c r="B73" i="7"/>
  <c r="B78" i="4"/>
  <c r="B74" i="11"/>
  <c r="L73" i="21"/>
  <c r="M83" i="7"/>
  <c r="Q82" i="7"/>
  <c r="L72" i="14"/>
  <c r="L75" i="20"/>
  <c r="M86" i="5"/>
  <c r="Q85" i="5"/>
  <c r="L74" i="15"/>
  <c r="M72" i="17"/>
  <c r="Q71" i="17"/>
  <c r="C94" i="14"/>
  <c r="G93" i="14"/>
  <c r="L73" i="7"/>
  <c r="B78" i="23"/>
  <c r="B76" i="27" l="1"/>
  <c r="L74" i="11"/>
  <c r="C74" i="7"/>
  <c r="G73" i="7"/>
  <c r="C74" i="23"/>
  <c r="G73" i="23"/>
  <c r="B74" i="25"/>
  <c r="B75" i="20"/>
  <c r="M75" i="15"/>
  <c r="Q74" i="15"/>
  <c r="M75" i="14"/>
  <c r="Q74" i="14"/>
  <c r="M74" i="25"/>
  <c r="Q73" i="25"/>
  <c r="B73" i="5"/>
  <c r="B74" i="19"/>
  <c r="C77" i="8"/>
  <c r="G76" i="8"/>
  <c r="C73" i="9"/>
  <c r="G72" i="9"/>
  <c r="L74" i="21"/>
  <c r="B79" i="23"/>
  <c r="M83" i="9"/>
  <c r="Q82" i="9"/>
  <c r="B76" i="24"/>
  <c r="L75" i="26"/>
  <c r="M87" i="5"/>
  <c r="Q86" i="5"/>
  <c r="G77" i="11"/>
  <c r="C78" i="11"/>
  <c r="L74" i="13"/>
  <c r="L75" i="8"/>
  <c r="B79" i="4"/>
  <c r="B75" i="11"/>
  <c r="C87" i="27"/>
  <c r="G86" i="27"/>
  <c r="C74" i="3"/>
  <c r="G73" i="3"/>
  <c r="Q73" i="26"/>
  <c r="M74" i="26"/>
  <c r="L74" i="7"/>
  <c r="C75" i="21"/>
  <c r="G74" i="21"/>
  <c r="M76" i="3"/>
  <c r="Q75" i="3"/>
  <c r="G73" i="19"/>
  <c r="C74" i="19"/>
  <c r="L75" i="17"/>
  <c r="B74" i="21"/>
  <c r="M75" i="13"/>
  <c r="Q74" i="13"/>
  <c r="L73" i="27"/>
  <c r="L74" i="9"/>
  <c r="M94" i="11"/>
  <c r="Q93" i="11"/>
  <c r="L74" i="4"/>
  <c r="B74" i="13"/>
  <c r="M76" i="20"/>
  <c r="Q75" i="20"/>
  <c r="M73" i="27"/>
  <c r="Q72" i="27"/>
  <c r="M80" i="21"/>
  <c r="Q79" i="21"/>
  <c r="B73" i="9"/>
  <c r="L76" i="19"/>
  <c r="B74" i="7"/>
  <c r="C85" i="4"/>
  <c r="G84" i="4"/>
  <c r="M88" i="24"/>
  <c r="Q87" i="24"/>
  <c r="C95" i="14"/>
  <c r="G94" i="14"/>
  <c r="L74" i="23"/>
  <c r="M74" i="19"/>
  <c r="Q73" i="19"/>
  <c r="M73" i="17"/>
  <c r="Q72" i="17"/>
  <c r="L76" i="20"/>
  <c r="C76" i="13"/>
  <c r="G75" i="13"/>
  <c r="C73" i="17"/>
  <c r="G72" i="17"/>
  <c r="L75" i="3"/>
  <c r="L74" i="24"/>
  <c r="C78" i="15"/>
  <c r="G77" i="15"/>
  <c r="L75" i="25"/>
  <c r="Q76" i="8"/>
  <c r="M77" i="8"/>
  <c r="L73" i="14"/>
  <c r="B76" i="8"/>
  <c r="C73" i="5"/>
  <c r="G72" i="5"/>
  <c r="B74" i="26"/>
  <c r="L82" i="5"/>
  <c r="B74" i="14"/>
  <c r="M75" i="23"/>
  <c r="Q74" i="23"/>
  <c r="B73" i="17"/>
  <c r="M77" i="4"/>
  <c r="Q76" i="4"/>
  <c r="C83" i="25"/>
  <c r="G82" i="25"/>
  <c r="G73" i="24"/>
  <c r="C74" i="24"/>
  <c r="B75" i="15"/>
  <c r="L75" i="15"/>
  <c r="Q83" i="7"/>
  <c r="M84" i="7"/>
  <c r="B77" i="3"/>
  <c r="C76" i="20"/>
  <c r="G75" i="20"/>
  <c r="G74" i="26"/>
  <c r="C75" i="26"/>
  <c r="L76" i="3" l="1"/>
  <c r="C75" i="19"/>
  <c r="G74" i="19"/>
  <c r="M88" i="5"/>
  <c r="Q87" i="5"/>
  <c r="B75" i="25"/>
  <c r="B75" i="13"/>
  <c r="B80" i="4"/>
  <c r="M76" i="23"/>
  <c r="Q75" i="23"/>
  <c r="B76" i="15"/>
  <c r="L74" i="27"/>
  <c r="C75" i="3"/>
  <c r="G74" i="3"/>
  <c r="L76" i="26"/>
  <c r="G73" i="17"/>
  <c r="C74" i="17"/>
  <c r="G75" i="26"/>
  <c r="C76" i="26"/>
  <c r="L75" i="4"/>
  <c r="C96" i="14"/>
  <c r="G95" i="14"/>
  <c r="M77" i="3"/>
  <c r="Q76" i="3"/>
  <c r="L74" i="14"/>
  <c r="B77" i="8"/>
  <c r="L77" i="19"/>
  <c r="B75" i="14"/>
  <c r="L75" i="24"/>
  <c r="L83" i="5"/>
  <c r="L76" i="8"/>
  <c r="C77" i="13"/>
  <c r="G76" i="13"/>
  <c r="G87" i="27"/>
  <c r="C88" i="27"/>
  <c r="C75" i="23"/>
  <c r="G74" i="23"/>
  <c r="G76" i="20"/>
  <c r="C77" i="20"/>
  <c r="C75" i="24"/>
  <c r="G74" i="24"/>
  <c r="M89" i="24"/>
  <c r="Q88" i="24"/>
  <c r="C76" i="21"/>
  <c r="G75" i="21"/>
  <c r="B77" i="24"/>
  <c r="M78" i="8"/>
  <c r="Q77" i="8"/>
  <c r="M76" i="13"/>
  <c r="Q75" i="13"/>
  <c r="L75" i="13"/>
  <c r="C74" i="9"/>
  <c r="G73" i="9"/>
  <c r="B76" i="11"/>
  <c r="M84" i="9"/>
  <c r="Q83" i="9"/>
  <c r="M76" i="14"/>
  <c r="Q75" i="14"/>
  <c r="B75" i="19"/>
  <c r="M76" i="15"/>
  <c r="Q75" i="15"/>
  <c r="C75" i="7"/>
  <c r="G74" i="7"/>
  <c r="B75" i="26"/>
  <c r="B74" i="9"/>
  <c r="M81" i="21"/>
  <c r="Q80" i="21"/>
  <c r="L77" i="20"/>
  <c r="B75" i="21"/>
  <c r="C86" i="4"/>
  <c r="G85" i="4"/>
  <c r="C84" i="25"/>
  <c r="G83" i="25"/>
  <c r="B80" i="23"/>
  <c r="M85" i="7"/>
  <c r="Q84" i="7"/>
  <c r="M74" i="17"/>
  <c r="Q73" i="17"/>
  <c r="G78" i="11"/>
  <c r="C79" i="11"/>
  <c r="C78" i="8"/>
  <c r="G77" i="8"/>
  <c r="B78" i="3"/>
  <c r="L76" i="25"/>
  <c r="L75" i="7"/>
  <c r="M95" i="11"/>
  <c r="Q94" i="11"/>
  <c r="M75" i="26"/>
  <c r="Q74" i="26"/>
  <c r="L75" i="11"/>
  <c r="M78" i="4"/>
  <c r="Q77" i="4"/>
  <c r="M74" i="27"/>
  <c r="Q73" i="27"/>
  <c r="L76" i="17"/>
  <c r="B74" i="5"/>
  <c r="C74" i="5"/>
  <c r="G73" i="5"/>
  <c r="C79" i="15"/>
  <c r="G78" i="15"/>
  <c r="M75" i="19"/>
  <c r="Q74" i="19"/>
  <c r="B75" i="7"/>
  <c r="L76" i="15"/>
  <c r="B74" i="17"/>
  <c r="L75" i="23"/>
  <c r="M77" i="20"/>
  <c r="Q76" i="20"/>
  <c r="L75" i="9"/>
  <c r="L75" i="21"/>
  <c r="M75" i="25"/>
  <c r="Q74" i="25"/>
  <c r="B76" i="20"/>
  <c r="B77" i="27"/>
  <c r="B75" i="9" l="1"/>
  <c r="M77" i="14"/>
  <c r="Q76" i="14"/>
  <c r="Q76" i="13"/>
  <c r="M77" i="13"/>
  <c r="G79" i="15"/>
  <c r="C80" i="15"/>
  <c r="L77" i="25"/>
  <c r="C87" i="4"/>
  <c r="G86" i="4"/>
  <c r="Q89" i="24"/>
  <c r="M90" i="24"/>
  <c r="C97" i="14"/>
  <c r="G96" i="14"/>
  <c r="L77" i="26"/>
  <c r="B76" i="14"/>
  <c r="B78" i="27"/>
  <c r="B79" i="3"/>
  <c r="M86" i="7"/>
  <c r="Q85" i="7"/>
  <c r="C76" i="24"/>
  <c r="G75" i="24"/>
  <c r="L78" i="19"/>
  <c r="C76" i="3"/>
  <c r="G75" i="3"/>
  <c r="M78" i="20"/>
  <c r="Q77" i="20"/>
  <c r="M79" i="4"/>
  <c r="Q78" i="4"/>
  <c r="C78" i="20"/>
  <c r="G77" i="20"/>
  <c r="L76" i="11"/>
  <c r="C79" i="8"/>
  <c r="G78" i="8"/>
  <c r="C76" i="7"/>
  <c r="G75" i="7"/>
  <c r="B77" i="11"/>
  <c r="M79" i="8"/>
  <c r="Q78" i="8"/>
  <c r="M76" i="26"/>
  <c r="Q75" i="26"/>
  <c r="L76" i="23"/>
  <c r="C75" i="5"/>
  <c r="G74" i="5"/>
  <c r="B76" i="26"/>
  <c r="M85" i="9"/>
  <c r="Q84" i="9"/>
  <c r="B75" i="5"/>
  <c r="B78" i="8"/>
  <c r="B81" i="4"/>
  <c r="B77" i="20"/>
  <c r="G79" i="11"/>
  <c r="C80" i="11"/>
  <c r="L77" i="8"/>
  <c r="M76" i="25"/>
  <c r="Q75" i="25"/>
  <c r="B75" i="17"/>
  <c r="M77" i="15"/>
  <c r="Q76" i="15"/>
  <c r="C76" i="23"/>
  <c r="G75" i="23"/>
  <c r="L75" i="27"/>
  <c r="L76" i="4"/>
  <c r="B78" i="24"/>
  <c r="C77" i="26"/>
  <c r="G76" i="26"/>
  <c r="L77" i="15"/>
  <c r="B76" i="19"/>
  <c r="L76" i="21"/>
  <c r="B76" i="13"/>
  <c r="C89" i="27"/>
  <c r="G88" i="27"/>
  <c r="B76" i="21"/>
  <c r="C78" i="13"/>
  <c r="G77" i="13"/>
  <c r="C75" i="17"/>
  <c r="G74" i="17"/>
  <c r="B77" i="15"/>
  <c r="L76" i="7"/>
  <c r="C77" i="21"/>
  <c r="G76" i="21"/>
  <c r="B76" i="25"/>
  <c r="C76" i="19"/>
  <c r="G75" i="19"/>
  <c r="M96" i="11"/>
  <c r="Q95" i="11"/>
  <c r="L77" i="17"/>
  <c r="B81" i="23"/>
  <c r="M75" i="17"/>
  <c r="Q74" i="17"/>
  <c r="G74" i="9"/>
  <c r="C75" i="9"/>
  <c r="C85" i="25"/>
  <c r="G84" i="25"/>
  <c r="L78" i="20"/>
  <c r="B76" i="7"/>
  <c r="L76" i="13"/>
  <c r="L8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L75" i="14"/>
  <c r="L76" i="9"/>
  <c r="M75" i="27"/>
  <c r="Q74" i="27"/>
  <c r="M82" i="21"/>
  <c r="Q81" i="21"/>
  <c r="K82" i="5"/>
  <c r="L77" i="3"/>
  <c r="M76" i="19"/>
  <c r="Q75" i="19"/>
  <c r="L76" i="24"/>
  <c r="M78" i="3"/>
  <c r="Q77" i="3"/>
  <c r="Q76" i="23"/>
  <c r="M77" i="23"/>
  <c r="M89" i="5"/>
  <c r="Q88" i="5"/>
  <c r="C90" i="27" l="1"/>
  <c r="G89" i="27"/>
  <c r="L78" i="8"/>
  <c r="B78" i="20"/>
  <c r="B77" i="26"/>
  <c r="B77" i="14"/>
  <c r="L78" i="25"/>
  <c r="L77" i="4"/>
  <c r="C81" i="15"/>
  <c r="G80" i="15"/>
  <c r="M77" i="19"/>
  <c r="Q76" i="19"/>
  <c r="L78" i="17"/>
  <c r="L78" i="3"/>
  <c r="C76" i="5"/>
  <c r="G75" i="5"/>
  <c r="M80" i="8"/>
  <c r="Q79" i="8"/>
  <c r="C79" i="20"/>
  <c r="G78" i="20"/>
  <c r="C77" i="24"/>
  <c r="G76" i="24"/>
  <c r="B78" i="15"/>
  <c r="G75" i="17"/>
  <c r="C76" i="17"/>
  <c r="L76" i="27"/>
  <c r="B77" i="19"/>
  <c r="M79" i="3"/>
  <c r="Q78" i="3"/>
  <c r="L77" i="9"/>
  <c r="B77" i="13"/>
  <c r="L77" i="23"/>
  <c r="B78" i="11"/>
  <c r="M80" i="4"/>
  <c r="Q79" i="4"/>
  <c r="M76" i="27"/>
  <c r="Q75" i="27"/>
  <c r="L77" i="13"/>
  <c r="M76" i="17"/>
  <c r="Q75" i="17"/>
  <c r="M97" i="11"/>
  <c r="Q96" i="11"/>
  <c r="G78" i="13"/>
  <c r="C79" i="13"/>
  <c r="L85" i="5"/>
  <c r="C76" i="9"/>
  <c r="G75" i="9"/>
  <c r="L77" i="24"/>
  <c r="G76" i="23"/>
  <c r="C77" i="23"/>
  <c r="G80" i="11"/>
  <c r="C81" i="11"/>
  <c r="C77" i="7"/>
  <c r="G76" i="7"/>
  <c r="L78" i="26"/>
  <c r="B77" i="7"/>
  <c r="G76" i="19"/>
  <c r="C77" i="19"/>
  <c r="L77" i="21"/>
  <c r="B82" i="4"/>
  <c r="C98" i="14"/>
  <c r="G97" i="14"/>
  <c r="M77" i="26"/>
  <c r="Q76" i="26"/>
  <c r="Q86" i="7"/>
  <c r="M87" i="7"/>
  <c r="M78" i="13"/>
  <c r="Q77" i="13"/>
  <c r="M79" i="20"/>
  <c r="Q78" i="20"/>
  <c r="B77" i="25"/>
  <c r="L79" i="20"/>
  <c r="B82" i="23"/>
  <c r="B76" i="5"/>
  <c r="B80" i="3"/>
  <c r="M91" i="24"/>
  <c r="Q90" i="24"/>
  <c r="L78" i="15"/>
  <c r="M78" i="14"/>
  <c r="Q77" i="14"/>
  <c r="B79" i="8"/>
  <c r="M78" i="15"/>
  <c r="Q77" i="15"/>
  <c r="L76" i="14"/>
  <c r="B77" i="21"/>
  <c r="G79" i="8"/>
  <c r="C80" i="8"/>
  <c r="C78" i="21"/>
  <c r="G77" i="21"/>
  <c r="G77" i="26"/>
  <c r="C78" i="26"/>
  <c r="B76" i="17"/>
  <c r="L77" i="11"/>
  <c r="G76" i="3"/>
  <c r="C77" i="3"/>
  <c r="B79" i="27"/>
  <c r="M90" i="5"/>
  <c r="Q89" i="5"/>
  <c r="M83" i="21"/>
  <c r="Q82" i="21"/>
  <c r="C86" i="25"/>
  <c r="G85" i="25"/>
  <c r="L77" i="7"/>
  <c r="B79" i="24"/>
  <c r="M86" i="9"/>
  <c r="Q85" i="9"/>
  <c r="L79" i="19"/>
  <c r="C88" i="4"/>
  <c r="G87" i="4"/>
  <c r="B76" i="9"/>
  <c r="Q77" i="23"/>
  <c r="M78" i="23"/>
  <c r="M77" i="25"/>
  <c r="Q76" i="25"/>
  <c r="Q83" i="21" l="1"/>
  <c r="M84" i="21"/>
  <c r="M92" i="24"/>
  <c r="Q91" i="24"/>
  <c r="Q87" i="7"/>
  <c r="M88" i="7"/>
  <c r="B77" i="9"/>
  <c r="C78" i="7"/>
  <c r="G77" i="7"/>
  <c r="B80" i="27"/>
  <c r="B81" i="3"/>
  <c r="G81" i="11"/>
  <c r="C82" i="11"/>
  <c r="L79" i="3"/>
  <c r="L79" i="25"/>
  <c r="Q97" i="11"/>
  <c r="M98" i="11"/>
  <c r="L78" i="9"/>
  <c r="L77" i="27"/>
  <c r="B78" i="14"/>
  <c r="M81" i="4"/>
  <c r="Q80" i="4"/>
  <c r="C77" i="17"/>
  <c r="G76" i="17"/>
  <c r="C78" i="3"/>
  <c r="G77" i="3"/>
  <c r="B80" i="8"/>
  <c r="L78" i="21"/>
  <c r="M80" i="20"/>
  <c r="Q79" i="20"/>
  <c r="L78" i="11"/>
  <c r="Q77" i="26"/>
  <c r="M78" i="26"/>
  <c r="G77" i="19"/>
  <c r="C78" i="19"/>
  <c r="C78" i="23"/>
  <c r="G77" i="23"/>
  <c r="Q76" i="17"/>
  <c r="M77" i="17"/>
  <c r="L79" i="17"/>
  <c r="M87" i="9"/>
  <c r="Q86" i="9"/>
  <c r="C81" i="8"/>
  <c r="G80" i="8"/>
  <c r="B79" i="11"/>
  <c r="B80" i="24"/>
  <c r="M78" i="19"/>
  <c r="Q77" i="19"/>
  <c r="B78" i="26"/>
  <c r="Q77" i="25"/>
  <c r="M78" i="25"/>
  <c r="M79" i="14"/>
  <c r="Q78" i="14"/>
  <c r="M79" i="23"/>
  <c r="Q78" i="23"/>
  <c r="C99" i="14"/>
  <c r="G98" i="14"/>
  <c r="B79" i="15"/>
  <c r="L78" i="7"/>
  <c r="B77" i="5"/>
  <c r="B78" i="7"/>
  <c r="L78" i="24"/>
  <c r="L78" i="23"/>
  <c r="M80" i="3"/>
  <c r="Q79" i="3"/>
  <c r="B78" i="21"/>
  <c r="L78" i="13"/>
  <c r="C82" i="15"/>
  <c r="G81" i="15"/>
  <c r="C78" i="24"/>
  <c r="G77" i="24"/>
  <c r="B79" i="20"/>
  <c r="B83" i="23"/>
  <c r="A82" i="23"/>
  <c r="C77" i="9"/>
  <c r="G76" i="9"/>
  <c r="M77" i="27"/>
  <c r="Q76" i="27"/>
  <c r="B78" i="19"/>
  <c r="L79" i="8"/>
  <c r="C87" i="25"/>
  <c r="G86" i="25"/>
  <c r="G79" i="20"/>
  <c r="C80" i="20"/>
  <c r="L86" i="5"/>
  <c r="B78" i="13"/>
  <c r="C89" i="4"/>
  <c r="G88" i="4"/>
  <c r="C79" i="26"/>
  <c r="G78" i="26"/>
  <c r="L79" i="15"/>
  <c r="L77" i="14"/>
  <c r="L80" i="20"/>
  <c r="M81" i="8"/>
  <c r="Q80" i="8"/>
  <c r="C91" i="27"/>
  <c r="G90" i="27"/>
  <c r="L79" i="26"/>
  <c r="M91" i="5"/>
  <c r="Q90" i="5"/>
  <c r="M79" i="13"/>
  <c r="Q78" i="13"/>
  <c r="G79" i="13"/>
  <c r="C80" i="13"/>
  <c r="L78" i="4"/>
  <c r="B77" i="17"/>
  <c r="L80" i="19"/>
  <c r="C79" i="21"/>
  <c r="G78" i="21"/>
  <c r="B83" i="4"/>
  <c r="A82" i="4"/>
  <c r="M79" i="15"/>
  <c r="Q78" i="15"/>
  <c r="B78" i="25"/>
  <c r="C77" i="5"/>
  <c r="G76" i="5"/>
  <c r="C83" i="15" l="1"/>
  <c r="G82" i="15"/>
  <c r="B81" i="8"/>
  <c r="G82" i="11"/>
  <c r="C83" i="11"/>
  <c r="B80" i="15"/>
  <c r="M79" i="19"/>
  <c r="Q78" i="19"/>
  <c r="M79" i="26"/>
  <c r="Q78" i="26"/>
  <c r="Q98" i="11"/>
  <c r="M99" i="11"/>
  <c r="B78" i="9"/>
  <c r="M81" i="3"/>
  <c r="Q80" i="3"/>
  <c r="G80" i="20"/>
  <c r="C81" i="20"/>
  <c r="L79" i="23"/>
  <c r="C82" i="8"/>
  <c r="G81" i="8"/>
  <c r="M82" i="8"/>
  <c r="Q81" i="8"/>
  <c r="L79" i="24"/>
  <c r="C100" i="14"/>
  <c r="G99" i="14"/>
  <c r="C79" i="3"/>
  <c r="G78" i="3"/>
  <c r="L87" i="5"/>
  <c r="M88" i="9"/>
  <c r="Q87" i="9"/>
  <c r="B82" i="3"/>
  <c r="B78" i="17"/>
  <c r="C78" i="17"/>
  <c r="G77" i="17"/>
  <c r="C79" i="19"/>
  <c r="G78" i="19"/>
  <c r="L79" i="4"/>
  <c r="C81" i="13"/>
  <c r="G80" i="13"/>
  <c r="C80" i="26"/>
  <c r="G79" i="26"/>
  <c r="B79" i="7"/>
  <c r="C78" i="5"/>
  <c r="G77" i="5"/>
  <c r="L79" i="13"/>
  <c r="M80" i="23"/>
  <c r="Q79" i="23"/>
  <c r="B8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L79" i="11"/>
  <c r="C88" i="25"/>
  <c r="G87" i="25"/>
  <c r="B8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M82" i="4"/>
  <c r="Q81" i="4"/>
  <c r="L80" i="25"/>
  <c r="M89" i="7"/>
  <c r="Q88" i="7"/>
  <c r="M80" i="15"/>
  <c r="Q79" i="15"/>
  <c r="C90" i="4"/>
  <c r="G89" i="4"/>
  <c r="B79" i="26"/>
  <c r="L80" i="15"/>
  <c r="C78" i="9"/>
  <c r="G77" i="9"/>
  <c r="G91" i="27"/>
  <c r="C92" i="27"/>
  <c r="C80" i="21"/>
  <c r="G79" i="21"/>
  <c r="M93" i="24"/>
  <c r="Q92" i="24"/>
  <c r="B81" i="24"/>
  <c r="B79" i="14"/>
  <c r="M78" i="17"/>
  <c r="Q77" i="17"/>
  <c r="L80" i="8"/>
  <c r="M80" i="14"/>
  <c r="Q79" i="14"/>
  <c r="L80" i="3"/>
  <c r="B80" i="20"/>
  <c r="M79" i="25"/>
  <c r="Q78" i="25"/>
  <c r="M92" i="5"/>
  <c r="Q91" i="5"/>
  <c r="B78" i="5"/>
  <c r="M81" i="20"/>
  <c r="Q80" i="20"/>
  <c r="M80" i="13"/>
  <c r="Q79" i="13"/>
  <c r="L80" i="17"/>
  <c r="B81" i="27"/>
  <c r="L81" i="20"/>
  <c r="B79" i="19"/>
  <c r="L78" i="27"/>
  <c r="B79" i="25"/>
  <c r="L81" i="19"/>
  <c r="L80" i="26"/>
  <c r="B79" i="13"/>
  <c r="C79" i="24"/>
  <c r="G78" i="24"/>
  <c r="B79" i="21"/>
  <c r="B80" i="11"/>
  <c r="L79" i="21"/>
  <c r="C79" i="7"/>
  <c r="G78" i="7"/>
  <c r="M85" i="21"/>
  <c r="Q84" i="21"/>
  <c r="L78" i="14"/>
  <c r="M78" i="27"/>
  <c r="Q77" i="27"/>
  <c r="L79" i="7"/>
  <c r="C79" i="23"/>
  <c r="G78" i="23"/>
  <c r="L79" i="9"/>
  <c r="C80" i="23" l="1"/>
  <c r="G79" i="23"/>
  <c r="M86" i="21"/>
  <c r="Q85" i="21"/>
  <c r="L81" i="26"/>
  <c r="B82" i="24"/>
  <c r="B81" i="11"/>
  <c r="L81" i="15"/>
  <c r="L81" i="25"/>
  <c r="M81" i="23"/>
  <c r="Q80" i="23"/>
  <c r="B83" i="3"/>
  <c r="A82" i="3"/>
  <c r="C101" i="14"/>
  <c r="G100" i="14"/>
  <c r="L80" i="23"/>
  <c r="L80" i="13"/>
  <c r="L80" i="24"/>
  <c r="M80" i="19"/>
  <c r="Q79" i="19"/>
  <c r="M79" i="17"/>
  <c r="Q78" i="17"/>
  <c r="B80" i="26"/>
  <c r="M83" i="4"/>
  <c r="Q82" i="4"/>
  <c r="B80" i="14"/>
  <c r="C82" i="20"/>
  <c r="G81" i="20"/>
  <c r="B79" i="5"/>
  <c r="B82" i="27"/>
  <c r="C80" i="24"/>
  <c r="G79" i="24"/>
  <c r="M93" i="5"/>
  <c r="Q92" i="5"/>
  <c r="C81" i="21"/>
  <c r="G80" i="21"/>
  <c r="B80" i="7"/>
  <c r="G78" i="17"/>
  <c r="C79" i="17"/>
  <c r="M89" i="9"/>
  <c r="Q88" i="9"/>
  <c r="B81" i="15"/>
  <c r="M79" i="27"/>
  <c r="Q78" i="27"/>
  <c r="B80" i="19"/>
  <c r="L80" i="11"/>
  <c r="G83" i="11"/>
  <c r="C84" i="11"/>
  <c r="L79" i="14"/>
  <c r="B80" i="13"/>
  <c r="M80" i="25"/>
  <c r="Q79" i="25"/>
  <c r="G92" i="27"/>
  <c r="C93" i="27"/>
  <c r="C81" i="26"/>
  <c r="G80" i="26"/>
  <c r="L88" i="5"/>
  <c r="M83" i="8"/>
  <c r="Q82" i="8"/>
  <c r="M82" i="3"/>
  <c r="Q81" i="3"/>
  <c r="L82" i="20"/>
  <c r="B81" i="20"/>
  <c r="B82" i="8"/>
  <c r="G81" i="13"/>
  <c r="C82" i="13"/>
  <c r="B79" i="9"/>
  <c r="L80" i="21"/>
  <c r="L81" i="3"/>
  <c r="C79" i="5"/>
  <c r="G78" i="5"/>
  <c r="L80" i="4"/>
  <c r="M100" i="11"/>
  <c r="Q99" i="11"/>
  <c r="B80" i="21"/>
  <c r="L80" i="7"/>
  <c r="L81" i="17"/>
  <c r="C80" i="7"/>
  <c r="G79" i="7"/>
  <c r="L82" i="19"/>
  <c r="M81" i="13"/>
  <c r="Q80" i="13"/>
  <c r="M90" i="7"/>
  <c r="Q89" i="7"/>
  <c r="B85" i="23"/>
  <c r="C80" i="3"/>
  <c r="G79" i="3"/>
  <c r="G82" i="8"/>
  <c r="C83" i="8"/>
  <c r="C84" i="15"/>
  <c r="G83" i="15"/>
  <c r="M81" i="15"/>
  <c r="Q80" i="15"/>
  <c r="B80" i="25"/>
  <c r="M81" i="14"/>
  <c r="Q80" i="14"/>
  <c r="M94" i="24"/>
  <c r="Q93" i="24"/>
  <c r="B85" i="4"/>
  <c r="C91" i="4"/>
  <c r="G90" i="4"/>
  <c r="C79" i="9"/>
  <c r="G78" i="9"/>
  <c r="L80" i="9"/>
  <c r="L79" i="27"/>
  <c r="M82" i="20"/>
  <c r="Q81" i="20"/>
  <c r="L81" i="8"/>
  <c r="C89" i="25"/>
  <c r="G88" i="25"/>
  <c r="C80" i="19"/>
  <c r="G79" i="19"/>
  <c r="B79" i="17"/>
  <c r="M80" i="26"/>
  <c r="Q79" i="26"/>
  <c r="G80" i="3" l="1"/>
  <c r="C81" i="3"/>
  <c r="L82" i="8"/>
  <c r="B86" i="23"/>
  <c r="L81" i="7"/>
  <c r="G93" i="27"/>
  <c r="C94" i="27"/>
  <c r="M90" i="9"/>
  <c r="Q89" i="9"/>
  <c r="L81" i="13"/>
  <c r="M82" i="15"/>
  <c r="Q81" i="15"/>
  <c r="B82" i="20"/>
  <c r="C80" i="17"/>
  <c r="G79" i="17"/>
  <c r="B83" i="27"/>
  <c r="B81" i="26"/>
  <c r="B82" i="11"/>
  <c r="L80" i="27"/>
  <c r="C84" i="8"/>
  <c r="G83" i="8"/>
  <c r="C90" i="25"/>
  <c r="G89" i="25"/>
  <c r="L82" i="3"/>
  <c r="M83" i="20"/>
  <c r="Q82" i="20"/>
  <c r="L83" i="20"/>
  <c r="M80" i="17"/>
  <c r="Q79" i="17"/>
  <c r="L81" i="23"/>
  <c r="C83" i="13"/>
  <c r="G82" i="13"/>
  <c r="M81" i="26"/>
  <c r="Q80" i="26"/>
  <c r="B86" i="4"/>
  <c r="B81" i="21"/>
  <c r="B81" i="7"/>
  <c r="B80" i="5"/>
  <c r="B83" i="24"/>
  <c r="B81" i="25"/>
  <c r="Q90" i="7"/>
  <c r="M91" i="7"/>
  <c r="L81" i="21"/>
  <c r="M81" i="25"/>
  <c r="Q80" i="25"/>
  <c r="C102" i="14"/>
  <c r="G101" i="14"/>
  <c r="M82" i="13"/>
  <c r="Q81" i="13"/>
  <c r="M83" i="3"/>
  <c r="Q82" i="3"/>
  <c r="C83" i="20"/>
  <c r="G82" i="20"/>
  <c r="M81" i="19"/>
  <c r="Q80" i="19"/>
  <c r="B80" i="17"/>
  <c r="B81" i="13"/>
  <c r="L81" i="11"/>
  <c r="B8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M101" i="11"/>
  <c r="Q100" i="11"/>
  <c r="L81" i="9"/>
  <c r="B83" i="8"/>
  <c r="A82" i="8" s="1"/>
  <c r="M84" i="8"/>
  <c r="Q83" i="8"/>
  <c r="L82" i="26"/>
  <c r="Q94" i="24"/>
  <c r="M95" i="24"/>
  <c r="C81" i="19"/>
  <c r="G80" i="19"/>
  <c r="C85" i="15"/>
  <c r="G84" i="15"/>
  <c r="L83" i="19"/>
  <c r="L80" i="14"/>
  <c r="B81" i="19"/>
  <c r="L81" i="24"/>
  <c r="M82" i="23"/>
  <c r="Q81" i="23"/>
  <c r="M82" i="14"/>
  <c r="Q81" i="14"/>
  <c r="L89" i="5"/>
  <c r="C82" i="21"/>
  <c r="G81" i="21"/>
  <c r="B81" i="14"/>
  <c r="M87" i="21"/>
  <c r="Q86" i="21"/>
  <c r="M80" i="27"/>
  <c r="Q79" i="27"/>
  <c r="L82" i="25"/>
  <c r="G79" i="9"/>
  <c r="C80" i="9"/>
  <c r="C81" i="7"/>
  <c r="G80" i="7"/>
  <c r="B80" i="9"/>
  <c r="M94" i="5"/>
  <c r="Q93" i="5"/>
  <c r="C92" i="4"/>
  <c r="G91" i="4"/>
  <c r="L81" i="4"/>
  <c r="C82" i="26"/>
  <c r="G81" i="26"/>
  <c r="B82" i="15"/>
  <c r="L82" i="15"/>
  <c r="G80" i="24"/>
  <c r="C81" i="24"/>
  <c r="L82" i="17"/>
  <c r="C80" i="5"/>
  <c r="G79" i="5"/>
  <c r="C85" i="11"/>
  <c r="G84" i="11"/>
  <c r="Q83" i="4"/>
  <c r="M84" i="4"/>
  <c r="G80" i="23"/>
  <c r="C81" i="23"/>
  <c r="L81" i="14" l="1"/>
  <c r="Q91" i="7"/>
  <c r="M92" i="7"/>
  <c r="M81" i="17"/>
  <c r="Q80" i="17"/>
  <c r="C81" i="17"/>
  <c r="G80" i="17"/>
  <c r="G83" i="20"/>
  <c r="C84" i="20"/>
  <c r="B87" i="4"/>
  <c r="Q90" i="9"/>
  <c r="M91" i="9"/>
  <c r="B85" i="3"/>
  <c r="Q84" i="4"/>
  <c r="M85" i="4"/>
  <c r="L84" i="19"/>
  <c r="K45" i="19"/>
  <c r="K46" i="19"/>
  <c r="K47" i="19"/>
  <c r="K48" i="19"/>
  <c r="K49" i="19"/>
  <c r="K50" i="19"/>
  <c r="K51" i="19"/>
  <c r="K52" i="19"/>
  <c r="K53" i="19"/>
  <c r="K54" i="19"/>
  <c r="K55" i="19"/>
  <c r="K56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K72" i="19"/>
  <c r="K73" i="19"/>
  <c r="K74" i="19"/>
  <c r="K75" i="19"/>
  <c r="K76" i="19"/>
  <c r="K77" i="19"/>
  <c r="K78" i="19"/>
  <c r="K79" i="19"/>
  <c r="K80" i="19"/>
  <c r="K81" i="19"/>
  <c r="M85" i="8"/>
  <c r="Q84" i="8"/>
  <c r="L82" i="4"/>
  <c r="M88" i="21"/>
  <c r="Q87" i="21"/>
  <c r="M83" i="14"/>
  <c r="Q82" i="14"/>
  <c r="K82" i="19"/>
  <c r="B82" i="25"/>
  <c r="C82" i="24"/>
  <c r="G81" i="24"/>
  <c r="C82" i="7"/>
  <c r="G81" i="7"/>
  <c r="B8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M82" i="25"/>
  <c r="Q81" i="25"/>
  <c r="B8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C91" i="25"/>
  <c r="G90" i="25"/>
  <c r="C95" i="27"/>
  <c r="G94" i="27"/>
  <c r="C86" i="15"/>
  <c r="G85" i="15"/>
  <c r="M84" i="3"/>
  <c r="Q83" i="3"/>
  <c r="A82" i="24"/>
  <c r="C85" i="8"/>
  <c r="G84" i="8"/>
  <c r="B81" i="9"/>
  <c r="B82" i="14"/>
  <c r="L82" i="9"/>
  <c r="M82" i="26"/>
  <c r="Q81" i="26"/>
  <c r="L8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77" i="20"/>
  <c r="K78" i="20"/>
  <c r="K79" i="20"/>
  <c r="K80" i="20"/>
  <c r="K81" i="20"/>
  <c r="A82" i="20"/>
  <c r="B83" i="20"/>
  <c r="C93" i="4"/>
  <c r="G92" i="4"/>
  <c r="L82" i="11"/>
  <c r="K82" i="20"/>
  <c r="L83" i="15"/>
  <c r="C81" i="9"/>
  <c r="G80" i="9"/>
  <c r="C83" i="21"/>
  <c r="G82" i="21"/>
  <c r="M83" i="23"/>
  <c r="Q82" i="23"/>
  <c r="L82" i="21"/>
  <c r="C84" i="13"/>
  <c r="G83" i="13"/>
  <c r="L82" i="7"/>
  <c r="C82" i="19"/>
  <c r="G81" i="19"/>
  <c r="B82" i="13"/>
  <c r="B81" i="5"/>
  <c r="Q83" i="20"/>
  <c r="M84" i="20"/>
  <c r="L81" i="27"/>
  <c r="L82" i="24"/>
  <c r="M83" i="15"/>
  <c r="Q82" i="15"/>
  <c r="B87" i="23"/>
  <c r="Q82" i="13"/>
  <c r="M83" i="13"/>
  <c r="B82" i="7"/>
  <c r="K82" i="3"/>
  <c r="L83" i="3"/>
  <c r="B83" i="11"/>
  <c r="B83" i="15"/>
  <c r="B82" i="26"/>
  <c r="C86" i="11"/>
  <c r="G85" i="11"/>
  <c r="B81" i="17"/>
  <c r="C81" i="5"/>
  <c r="G80" i="5"/>
  <c r="M95" i="5"/>
  <c r="Q94" i="5"/>
  <c r="L90" i="5"/>
  <c r="L83" i="25"/>
  <c r="B82" i="19"/>
  <c r="M96" i="24"/>
  <c r="Q95" i="24"/>
  <c r="Q101" i="11"/>
  <c r="M102" i="11"/>
  <c r="C103" i="14"/>
  <c r="G102" i="14"/>
  <c r="L83" i="8"/>
  <c r="K82" i="8" s="1"/>
  <c r="B8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C82" i="23"/>
  <c r="G81" i="23"/>
  <c r="L83" i="17"/>
  <c r="K82" i="17"/>
  <c r="M81" i="27"/>
  <c r="Q80" i="27"/>
  <c r="B82" i="21"/>
  <c r="L82" i="23"/>
  <c r="A82" i="27"/>
  <c r="G81" i="3"/>
  <c r="C82" i="3"/>
  <c r="G82" i="26"/>
  <c r="C83" i="26"/>
  <c r="K82" i="26"/>
  <c r="L83" i="26"/>
  <c r="M82" i="19"/>
  <c r="Q81" i="19"/>
  <c r="L82" i="13"/>
  <c r="C83" i="3" l="1"/>
  <c r="G82" i="3"/>
  <c r="M97" i="24"/>
  <c r="Q96" i="24"/>
  <c r="L91" i="5"/>
  <c r="L83" i="13"/>
  <c r="K82" i="13"/>
  <c r="B8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B8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C84" i="26"/>
  <c r="G83" i="26"/>
  <c r="A82" i="19"/>
  <c r="B83" i="19"/>
  <c r="C92" i="25"/>
  <c r="G91" i="25"/>
  <c r="C82" i="17"/>
  <c r="G81" i="17"/>
  <c r="K82" i="23"/>
  <c r="L83" i="23"/>
  <c r="M82" i="27"/>
  <c r="Q81" i="27"/>
  <c r="M96" i="5"/>
  <c r="Q95" i="5"/>
  <c r="M84" i="13"/>
  <c r="Q83" i="13"/>
  <c r="L82" i="27"/>
  <c r="C85" i="13"/>
  <c r="G84" i="13"/>
  <c r="L85" i="20"/>
  <c r="C86" i="8"/>
  <c r="G85" i="8"/>
  <c r="A82" i="15"/>
  <c r="Q84" i="20"/>
  <c r="M85" i="20"/>
  <c r="B85" i="8"/>
  <c r="B88" i="4"/>
  <c r="M82" i="17"/>
  <c r="Q81" i="17"/>
  <c r="K82" i="11"/>
  <c r="L83" i="11"/>
  <c r="M83" i="26"/>
  <c r="Q82" i="26"/>
  <c r="M93" i="7"/>
  <c r="Q92" i="7"/>
  <c r="L85" i="19"/>
  <c r="L83" i="21"/>
  <c r="C82" i="5"/>
  <c r="G81" i="5"/>
  <c r="C83" i="7"/>
  <c r="G82" i="7"/>
  <c r="L84" i="25"/>
  <c r="K45" i="25"/>
  <c r="K46" i="25"/>
  <c r="K47" i="25"/>
  <c r="K48" i="25"/>
  <c r="K49" i="25"/>
  <c r="K50" i="25"/>
  <c r="K51" i="25"/>
  <c r="K52" i="25"/>
  <c r="K53" i="25"/>
  <c r="K54" i="25"/>
  <c r="K55" i="25"/>
  <c r="K56" i="25"/>
  <c r="K57" i="25"/>
  <c r="K58" i="25"/>
  <c r="K59" i="25"/>
  <c r="K60" i="25"/>
  <c r="K61" i="25"/>
  <c r="K62" i="25"/>
  <c r="K63" i="25"/>
  <c r="K64" i="25"/>
  <c r="K65" i="25"/>
  <c r="K66" i="25"/>
  <c r="K67" i="25"/>
  <c r="K68" i="25"/>
  <c r="K69" i="25"/>
  <c r="K70" i="25"/>
  <c r="K71" i="25"/>
  <c r="K72" i="25"/>
  <c r="K73" i="25"/>
  <c r="K74" i="25"/>
  <c r="K75" i="25"/>
  <c r="K76" i="25"/>
  <c r="K77" i="25"/>
  <c r="K78" i="25"/>
  <c r="K79" i="25"/>
  <c r="K80" i="25"/>
  <c r="K81" i="25"/>
  <c r="B82" i="5"/>
  <c r="L83" i="9"/>
  <c r="Q85" i="4"/>
  <c r="M86" i="4"/>
  <c r="L8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C83" i="23"/>
  <c r="G82" i="23"/>
  <c r="K82" i="25"/>
  <c r="B82" i="17"/>
  <c r="B88" i="23"/>
  <c r="M85" i="3"/>
  <c r="Q84" i="3"/>
  <c r="C83" i="24"/>
  <c r="G82" i="24"/>
  <c r="Q83" i="14"/>
  <c r="M84" i="14"/>
  <c r="A82" i="11"/>
  <c r="B83" i="13"/>
  <c r="A82" i="13"/>
  <c r="C94" i="4"/>
  <c r="G93" i="4"/>
  <c r="C85" i="20"/>
  <c r="G84" i="20"/>
  <c r="C87" i="15"/>
  <c r="G86" i="15"/>
  <c r="M89" i="21"/>
  <c r="Q88" i="21"/>
  <c r="B83" i="21"/>
  <c r="L8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C83" i="19"/>
  <c r="G82" i="19"/>
  <c r="B83" i="14"/>
  <c r="A82" i="14"/>
  <c r="B85" i="24"/>
  <c r="L82" i="14"/>
  <c r="C84" i="21"/>
  <c r="G83" i="21"/>
  <c r="B8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B83" i="25"/>
  <c r="A82" i="25"/>
  <c r="L8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M84" i="15"/>
  <c r="Q83" i="15"/>
  <c r="C104" i="14"/>
  <c r="G103" i="14"/>
  <c r="C87" i="11"/>
  <c r="G86" i="11"/>
  <c r="M83" i="25"/>
  <c r="Q82" i="25"/>
  <c r="L83" i="4"/>
  <c r="M83" i="19"/>
  <c r="Q82" i="19"/>
  <c r="L8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M103" i="11"/>
  <c r="Q102" i="11"/>
  <c r="L83" i="24"/>
  <c r="C82" i="9"/>
  <c r="G81" i="9"/>
  <c r="B86" i="3"/>
  <c r="M84" i="23"/>
  <c r="Q83" i="23"/>
  <c r="B82" i="9"/>
  <c r="L8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B85" i="27"/>
  <c r="B83" i="26"/>
  <c r="A82" i="26"/>
  <c r="B83" i="7"/>
  <c r="K82" i="7"/>
  <c r="L83" i="7"/>
  <c r="K82" i="15"/>
  <c r="C96" i="27"/>
  <c r="G95" i="27"/>
  <c r="M86" i="8"/>
  <c r="Q85" i="8"/>
  <c r="M92" i="9"/>
  <c r="Q91" i="9"/>
  <c r="L84" i="4" l="1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M86" i="3"/>
  <c r="Q85" i="3"/>
  <c r="M94" i="7"/>
  <c r="Q93" i="7"/>
  <c r="C93" i="25"/>
  <c r="G92" i="25"/>
  <c r="Q85" i="20"/>
  <c r="M86" i="20"/>
  <c r="B89" i="23"/>
  <c r="M85" i="13"/>
  <c r="Q84" i="13"/>
  <c r="M85" i="15"/>
  <c r="Q84" i="15"/>
  <c r="Q83" i="25"/>
  <c r="M84" i="25"/>
  <c r="C84" i="19"/>
  <c r="G83" i="19"/>
  <c r="C88" i="15"/>
  <c r="G87" i="15"/>
  <c r="B83" i="5"/>
  <c r="A82" i="5" s="1"/>
  <c r="Q83" i="26"/>
  <c r="M84" i="26"/>
  <c r="B87" i="3"/>
  <c r="B8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B8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M90" i="21"/>
  <c r="Q89" i="21"/>
  <c r="B8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L8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M97" i="5"/>
  <c r="Q96" i="5"/>
  <c r="G96" i="27"/>
  <c r="C97" i="27"/>
  <c r="A82" i="7"/>
  <c r="C86" i="20"/>
  <c r="G85" i="20"/>
  <c r="B83" i="17"/>
  <c r="A82" i="17"/>
  <c r="L85" i="17"/>
  <c r="B8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L92" i="5"/>
  <c r="B86" i="24"/>
  <c r="L84" i="24"/>
  <c r="K45" i="24"/>
  <c r="K46" i="24"/>
  <c r="K47" i="24"/>
  <c r="K48" i="24"/>
  <c r="K49" i="24"/>
  <c r="K50" i="24"/>
  <c r="K51" i="24"/>
  <c r="K52" i="24"/>
  <c r="K53" i="24"/>
  <c r="K54" i="24"/>
  <c r="K55" i="24"/>
  <c r="K56" i="24"/>
  <c r="K57" i="24"/>
  <c r="K58" i="24"/>
  <c r="K59" i="24"/>
  <c r="K60" i="24"/>
  <c r="K61" i="24"/>
  <c r="K62" i="24"/>
  <c r="K63" i="24"/>
  <c r="K64" i="24"/>
  <c r="K65" i="24"/>
  <c r="K66" i="24"/>
  <c r="K67" i="24"/>
  <c r="K68" i="24"/>
  <c r="K69" i="24"/>
  <c r="K70" i="24"/>
  <c r="K71" i="24"/>
  <c r="K72" i="24"/>
  <c r="K73" i="24"/>
  <c r="K74" i="24"/>
  <c r="K75" i="24"/>
  <c r="K76" i="24"/>
  <c r="K77" i="24"/>
  <c r="K78" i="24"/>
  <c r="K79" i="24"/>
  <c r="K80" i="24"/>
  <c r="K81" i="24"/>
  <c r="K82" i="24"/>
  <c r="A82" i="9"/>
  <c r="B83" i="9"/>
  <c r="K82" i="4"/>
  <c r="B86" i="8"/>
  <c r="C88" i="11"/>
  <c r="G87" i="11"/>
  <c r="L85" i="15"/>
  <c r="M104" i="11"/>
  <c r="Q103" i="11"/>
  <c r="M85" i="23"/>
  <c r="Q84" i="23"/>
  <c r="B85" i="20"/>
  <c r="M83" i="27"/>
  <c r="Q82" i="27"/>
  <c r="B86" i="27"/>
  <c r="L85" i="8"/>
  <c r="M83" i="17"/>
  <c r="Q82" i="17"/>
  <c r="B85" i="15"/>
  <c r="M98" i="24"/>
  <c r="Q97" i="24"/>
  <c r="M93" i="9"/>
  <c r="Q92" i="9"/>
  <c r="L85" i="26"/>
  <c r="C85" i="21"/>
  <c r="G84" i="21"/>
  <c r="C83" i="5"/>
  <c r="G82" i="5"/>
  <c r="Q86" i="4"/>
  <c r="M87" i="4"/>
  <c r="B89" i="4"/>
  <c r="C85" i="26"/>
  <c r="G84" i="26"/>
  <c r="L8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L85" i="3"/>
  <c r="C84" i="23"/>
  <c r="G83" i="23"/>
  <c r="M87" i="8"/>
  <c r="Q86" i="8"/>
  <c r="M84" i="19"/>
  <c r="Q83" i="19"/>
  <c r="K82" i="14"/>
  <c r="L83" i="14"/>
  <c r="B8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G94" i="4"/>
  <c r="C95" i="4"/>
  <c r="L8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58" i="21"/>
  <c r="K59" i="21"/>
  <c r="K60" i="21"/>
  <c r="K61" i="21"/>
  <c r="K62" i="21"/>
  <c r="K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77" i="21"/>
  <c r="K78" i="21"/>
  <c r="K79" i="21"/>
  <c r="K80" i="21"/>
  <c r="K81" i="21"/>
  <c r="C87" i="8"/>
  <c r="G86" i="8"/>
  <c r="A82" i="21"/>
  <c r="M85" i="14"/>
  <c r="Q84" i="14"/>
  <c r="L85" i="25"/>
  <c r="K82" i="21"/>
  <c r="L84" i="23"/>
  <c r="K45" i="23"/>
  <c r="K46" i="23"/>
  <c r="K47" i="23"/>
  <c r="K48" i="23"/>
  <c r="K49" i="23"/>
  <c r="K50" i="23"/>
  <c r="K51" i="23"/>
  <c r="K52" i="23"/>
  <c r="K53" i="23"/>
  <c r="K54" i="23"/>
  <c r="K55" i="23"/>
  <c r="K56" i="23"/>
  <c r="K57" i="23"/>
  <c r="K58" i="23"/>
  <c r="K59" i="23"/>
  <c r="K60" i="23"/>
  <c r="K61" i="23"/>
  <c r="K62" i="23"/>
  <c r="K63" i="23"/>
  <c r="K64" i="23"/>
  <c r="K65" i="23"/>
  <c r="K66" i="23"/>
  <c r="K67" i="23"/>
  <c r="K68" i="23"/>
  <c r="K69" i="23"/>
  <c r="K70" i="23"/>
  <c r="K71" i="23"/>
  <c r="K72" i="23"/>
  <c r="K73" i="23"/>
  <c r="K74" i="23"/>
  <c r="K75" i="23"/>
  <c r="K76" i="23"/>
  <c r="K77" i="23"/>
  <c r="K78" i="23"/>
  <c r="K79" i="23"/>
  <c r="K80" i="23"/>
  <c r="K81" i="23"/>
  <c r="L86" i="20"/>
  <c r="L86" i="19"/>
  <c r="C83" i="9"/>
  <c r="G82" i="9"/>
  <c r="G83" i="24"/>
  <c r="C84" i="24"/>
  <c r="L8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C86" i="13"/>
  <c r="G85" i="13"/>
  <c r="C83" i="17"/>
  <c r="G82" i="17"/>
  <c r="L8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C105" i="14"/>
  <c r="G104" i="14"/>
  <c r="B8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B8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K82" i="9"/>
  <c r="G83" i="7"/>
  <c r="C84" i="7"/>
  <c r="L83" i="27"/>
  <c r="K82" i="27" s="1"/>
  <c r="B85" i="11"/>
  <c r="C84" i="3"/>
  <c r="G83" i="3"/>
  <c r="B85" i="14" l="1"/>
  <c r="C84" i="9"/>
  <c r="G83" i="9"/>
  <c r="L85" i="23"/>
  <c r="L85" i="21"/>
  <c r="C84" i="5"/>
  <c r="G83" i="5"/>
  <c r="M84" i="27"/>
  <c r="Q83" i="27"/>
  <c r="M85" i="25"/>
  <c r="Q84" i="25"/>
  <c r="C94" i="25"/>
  <c r="G93" i="25"/>
  <c r="C89" i="11"/>
  <c r="G88" i="11"/>
  <c r="B85" i="13"/>
  <c r="B87" i="8"/>
  <c r="L85" i="24"/>
  <c r="B85" i="26"/>
  <c r="Q94" i="7"/>
  <c r="M95" i="7"/>
  <c r="M85" i="19"/>
  <c r="Q84" i="19"/>
  <c r="L85" i="13"/>
  <c r="C86" i="21"/>
  <c r="G85" i="21"/>
  <c r="B87" i="24"/>
  <c r="B88" i="3"/>
  <c r="M86" i="15"/>
  <c r="Q85" i="15"/>
  <c r="B86" i="20"/>
  <c r="C86" i="26"/>
  <c r="G85" i="26"/>
  <c r="M98" i="5"/>
  <c r="Q97" i="5"/>
  <c r="Q86" i="3"/>
  <c r="M87" i="3"/>
  <c r="L85" i="7"/>
  <c r="L86" i="26"/>
  <c r="L87" i="19"/>
  <c r="M88" i="8"/>
  <c r="Q87" i="8"/>
  <c r="M86" i="23"/>
  <c r="Q85" i="23"/>
  <c r="L93" i="5"/>
  <c r="M85" i="26"/>
  <c r="Q84" i="26"/>
  <c r="Q86" i="20"/>
  <c r="M87" i="20"/>
  <c r="C96" i="4"/>
  <c r="G95" i="4"/>
  <c r="L85" i="9"/>
  <c r="M94" i="9"/>
  <c r="Q93" i="9"/>
  <c r="B8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M86" i="13"/>
  <c r="Q85" i="13"/>
  <c r="M91" i="21"/>
  <c r="Q90" i="21"/>
  <c r="C85" i="24"/>
  <c r="G84" i="24"/>
  <c r="C85" i="23"/>
  <c r="G84" i="23"/>
  <c r="B90" i="4"/>
  <c r="B85" i="25"/>
  <c r="L87" i="20"/>
  <c r="L86" i="25"/>
  <c r="B85" i="21"/>
  <c r="M99" i="24"/>
  <c r="Q98" i="24"/>
  <c r="C87" i="20"/>
  <c r="G86" i="20"/>
  <c r="B8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C88" i="8"/>
  <c r="G87" i="8"/>
  <c r="L8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L86" i="3"/>
  <c r="Q87" i="4"/>
  <c r="M88" i="4"/>
  <c r="B8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B85" i="7"/>
  <c r="C106" i="14"/>
  <c r="G105" i="14"/>
  <c r="Q85" i="14"/>
  <c r="M86" i="14"/>
  <c r="B86" i="15"/>
  <c r="M105" i="11"/>
  <c r="Q104" i="11"/>
  <c r="L85" i="11"/>
  <c r="B90" i="23"/>
  <c r="L86" i="17"/>
  <c r="B85" i="19"/>
  <c r="L85" i="4"/>
  <c r="L84" i="27"/>
  <c r="K45" i="27"/>
  <c r="K46" i="27"/>
  <c r="K47" i="27"/>
  <c r="K48" i="27"/>
  <c r="K49" i="27"/>
  <c r="K50" i="27"/>
  <c r="K51" i="27"/>
  <c r="K52" i="27"/>
  <c r="K53" i="27"/>
  <c r="K54" i="27"/>
  <c r="K55" i="27"/>
  <c r="K56" i="27"/>
  <c r="K57" i="27"/>
  <c r="K58" i="27"/>
  <c r="K59" i="27"/>
  <c r="K60" i="27"/>
  <c r="K61" i="27"/>
  <c r="K62" i="27"/>
  <c r="K63" i="27"/>
  <c r="K64" i="27"/>
  <c r="K65" i="27"/>
  <c r="K66" i="27"/>
  <c r="K67" i="27"/>
  <c r="K68" i="27"/>
  <c r="K69" i="27"/>
  <c r="K70" i="27"/>
  <c r="K71" i="27"/>
  <c r="K72" i="27"/>
  <c r="K73" i="27"/>
  <c r="K74" i="27"/>
  <c r="K75" i="27"/>
  <c r="K76" i="27"/>
  <c r="K77" i="27"/>
  <c r="K78" i="27"/>
  <c r="K79" i="27"/>
  <c r="K80" i="27"/>
  <c r="K81" i="27"/>
  <c r="C85" i="7"/>
  <c r="G84" i="7"/>
  <c r="B86" i="11"/>
  <c r="L86" i="15"/>
  <c r="C89" i="15"/>
  <c r="G88" i="15"/>
  <c r="L86" i="8"/>
  <c r="C85" i="3"/>
  <c r="G84" i="3"/>
  <c r="B87" i="27"/>
  <c r="G97" i="27"/>
  <c r="C98" i="27"/>
  <c r="C84" i="17"/>
  <c r="G83" i="17"/>
  <c r="C87" i="13"/>
  <c r="G86" i="13"/>
  <c r="M84" i="17"/>
  <c r="Q83" i="17"/>
  <c r="C85" i="19"/>
  <c r="G84" i="19"/>
  <c r="L87" i="3" l="1"/>
  <c r="Q87" i="20"/>
  <c r="M88" i="20"/>
  <c r="M87" i="15"/>
  <c r="Q86" i="15"/>
  <c r="M86" i="25"/>
  <c r="Q85" i="25"/>
  <c r="Q84" i="17"/>
  <c r="M85" i="17"/>
  <c r="L88" i="19"/>
  <c r="B85" i="5"/>
  <c r="C85" i="17"/>
  <c r="G84" i="17"/>
  <c r="B86" i="25"/>
  <c r="B89" i="3"/>
  <c r="L86" i="4"/>
  <c r="C88" i="20"/>
  <c r="G87" i="20"/>
  <c r="Q91" i="21"/>
  <c r="M92" i="21"/>
  <c r="C87" i="26"/>
  <c r="G86" i="26"/>
  <c r="M85" i="27"/>
  <c r="Q84" i="27"/>
  <c r="Q85" i="26"/>
  <c r="M86" i="26"/>
  <c r="B86" i="13"/>
  <c r="L87" i="8"/>
  <c r="L86" i="11"/>
  <c r="C86" i="7"/>
  <c r="G85" i="7"/>
  <c r="C107" i="14"/>
  <c r="G106" i="14"/>
  <c r="B86" i="7"/>
  <c r="M106" i="11"/>
  <c r="Q105" i="11"/>
  <c r="M100" i="24"/>
  <c r="Q99" i="24"/>
  <c r="L87" i="26"/>
  <c r="B87" i="20"/>
  <c r="Q95" i="7"/>
  <c r="M96" i="7"/>
  <c r="G84" i="5"/>
  <c r="C85" i="5"/>
  <c r="L85" i="14"/>
  <c r="B86" i="21"/>
  <c r="L94" i="5"/>
  <c r="C99" i="27"/>
  <c r="G98" i="27"/>
  <c r="C86" i="19"/>
  <c r="G85" i="19"/>
  <c r="G85" i="3"/>
  <c r="C86" i="3"/>
  <c r="L86" i="7"/>
  <c r="L86" i="21"/>
  <c r="C89" i="8"/>
  <c r="G88" i="8"/>
  <c r="Q86" i="13"/>
  <c r="M87" i="13"/>
  <c r="Q94" i="9"/>
  <c r="M95" i="9"/>
  <c r="M87" i="23"/>
  <c r="Q86" i="23"/>
  <c r="Q87" i="3"/>
  <c r="M88" i="3"/>
  <c r="B88" i="24"/>
  <c r="C90" i="11"/>
  <c r="G89" i="11"/>
  <c r="L86" i="23"/>
  <c r="B87" i="15"/>
  <c r="L87" i="25"/>
  <c r="B85" i="9"/>
  <c r="L88" i="20"/>
  <c r="C86" i="23"/>
  <c r="G85" i="23"/>
  <c r="M89" i="8"/>
  <c r="Q88" i="8"/>
  <c r="C87" i="21"/>
  <c r="G86" i="21"/>
  <c r="B86" i="26"/>
  <c r="G84" i="9"/>
  <c r="C85" i="9"/>
  <c r="C90" i="15"/>
  <c r="G89" i="15"/>
  <c r="M87" i="14"/>
  <c r="Q86" i="14"/>
  <c r="C88" i="13"/>
  <c r="G87" i="13"/>
  <c r="L86" i="9"/>
  <c r="L87" i="15"/>
  <c r="B86" i="19"/>
  <c r="B91" i="23"/>
  <c r="Q88" i="4"/>
  <c r="M89" i="4"/>
  <c r="L86" i="13"/>
  <c r="L86" i="24"/>
  <c r="L87" i="17"/>
  <c r="B91" i="4"/>
  <c r="B88" i="27"/>
  <c r="M99" i="5"/>
  <c r="Q98" i="5"/>
  <c r="C95" i="25"/>
  <c r="G94" i="25"/>
  <c r="L85" i="27"/>
  <c r="B87" i="11"/>
  <c r="C86" i="24"/>
  <c r="G85" i="24"/>
  <c r="B85" i="17"/>
  <c r="C97" i="4"/>
  <c r="G96" i="4"/>
  <c r="Q85" i="19"/>
  <c r="M86" i="19"/>
  <c r="B88" i="8"/>
  <c r="B86" i="14"/>
  <c r="G85" i="5" l="1"/>
  <c r="C86" i="5"/>
  <c r="C87" i="23"/>
  <c r="G86" i="23"/>
  <c r="M86" i="27"/>
  <c r="Q85" i="27"/>
  <c r="L89" i="19"/>
  <c r="M101" i="24"/>
  <c r="Q100" i="24"/>
  <c r="L88" i="8"/>
  <c r="L87" i="11"/>
  <c r="L87" i="13"/>
  <c r="G85" i="9"/>
  <c r="C86" i="9"/>
  <c r="M88" i="23"/>
  <c r="Q87" i="23"/>
  <c r="M97" i="7"/>
  <c r="Q96" i="7"/>
  <c r="M107" i="11"/>
  <c r="Q106" i="11"/>
  <c r="C88" i="26"/>
  <c r="G87" i="26"/>
  <c r="B90" i="3"/>
  <c r="Q85" i="17"/>
  <c r="M86" i="17"/>
  <c r="L87" i="24"/>
  <c r="Q95" i="9"/>
  <c r="M96" i="9"/>
  <c r="B87" i="14"/>
  <c r="M88" i="13"/>
  <c r="Q87" i="13"/>
  <c r="B87" i="13"/>
  <c r="M87" i="25"/>
  <c r="Q86" i="25"/>
  <c r="C87" i="24"/>
  <c r="G86" i="24"/>
  <c r="B88" i="15"/>
  <c r="B86" i="9"/>
  <c r="L87" i="23"/>
  <c r="M93" i="21"/>
  <c r="Q92" i="21"/>
  <c r="B89" i="8"/>
  <c r="L87" i="9"/>
  <c r="L95" i="5"/>
  <c r="B87" i="25"/>
  <c r="M87" i="19"/>
  <c r="Q86" i="19"/>
  <c r="C87" i="3"/>
  <c r="G86" i="3"/>
  <c r="B88" i="20"/>
  <c r="B87" i="7"/>
  <c r="M100" i="5"/>
  <c r="Q99" i="5"/>
  <c r="C89" i="20"/>
  <c r="G88" i="20"/>
  <c r="Q87" i="15"/>
  <c r="M88" i="15"/>
  <c r="C91" i="15"/>
  <c r="G90" i="15"/>
  <c r="B87" i="26"/>
  <c r="Q88" i="20"/>
  <c r="M89" i="20"/>
  <c r="L87" i="21"/>
  <c r="M87" i="26"/>
  <c r="Q86" i="26"/>
  <c r="C86" i="17"/>
  <c r="G85" i="17"/>
  <c r="B89" i="27"/>
  <c r="C91" i="11"/>
  <c r="G90" i="11"/>
  <c r="C88" i="21"/>
  <c r="G87" i="21"/>
  <c r="B92" i="23"/>
  <c r="M89" i="3"/>
  <c r="Q88" i="3"/>
  <c r="B87" i="21"/>
  <c r="L86" i="27"/>
  <c r="B88" i="11"/>
  <c r="Q89" i="4"/>
  <c r="M90" i="4"/>
  <c r="L88" i="26"/>
  <c r="B92" i="4"/>
  <c r="L88" i="17"/>
  <c r="B87" i="19"/>
  <c r="L89" i="20"/>
  <c r="C100" i="27"/>
  <c r="G99" i="27"/>
  <c r="B89" i="24"/>
  <c r="C90" i="8"/>
  <c r="G89" i="8"/>
  <c r="L86" i="14"/>
  <c r="C108" i="14"/>
  <c r="G107" i="14"/>
  <c r="B86" i="5"/>
  <c r="C98" i="4"/>
  <c r="G97" i="4"/>
  <c r="C89" i="13"/>
  <c r="G88" i="13"/>
  <c r="L88" i="3"/>
  <c r="C96" i="25"/>
  <c r="G95" i="25"/>
  <c r="L88" i="15"/>
  <c r="M90" i="8"/>
  <c r="Q89" i="8"/>
  <c r="C87" i="7"/>
  <c r="G86" i="7"/>
  <c r="L87" i="4"/>
  <c r="B86" i="17"/>
  <c r="M88" i="14"/>
  <c r="Q87" i="14"/>
  <c r="L88" i="25"/>
  <c r="L87" i="7"/>
  <c r="C87" i="19"/>
  <c r="G86" i="19"/>
  <c r="M88" i="26" l="1"/>
  <c r="Q87" i="26"/>
  <c r="L89" i="25"/>
  <c r="L88" i="23"/>
  <c r="B88" i="21"/>
  <c r="B89" i="20"/>
  <c r="L88" i="24"/>
  <c r="C90" i="20"/>
  <c r="G89" i="20"/>
  <c r="L88" i="9"/>
  <c r="B88" i="14"/>
  <c r="B91" i="3"/>
  <c r="B90" i="8"/>
  <c r="L88" i="13"/>
  <c r="L88" i="4"/>
  <c r="B88" i="19"/>
  <c r="L88" i="21"/>
  <c r="C89" i="26"/>
  <c r="G88" i="26"/>
  <c r="C99" i="4"/>
  <c r="G98" i="4"/>
  <c r="M90" i="3"/>
  <c r="Q89" i="3"/>
  <c r="M101" i="5"/>
  <c r="Q100" i="5"/>
  <c r="M97" i="9"/>
  <c r="Q96" i="9"/>
  <c r="Q107" i="11"/>
  <c r="M108" i="11"/>
  <c r="M87" i="27"/>
  <c r="Q86" i="27"/>
  <c r="B87" i="5"/>
  <c r="C88" i="24"/>
  <c r="G87" i="24"/>
  <c r="C88" i="19"/>
  <c r="G87" i="19"/>
  <c r="C97" i="25"/>
  <c r="G96" i="25"/>
  <c r="Q90" i="4"/>
  <c r="M91" i="4"/>
  <c r="B93" i="23"/>
  <c r="Q89" i="20"/>
  <c r="M90" i="20"/>
  <c r="M94" i="21"/>
  <c r="Q93" i="21"/>
  <c r="C88" i="7"/>
  <c r="G87" i="7"/>
  <c r="L89" i="17"/>
  <c r="L88" i="11"/>
  <c r="L88" i="7"/>
  <c r="L89" i="3"/>
  <c r="B89" i="11"/>
  <c r="M88" i="25"/>
  <c r="Q87" i="25"/>
  <c r="M98" i="7"/>
  <c r="Q97" i="7"/>
  <c r="C109" i="14"/>
  <c r="G108" i="14"/>
  <c r="G90" i="8"/>
  <c r="C91" i="8"/>
  <c r="G88" i="21"/>
  <c r="C89" i="21"/>
  <c r="M88" i="19"/>
  <c r="Q87" i="19"/>
  <c r="L89" i="8"/>
  <c r="B88" i="7"/>
  <c r="B88" i="13"/>
  <c r="C88" i="23"/>
  <c r="G87" i="23"/>
  <c r="B88" i="25"/>
  <c r="L87" i="27"/>
  <c r="M89" i="13"/>
  <c r="Q88" i="13"/>
  <c r="M89" i="23"/>
  <c r="Q88" i="23"/>
  <c r="B90" i="24"/>
  <c r="B88" i="26"/>
  <c r="B87" i="17"/>
  <c r="L89" i="15"/>
  <c r="L90" i="20"/>
  <c r="C92" i="11"/>
  <c r="G91" i="11"/>
  <c r="B90" i="27"/>
  <c r="C92" i="15"/>
  <c r="G91" i="15"/>
  <c r="G86" i="9"/>
  <c r="C87" i="9"/>
  <c r="Q88" i="14"/>
  <c r="M89" i="14"/>
  <c r="B93" i="4"/>
  <c r="M89" i="15"/>
  <c r="Q88" i="15"/>
  <c r="B87" i="9"/>
  <c r="Q86" i="17"/>
  <c r="M87" i="17"/>
  <c r="M102" i="24"/>
  <c r="Q101" i="24"/>
  <c r="C90" i="13"/>
  <c r="G89" i="13"/>
  <c r="C88" i="3"/>
  <c r="G87" i="3"/>
  <c r="L96" i="5"/>
  <c r="G86" i="5"/>
  <c r="C87" i="5"/>
  <c r="M91" i="8"/>
  <c r="Q90" i="8"/>
  <c r="L87" i="14"/>
  <c r="C101" i="27"/>
  <c r="G100" i="27"/>
  <c r="L89" i="26"/>
  <c r="C87" i="17"/>
  <c r="G86" i="17"/>
  <c r="B89" i="15"/>
  <c r="L90" i="19"/>
  <c r="B90" i="11" l="1"/>
  <c r="L90" i="17"/>
  <c r="B91" i="8"/>
  <c r="L89" i="24"/>
  <c r="C98" i="25"/>
  <c r="G97" i="25"/>
  <c r="L89" i="21"/>
  <c r="M90" i="15"/>
  <c r="Q89" i="15"/>
  <c r="B91" i="27"/>
  <c r="L88" i="27"/>
  <c r="C92" i="8"/>
  <c r="G91" i="8"/>
  <c r="L90" i="3"/>
  <c r="C89" i="19"/>
  <c r="G88" i="19"/>
  <c r="B90" i="20"/>
  <c r="M92" i="8"/>
  <c r="Q91" i="8"/>
  <c r="C89" i="7"/>
  <c r="G88" i="7"/>
  <c r="B92" i="3"/>
  <c r="B91" i="24"/>
  <c r="M90" i="13"/>
  <c r="Q89" i="13"/>
  <c r="C89" i="23"/>
  <c r="G88" i="23"/>
  <c r="C91" i="13"/>
  <c r="G90" i="13"/>
  <c r="M95" i="21"/>
  <c r="Q94" i="21"/>
  <c r="M109" i="11"/>
  <c r="Q108" i="11"/>
  <c r="B89" i="21"/>
  <c r="M88" i="27"/>
  <c r="Q87" i="27"/>
  <c r="G87" i="5"/>
  <c r="C88" i="5"/>
  <c r="B89" i="13"/>
  <c r="B89" i="19"/>
  <c r="C110" i="14"/>
  <c r="G109" i="14"/>
  <c r="B89" i="14"/>
  <c r="C93" i="11"/>
  <c r="G92" i="11"/>
  <c r="L89" i="7"/>
  <c r="Q90" i="20"/>
  <c r="M91" i="20"/>
  <c r="M91" i="3"/>
  <c r="Q90" i="3"/>
  <c r="B90" i="15"/>
  <c r="B89" i="7"/>
  <c r="L89" i="4"/>
  <c r="B89" i="26"/>
  <c r="L89" i="23"/>
  <c r="L90" i="15"/>
  <c r="C89" i="24"/>
  <c r="G88" i="24"/>
  <c r="L97" i="5"/>
  <c r="B88" i="9"/>
  <c r="L91" i="19"/>
  <c r="G99" i="4"/>
  <c r="C100" i="4"/>
  <c r="L89" i="9"/>
  <c r="Q91" i="4"/>
  <c r="M92" i="4"/>
  <c r="M102" i="5"/>
  <c r="Q101" i="5"/>
  <c r="C93" i="15"/>
  <c r="G92" i="15"/>
  <c r="B94" i="4"/>
  <c r="L89" i="11"/>
  <c r="B94" i="23"/>
  <c r="C88" i="17"/>
  <c r="G87" i="17"/>
  <c r="Q87" i="17"/>
  <c r="M88" i="17"/>
  <c r="L88" i="14"/>
  <c r="M103" i="24"/>
  <c r="Q102" i="24"/>
  <c r="M90" i="14"/>
  <c r="Q89" i="14"/>
  <c r="Q97" i="9"/>
  <c r="M98" i="9"/>
  <c r="L91" i="20"/>
  <c r="L90" i="8"/>
  <c r="Q98" i="7"/>
  <c r="M99" i="7"/>
  <c r="C91" i="20"/>
  <c r="G90" i="20"/>
  <c r="G87" i="9"/>
  <c r="C88" i="9"/>
  <c r="L89" i="13"/>
  <c r="L90" i="26"/>
  <c r="C89" i="3"/>
  <c r="G88" i="3"/>
  <c r="B89" i="25"/>
  <c r="M89" i="25"/>
  <c r="Q88" i="25"/>
  <c r="G89" i="26"/>
  <c r="C90" i="26"/>
  <c r="L90" i="25"/>
  <c r="B88" i="17"/>
  <c r="M89" i="19"/>
  <c r="Q88" i="19"/>
  <c r="G101" i="27"/>
  <c r="C102" i="27"/>
  <c r="M90" i="23"/>
  <c r="Q89" i="23"/>
  <c r="C90" i="21"/>
  <c r="G89" i="21"/>
  <c r="B88" i="5"/>
  <c r="Q88" i="26"/>
  <c r="M89" i="26"/>
  <c r="M89" i="27" l="1"/>
  <c r="Q88" i="27"/>
  <c r="B89" i="17"/>
  <c r="C89" i="17"/>
  <c r="G88" i="17"/>
  <c r="Q92" i="4"/>
  <c r="M93" i="4"/>
  <c r="B90" i="14"/>
  <c r="C90" i="7"/>
  <c r="G89" i="7"/>
  <c r="C93" i="8"/>
  <c r="G92" i="8"/>
  <c r="C99" i="25"/>
  <c r="G98" i="25"/>
  <c r="M90" i="26"/>
  <c r="Q89" i="26"/>
  <c r="B95" i="23"/>
  <c r="L98" i="5"/>
  <c r="M92" i="3"/>
  <c r="Q91" i="3"/>
  <c r="B90" i="21"/>
  <c r="C90" i="23"/>
  <c r="G89" i="23"/>
  <c r="B90" i="25"/>
  <c r="G88" i="9"/>
  <c r="C89" i="9"/>
  <c r="M93" i="8"/>
  <c r="Q92" i="8"/>
  <c r="L90" i="24"/>
  <c r="Q89" i="25"/>
  <c r="M90" i="25"/>
  <c r="C90" i="24"/>
  <c r="G89" i="24"/>
  <c r="L90" i="4"/>
  <c r="Q91" i="20"/>
  <c r="M92" i="20"/>
  <c r="C111" i="14"/>
  <c r="G110" i="14"/>
  <c r="M110" i="11"/>
  <c r="Q109" i="11"/>
  <c r="Q90" i="13"/>
  <c r="M91" i="13"/>
  <c r="Q90" i="14"/>
  <c r="M91" i="14"/>
  <c r="L90" i="9"/>
  <c r="L91" i="15"/>
  <c r="L89" i="27"/>
  <c r="C101" i="4"/>
  <c r="G100" i="4"/>
  <c r="B92" i="27"/>
  <c r="B92" i="8"/>
  <c r="B90" i="19"/>
  <c r="B92" i="24"/>
  <c r="B91" i="20"/>
  <c r="M99" i="9"/>
  <c r="Q98" i="9"/>
  <c r="Q95" i="21"/>
  <c r="M96" i="21"/>
  <c r="L90" i="23"/>
  <c r="B90" i="13"/>
  <c r="Q90" i="15"/>
  <c r="M91" i="15"/>
  <c r="L91" i="25"/>
  <c r="M104" i="24"/>
  <c r="Q103" i="24"/>
  <c r="M100" i="7"/>
  <c r="Q99" i="7"/>
  <c r="L89" i="14"/>
  <c r="L90" i="11"/>
  <c r="B90" i="7"/>
  <c r="C92" i="13"/>
  <c r="G91" i="13"/>
  <c r="C90" i="19"/>
  <c r="G89" i="19"/>
  <c r="L91" i="17"/>
  <c r="M91" i="23"/>
  <c r="Q90" i="23"/>
  <c r="L91" i="26"/>
  <c r="L91" i="8"/>
  <c r="B95" i="4"/>
  <c r="L91" i="3"/>
  <c r="B91" i="11"/>
  <c r="C92" i="20"/>
  <c r="G91" i="20"/>
  <c r="L92" i="19"/>
  <c r="G90" i="21"/>
  <c r="C91" i="21"/>
  <c r="L90" i="13"/>
  <c r="C94" i="11"/>
  <c r="G93" i="11"/>
  <c r="M90" i="19"/>
  <c r="Q89" i="19"/>
  <c r="B89" i="9"/>
  <c r="B90" i="26"/>
  <c r="G88" i="5"/>
  <c r="C89" i="5"/>
  <c r="Q102" i="5"/>
  <c r="M103" i="5"/>
  <c r="C103" i="27"/>
  <c r="G102" i="27"/>
  <c r="L90" i="7"/>
  <c r="C90" i="3"/>
  <c r="G89" i="3"/>
  <c r="M89" i="17"/>
  <c r="Q88" i="17"/>
  <c r="C94" i="15"/>
  <c r="G93" i="15"/>
  <c r="B93" i="3"/>
  <c r="C91" i="26"/>
  <c r="G90" i="26"/>
  <c r="B89" i="5"/>
  <c r="L92" i="20"/>
  <c r="B91" i="15"/>
  <c r="L90" i="21"/>
  <c r="G90" i="19" l="1"/>
  <c r="C91" i="19"/>
  <c r="C104" i="27"/>
  <c r="G103" i="27"/>
  <c r="B92" i="20"/>
  <c r="C90" i="9"/>
  <c r="G89" i="9"/>
  <c r="M92" i="15"/>
  <c r="Q91" i="15"/>
  <c r="M91" i="25"/>
  <c r="Q90" i="25"/>
  <c r="G89" i="5"/>
  <c r="C90" i="5"/>
  <c r="C95" i="11"/>
  <c r="G94" i="11"/>
  <c r="B91" i="19"/>
  <c r="Q91" i="13"/>
  <c r="M92" i="13"/>
  <c r="M91" i="26"/>
  <c r="Q90" i="26"/>
  <c r="C90" i="17"/>
  <c r="G89" i="17"/>
  <c r="B90" i="5"/>
  <c r="C95" i="15"/>
  <c r="G94" i="15"/>
  <c r="B91" i="7"/>
  <c r="L91" i="24"/>
  <c r="C100" i="25"/>
  <c r="G99" i="25"/>
  <c r="L91" i="13"/>
  <c r="M111" i="11"/>
  <c r="Q110" i="11"/>
  <c r="C91" i="23"/>
  <c r="G90" i="23"/>
  <c r="B90" i="17"/>
  <c r="C92" i="26"/>
  <c r="G91" i="26"/>
  <c r="M94" i="8"/>
  <c r="Q93" i="8"/>
  <c r="B91" i="21"/>
  <c r="C94" i="8"/>
  <c r="G93" i="8"/>
  <c r="B94" i="3"/>
  <c r="L91" i="21"/>
  <c r="M92" i="23"/>
  <c r="Q91" i="23"/>
  <c r="L91" i="11"/>
  <c r="B91" i="13"/>
  <c r="B92" i="15"/>
  <c r="B96" i="4"/>
  <c r="L92" i="17"/>
  <c r="B90" i="9"/>
  <c r="L92" i="8"/>
  <c r="B93" i="8"/>
  <c r="Q92" i="20"/>
  <c r="M93" i="20"/>
  <c r="C91" i="7"/>
  <c r="G90" i="7"/>
  <c r="Q89" i="17"/>
  <c r="M90" i="17"/>
  <c r="B91" i="26"/>
  <c r="C92" i="21"/>
  <c r="G91" i="21"/>
  <c r="L90" i="14"/>
  <c r="L92" i="15"/>
  <c r="C112" i="14"/>
  <c r="G111" i="14"/>
  <c r="G90" i="3"/>
  <c r="C91" i="3"/>
  <c r="B93" i="27"/>
  <c r="L91" i="9"/>
  <c r="M93" i="3"/>
  <c r="Q92" i="3"/>
  <c r="L91" i="7"/>
  <c r="L93" i="19"/>
  <c r="L91" i="23"/>
  <c r="M101" i="7"/>
  <c r="Q100" i="7"/>
  <c r="M100" i="9"/>
  <c r="Q99" i="9"/>
  <c r="L91" i="4"/>
  <c r="L99" i="5"/>
  <c r="B91" i="14"/>
  <c r="Q91" i="14"/>
  <c r="M92" i="14"/>
  <c r="L93" i="20"/>
  <c r="C93" i="20"/>
  <c r="G92" i="20"/>
  <c r="M90" i="27"/>
  <c r="Q89" i="27"/>
  <c r="B96" i="23"/>
  <c r="M105" i="24"/>
  <c r="Q104" i="24"/>
  <c r="C102" i="4"/>
  <c r="G101" i="4"/>
  <c r="C91" i="24"/>
  <c r="G90" i="24"/>
  <c r="Q103" i="5"/>
  <c r="M104" i="5"/>
  <c r="B92" i="11"/>
  <c r="M91" i="19"/>
  <c r="Q90" i="19"/>
  <c r="Q93" i="4"/>
  <c r="M94" i="4"/>
  <c r="B93" i="24"/>
  <c r="L90" i="27"/>
  <c r="L92" i="3"/>
  <c r="L92" i="26"/>
  <c r="C93" i="13"/>
  <c r="G92" i="13"/>
  <c r="L92" i="25"/>
  <c r="M97" i="21"/>
  <c r="Q96" i="21"/>
  <c r="B91" i="25"/>
  <c r="C103" i="4" l="1"/>
  <c r="G102" i="4"/>
  <c r="B92" i="14"/>
  <c r="G92" i="21"/>
  <c r="C93" i="21"/>
  <c r="L93" i="8"/>
  <c r="B92" i="13"/>
  <c r="C95" i="8"/>
  <c r="G94" i="8"/>
  <c r="L93" i="26"/>
  <c r="L92" i="23"/>
  <c r="L92" i="9"/>
  <c r="L92" i="11"/>
  <c r="Q92" i="13"/>
  <c r="M93" i="13"/>
  <c r="B94" i="27"/>
  <c r="B92" i="21"/>
  <c r="L100" i="5"/>
  <c r="B92" i="26"/>
  <c r="B91" i="9"/>
  <c r="M93" i="23"/>
  <c r="Q92" i="23"/>
  <c r="M91" i="27"/>
  <c r="Q90" i="27"/>
  <c r="L92" i="13"/>
  <c r="M92" i="25"/>
  <c r="Q91" i="25"/>
  <c r="C93" i="26"/>
  <c r="G92" i="26"/>
  <c r="C91" i="9"/>
  <c r="G90" i="9"/>
  <c r="B93" i="11"/>
  <c r="L92" i="4"/>
  <c r="C96" i="15"/>
  <c r="G95" i="15"/>
  <c r="B92" i="19"/>
  <c r="M105" i="5"/>
  <c r="Q104" i="5"/>
  <c r="C94" i="20"/>
  <c r="G93" i="20"/>
  <c r="B92" i="25"/>
  <c r="M106" i="24"/>
  <c r="Q105" i="24"/>
  <c r="L94" i="20"/>
  <c r="M101" i="9"/>
  <c r="Q100" i="9"/>
  <c r="L94" i="19"/>
  <c r="L93" i="17"/>
  <c r="C101" i="25"/>
  <c r="G100" i="25"/>
  <c r="B91" i="5"/>
  <c r="M92" i="19"/>
  <c r="Q91" i="19"/>
  <c r="C92" i="3"/>
  <c r="G91" i="3"/>
  <c r="M95" i="8"/>
  <c r="Q94" i="8"/>
  <c r="L92" i="21"/>
  <c r="B91" i="17"/>
  <c r="B93" i="20"/>
  <c r="M91" i="17"/>
  <c r="Q90" i="17"/>
  <c r="C113" i="14"/>
  <c r="G112" i="14"/>
  <c r="C92" i="7"/>
  <c r="G91" i="7"/>
  <c r="B97" i="4"/>
  <c r="L92" i="24"/>
  <c r="M93" i="15"/>
  <c r="Q92" i="15"/>
  <c r="M98" i="21"/>
  <c r="Q97" i="21"/>
  <c r="L91" i="27"/>
  <c r="C91" i="17"/>
  <c r="G90" i="17"/>
  <c r="G104" i="27"/>
  <c r="C105" i="27"/>
  <c r="C92" i="24"/>
  <c r="G91" i="24"/>
  <c r="L93" i="3"/>
  <c r="M93" i="14"/>
  <c r="Q92" i="14"/>
  <c r="B94" i="24"/>
  <c r="L92" i="7"/>
  <c r="Q93" i="20"/>
  <c r="M94" i="20"/>
  <c r="B97" i="23"/>
  <c r="Q101" i="7"/>
  <c r="M102" i="7"/>
  <c r="L93" i="15"/>
  <c r="B95" i="3"/>
  <c r="C92" i="23"/>
  <c r="G91" i="23"/>
  <c r="L93" i="25"/>
  <c r="L91" i="14"/>
  <c r="M92" i="26"/>
  <c r="Q91" i="26"/>
  <c r="C96" i="11"/>
  <c r="G95" i="11"/>
  <c r="C92" i="19"/>
  <c r="G91" i="19"/>
  <c r="Q94" i="4"/>
  <c r="M95" i="4"/>
  <c r="M94" i="3"/>
  <c r="Q93" i="3"/>
  <c r="B93" i="15"/>
  <c r="B92" i="7"/>
  <c r="G90" i="5"/>
  <c r="C91" i="5"/>
  <c r="C94" i="13"/>
  <c r="G93" i="13"/>
  <c r="B94" i="8"/>
  <c r="M112" i="11"/>
  <c r="Q111" i="11"/>
  <c r="B94" i="20" l="1"/>
  <c r="B92" i="5"/>
  <c r="M107" i="24"/>
  <c r="Q106" i="24"/>
  <c r="C95" i="20"/>
  <c r="G94" i="20"/>
  <c r="B93" i="13"/>
  <c r="M93" i="26"/>
  <c r="Q92" i="26"/>
  <c r="L92" i="27"/>
  <c r="Q94" i="20"/>
  <c r="M95" i="20"/>
  <c r="L93" i="24"/>
  <c r="G91" i="9"/>
  <c r="C92" i="9"/>
  <c r="L93" i="23"/>
  <c r="L94" i="8"/>
  <c r="B94" i="11"/>
  <c r="L92" i="14"/>
  <c r="C95" i="13"/>
  <c r="G94" i="13"/>
  <c r="Q98" i="21"/>
  <c r="M99" i="21"/>
  <c r="B92" i="17"/>
  <c r="C102" i="25"/>
  <c r="G101" i="25"/>
  <c r="B93" i="25"/>
  <c r="M106" i="5"/>
  <c r="Q105" i="5"/>
  <c r="M92" i="27"/>
  <c r="Q91" i="27"/>
  <c r="L94" i="25"/>
  <c r="Q95" i="4"/>
  <c r="M96" i="4"/>
  <c r="L93" i="7"/>
  <c r="C93" i="24"/>
  <c r="G92" i="24"/>
  <c r="B98" i="4"/>
  <c r="L94" i="17"/>
  <c r="C94" i="26"/>
  <c r="G93" i="26"/>
  <c r="L94" i="26"/>
  <c r="G93" i="21"/>
  <c r="C94" i="21"/>
  <c r="M95" i="3"/>
  <c r="Q94" i="3"/>
  <c r="L93" i="21"/>
  <c r="B93" i="19"/>
  <c r="B93" i="21"/>
  <c r="M113" i="11"/>
  <c r="Q112" i="11"/>
  <c r="B93" i="7"/>
  <c r="C93" i="23"/>
  <c r="G92" i="23"/>
  <c r="B95" i="24"/>
  <c r="C93" i="7"/>
  <c r="G92" i="7"/>
  <c r="M94" i="23"/>
  <c r="Q93" i="23"/>
  <c r="B95" i="27"/>
  <c r="B93" i="14"/>
  <c r="B94" i="15"/>
  <c r="G91" i="5"/>
  <c r="C92" i="5"/>
  <c r="C93" i="19"/>
  <c r="G92" i="19"/>
  <c r="B96" i="3"/>
  <c r="C106" i="27"/>
  <c r="G105" i="27"/>
  <c r="C97" i="15"/>
  <c r="G96" i="15"/>
  <c r="M103" i="7"/>
  <c r="Q102" i="7"/>
  <c r="B95" i="8"/>
  <c r="Q93" i="14"/>
  <c r="M94" i="14"/>
  <c r="C114" i="14"/>
  <c r="G113" i="14"/>
  <c r="M96" i="8"/>
  <c r="Q95" i="8"/>
  <c r="L95" i="19"/>
  <c r="L93" i="4"/>
  <c r="B98" i="23"/>
  <c r="C97" i="11"/>
  <c r="G96" i="11"/>
  <c r="L94" i="15"/>
  <c r="L94" i="3"/>
  <c r="Q93" i="13"/>
  <c r="M94" i="13"/>
  <c r="C92" i="17"/>
  <c r="G91" i="17"/>
  <c r="M93" i="19"/>
  <c r="Q92" i="19"/>
  <c r="C93" i="3"/>
  <c r="G92" i="3"/>
  <c r="M93" i="25"/>
  <c r="Q92" i="25"/>
  <c r="B92" i="9"/>
  <c r="M102" i="9"/>
  <c r="Q101" i="9"/>
  <c r="L93" i="11"/>
  <c r="G103" i="4"/>
  <c r="C104" i="4"/>
  <c r="M92" i="17"/>
  <c r="Q91" i="17"/>
  <c r="L95" i="20"/>
  <c r="L93" i="13"/>
  <c r="B93" i="26"/>
  <c r="Q93" i="15"/>
  <c r="M94" i="15"/>
  <c r="L101" i="5"/>
  <c r="L93" i="9"/>
  <c r="G95" i="8"/>
  <c r="C96" i="8"/>
  <c r="C95" i="26" l="1"/>
  <c r="G94" i="26"/>
  <c r="M95" i="15"/>
  <c r="Q94" i="15"/>
  <c r="B94" i="14"/>
  <c r="M97" i="8"/>
  <c r="Q96" i="8"/>
  <c r="C93" i="9"/>
  <c r="G92" i="9"/>
  <c r="C107" i="27"/>
  <c r="G106" i="27"/>
  <c r="C94" i="23"/>
  <c r="G93" i="23"/>
  <c r="L95" i="17"/>
  <c r="B94" i="26"/>
  <c r="C93" i="17"/>
  <c r="G92" i="17"/>
  <c r="L95" i="15"/>
  <c r="C97" i="8"/>
  <c r="G96" i="8"/>
  <c r="C98" i="11"/>
  <c r="G97" i="11"/>
  <c r="C115" i="14"/>
  <c r="G114" i="14"/>
  <c r="M104" i="7"/>
  <c r="Q103" i="7"/>
  <c r="B94" i="19"/>
  <c r="L95" i="3"/>
  <c r="B95" i="15"/>
  <c r="L95" i="25"/>
  <c r="C94" i="3"/>
  <c r="G93" i="3"/>
  <c r="B96" i="27"/>
  <c r="B99" i="4"/>
  <c r="L94" i="24"/>
  <c r="C98" i="15"/>
  <c r="G97" i="15"/>
  <c r="B94" i="7"/>
  <c r="L94" i="9"/>
  <c r="Q94" i="23"/>
  <c r="M95" i="23"/>
  <c r="C94" i="24"/>
  <c r="G93" i="24"/>
  <c r="Q106" i="5"/>
  <c r="M107" i="5"/>
  <c r="C96" i="13"/>
  <c r="G95" i="13"/>
  <c r="B93" i="9"/>
  <c r="M100" i="21"/>
  <c r="Q99" i="21"/>
  <c r="L94" i="11"/>
  <c r="M94" i="25"/>
  <c r="Q93" i="25"/>
  <c r="B97" i="3"/>
  <c r="L94" i="13"/>
  <c r="B99" i="23"/>
  <c r="L94" i="21"/>
  <c r="L102" i="5"/>
  <c r="L96" i="20"/>
  <c r="M103" i="9"/>
  <c r="Q102" i="9"/>
  <c r="C94" i="19"/>
  <c r="G93" i="19"/>
  <c r="B96" i="8"/>
  <c r="M96" i="3"/>
  <c r="Q95" i="3"/>
  <c r="L94" i="7"/>
  <c r="L93" i="14"/>
  <c r="Q95" i="20"/>
  <c r="M96" i="20"/>
  <c r="M93" i="27"/>
  <c r="Q92" i="27"/>
  <c r="M95" i="14"/>
  <c r="Q94" i="14"/>
  <c r="M95" i="13"/>
  <c r="Q94" i="13"/>
  <c r="G92" i="5"/>
  <c r="C93" i="5"/>
  <c r="Q113" i="11"/>
  <c r="M114" i="11"/>
  <c r="Q96" i="4"/>
  <c r="M97" i="4"/>
  <c r="B94" i="25"/>
  <c r="C96" i="20"/>
  <c r="G95" i="20"/>
  <c r="B95" i="11"/>
  <c r="Q92" i="17"/>
  <c r="M93" i="17"/>
  <c r="G94" i="21"/>
  <c r="C95" i="21"/>
  <c r="C103" i="25"/>
  <c r="G102" i="25"/>
  <c r="L93" i="27"/>
  <c r="M108" i="24"/>
  <c r="Q107" i="24"/>
  <c r="L95" i="8"/>
  <c r="L94" i="4"/>
  <c r="G104" i="4"/>
  <c r="C105" i="4"/>
  <c r="C94" i="7"/>
  <c r="G93" i="7"/>
  <c r="B94" i="21"/>
  <c r="L95" i="26"/>
  <c r="B93" i="17"/>
  <c r="M94" i="26"/>
  <c r="Q93" i="26"/>
  <c r="B93" i="5"/>
  <c r="B94" i="13"/>
  <c r="B95" i="20"/>
  <c r="L96" i="19"/>
  <c r="M94" i="19"/>
  <c r="Q93" i="19"/>
  <c r="B96" i="24"/>
  <c r="L94" i="23"/>
  <c r="C95" i="7" l="1"/>
  <c r="G94" i="7"/>
  <c r="B96" i="20"/>
  <c r="L97" i="20"/>
  <c r="B97" i="8"/>
  <c r="G97" i="8"/>
  <c r="C98" i="8"/>
  <c r="G107" i="27"/>
  <c r="C108" i="27"/>
  <c r="M98" i="8"/>
  <c r="Q97" i="8"/>
  <c r="Q97" i="4"/>
  <c r="M98" i="4"/>
  <c r="Q114" i="11"/>
  <c r="M115" i="11"/>
  <c r="B95" i="13"/>
  <c r="M94" i="27"/>
  <c r="Q93" i="27"/>
  <c r="C95" i="3"/>
  <c r="G94" i="3"/>
  <c r="L96" i="17"/>
  <c r="C97" i="20"/>
  <c r="G96" i="20"/>
  <c r="L95" i="13"/>
  <c r="G93" i="5"/>
  <c r="C94" i="5"/>
  <c r="L103" i="5"/>
  <c r="C99" i="15"/>
  <c r="G98" i="15"/>
  <c r="B95" i="19"/>
  <c r="L96" i="15"/>
  <c r="B95" i="14"/>
  <c r="C104" i="25"/>
  <c r="G103" i="25"/>
  <c r="M104" i="9"/>
  <c r="Q103" i="9"/>
  <c r="B97" i="27"/>
  <c r="L95" i="23"/>
  <c r="B94" i="5"/>
  <c r="C106" i="4"/>
  <c r="G105" i="4"/>
  <c r="Q93" i="17"/>
  <c r="M94" i="17"/>
  <c r="Q96" i="20"/>
  <c r="M97" i="20"/>
  <c r="L96" i="3"/>
  <c r="B95" i="21"/>
  <c r="M96" i="14"/>
  <c r="Q95" i="14"/>
  <c r="Q107" i="5"/>
  <c r="M108" i="5"/>
  <c r="L95" i="11"/>
  <c r="M105" i="7"/>
  <c r="Q104" i="7"/>
  <c r="L95" i="21"/>
  <c r="M96" i="23"/>
  <c r="Q95" i="23"/>
  <c r="L95" i="24"/>
  <c r="M96" i="15"/>
  <c r="Q95" i="15"/>
  <c r="L95" i="7"/>
  <c r="M95" i="25"/>
  <c r="Q94" i="25"/>
  <c r="G94" i="24"/>
  <c r="C95" i="24"/>
  <c r="C94" i="17"/>
  <c r="G93" i="17"/>
  <c r="B97" i="24"/>
  <c r="M95" i="26"/>
  <c r="Q94" i="26"/>
  <c r="M109" i="24"/>
  <c r="Q108" i="24"/>
  <c r="B96" i="11"/>
  <c r="L94" i="14"/>
  <c r="L96" i="25"/>
  <c r="C116" i="14"/>
  <c r="G115" i="14"/>
  <c r="B95" i="26"/>
  <c r="Q94" i="19"/>
  <c r="M95" i="19"/>
  <c r="C99" i="11"/>
  <c r="G98" i="11"/>
  <c r="L96" i="26"/>
  <c r="L94" i="27"/>
  <c r="B100" i="23"/>
  <c r="M101" i="21"/>
  <c r="Q100" i="21"/>
  <c r="B96" i="15"/>
  <c r="G93" i="9"/>
  <c r="C94" i="9"/>
  <c r="M96" i="13"/>
  <c r="Q95" i="13"/>
  <c r="C96" i="26"/>
  <c r="G95" i="26"/>
  <c r="B94" i="17"/>
  <c r="B94" i="9"/>
  <c r="L97" i="19"/>
  <c r="L95" i="4"/>
  <c r="C96" i="21"/>
  <c r="G95" i="21"/>
  <c r="M97" i="3"/>
  <c r="Q96" i="3"/>
  <c r="L95" i="9"/>
  <c r="G94" i="19"/>
  <c r="C95" i="19"/>
  <c r="B95" i="25"/>
  <c r="B98" i="3"/>
  <c r="B95" i="7"/>
  <c r="B100" i="4"/>
  <c r="C95" i="23"/>
  <c r="G94" i="23"/>
  <c r="L96" i="8"/>
  <c r="C97" i="13"/>
  <c r="G96" i="13"/>
  <c r="B96" i="7" l="1"/>
  <c r="L97" i="8"/>
  <c r="L97" i="3"/>
  <c r="M99" i="8"/>
  <c r="Q98" i="8"/>
  <c r="C107" i="4"/>
  <c r="G106" i="4"/>
  <c r="B96" i="14"/>
  <c r="L96" i="13"/>
  <c r="G108" i="27"/>
  <c r="C109" i="27"/>
  <c r="Q97" i="3"/>
  <c r="M98" i="3"/>
  <c r="M102" i="21"/>
  <c r="Q101" i="21"/>
  <c r="B96" i="26"/>
  <c r="Q109" i="24"/>
  <c r="M110" i="24"/>
  <c r="Q95" i="25"/>
  <c r="M96" i="25"/>
  <c r="L98" i="20"/>
  <c r="C96" i="19"/>
  <c r="G95" i="19"/>
  <c r="B95" i="5"/>
  <c r="L97" i="15"/>
  <c r="G98" i="8"/>
  <c r="C99" i="8"/>
  <c r="Q96" i="13"/>
  <c r="M97" i="13"/>
  <c r="C96" i="23"/>
  <c r="G95" i="23"/>
  <c r="G96" i="21"/>
  <c r="C97" i="21"/>
  <c r="B96" i="19"/>
  <c r="C98" i="20"/>
  <c r="G97" i="20"/>
  <c r="C117" i="14"/>
  <c r="G116" i="14"/>
  <c r="M106" i="7"/>
  <c r="Q105" i="7"/>
  <c r="L96" i="7"/>
  <c r="L96" i="11"/>
  <c r="B96" i="13"/>
  <c r="B97" i="20"/>
  <c r="B101" i="23"/>
  <c r="Q97" i="20"/>
  <c r="M98" i="20"/>
  <c r="L96" i="4"/>
  <c r="B101" i="4"/>
  <c r="L95" i="27"/>
  <c r="L97" i="25"/>
  <c r="M96" i="26"/>
  <c r="Q95" i="26"/>
  <c r="L96" i="23"/>
  <c r="L97" i="17"/>
  <c r="C100" i="15"/>
  <c r="G99" i="15"/>
  <c r="L98" i="19"/>
  <c r="B98" i="27"/>
  <c r="M116" i="11"/>
  <c r="Q115" i="11"/>
  <c r="B98" i="8"/>
  <c r="M97" i="15"/>
  <c r="Q96" i="15"/>
  <c r="C96" i="3"/>
  <c r="G95" i="3"/>
  <c r="C98" i="13"/>
  <c r="G97" i="13"/>
  <c r="B95" i="9"/>
  <c r="B98" i="24"/>
  <c r="M109" i="5"/>
  <c r="Q108" i="5"/>
  <c r="L104" i="5"/>
  <c r="C96" i="7"/>
  <c r="G95" i="7"/>
  <c r="B99" i="3"/>
  <c r="L97" i="26"/>
  <c r="L95" i="14"/>
  <c r="L96" i="24"/>
  <c r="M105" i="9"/>
  <c r="Q104" i="9"/>
  <c r="B95" i="17"/>
  <c r="C95" i="9"/>
  <c r="G94" i="9"/>
  <c r="C95" i="17"/>
  <c r="G94" i="17"/>
  <c r="C100" i="11"/>
  <c r="G99" i="11"/>
  <c r="C96" i="24"/>
  <c r="G95" i="24"/>
  <c r="Q96" i="14"/>
  <c r="M97" i="14"/>
  <c r="Q94" i="17"/>
  <c r="M95" i="17"/>
  <c r="G94" i="5"/>
  <c r="C95" i="5"/>
  <c r="Q98" i="4"/>
  <c r="M99" i="4"/>
  <c r="L96" i="9"/>
  <c r="C97" i="26"/>
  <c r="G96" i="26"/>
  <c r="Q95" i="19"/>
  <c r="M96" i="19"/>
  <c r="M97" i="23"/>
  <c r="Q96" i="23"/>
  <c r="Q94" i="27"/>
  <c r="M95" i="27"/>
  <c r="B96" i="25"/>
  <c r="B97" i="15"/>
  <c r="B97" i="11"/>
  <c r="L96" i="21"/>
  <c r="B96" i="21"/>
  <c r="C105" i="25"/>
  <c r="G104" i="25"/>
  <c r="B97" i="25" l="1"/>
  <c r="L105" i="5"/>
  <c r="B99" i="8"/>
  <c r="C118" i="14"/>
  <c r="G117" i="14"/>
  <c r="Q98" i="3"/>
  <c r="M99" i="3"/>
  <c r="M117" i="11"/>
  <c r="Q116" i="11"/>
  <c r="C101" i="15"/>
  <c r="G100" i="15"/>
  <c r="B98" i="20"/>
  <c r="L99" i="20"/>
  <c r="M100" i="8"/>
  <c r="Q99" i="8"/>
  <c r="Q97" i="15"/>
  <c r="M98" i="15"/>
  <c r="M97" i="19"/>
  <c r="Q96" i="19"/>
  <c r="B102" i="4"/>
  <c r="B97" i="13"/>
  <c r="M110" i="5"/>
  <c r="Q109" i="5"/>
  <c r="L97" i="24"/>
  <c r="G95" i="5"/>
  <c r="C96" i="5"/>
  <c r="B102" i="23"/>
  <c r="M98" i="23"/>
  <c r="Q97" i="23"/>
  <c r="M96" i="17"/>
  <c r="Q95" i="17"/>
  <c r="C98" i="26"/>
  <c r="G97" i="26"/>
  <c r="C110" i="27"/>
  <c r="G109" i="27"/>
  <c r="L98" i="3"/>
  <c r="B99" i="24"/>
  <c r="B99" i="27"/>
  <c r="L98" i="17"/>
  <c r="C106" i="25"/>
  <c r="G105" i="25"/>
  <c r="C96" i="9"/>
  <c r="G95" i="9"/>
  <c r="L97" i="4"/>
  <c r="C100" i="8"/>
  <c r="G99" i="8"/>
  <c r="L97" i="9"/>
  <c r="L96" i="14"/>
  <c r="C99" i="20"/>
  <c r="G98" i="20"/>
  <c r="Q96" i="25"/>
  <c r="M97" i="25"/>
  <c r="M106" i="9"/>
  <c r="Q105" i="9"/>
  <c r="M98" i="14"/>
  <c r="Q97" i="14"/>
  <c r="C96" i="17"/>
  <c r="G95" i="17"/>
  <c r="C97" i="24"/>
  <c r="G96" i="24"/>
  <c r="B97" i="21"/>
  <c r="M96" i="27"/>
  <c r="Q95" i="27"/>
  <c r="B96" i="17"/>
  <c r="L97" i="23"/>
  <c r="L97" i="11"/>
  <c r="B97" i="19"/>
  <c r="L97" i="21"/>
  <c r="L98" i="15"/>
  <c r="L97" i="7"/>
  <c r="L97" i="13"/>
  <c r="L98" i="8"/>
  <c r="Q110" i="24"/>
  <c r="M111" i="24"/>
  <c r="C101" i="11"/>
  <c r="G100" i="11"/>
  <c r="Q98" i="20"/>
  <c r="M99" i="20"/>
  <c r="G97" i="21"/>
  <c r="C98" i="21"/>
  <c r="B98" i="11"/>
  <c r="B96" i="5"/>
  <c r="L98" i="26"/>
  <c r="B96" i="9"/>
  <c r="Q99" i="4"/>
  <c r="M100" i="4"/>
  <c r="B100" i="3"/>
  <c r="L99" i="19"/>
  <c r="M97" i="26"/>
  <c r="Q96" i="26"/>
  <c r="B97" i="26"/>
  <c r="B97" i="14"/>
  <c r="C99" i="13"/>
  <c r="G98" i="13"/>
  <c r="C97" i="7"/>
  <c r="G96" i="7"/>
  <c r="C97" i="19"/>
  <c r="G96" i="19"/>
  <c r="B97" i="7"/>
  <c r="L98" i="25"/>
  <c r="M107" i="7"/>
  <c r="Q106" i="7"/>
  <c r="C97" i="23"/>
  <c r="G96" i="23"/>
  <c r="Q102" i="21"/>
  <c r="M103" i="21"/>
  <c r="C108" i="4"/>
  <c r="G107" i="4"/>
  <c r="B98" i="15"/>
  <c r="C97" i="3"/>
  <c r="G96" i="3"/>
  <c r="L96" i="27"/>
  <c r="Q97" i="13"/>
  <c r="M98" i="13"/>
  <c r="C98" i="24" l="1"/>
  <c r="G97" i="24"/>
  <c r="L99" i="3"/>
  <c r="Q97" i="25"/>
  <c r="M98" i="25"/>
  <c r="M98" i="19"/>
  <c r="Q97" i="19"/>
  <c r="Q117" i="11"/>
  <c r="M118" i="11"/>
  <c r="L98" i="11"/>
  <c r="C111" i="27"/>
  <c r="G110" i="27"/>
  <c r="M99" i="15"/>
  <c r="Q98" i="15"/>
  <c r="B99" i="11"/>
  <c r="L98" i="13"/>
  <c r="C97" i="9"/>
  <c r="G96" i="9"/>
  <c r="L98" i="24"/>
  <c r="C119" i="14"/>
  <c r="G118" i="14"/>
  <c r="C99" i="21"/>
  <c r="G98" i="21"/>
  <c r="C97" i="17"/>
  <c r="G96" i="17"/>
  <c r="C99" i="26"/>
  <c r="G98" i="26"/>
  <c r="M100" i="3"/>
  <c r="Q99" i="3"/>
  <c r="L99" i="8"/>
  <c r="B98" i="26"/>
  <c r="C98" i="23"/>
  <c r="G97" i="23"/>
  <c r="B97" i="9"/>
  <c r="Q99" i="20"/>
  <c r="M100" i="20"/>
  <c r="L98" i="23"/>
  <c r="L99" i="17"/>
  <c r="M111" i="5"/>
  <c r="Q110" i="5"/>
  <c r="M101" i="8"/>
  <c r="Q100" i="8"/>
  <c r="B101" i="3"/>
  <c r="M104" i="21"/>
  <c r="Q103" i="21"/>
  <c r="Q100" i="4"/>
  <c r="M101" i="4"/>
  <c r="M99" i="13"/>
  <c r="Q98" i="13"/>
  <c r="Q97" i="26"/>
  <c r="M98" i="26"/>
  <c r="Q98" i="14"/>
  <c r="M99" i="14"/>
  <c r="B100" i="8"/>
  <c r="C100" i="20"/>
  <c r="G99" i="20"/>
  <c r="C107" i="25"/>
  <c r="G106" i="25"/>
  <c r="L100" i="19"/>
  <c r="L99" i="26"/>
  <c r="L98" i="7"/>
  <c r="B100" i="27"/>
  <c r="M97" i="17"/>
  <c r="Q96" i="17"/>
  <c r="L97" i="27"/>
  <c r="M108" i="7"/>
  <c r="Q107" i="7"/>
  <c r="L97" i="14"/>
  <c r="L100" i="20"/>
  <c r="L106" i="5"/>
  <c r="G108" i="4"/>
  <c r="C109" i="4"/>
  <c r="B99" i="20"/>
  <c r="Q106" i="9"/>
  <c r="M107" i="9"/>
  <c r="Q98" i="23"/>
  <c r="M99" i="23"/>
  <c r="B103" i="23"/>
  <c r="L98" i="21"/>
  <c r="L99" i="15"/>
  <c r="B98" i="7"/>
  <c r="B98" i="13"/>
  <c r="M97" i="27"/>
  <c r="Q96" i="27"/>
  <c r="C98" i="7"/>
  <c r="G97" i="7"/>
  <c r="B98" i="14"/>
  <c r="B97" i="17"/>
  <c r="L99" i="25"/>
  <c r="L98" i="9"/>
  <c r="B100" i="24"/>
  <c r="C98" i="3"/>
  <c r="G97" i="3"/>
  <c r="G96" i="5"/>
  <c r="C97" i="5"/>
  <c r="B97" i="5"/>
  <c r="B98" i="19"/>
  <c r="B103" i="4"/>
  <c r="G97" i="19"/>
  <c r="C98" i="19"/>
  <c r="C102" i="11"/>
  <c r="G101" i="11"/>
  <c r="B98" i="21"/>
  <c r="G100" i="8"/>
  <c r="C101" i="8"/>
  <c r="B98" i="25"/>
  <c r="B99" i="15"/>
  <c r="C100" i="13"/>
  <c r="G99" i="13"/>
  <c r="M112" i="24"/>
  <c r="Q111" i="24"/>
  <c r="L98" i="4"/>
  <c r="C102" i="15"/>
  <c r="G101" i="15"/>
  <c r="B99" i="19" l="1"/>
  <c r="C101" i="13"/>
  <c r="G100" i="13"/>
  <c r="Q100" i="20"/>
  <c r="M101" i="20"/>
  <c r="Q98" i="25"/>
  <c r="M99" i="25"/>
  <c r="C99" i="7"/>
  <c r="G98" i="7"/>
  <c r="Q101" i="4"/>
  <c r="M102" i="4"/>
  <c r="C120" i="14"/>
  <c r="G119" i="14"/>
  <c r="L100" i="15"/>
  <c r="C101" i="20"/>
  <c r="G100" i="20"/>
  <c r="B98" i="9"/>
  <c r="M101" i="3"/>
  <c r="Q100" i="3"/>
  <c r="M100" i="15"/>
  <c r="Q99" i="15"/>
  <c r="L99" i="24"/>
  <c r="L98" i="14"/>
  <c r="B99" i="25"/>
  <c r="G111" i="27"/>
  <c r="C112" i="27"/>
  <c r="B102" i="3"/>
  <c r="M108" i="9"/>
  <c r="Q107" i="9"/>
  <c r="C99" i="3"/>
  <c r="G98" i="3"/>
  <c r="L99" i="7"/>
  <c r="B98" i="5"/>
  <c r="L99" i="21"/>
  <c r="B100" i="20"/>
  <c r="M105" i="21"/>
  <c r="Q104" i="21"/>
  <c r="B101" i="24"/>
  <c r="B101" i="8"/>
  <c r="M98" i="27"/>
  <c r="Q97" i="27"/>
  <c r="C99" i="23"/>
  <c r="G98" i="23"/>
  <c r="C100" i="26"/>
  <c r="G99" i="26"/>
  <c r="C99" i="19"/>
  <c r="G98" i="19"/>
  <c r="L99" i="9"/>
  <c r="B104" i="23"/>
  <c r="C110" i="4"/>
  <c r="G109" i="4"/>
  <c r="M109" i="7"/>
  <c r="Q108" i="7"/>
  <c r="L100" i="26"/>
  <c r="Q99" i="14"/>
  <c r="M100" i="14"/>
  <c r="G97" i="9"/>
  <c r="C98" i="9"/>
  <c r="L100" i="3"/>
  <c r="L101" i="19"/>
  <c r="M102" i="8"/>
  <c r="Q101" i="8"/>
  <c r="L99" i="13"/>
  <c r="L99" i="11"/>
  <c r="G98" i="24"/>
  <c r="C99" i="24"/>
  <c r="C103" i="15"/>
  <c r="G102" i="15"/>
  <c r="L99" i="4"/>
  <c r="L98" i="27"/>
  <c r="G101" i="8"/>
  <c r="C102" i="8"/>
  <c r="L107" i="5"/>
  <c r="C98" i="17"/>
  <c r="G97" i="17"/>
  <c r="B100" i="15"/>
  <c r="B104" i="4"/>
  <c r="M100" i="13"/>
  <c r="Q99" i="13"/>
  <c r="C103" i="11"/>
  <c r="G102" i="11"/>
  <c r="M99" i="26"/>
  <c r="Q98" i="26"/>
  <c r="C108" i="25"/>
  <c r="G107" i="25"/>
  <c r="L100" i="25"/>
  <c r="M100" i="23"/>
  <c r="Q99" i="23"/>
  <c r="M112" i="5"/>
  <c r="Q111" i="5"/>
  <c r="L101" i="20"/>
  <c r="L100" i="17"/>
  <c r="M119" i="11"/>
  <c r="Q118" i="11"/>
  <c r="M113" i="24"/>
  <c r="Q112" i="24"/>
  <c r="G97" i="5"/>
  <c r="C98" i="5"/>
  <c r="B98" i="17"/>
  <c r="M98" i="17"/>
  <c r="Q97" i="17"/>
  <c r="B99" i="26"/>
  <c r="B99" i="13"/>
  <c r="B100" i="11"/>
  <c r="B99" i="21"/>
  <c r="B99" i="14"/>
  <c r="B99" i="7"/>
  <c r="B101" i="27"/>
  <c r="L99" i="23"/>
  <c r="L100" i="8"/>
  <c r="C100" i="21"/>
  <c r="G99" i="21"/>
  <c r="M99" i="19"/>
  <c r="Q98" i="19"/>
  <c r="B105" i="23" l="1"/>
  <c r="C100" i="23"/>
  <c r="G99" i="23"/>
  <c r="B99" i="5"/>
  <c r="G112" i="27"/>
  <c r="C113" i="27"/>
  <c r="B100" i="7"/>
  <c r="B102" i="8"/>
  <c r="M101" i="15"/>
  <c r="Q100" i="15"/>
  <c r="Q99" i="19"/>
  <c r="M100" i="19"/>
  <c r="L102" i="19"/>
  <c r="M102" i="3"/>
  <c r="Q101" i="3"/>
  <c r="M113" i="5"/>
  <c r="Q112" i="5"/>
  <c r="C104" i="11"/>
  <c r="G103" i="11"/>
  <c r="B101" i="15"/>
  <c r="C100" i="3"/>
  <c r="G99" i="3"/>
  <c r="C121" i="14"/>
  <c r="G120" i="14"/>
  <c r="B99" i="9"/>
  <c r="L101" i="26"/>
  <c r="M120" i="11"/>
  <c r="Q119" i="11"/>
  <c r="Q100" i="13"/>
  <c r="M101" i="13"/>
  <c r="L101" i="3"/>
  <c r="C100" i="19"/>
  <c r="G99" i="19"/>
  <c r="B102" i="24"/>
  <c r="Q102" i="4"/>
  <c r="M103" i="4"/>
  <c r="B99" i="17"/>
  <c r="G98" i="5"/>
  <c r="C99" i="5"/>
  <c r="C109" i="25"/>
  <c r="G108" i="25"/>
  <c r="L100" i="4"/>
  <c r="B100" i="21"/>
  <c r="M101" i="23"/>
  <c r="Q100" i="23"/>
  <c r="M109" i="9"/>
  <c r="Q108" i="9"/>
  <c r="B100" i="25"/>
  <c r="C102" i="13"/>
  <c r="G101" i="13"/>
  <c r="M100" i="26"/>
  <c r="Q99" i="26"/>
  <c r="L100" i="7"/>
  <c r="C101" i="21"/>
  <c r="G100" i="21"/>
  <c r="L101" i="8"/>
  <c r="B105" i="4"/>
  <c r="L108" i="5"/>
  <c r="C100" i="24"/>
  <c r="G99" i="24"/>
  <c r="G98" i="9"/>
  <c r="C99" i="9"/>
  <c r="M106" i="21"/>
  <c r="Q105" i="21"/>
  <c r="L99" i="14"/>
  <c r="C102" i="20"/>
  <c r="G101" i="20"/>
  <c r="C104" i="15"/>
  <c r="G103" i="15"/>
  <c r="C99" i="17"/>
  <c r="G98" i="17"/>
  <c r="L100" i="23"/>
  <c r="B101" i="11"/>
  <c r="B100" i="26"/>
  <c r="L102" i="20"/>
  <c r="M103" i="8"/>
  <c r="Q102" i="8"/>
  <c r="M99" i="27"/>
  <c r="Q98" i="27"/>
  <c r="B100" i="13"/>
  <c r="L99" i="27"/>
  <c r="M114" i="24"/>
  <c r="Q113" i="24"/>
  <c r="L101" i="17"/>
  <c r="L100" i="11"/>
  <c r="C100" i="7"/>
  <c r="G99" i="7"/>
  <c r="B100" i="19"/>
  <c r="B100" i="14"/>
  <c r="L100" i="9"/>
  <c r="M99" i="17"/>
  <c r="Q98" i="17"/>
  <c r="M110" i="7"/>
  <c r="Q109" i="7"/>
  <c r="B101" i="20"/>
  <c r="M100" i="25"/>
  <c r="Q99" i="25"/>
  <c r="C101" i="26"/>
  <c r="G100" i="26"/>
  <c r="B103" i="3"/>
  <c r="L100" i="24"/>
  <c r="C103" i="8"/>
  <c r="G102" i="8"/>
  <c r="B102" i="27"/>
  <c r="L101" i="25"/>
  <c r="L100" i="13"/>
  <c r="M101" i="14"/>
  <c r="Q100" i="14"/>
  <c r="C111" i="4"/>
  <c r="G110" i="4"/>
  <c r="L100" i="21"/>
  <c r="L101" i="15"/>
  <c r="Q101" i="20"/>
  <c r="M102" i="20"/>
  <c r="B101" i="19" l="1"/>
  <c r="B102" i="11"/>
  <c r="B103" i="24"/>
  <c r="M101" i="19"/>
  <c r="Q100" i="19"/>
  <c r="C101" i="7"/>
  <c r="G100" i="7"/>
  <c r="M102" i="23"/>
  <c r="Q101" i="23"/>
  <c r="C101" i="19"/>
  <c r="G100" i="19"/>
  <c r="B102" i="15"/>
  <c r="L102" i="3"/>
  <c r="C105" i="11"/>
  <c r="G104" i="11"/>
  <c r="M102" i="15"/>
  <c r="Q101" i="15"/>
  <c r="C114" i="27"/>
  <c r="G113" i="27"/>
  <c r="Q99" i="17"/>
  <c r="M100" i="17"/>
  <c r="C100" i="17"/>
  <c r="G99" i="17"/>
  <c r="C101" i="24"/>
  <c r="G100" i="24"/>
  <c r="C110" i="25"/>
  <c r="G109" i="25"/>
  <c r="M102" i="13"/>
  <c r="Q101" i="13"/>
  <c r="B100" i="9"/>
  <c r="M114" i="5"/>
  <c r="Q113" i="5"/>
  <c r="G99" i="9"/>
  <c r="C100" i="9"/>
  <c r="L100" i="27"/>
  <c r="L102" i="15"/>
  <c r="B101" i="13"/>
  <c r="B103" i="27"/>
  <c r="M101" i="26"/>
  <c r="Q100" i="26"/>
  <c r="C102" i="21"/>
  <c r="G101" i="21"/>
  <c r="L101" i="7"/>
  <c r="L102" i="25"/>
  <c r="C102" i="26"/>
  <c r="G101" i="26"/>
  <c r="C105" i="15"/>
  <c r="G104" i="15"/>
  <c r="G99" i="5"/>
  <c r="C100" i="5"/>
  <c r="B103" i="8"/>
  <c r="B100" i="5"/>
  <c r="L101" i="21"/>
  <c r="Q100" i="25"/>
  <c r="M101" i="25"/>
  <c r="L101" i="11"/>
  <c r="L109" i="5"/>
  <c r="B101" i="21"/>
  <c r="Q99" i="27"/>
  <c r="M100" i="27"/>
  <c r="C103" i="13"/>
  <c r="G102" i="13"/>
  <c r="Q102" i="3"/>
  <c r="M103" i="3"/>
  <c r="C101" i="23"/>
  <c r="G100" i="23"/>
  <c r="C103" i="20"/>
  <c r="G102" i="20"/>
  <c r="L101" i="4"/>
  <c r="B100" i="17"/>
  <c r="M121" i="11"/>
  <c r="Q120" i="11"/>
  <c r="B101" i="7"/>
  <c r="B106" i="23"/>
  <c r="L103" i="20"/>
  <c r="Q103" i="4"/>
  <c r="M104" i="4"/>
  <c r="M115" i="24"/>
  <c r="Q114" i="24"/>
  <c r="B104" i="3"/>
  <c r="L101" i="9"/>
  <c r="M104" i="8"/>
  <c r="Q103" i="8"/>
  <c r="C104" i="8"/>
  <c r="G103" i="8"/>
  <c r="L100" i="14"/>
  <c r="L101" i="23"/>
  <c r="Q102" i="20"/>
  <c r="M103" i="20"/>
  <c r="B102" i="20"/>
  <c r="L102" i="17"/>
  <c r="C112" i="4"/>
  <c r="G111" i="4"/>
  <c r="L101" i="24"/>
  <c r="M111" i="7"/>
  <c r="Q110" i="7"/>
  <c r="B106" i="4"/>
  <c r="B101" i="25"/>
  <c r="C122" i="14"/>
  <c r="G121" i="14"/>
  <c r="Q101" i="14"/>
  <c r="M102" i="14"/>
  <c r="B101" i="14"/>
  <c r="Q106" i="21"/>
  <c r="M107" i="21"/>
  <c r="L102" i="8"/>
  <c r="L102" i="26"/>
  <c r="L101" i="13"/>
  <c r="B101" i="26"/>
  <c r="M110" i="9"/>
  <c r="Q109" i="9"/>
  <c r="G100" i="3"/>
  <c r="C101" i="3"/>
  <c r="L103" i="19"/>
  <c r="L102" i="11" l="1"/>
  <c r="G102" i="26"/>
  <c r="C103" i="26"/>
  <c r="C115" i="27"/>
  <c r="G114" i="27"/>
  <c r="L102" i="4"/>
  <c r="C111" i="25"/>
  <c r="G110" i="25"/>
  <c r="M103" i="14"/>
  <c r="Q102" i="14"/>
  <c r="M102" i="25"/>
  <c r="Q101" i="25"/>
  <c r="M102" i="26"/>
  <c r="Q101" i="26"/>
  <c r="L101" i="27"/>
  <c r="M103" i="15"/>
  <c r="Q102" i="15"/>
  <c r="B104" i="24"/>
  <c r="Q103" i="20"/>
  <c r="M104" i="20"/>
  <c r="M112" i="7"/>
  <c r="Q111" i="7"/>
  <c r="L103" i="25"/>
  <c r="L102" i="23"/>
  <c r="B103" i="15"/>
  <c r="B107" i="23"/>
  <c r="G100" i="9"/>
  <c r="C101" i="9"/>
  <c r="C102" i="24"/>
  <c r="G101" i="24"/>
  <c r="C106" i="11"/>
  <c r="G105" i="11"/>
  <c r="L103" i="26"/>
  <c r="L104" i="20"/>
  <c r="B101" i="5"/>
  <c r="M111" i="9"/>
  <c r="Q110" i="9"/>
  <c r="B104" i="27"/>
  <c r="C102" i="19"/>
  <c r="G101" i="19"/>
  <c r="C123" i="14"/>
  <c r="G122" i="14"/>
  <c r="B105" i="3"/>
  <c r="B102" i="21"/>
  <c r="B104" i="8"/>
  <c r="L102" i="7"/>
  <c r="B103" i="11"/>
  <c r="L101" i="14"/>
  <c r="B102" i="7"/>
  <c r="B102" i="13"/>
  <c r="Q102" i="23"/>
  <c r="M103" i="23"/>
  <c r="B102" i="26"/>
  <c r="L103" i="8"/>
  <c r="B102" i="25"/>
  <c r="C104" i="13"/>
  <c r="G103" i="13"/>
  <c r="L103" i="15"/>
  <c r="M104" i="3"/>
  <c r="Q103" i="3"/>
  <c r="C102" i="7"/>
  <c r="G101" i="7"/>
  <c r="B102" i="19"/>
  <c r="B102" i="14"/>
  <c r="M105" i="8"/>
  <c r="Q104" i="8"/>
  <c r="L102" i="9"/>
  <c r="C101" i="5"/>
  <c r="G100" i="5"/>
  <c r="L102" i="24"/>
  <c r="C104" i="20"/>
  <c r="G103" i="20"/>
  <c r="C102" i="3"/>
  <c r="G101" i="3"/>
  <c r="L110" i="5"/>
  <c r="M115" i="5"/>
  <c r="Q114" i="5"/>
  <c r="L103" i="17"/>
  <c r="C113" i="4"/>
  <c r="G112" i="4"/>
  <c r="L102" i="13"/>
  <c r="L104" i="19"/>
  <c r="C102" i="23"/>
  <c r="G101" i="23"/>
  <c r="L102" i="21"/>
  <c r="M108" i="21"/>
  <c r="Q107" i="21"/>
  <c r="B107" i="4"/>
  <c r="C101" i="17"/>
  <c r="G100" i="17"/>
  <c r="L103" i="3"/>
  <c r="M122" i="11"/>
  <c r="Q121" i="11"/>
  <c r="C103" i="21"/>
  <c r="G102" i="21"/>
  <c r="B101" i="9"/>
  <c r="Q100" i="17"/>
  <c r="M101" i="17"/>
  <c r="M102" i="19"/>
  <c r="Q101" i="19"/>
  <c r="C105" i="8"/>
  <c r="G104" i="8"/>
  <c r="M116" i="24"/>
  <c r="Q115" i="24"/>
  <c r="M101" i="27"/>
  <c r="Q100" i="27"/>
  <c r="C106" i="15"/>
  <c r="G105" i="15"/>
  <c r="B103" i="20"/>
  <c r="Q104" i="4"/>
  <c r="M105" i="4"/>
  <c r="B101" i="17"/>
  <c r="Q102" i="13"/>
  <c r="M103" i="13"/>
  <c r="B102" i="5" l="1"/>
  <c r="L104" i="26"/>
  <c r="C107" i="11"/>
  <c r="G106" i="11"/>
  <c r="M104" i="14"/>
  <c r="Q103" i="14"/>
  <c r="C105" i="20"/>
  <c r="G104" i="20"/>
  <c r="M104" i="23"/>
  <c r="Q103" i="23"/>
  <c r="L104" i="15"/>
  <c r="C103" i="24"/>
  <c r="G102" i="24"/>
  <c r="M113" i="7"/>
  <c r="Q112" i="7"/>
  <c r="C114" i="4"/>
  <c r="G113" i="4"/>
  <c r="B103" i="19"/>
  <c r="G101" i="9"/>
  <c r="C102" i="9"/>
  <c r="Q104" i="20"/>
  <c r="M105" i="20"/>
  <c r="C112" i="25"/>
  <c r="G111" i="25"/>
  <c r="L105" i="20"/>
  <c r="L103" i="7"/>
  <c r="M109" i="21"/>
  <c r="Q108" i="21"/>
  <c r="M103" i="19"/>
  <c r="Q102" i="19"/>
  <c r="L103" i="21"/>
  <c r="L104" i="17"/>
  <c r="C105" i="13"/>
  <c r="G104" i="13"/>
  <c r="C102" i="5"/>
  <c r="G101" i="5"/>
  <c r="C103" i="7"/>
  <c r="G102" i="7"/>
  <c r="B103" i="13"/>
  <c r="G102" i="19"/>
  <c r="C103" i="19"/>
  <c r="B105" i="24"/>
  <c r="Q122" i="11"/>
  <c r="M123" i="11"/>
  <c r="C124" i="14"/>
  <c r="G123" i="14"/>
  <c r="Q101" i="17"/>
  <c r="M102" i="17"/>
  <c r="M104" i="13"/>
  <c r="Q103" i="13"/>
  <c r="C107" i="15"/>
  <c r="G106" i="15"/>
  <c r="B102" i="9"/>
  <c r="L104" i="3"/>
  <c r="L103" i="4"/>
  <c r="C103" i="23"/>
  <c r="G102" i="23"/>
  <c r="M116" i="5"/>
  <c r="Q115" i="5"/>
  <c r="B105" i="8"/>
  <c r="B108" i="23"/>
  <c r="M104" i="15"/>
  <c r="Q103" i="15"/>
  <c r="M102" i="27"/>
  <c r="Q101" i="27"/>
  <c r="B103" i="7"/>
  <c r="L102" i="27"/>
  <c r="C102" i="17"/>
  <c r="G101" i="17"/>
  <c r="L105" i="19"/>
  <c r="B103" i="25"/>
  <c r="B103" i="21"/>
  <c r="G115" i="27"/>
  <c r="C116" i="27"/>
  <c r="B108" i="4"/>
  <c r="M117" i="24"/>
  <c r="Q116" i="24"/>
  <c r="C104" i="21"/>
  <c r="G103" i="21"/>
  <c r="B104" i="15"/>
  <c r="L104" i="8"/>
  <c r="B105" i="27"/>
  <c r="B102" i="17"/>
  <c r="Q105" i="4"/>
  <c r="M106" i="4"/>
  <c r="L103" i="24"/>
  <c r="L103" i="9"/>
  <c r="L102" i="14"/>
  <c r="B103" i="14"/>
  <c r="L111" i="5"/>
  <c r="M103" i="26"/>
  <c r="Q102" i="26"/>
  <c r="C104" i="26"/>
  <c r="G103" i="26"/>
  <c r="B104" i="20"/>
  <c r="C106" i="8"/>
  <c r="G105" i="8"/>
  <c r="Q104" i="3"/>
  <c r="M105" i="3"/>
  <c r="B106" i="3"/>
  <c r="Q111" i="9"/>
  <c r="M112" i="9"/>
  <c r="L103" i="23"/>
  <c r="L103" i="13"/>
  <c r="C103" i="3"/>
  <c r="G102" i="3"/>
  <c r="M106" i="8"/>
  <c r="Q105" i="8"/>
  <c r="B103" i="26"/>
  <c r="B104" i="11"/>
  <c r="Q102" i="25"/>
  <c r="M103" i="25"/>
  <c r="L104" i="25"/>
  <c r="L103" i="11"/>
  <c r="C105" i="21" l="1"/>
  <c r="G104" i="21"/>
  <c r="B106" i="8"/>
  <c r="G103" i="19"/>
  <c r="C104" i="19"/>
  <c r="B104" i="19"/>
  <c r="L106" i="19"/>
  <c r="L106" i="20"/>
  <c r="Q104" i="23"/>
  <c r="M105" i="23"/>
  <c r="L105" i="8"/>
  <c r="C108" i="15"/>
  <c r="G107" i="15"/>
  <c r="B104" i="13"/>
  <c r="M104" i="19"/>
  <c r="Q103" i="19"/>
  <c r="C115" i="4"/>
  <c r="G114" i="4"/>
  <c r="B103" i="9"/>
  <c r="G106" i="8"/>
  <c r="C107" i="8"/>
  <c r="B106" i="27"/>
  <c r="C125" i="14"/>
  <c r="G124" i="14"/>
  <c r="G105" i="20"/>
  <c r="C106" i="20"/>
  <c r="M118" i="24"/>
  <c r="Q117" i="24"/>
  <c r="L104" i="11"/>
  <c r="B105" i="20"/>
  <c r="L104" i="9"/>
  <c r="M117" i="5"/>
  <c r="Q116" i="5"/>
  <c r="L103" i="14"/>
  <c r="C103" i="17"/>
  <c r="G102" i="17"/>
  <c r="Q104" i="14"/>
  <c r="M105" i="14"/>
  <c r="L105" i="25"/>
  <c r="B105" i="11"/>
  <c r="L104" i="23"/>
  <c r="B109" i="4"/>
  <c r="M113" i="9"/>
  <c r="Q112" i="9"/>
  <c r="C105" i="26"/>
  <c r="G104" i="26"/>
  <c r="L104" i="24"/>
  <c r="C117" i="27"/>
  <c r="G116" i="27"/>
  <c r="Q102" i="27"/>
  <c r="M103" i="27"/>
  <c r="M124" i="11"/>
  <c r="Q123" i="11"/>
  <c r="C104" i="7"/>
  <c r="G103" i="7"/>
  <c r="M110" i="21"/>
  <c r="Q109" i="21"/>
  <c r="C104" i="23"/>
  <c r="G103" i="23"/>
  <c r="M105" i="13"/>
  <c r="Q104" i="13"/>
  <c r="M114" i="7"/>
  <c r="Q113" i="7"/>
  <c r="C103" i="5"/>
  <c r="G102" i="5"/>
  <c r="C108" i="11"/>
  <c r="G107" i="11"/>
  <c r="B104" i="14"/>
  <c r="M104" i="26"/>
  <c r="Q103" i="26"/>
  <c r="C104" i="24"/>
  <c r="G103" i="24"/>
  <c r="L103" i="27"/>
  <c r="L104" i="4"/>
  <c r="B106" i="24"/>
  <c r="L105" i="15"/>
  <c r="L105" i="26"/>
  <c r="B107" i="3"/>
  <c r="B109" i="23"/>
  <c r="C113" i="25"/>
  <c r="G112" i="25"/>
  <c r="M107" i="8"/>
  <c r="Q106" i="8"/>
  <c r="B105" i="15"/>
  <c r="B104" i="26"/>
  <c r="M105" i="15"/>
  <c r="Q104" i="15"/>
  <c r="Q105" i="3"/>
  <c r="M106" i="3"/>
  <c r="B104" i="25"/>
  <c r="B104" i="21"/>
  <c r="Q106" i="4"/>
  <c r="M107" i="4"/>
  <c r="M104" i="25"/>
  <c r="Q103" i="25"/>
  <c r="Q105" i="20"/>
  <c r="M106" i="20"/>
  <c r="M103" i="17"/>
  <c r="Q102" i="17"/>
  <c r="C106" i="13"/>
  <c r="G105" i="13"/>
  <c r="L104" i="7"/>
  <c r="B103" i="5"/>
  <c r="G103" i="3"/>
  <c r="C104" i="3"/>
  <c r="L105" i="17"/>
  <c r="G102" i="9"/>
  <c r="C103" i="9"/>
  <c r="B103" i="17"/>
  <c r="B104" i="7"/>
  <c r="L104" i="13"/>
  <c r="L112" i="5"/>
  <c r="L105" i="3"/>
  <c r="L104" i="21"/>
  <c r="L105" i="13" l="1"/>
  <c r="B104" i="17"/>
  <c r="L104" i="27"/>
  <c r="C104" i="5"/>
  <c r="G103" i="5"/>
  <c r="G117" i="27"/>
  <c r="C118" i="27"/>
  <c r="L105" i="23"/>
  <c r="L104" i="14"/>
  <c r="L106" i="17"/>
  <c r="Q107" i="4"/>
  <c r="M108" i="4"/>
  <c r="C105" i="24"/>
  <c r="G104" i="24"/>
  <c r="M106" i="14"/>
  <c r="Q105" i="14"/>
  <c r="L106" i="15"/>
  <c r="B104" i="5"/>
  <c r="L105" i="24"/>
  <c r="C126" i="14"/>
  <c r="G125" i="14"/>
  <c r="C105" i="19"/>
  <c r="G104" i="19"/>
  <c r="L105" i="21"/>
  <c r="Q114" i="7"/>
  <c r="M115" i="7"/>
  <c r="C104" i="9"/>
  <c r="G103" i="9"/>
  <c r="M105" i="25"/>
  <c r="Q104" i="25"/>
  <c r="B106" i="11"/>
  <c r="Q104" i="19"/>
  <c r="M105" i="19"/>
  <c r="B107" i="8"/>
  <c r="B105" i="13"/>
  <c r="B105" i="26"/>
  <c r="L105" i="7"/>
  <c r="G105" i="26"/>
  <c r="C106" i="26"/>
  <c r="B108" i="3"/>
  <c r="B107" i="27"/>
  <c r="M111" i="21"/>
  <c r="Q110" i="21"/>
  <c r="B106" i="20"/>
  <c r="G107" i="8"/>
  <c r="C108" i="8"/>
  <c r="C109" i="15"/>
  <c r="G108" i="15"/>
  <c r="L107" i="20"/>
  <c r="L106" i="3"/>
  <c r="M104" i="17"/>
  <c r="Q103" i="17"/>
  <c r="B105" i="21"/>
  <c r="L106" i="26"/>
  <c r="M105" i="26"/>
  <c r="Q104" i="26"/>
  <c r="B105" i="7"/>
  <c r="B106" i="15"/>
  <c r="Q105" i="13"/>
  <c r="M106" i="13"/>
  <c r="C105" i="7"/>
  <c r="G104" i="7"/>
  <c r="M118" i="5"/>
  <c r="Q117" i="5"/>
  <c r="M114" i="9"/>
  <c r="Q113" i="9"/>
  <c r="L105" i="11"/>
  <c r="B105" i="14"/>
  <c r="B105" i="25"/>
  <c r="M108" i="8"/>
  <c r="Q107" i="8"/>
  <c r="C105" i="23"/>
  <c r="G104" i="23"/>
  <c r="M125" i="11"/>
  <c r="Q124" i="11"/>
  <c r="B104" i="9"/>
  <c r="L107" i="19"/>
  <c r="Q106" i="3"/>
  <c r="M107" i="3"/>
  <c r="B107" i="24"/>
  <c r="C109" i="11"/>
  <c r="G108" i="11"/>
  <c r="M119" i="24"/>
  <c r="Q118" i="24"/>
  <c r="L106" i="8"/>
  <c r="C107" i="13"/>
  <c r="G106" i="13"/>
  <c r="L105" i="9"/>
  <c r="C104" i="17"/>
  <c r="G103" i="17"/>
  <c r="C107" i="20"/>
  <c r="G106" i="20"/>
  <c r="C106" i="21"/>
  <c r="G105" i="21"/>
  <c r="B110" i="23"/>
  <c r="M104" i="27"/>
  <c r="Q103" i="27"/>
  <c r="C105" i="3"/>
  <c r="G104" i="3"/>
  <c r="L105" i="4"/>
  <c r="C116" i="4"/>
  <c r="G115" i="4"/>
  <c r="L106" i="25"/>
  <c r="B110" i="4"/>
  <c r="M106" i="23"/>
  <c r="Q105" i="23"/>
  <c r="L113" i="5"/>
  <c r="Q106" i="20"/>
  <c r="M107" i="20"/>
  <c r="M106" i="15"/>
  <c r="Q105" i="15"/>
  <c r="C114" i="25"/>
  <c r="G113" i="25"/>
  <c r="B105" i="19"/>
  <c r="Q107" i="3" l="1"/>
  <c r="M108" i="3"/>
  <c r="M120" i="24"/>
  <c r="Q119" i="24"/>
  <c r="L107" i="25"/>
  <c r="C106" i="3"/>
  <c r="G105" i="3"/>
  <c r="B106" i="14"/>
  <c r="Q106" i="13"/>
  <c r="M107" i="13"/>
  <c r="M112" i="21"/>
  <c r="Q111" i="21"/>
  <c r="L106" i="23"/>
  <c r="B106" i="26"/>
  <c r="Q106" i="14"/>
  <c r="M107" i="14"/>
  <c r="C119" i="27"/>
  <c r="G118" i="27"/>
  <c r="B107" i="15"/>
  <c r="B106" i="13"/>
  <c r="M106" i="25"/>
  <c r="Q105" i="25"/>
  <c r="C106" i="24"/>
  <c r="G105" i="24"/>
  <c r="B106" i="19"/>
  <c r="Q125" i="11"/>
  <c r="M126" i="11"/>
  <c r="Q105" i="26"/>
  <c r="M106" i="26"/>
  <c r="B106" i="7"/>
  <c r="B108" i="27"/>
  <c r="G104" i="9"/>
  <c r="C105" i="9"/>
  <c r="Q108" i="4"/>
  <c r="M109" i="4"/>
  <c r="C105" i="5"/>
  <c r="G104" i="5"/>
  <c r="M107" i="23"/>
  <c r="Q106" i="23"/>
  <c r="L105" i="27"/>
  <c r="M116" i="7"/>
  <c r="Q115" i="7"/>
  <c r="C108" i="13"/>
  <c r="G107" i="13"/>
  <c r="B111" i="23"/>
  <c r="C106" i="23"/>
  <c r="G105" i="23"/>
  <c r="Q114" i="9"/>
  <c r="M115" i="9"/>
  <c r="L107" i="26"/>
  <c r="L108" i="20"/>
  <c r="B111" i="4"/>
  <c r="L107" i="8"/>
  <c r="L107" i="17"/>
  <c r="L106" i="11"/>
  <c r="B109" i="3"/>
  <c r="B106" i="21"/>
  <c r="B108" i="8"/>
  <c r="C117" i="4"/>
  <c r="G116" i="4"/>
  <c r="G106" i="21"/>
  <c r="C107" i="21"/>
  <c r="L108" i="19"/>
  <c r="M109" i="8"/>
  <c r="Q108" i="8"/>
  <c r="C110" i="15"/>
  <c r="G109" i="15"/>
  <c r="C107" i="26"/>
  <c r="G106" i="26"/>
  <c r="B105" i="5"/>
  <c r="M105" i="27"/>
  <c r="Q104" i="27"/>
  <c r="C115" i="25"/>
  <c r="G114" i="25"/>
  <c r="M105" i="17"/>
  <c r="Q104" i="17"/>
  <c r="Q118" i="5"/>
  <c r="M119" i="5"/>
  <c r="G108" i="8"/>
  <c r="C109" i="8"/>
  <c r="L106" i="21"/>
  <c r="Q106" i="15"/>
  <c r="M107" i="15"/>
  <c r="M106" i="19"/>
  <c r="Q105" i="19"/>
  <c r="B105" i="17"/>
  <c r="L106" i="4"/>
  <c r="L106" i="7"/>
  <c r="C106" i="19"/>
  <c r="G105" i="19"/>
  <c r="L107" i="15"/>
  <c r="C108" i="20"/>
  <c r="G107" i="20"/>
  <c r="B107" i="20"/>
  <c r="Q107" i="20"/>
  <c r="M108" i="20"/>
  <c r="B105" i="9"/>
  <c r="B106" i="25"/>
  <c r="C110" i="11"/>
  <c r="G109" i="11"/>
  <c r="C105" i="17"/>
  <c r="G104" i="17"/>
  <c r="B108" i="24"/>
  <c r="L107" i="3"/>
  <c r="B107" i="11"/>
  <c r="L105" i="14"/>
  <c r="L106" i="13"/>
  <c r="C127" i="14"/>
  <c r="G126" i="14"/>
  <c r="L114" i="5"/>
  <c r="L106" i="9"/>
  <c r="C106" i="7"/>
  <c r="G105" i="7"/>
  <c r="L106" i="24"/>
  <c r="L109" i="19" l="1"/>
  <c r="M108" i="23"/>
  <c r="Q107" i="23"/>
  <c r="B107" i="7"/>
  <c r="B107" i="14"/>
  <c r="M108" i="15"/>
  <c r="Q107" i="15"/>
  <c r="C108" i="21"/>
  <c r="G107" i="21"/>
  <c r="B112" i="4"/>
  <c r="B107" i="26"/>
  <c r="C109" i="13"/>
  <c r="G108" i="13"/>
  <c r="C110" i="8"/>
  <c r="G109" i="8"/>
  <c r="M107" i="26"/>
  <c r="Q106" i="26"/>
  <c r="M107" i="25"/>
  <c r="Q106" i="25"/>
  <c r="L107" i="21"/>
  <c r="B106" i="9"/>
  <c r="B108" i="11"/>
  <c r="M117" i="7"/>
  <c r="Q116" i="7"/>
  <c r="L107" i="23"/>
  <c r="C107" i="3"/>
  <c r="G106" i="3"/>
  <c r="C107" i="19"/>
  <c r="G106" i="19"/>
  <c r="B106" i="5"/>
  <c r="L107" i="7"/>
  <c r="L108" i="3"/>
  <c r="B107" i="13"/>
  <c r="L108" i="25"/>
  <c r="L106" i="14"/>
  <c r="L115" i="5"/>
  <c r="C118" i="4"/>
  <c r="G117" i="4"/>
  <c r="B110" i="3"/>
  <c r="C106" i="5"/>
  <c r="G105" i="5"/>
  <c r="L107" i="24"/>
  <c r="Q109" i="4"/>
  <c r="M110" i="4"/>
  <c r="Q108" i="20"/>
  <c r="M109" i="20"/>
  <c r="C108" i="26"/>
  <c r="G107" i="26"/>
  <c r="M127" i="11"/>
  <c r="Q126" i="11"/>
  <c r="Q119" i="5"/>
  <c r="M120" i="5"/>
  <c r="B109" i="8"/>
  <c r="L109" i="20"/>
  <c r="B108" i="20"/>
  <c r="C111" i="15"/>
  <c r="G110" i="15"/>
  <c r="B108" i="15"/>
  <c r="L108" i="15"/>
  <c r="Q105" i="27"/>
  <c r="M106" i="27"/>
  <c r="C111" i="11"/>
  <c r="G110" i="11"/>
  <c r="L108" i="26"/>
  <c r="B107" i="19"/>
  <c r="L108" i="17"/>
  <c r="M113" i="21"/>
  <c r="Q112" i="21"/>
  <c r="M121" i="24"/>
  <c r="Q120" i="24"/>
  <c r="L107" i="9"/>
  <c r="L107" i="4"/>
  <c r="L107" i="11"/>
  <c r="B112" i="23"/>
  <c r="M116" i="9"/>
  <c r="Q115" i="9"/>
  <c r="C128" i="14"/>
  <c r="G127" i="14"/>
  <c r="G105" i="9"/>
  <c r="C106" i="9"/>
  <c r="B109" i="24"/>
  <c r="Q105" i="17"/>
  <c r="M106" i="17"/>
  <c r="B107" i="21"/>
  <c r="G108" i="20"/>
  <c r="C109" i="20"/>
  <c r="B106" i="17"/>
  <c r="C120" i="27"/>
  <c r="G119" i="27"/>
  <c r="M109" i="3"/>
  <c r="Q108" i="3"/>
  <c r="L106" i="27"/>
  <c r="Q107" i="14"/>
  <c r="M108" i="14"/>
  <c r="C107" i="7"/>
  <c r="G106" i="7"/>
  <c r="C106" i="17"/>
  <c r="G105" i="17"/>
  <c r="B107" i="25"/>
  <c r="M107" i="19"/>
  <c r="Q106" i="19"/>
  <c r="C116" i="25"/>
  <c r="G115" i="25"/>
  <c r="M110" i="8"/>
  <c r="Q109" i="8"/>
  <c r="L108" i="8"/>
  <c r="C107" i="23"/>
  <c r="G106" i="23"/>
  <c r="B109" i="27"/>
  <c r="Q107" i="13"/>
  <c r="M108" i="13"/>
  <c r="L107" i="13"/>
  <c r="C107" i="24"/>
  <c r="G106" i="24"/>
  <c r="L107" i="27" l="1"/>
  <c r="B107" i="17"/>
  <c r="L109" i="26"/>
  <c r="L110" i="20"/>
  <c r="C109" i="26"/>
  <c r="G108" i="26"/>
  <c r="B108" i="14"/>
  <c r="B108" i="7"/>
  <c r="Q108" i="13"/>
  <c r="M109" i="13"/>
  <c r="C112" i="11"/>
  <c r="G111" i="11"/>
  <c r="M107" i="27"/>
  <c r="Q106" i="27"/>
  <c r="Q110" i="4"/>
  <c r="M111" i="4"/>
  <c r="L116" i="5"/>
  <c r="L108" i="7"/>
  <c r="B109" i="11"/>
  <c r="B108" i="26"/>
  <c r="C108" i="24"/>
  <c r="G107" i="24"/>
  <c r="C129" i="14"/>
  <c r="G128" i="14"/>
  <c r="M122" i="24"/>
  <c r="Q121" i="24"/>
  <c r="B110" i="8"/>
  <c r="B108" i="25"/>
  <c r="B107" i="5"/>
  <c r="Q116" i="9"/>
  <c r="M117" i="9"/>
  <c r="B109" i="15"/>
  <c r="C107" i="17"/>
  <c r="G106" i="17"/>
  <c r="M114" i="21"/>
  <c r="Q113" i="21"/>
  <c r="B110" i="27"/>
  <c r="M121" i="5"/>
  <c r="Q120" i="5"/>
  <c r="B107" i="9"/>
  <c r="C111" i="8"/>
  <c r="G110" i="8"/>
  <c r="C108" i="23"/>
  <c r="G107" i="23"/>
  <c r="B108" i="21"/>
  <c r="B113" i="23"/>
  <c r="C112" i="15"/>
  <c r="G111" i="15"/>
  <c r="L108" i="24"/>
  <c r="B113" i="4"/>
  <c r="L109" i="8"/>
  <c r="G107" i="19"/>
  <c r="C108" i="19"/>
  <c r="L108" i="21"/>
  <c r="Q109" i="20"/>
  <c r="M110" i="20"/>
  <c r="L108" i="11"/>
  <c r="C107" i="5"/>
  <c r="G106" i="5"/>
  <c r="C108" i="3"/>
  <c r="G107" i="3"/>
  <c r="C109" i="21"/>
  <c r="G108" i="21"/>
  <c r="M109" i="23"/>
  <c r="Q108" i="23"/>
  <c r="Q106" i="17"/>
  <c r="M107" i="17"/>
  <c r="L107" i="14"/>
  <c r="C108" i="7"/>
  <c r="G107" i="7"/>
  <c r="M110" i="3"/>
  <c r="Q109" i="3"/>
  <c r="L108" i="13"/>
  <c r="L109" i="25"/>
  <c r="G109" i="20"/>
  <c r="C110" i="20"/>
  <c r="L109" i="3"/>
  <c r="B109" i="20"/>
  <c r="M108" i="19"/>
  <c r="Q107" i="19"/>
  <c r="L108" i="9"/>
  <c r="L109" i="17"/>
  <c r="L109" i="15"/>
  <c r="L108" i="23"/>
  <c r="Q107" i="25"/>
  <c r="M108" i="25"/>
  <c r="M109" i="15"/>
  <c r="Q108" i="15"/>
  <c r="M111" i="8"/>
  <c r="Q110" i="8"/>
  <c r="G120" i="27"/>
  <c r="C121" i="27"/>
  <c r="B110" i="24"/>
  <c r="L108" i="4"/>
  <c r="B108" i="19"/>
  <c r="M128" i="11"/>
  <c r="Q127" i="11"/>
  <c r="B111" i="3"/>
  <c r="M109" i="14"/>
  <c r="Q108" i="14"/>
  <c r="B108" i="13"/>
  <c r="Q107" i="26"/>
  <c r="M108" i="26"/>
  <c r="L110" i="19"/>
  <c r="C117" i="25"/>
  <c r="G116" i="25"/>
  <c r="C107" i="9"/>
  <c r="G106" i="9"/>
  <c r="G118" i="4"/>
  <c r="C119" i="4"/>
  <c r="M118" i="7"/>
  <c r="Q117" i="7"/>
  <c r="C110" i="13"/>
  <c r="G109" i="13"/>
  <c r="C118" i="25" l="1"/>
  <c r="G117" i="25"/>
  <c r="B110" i="20"/>
  <c r="L110" i="17"/>
  <c r="B108" i="9"/>
  <c r="B109" i="25"/>
  <c r="M108" i="27"/>
  <c r="Q107" i="27"/>
  <c r="B109" i="14"/>
  <c r="M118" i="9"/>
  <c r="Q117" i="9"/>
  <c r="C113" i="11"/>
  <c r="G112" i="11"/>
  <c r="Q121" i="5"/>
  <c r="M122" i="5"/>
  <c r="B114" i="23"/>
  <c r="C110" i="26"/>
  <c r="G109" i="26"/>
  <c r="L111" i="19"/>
  <c r="C108" i="5"/>
  <c r="G107" i="5"/>
  <c r="B109" i="26"/>
  <c r="C120" i="4"/>
  <c r="G119" i="4"/>
  <c r="M112" i="8"/>
  <c r="Q111" i="8"/>
  <c r="M111" i="3"/>
  <c r="Q110" i="3"/>
  <c r="C109" i="7"/>
  <c r="G108" i="7"/>
  <c r="Q109" i="13"/>
  <c r="M110" i="13"/>
  <c r="B112" i="3"/>
  <c r="C109" i="19"/>
  <c r="G108" i="19"/>
  <c r="Q118" i="7"/>
  <c r="M119" i="7"/>
  <c r="L109" i="11"/>
  <c r="B110" i="11"/>
  <c r="L111" i="20"/>
  <c r="M109" i="26"/>
  <c r="Q108" i="26"/>
  <c r="Q128" i="11"/>
  <c r="M129" i="11"/>
  <c r="Q109" i="15"/>
  <c r="M110" i="15"/>
  <c r="L110" i="3"/>
  <c r="B109" i="21"/>
  <c r="Q114" i="21"/>
  <c r="M115" i="21"/>
  <c r="B108" i="5"/>
  <c r="B111" i="8"/>
  <c r="B109" i="19"/>
  <c r="M109" i="25"/>
  <c r="Q108" i="25"/>
  <c r="L109" i="9"/>
  <c r="C111" i="20"/>
  <c r="G110" i="20"/>
  <c r="L108" i="14"/>
  <c r="L110" i="8"/>
  <c r="L109" i="7"/>
  <c r="B109" i="7"/>
  <c r="L110" i="26"/>
  <c r="C113" i="15"/>
  <c r="G112" i="15"/>
  <c r="M108" i="17"/>
  <c r="Q107" i="17"/>
  <c r="C111" i="13"/>
  <c r="G110" i="13"/>
  <c r="L109" i="13"/>
  <c r="Q110" i="20"/>
  <c r="M111" i="20"/>
  <c r="B109" i="13"/>
  <c r="C109" i="3"/>
  <c r="G108" i="3"/>
  <c r="L109" i="4"/>
  <c r="L110" i="25"/>
  <c r="L109" i="23"/>
  <c r="L117" i="5"/>
  <c r="C109" i="23"/>
  <c r="G108" i="23"/>
  <c r="B111" i="27"/>
  <c r="C108" i="17"/>
  <c r="G107" i="17"/>
  <c r="M123" i="24"/>
  <c r="Q122" i="24"/>
  <c r="B111" i="24"/>
  <c r="Q111" i="4"/>
  <c r="M112" i="4"/>
  <c r="M110" i="23"/>
  <c r="Q109" i="23"/>
  <c r="B114" i="4"/>
  <c r="B110" i="15"/>
  <c r="C130" i="14"/>
  <c r="G129" i="14"/>
  <c r="B108" i="17"/>
  <c r="G107" i="9"/>
  <c r="C108" i="9"/>
  <c r="Q109" i="14"/>
  <c r="M110" i="14"/>
  <c r="C122" i="27"/>
  <c r="G121" i="27"/>
  <c r="L110" i="15"/>
  <c r="G111" i="8"/>
  <c r="C112" i="8"/>
  <c r="L108" i="27"/>
  <c r="M109" i="19"/>
  <c r="Q108" i="19"/>
  <c r="C110" i="21"/>
  <c r="G109" i="21"/>
  <c r="L109" i="21"/>
  <c r="L109" i="24"/>
  <c r="C109" i="24"/>
  <c r="G108" i="24"/>
  <c r="M111" i="23" l="1"/>
  <c r="Q110" i="23"/>
  <c r="M130" i="11"/>
  <c r="Q129" i="11"/>
  <c r="M112" i="3"/>
  <c r="Q111" i="3"/>
  <c r="B109" i="9"/>
  <c r="M110" i="19"/>
  <c r="Q109" i="19"/>
  <c r="C109" i="9"/>
  <c r="G108" i="9"/>
  <c r="G109" i="3"/>
  <c r="C110" i="3"/>
  <c r="L111" i="8"/>
  <c r="B109" i="5"/>
  <c r="B110" i="26"/>
  <c r="M116" i="21"/>
  <c r="Q115" i="21"/>
  <c r="C110" i="19"/>
  <c r="G109" i="19"/>
  <c r="L109" i="14"/>
  <c r="M110" i="26"/>
  <c r="Q109" i="26"/>
  <c r="B110" i="14"/>
  <c r="L111" i="17"/>
  <c r="M109" i="17"/>
  <c r="Q108" i="17"/>
  <c r="L109" i="27"/>
  <c r="B113" i="3"/>
  <c r="C109" i="17"/>
  <c r="G108" i="17"/>
  <c r="B112" i="27"/>
  <c r="Q112" i="4"/>
  <c r="M113" i="4"/>
  <c r="M111" i="13"/>
  <c r="Q110" i="13"/>
  <c r="C109" i="5"/>
  <c r="G108" i="5"/>
  <c r="C114" i="11"/>
  <c r="G113" i="11"/>
  <c r="M109" i="27"/>
  <c r="Q108" i="27"/>
  <c r="L110" i="23"/>
  <c r="B109" i="17"/>
  <c r="C114" i="15"/>
  <c r="G113" i="15"/>
  <c r="C112" i="20"/>
  <c r="G111" i="20"/>
  <c r="B110" i="21"/>
  <c r="L112" i="20"/>
  <c r="L110" i="24"/>
  <c r="M124" i="24"/>
  <c r="Q123" i="24"/>
  <c r="B111" i="11"/>
  <c r="M113" i="8"/>
  <c r="Q112" i="8"/>
  <c r="L112" i="19"/>
  <c r="L111" i="15"/>
  <c r="L111" i="25"/>
  <c r="Q111" i="20"/>
  <c r="M112" i="20"/>
  <c r="L111" i="26"/>
  <c r="L110" i="9"/>
  <c r="C110" i="7"/>
  <c r="G109" i="7"/>
  <c r="B110" i="13"/>
  <c r="C110" i="23"/>
  <c r="G109" i="23"/>
  <c r="C110" i="24"/>
  <c r="G109" i="24"/>
  <c r="G112" i="8"/>
  <c r="C113" i="8"/>
  <c r="C131" i="14"/>
  <c r="G130" i="14"/>
  <c r="B111" i="15"/>
  <c r="B110" i="7"/>
  <c r="G110" i="26"/>
  <c r="C111" i="26"/>
  <c r="L110" i="4"/>
  <c r="L110" i="13"/>
  <c r="M110" i="25"/>
  <c r="Q109" i="25"/>
  <c r="B110" i="19"/>
  <c r="L111" i="3"/>
  <c r="L110" i="11"/>
  <c r="G120" i="4"/>
  <c r="C121" i="4"/>
  <c r="B115" i="23"/>
  <c r="B111" i="20"/>
  <c r="M123" i="5"/>
  <c r="Q122" i="5"/>
  <c r="B110" i="25"/>
  <c r="C123" i="27"/>
  <c r="G122" i="27"/>
  <c r="B112" i="24"/>
  <c r="B112" i="8"/>
  <c r="M119" i="9"/>
  <c r="Q118" i="9"/>
  <c r="L110" i="7"/>
  <c r="L110" i="21"/>
  <c r="B115" i="4"/>
  <c r="C112" i="13"/>
  <c r="G111" i="13"/>
  <c r="M111" i="15"/>
  <c r="Q110" i="15"/>
  <c r="C111" i="21"/>
  <c r="G110" i="21"/>
  <c r="Q110" i="14"/>
  <c r="M111" i="14"/>
  <c r="L118" i="5"/>
  <c r="M120" i="7"/>
  <c r="Q119" i="7"/>
  <c r="C119" i="25"/>
  <c r="G118" i="25"/>
  <c r="M110" i="27" l="1"/>
  <c r="Q109" i="27"/>
  <c r="Q113" i="4"/>
  <c r="M114" i="4"/>
  <c r="M117" i="21"/>
  <c r="Q116" i="21"/>
  <c r="M111" i="19"/>
  <c r="Q110" i="19"/>
  <c r="B113" i="8"/>
  <c r="B112" i="20"/>
  <c r="Q112" i="20"/>
  <c r="M113" i="20"/>
  <c r="B116" i="23"/>
  <c r="B111" i="13"/>
  <c r="C115" i="11"/>
  <c r="G114" i="11"/>
  <c r="M111" i="26"/>
  <c r="Q110" i="26"/>
  <c r="C122" i="4"/>
  <c r="G121" i="4"/>
  <c r="M125" i="24"/>
  <c r="Q124" i="24"/>
  <c r="L110" i="27"/>
  <c r="B116" i="4"/>
  <c r="L111" i="13"/>
  <c r="M112" i="14"/>
  <c r="Q111" i="14"/>
  <c r="C112" i="21"/>
  <c r="G111" i="21"/>
  <c r="M120" i="9"/>
  <c r="Q119" i="9"/>
  <c r="C113" i="20"/>
  <c r="G112" i="20"/>
  <c r="C110" i="5"/>
  <c r="G109" i="5"/>
  <c r="L110" i="14"/>
  <c r="B111" i="26"/>
  <c r="L113" i="19"/>
  <c r="L113" i="20"/>
  <c r="L111" i="11"/>
  <c r="L112" i="15"/>
  <c r="B113" i="27"/>
  <c r="B110" i="9"/>
  <c r="M112" i="15"/>
  <c r="Q111" i="15"/>
  <c r="L111" i="24"/>
  <c r="C115" i="15"/>
  <c r="G114" i="15"/>
  <c r="M112" i="13"/>
  <c r="Q111" i="13"/>
  <c r="M110" i="17"/>
  <c r="Q109" i="17"/>
  <c r="B111" i="21"/>
  <c r="B111" i="14"/>
  <c r="L111" i="4"/>
  <c r="C113" i="13"/>
  <c r="G112" i="13"/>
  <c r="L112" i="3"/>
  <c r="L112" i="17"/>
  <c r="B110" i="5"/>
  <c r="B111" i="19"/>
  <c r="B112" i="15"/>
  <c r="L112" i="25"/>
  <c r="C120" i="25"/>
  <c r="G119" i="25"/>
  <c r="B111" i="25"/>
  <c r="M121" i="7"/>
  <c r="Q120" i="7"/>
  <c r="M124" i="5"/>
  <c r="Q123" i="5"/>
  <c r="G111" i="26"/>
  <c r="C112" i="26"/>
  <c r="C132" i="14"/>
  <c r="G131" i="14"/>
  <c r="C111" i="7"/>
  <c r="G110" i="7"/>
  <c r="L112" i="8"/>
  <c r="M113" i="3"/>
  <c r="Q112" i="3"/>
  <c r="B110" i="17"/>
  <c r="C111" i="3"/>
  <c r="G110" i="3"/>
  <c r="M114" i="8"/>
  <c r="Q113" i="8"/>
  <c r="L111" i="23"/>
  <c r="C110" i="17"/>
  <c r="G109" i="17"/>
  <c r="L111" i="21"/>
  <c r="C111" i="24"/>
  <c r="G110" i="24"/>
  <c r="L111" i="9"/>
  <c r="C111" i="19"/>
  <c r="G110" i="19"/>
  <c r="Q130" i="11"/>
  <c r="M131" i="11"/>
  <c r="C124" i="27"/>
  <c r="G123" i="27"/>
  <c r="M111" i="25"/>
  <c r="Q110" i="25"/>
  <c r="B112" i="11"/>
  <c r="G113" i="8"/>
  <c r="C114" i="8"/>
  <c r="B113" i="24"/>
  <c r="B111" i="7"/>
  <c r="L119" i="5"/>
  <c r="L111" i="7"/>
  <c r="G110" i="23"/>
  <c r="C111" i="23"/>
  <c r="L112" i="26"/>
  <c r="B114" i="3"/>
  <c r="G109" i="9"/>
  <c r="C110" i="9"/>
  <c r="M112" i="23"/>
  <c r="Q111" i="23"/>
  <c r="L112" i="23" l="1"/>
  <c r="L113" i="17"/>
  <c r="L112" i="24"/>
  <c r="M126" i="24"/>
  <c r="Q125" i="24"/>
  <c r="B112" i="13"/>
  <c r="L112" i="7"/>
  <c r="B113" i="11"/>
  <c r="B112" i="26"/>
  <c r="C133" i="14"/>
  <c r="G132" i="14"/>
  <c r="B112" i="25"/>
  <c r="L113" i="15"/>
  <c r="L111" i="14"/>
  <c r="C112" i="24"/>
  <c r="G111" i="24"/>
  <c r="C114" i="13"/>
  <c r="G113" i="13"/>
  <c r="C112" i="7"/>
  <c r="G111" i="7"/>
  <c r="M113" i="23"/>
  <c r="Q112" i="23"/>
  <c r="L120" i="5"/>
  <c r="M115" i="8"/>
  <c r="Q114" i="8"/>
  <c r="B117" i="23"/>
  <c r="Q112" i="14"/>
  <c r="M113" i="14"/>
  <c r="G122" i="4"/>
  <c r="C123" i="4"/>
  <c r="Q113" i="20"/>
  <c r="M114" i="20"/>
  <c r="M113" i="15"/>
  <c r="Q112" i="15"/>
  <c r="L112" i="11"/>
  <c r="C111" i="5"/>
  <c r="G110" i="5"/>
  <c r="L112" i="13"/>
  <c r="B114" i="24"/>
  <c r="C112" i="3"/>
  <c r="G111" i="3"/>
  <c r="L113" i="25"/>
  <c r="L112" i="4"/>
  <c r="B113" i="20"/>
  <c r="Q117" i="21"/>
  <c r="M118" i="21"/>
  <c r="C114" i="20"/>
  <c r="G113" i="20"/>
  <c r="L112" i="21"/>
  <c r="C113" i="26"/>
  <c r="G112" i="26"/>
  <c r="C125" i="27"/>
  <c r="G124" i="27"/>
  <c r="B113" i="15"/>
  <c r="M132" i="11"/>
  <c r="Q131" i="11"/>
  <c r="M125" i="5"/>
  <c r="Q124" i="5"/>
  <c r="B117" i="4"/>
  <c r="M112" i="25"/>
  <c r="Q111" i="25"/>
  <c r="B115" i="3"/>
  <c r="C115" i="8"/>
  <c r="G114" i="8"/>
  <c r="B112" i="19"/>
  <c r="B112" i="21"/>
  <c r="L114" i="20"/>
  <c r="L111" i="27"/>
  <c r="Q114" i="4"/>
  <c r="M115" i="4"/>
  <c r="C111" i="9"/>
  <c r="G110" i="9"/>
  <c r="B111" i="17"/>
  <c r="M122" i="7"/>
  <c r="Q121" i="7"/>
  <c r="L113" i="3"/>
  <c r="Q110" i="17"/>
  <c r="M111" i="17"/>
  <c r="B111" i="9"/>
  <c r="C121" i="25"/>
  <c r="G120" i="25"/>
  <c r="G111" i="19"/>
  <c r="C112" i="19"/>
  <c r="L113" i="26"/>
  <c r="Q113" i="3"/>
  <c r="M114" i="3"/>
  <c r="M112" i="26"/>
  <c r="Q111" i="26"/>
  <c r="M111" i="27"/>
  <c r="Q110" i="27"/>
  <c r="C111" i="17"/>
  <c r="G110" i="17"/>
  <c r="G111" i="23"/>
  <c r="C112" i="23"/>
  <c r="L112" i="9"/>
  <c r="B112" i="14"/>
  <c r="M113" i="13"/>
  <c r="Q112" i="13"/>
  <c r="M121" i="9"/>
  <c r="Q120" i="9"/>
  <c r="B114" i="8"/>
  <c r="B111" i="5"/>
  <c r="B114" i="27"/>
  <c r="B112" i="7"/>
  <c r="L113" i="8"/>
  <c r="C116" i="15"/>
  <c r="G115" i="15"/>
  <c r="L114" i="19"/>
  <c r="C113" i="21"/>
  <c r="G112" i="21"/>
  <c r="C116" i="11"/>
  <c r="G115" i="11"/>
  <c r="Q111" i="19"/>
  <c r="M112" i="19"/>
  <c r="L115" i="19" l="1"/>
  <c r="C112" i="17"/>
  <c r="G111" i="17"/>
  <c r="C117" i="15"/>
  <c r="G116" i="15"/>
  <c r="B113" i="14"/>
  <c r="M112" i="27"/>
  <c r="Q111" i="27"/>
  <c r="C116" i="8"/>
  <c r="G115" i="8"/>
  <c r="L113" i="11"/>
  <c r="B113" i="7"/>
  <c r="B116" i="3"/>
  <c r="L113" i="21"/>
  <c r="L114" i="25"/>
  <c r="C113" i="7"/>
  <c r="G112" i="7"/>
  <c r="B115" i="27"/>
  <c r="M113" i="26"/>
  <c r="Q112" i="26"/>
  <c r="L113" i="7"/>
  <c r="L113" i="9"/>
  <c r="L112" i="27"/>
  <c r="C115" i="13"/>
  <c r="G114" i="13"/>
  <c r="B112" i="17"/>
  <c r="C113" i="19"/>
  <c r="G112" i="19"/>
  <c r="M133" i="11"/>
  <c r="Q132" i="11"/>
  <c r="M113" i="19"/>
  <c r="Q112" i="19"/>
  <c r="M113" i="25"/>
  <c r="Q112" i="25"/>
  <c r="C115" i="20"/>
  <c r="G114" i="20"/>
  <c r="G112" i="3"/>
  <c r="C113" i="3"/>
  <c r="C134" i="14"/>
  <c r="G133" i="14"/>
  <c r="Q113" i="13"/>
  <c r="M114" i="13"/>
  <c r="B112" i="5"/>
  <c r="C113" i="23"/>
  <c r="G112" i="23"/>
  <c r="M114" i="15"/>
  <c r="Q113" i="15"/>
  <c r="B113" i="13"/>
  <c r="C112" i="9"/>
  <c r="G111" i="9"/>
  <c r="L115" i="20"/>
  <c r="Q114" i="20"/>
  <c r="M115" i="20"/>
  <c r="B114" i="15"/>
  <c r="B115" i="24"/>
  <c r="M116" i="8"/>
  <c r="Q115" i="8"/>
  <c r="C113" i="24"/>
  <c r="G112" i="24"/>
  <c r="M127" i="24"/>
  <c r="Q126" i="24"/>
  <c r="L114" i="3"/>
  <c r="C122" i="25"/>
  <c r="G121" i="25"/>
  <c r="B113" i="21"/>
  <c r="M119" i="21"/>
  <c r="Q118" i="21"/>
  <c r="C124" i="4"/>
  <c r="G123" i="4"/>
  <c r="L113" i="24"/>
  <c r="C117" i="11"/>
  <c r="G116" i="11"/>
  <c r="B115" i="8"/>
  <c r="L114" i="8"/>
  <c r="B113" i="26"/>
  <c r="M122" i="9"/>
  <c r="Q121" i="9"/>
  <c r="Q114" i="3"/>
  <c r="M115" i="3"/>
  <c r="M123" i="7"/>
  <c r="Q122" i="7"/>
  <c r="B113" i="19"/>
  <c r="B118" i="4"/>
  <c r="C126" i="27"/>
  <c r="G125" i="27"/>
  <c r="M114" i="14"/>
  <c r="Q113" i="14"/>
  <c r="L114" i="17"/>
  <c r="B114" i="20"/>
  <c r="L121" i="5"/>
  <c r="L112" i="14"/>
  <c r="L113" i="13"/>
  <c r="L113" i="23"/>
  <c r="L114" i="26"/>
  <c r="B118" i="23"/>
  <c r="M114" i="23"/>
  <c r="Q113" i="23"/>
  <c r="L114" i="15"/>
  <c r="M126" i="5"/>
  <c r="Q125" i="5"/>
  <c r="C114" i="26"/>
  <c r="G113" i="26"/>
  <c r="L113" i="4"/>
  <c r="C112" i="5"/>
  <c r="G111" i="5"/>
  <c r="B114" i="11"/>
  <c r="C114" i="21"/>
  <c r="G113" i="21"/>
  <c r="B112" i="9"/>
  <c r="Q111" i="17"/>
  <c r="M112" i="17"/>
  <c r="Q115" i="4"/>
  <c r="M116" i="4"/>
  <c r="B113" i="25"/>
  <c r="B113" i="9" l="1"/>
  <c r="L114" i="13"/>
  <c r="C114" i="24"/>
  <c r="G113" i="24"/>
  <c r="M115" i="15"/>
  <c r="Q114" i="15"/>
  <c r="Q133" i="11"/>
  <c r="M134" i="11"/>
  <c r="L115" i="8"/>
  <c r="C114" i="3"/>
  <c r="G113" i="3"/>
  <c r="B116" i="27"/>
  <c r="M117" i="8"/>
  <c r="Q116" i="8"/>
  <c r="L116" i="20"/>
  <c r="C114" i="19"/>
  <c r="G113" i="19"/>
  <c r="B114" i="26"/>
  <c r="B114" i="7"/>
  <c r="M113" i="27"/>
  <c r="Q112" i="27"/>
  <c r="C123" i="25"/>
  <c r="G122" i="25"/>
  <c r="C116" i="20"/>
  <c r="G115" i="20"/>
  <c r="B113" i="17"/>
  <c r="L115" i="17"/>
  <c r="B114" i="21"/>
  <c r="B115" i="11"/>
  <c r="B119" i="23"/>
  <c r="B114" i="25"/>
  <c r="K121" i="5"/>
  <c r="L122" i="5"/>
  <c r="C115" i="21"/>
  <c r="G114" i="21"/>
  <c r="C127" i="27"/>
  <c r="G126" i="27"/>
  <c r="B116" i="8"/>
  <c r="M114" i="25"/>
  <c r="Q113" i="25"/>
  <c r="C114" i="23"/>
  <c r="G113" i="23"/>
  <c r="M123" i="9"/>
  <c r="Q122" i="9"/>
  <c r="Q114" i="23"/>
  <c r="M115" i="23"/>
  <c r="L113" i="14"/>
  <c r="M115" i="14"/>
  <c r="Q114" i="14"/>
  <c r="B116" i="24"/>
  <c r="B119" i="4"/>
  <c r="C113" i="5"/>
  <c r="G112" i="5"/>
  <c r="C118" i="11"/>
  <c r="G117" i="11"/>
  <c r="B115" i="15"/>
  <c r="C113" i="9"/>
  <c r="G112" i="9"/>
  <c r="L114" i="11"/>
  <c r="C114" i="7"/>
  <c r="G113" i="7"/>
  <c r="B114" i="14"/>
  <c r="L115" i="25"/>
  <c r="Q114" i="13"/>
  <c r="M115" i="13"/>
  <c r="L114" i="7"/>
  <c r="C118" i="15"/>
  <c r="G117" i="15"/>
  <c r="B113" i="5"/>
  <c r="C115" i="26"/>
  <c r="G114" i="26"/>
  <c r="L114" i="23"/>
  <c r="G124" i="4"/>
  <c r="C125" i="4"/>
  <c r="B115" i="20"/>
  <c r="L115" i="26"/>
  <c r="B114" i="19"/>
  <c r="L114" i="4"/>
  <c r="L114" i="24"/>
  <c r="B114" i="13"/>
  <c r="Q116" i="4"/>
  <c r="M117" i="4"/>
  <c r="L115" i="3"/>
  <c r="L114" i="9"/>
  <c r="M116" i="3"/>
  <c r="Q115" i="3"/>
  <c r="C116" i="13"/>
  <c r="G115" i="13"/>
  <c r="Q112" i="17"/>
  <c r="M113" i="17"/>
  <c r="M124" i="7"/>
  <c r="Q123" i="7"/>
  <c r="L113" i="27"/>
  <c r="L114" i="21"/>
  <c r="G116" i="8"/>
  <c r="C117" i="8"/>
  <c r="C113" i="17"/>
  <c r="G112" i="17"/>
  <c r="Q126" i="5"/>
  <c r="M127" i="5"/>
  <c r="M120" i="21"/>
  <c r="Q119" i="21"/>
  <c r="M128" i="24"/>
  <c r="Q127" i="24"/>
  <c r="Q115" i="20"/>
  <c r="M116" i="20"/>
  <c r="C135" i="14"/>
  <c r="G134" i="14"/>
  <c r="M114" i="19"/>
  <c r="Q113" i="19"/>
  <c r="L115" i="15"/>
  <c r="M114" i="26"/>
  <c r="Q113" i="26"/>
  <c r="B117" i="3"/>
  <c r="L116" i="19"/>
  <c r="L116" i="15" l="1"/>
  <c r="B115" i="19"/>
  <c r="C116" i="26"/>
  <c r="G115" i="26"/>
  <c r="L116" i="25"/>
  <c r="C115" i="23"/>
  <c r="G114" i="23"/>
  <c r="L116" i="17"/>
  <c r="C114" i="5"/>
  <c r="G113" i="5"/>
  <c r="M116" i="15"/>
  <c r="Q115" i="15"/>
  <c r="M114" i="17"/>
  <c r="Q113" i="17"/>
  <c r="L116" i="26"/>
  <c r="B115" i="14"/>
  <c r="M116" i="23"/>
  <c r="Q115" i="23"/>
  <c r="C124" i="25"/>
  <c r="G123" i="25"/>
  <c r="C115" i="24"/>
  <c r="G114" i="24"/>
  <c r="B117" i="27"/>
  <c r="C114" i="17"/>
  <c r="G113" i="17"/>
  <c r="L115" i="11"/>
  <c r="Q114" i="25"/>
  <c r="M115" i="25"/>
  <c r="B115" i="25"/>
  <c r="C115" i="7"/>
  <c r="G114" i="7"/>
  <c r="C119" i="15"/>
  <c r="G118" i="15"/>
  <c r="M124" i="9"/>
  <c r="Q123" i="9"/>
  <c r="M115" i="26"/>
  <c r="Q114" i="26"/>
  <c r="C118" i="8"/>
  <c r="G117" i="8"/>
  <c r="L116" i="3"/>
  <c r="Q117" i="4"/>
  <c r="M118" i="4"/>
  <c r="B117" i="8"/>
  <c r="B120" i="23"/>
  <c r="M114" i="27"/>
  <c r="Q113" i="27"/>
  <c r="C115" i="19"/>
  <c r="G114" i="19"/>
  <c r="G114" i="3"/>
  <c r="C115" i="3"/>
  <c r="L115" i="13"/>
  <c r="M115" i="19"/>
  <c r="Q114" i="19"/>
  <c r="L115" i="9"/>
  <c r="B114" i="5"/>
  <c r="B120" i="4"/>
  <c r="L115" i="21"/>
  <c r="B114" i="17"/>
  <c r="B115" i="7"/>
  <c r="B116" i="11"/>
  <c r="L116" i="8"/>
  <c r="B114" i="9"/>
  <c r="M125" i="7"/>
  <c r="Q124" i="7"/>
  <c r="L12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C136" i="14"/>
  <c r="G135" i="14"/>
  <c r="Q116" i="20"/>
  <c r="M117" i="20"/>
  <c r="L115" i="24"/>
  <c r="L117" i="20"/>
  <c r="L117" i="19"/>
  <c r="M128" i="5"/>
  <c r="Q127" i="5"/>
  <c r="L115" i="7"/>
  <c r="G113" i="9"/>
  <c r="C114" i="9"/>
  <c r="C128" i="27"/>
  <c r="G127" i="27"/>
  <c r="M129" i="24"/>
  <c r="Q128" i="24"/>
  <c r="B115" i="21"/>
  <c r="B118" i="3"/>
  <c r="B116" i="20"/>
  <c r="C126" i="4"/>
  <c r="G125" i="4"/>
  <c r="M116" i="13"/>
  <c r="Q115" i="13"/>
  <c r="M121" i="21"/>
  <c r="Q120" i="21"/>
  <c r="L114" i="27"/>
  <c r="C117" i="13"/>
  <c r="G116" i="13"/>
  <c r="B115" i="13"/>
  <c r="B117" i="24"/>
  <c r="L115" i="23"/>
  <c r="B116" i="15"/>
  <c r="C117" i="20"/>
  <c r="G116" i="20"/>
  <c r="Q116" i="3"/>
  <c r="M117" i="3"/>
  <c r="L115" i="4"/>
  <c r="Q115" i="14"/>
  <c r="M116" i="14"/>
  <c r="C116" i="21"/>
  <c r="G115" i="21"/>
  <c r="B115" i="26"/>
  <c r="C119" i="11"/>
  <c r="G118" i="11"/>
  <c r="L114" i="14"/>
  <c r="M118" i="8"/>
  <c r="Q117" i="8"/>
  <c r="M135" i="11"/>
  <c r="Q134" i="11"/>
  <c r="Q117" i="20" l="1"/>
  <c r="M118" i="20"/>
  <c r="M126" i="7"/>
  <c r="Q125" i="7"/>
  <c r="L116" i="9"/>
  <c r="C116" i="24"/>
  <c r="G115" i="24"/>
  <c r="Q128" i="5"/>
  <c r="M129" i="5"/>
  <c r="B119" i="3"/>
  <c r="Q118" i="4"/>
  <c r="M119" i="4"/>
  <c r="Q124" i="9"/>
  <c r="M125" i="9"/>
  <c r="L116" i="11"/>
  <c r="M119" i="8"/>
  <c r="Q118" i="8"/>
  <c r="C137" i="14"/>
  <c r="G136" i="14"/>
  <c r="L117" i="8"/>
  <c r="M116" i="19"/>
  <c r="Q115" i="19"/>
  <c r="C118" i="13"/>
  <c r="G117" i="13"/>
  <c r="M117" i="23"/>
  <c r="Q116" i="23"/>
  <c r="C120" i="15"/>
  <c r="G119" i="15"/>
  <c r="L117" i="17"/>
  <c r="B117" i="15"/>
  <c r="C117" i="21"/>
  <c r="G116" i="21"/>
  <c r="L116" i="13"/>
  <c r="B116" i="14"/>
  <c r="L116" i="23"/>
  <c r="B116" i="21"/>
  <c r="L118" i="20"/>
  <c r="L116" i="21"/>
  <c r="C116" i="3"/>
  <c r="G115" i="3"/>
  <c r="C116" i="23"/>
  <c r="G115" i="23"/>
  <c r="C116" i="7"/>
  <c r="G115" i="7"/>
  <c r="L117" i="26"/>
  <c r="M136" i="11"/>
  <c r="Q135" i="11"/>
  <c r="B116" i="26"/>
  <c r="L117" i="25"/>
  <c r="C118" i="20"/>
  <c r="G117" i="20"/>
  <c r="B115" i="9"/>
  <c r="L115" i="14"/>
  <c r="C116" i="19"/>
  <c r="G115" i="19"/>
  <c r="L117" i="3"/>
  <c r="C115" i="17"/>
  <c r="G114" i="17"/>
  <c r="M115" i="17"/>
  <c r="Q114" i="17"/>
  <c r="L118" i="19"/>
  <c r="M117" i="14"/>
  <c r="Q116" i="14"/>
  <c r="B121" i="4"/>
  <c r="B117" i="11"/>
  <c r="C115" i="5"/>
  <c r="G114" i="5"/>
  <c r="B115" i="17"/>
  <c r="M117" i="13"/>
  <c r="Q116" i="13"/>
  <c r="C129" i="27"/>
  <c r="G128" i="27"/>
  <c r="B118" i="24"/>
  <c r="L116" i="24"/>
  <c r="B116" i="25"/>
  <c r="Q116" i="15"/>
  <c r="M117" i="15"/>
  <c r="C117" i="26"/>
  <c r="G116" i="26"/>
  <c r="M115" i="27"/>
  <c r="Q114" i="27"/>
  <c r="C127" i="4"/>
  <c r="G126" i="4"/>
  <c r="C119" i="8"/>
  <c r="G118" i="8"/>
  <c r="B118" i="27"/>
  <c r="B116" i="19"/>
  <c r="M122" i="21"/>
  <c r="Q121" i="21"/>
  <c r="M130" i="24"/>
  <c r="Q129" i="24"/>
  <c r="C120" i="11"/>
  <c r="G119" i="11"/>
  <c r="L116" i="4"/>
  <c r="G114" i="9"/>
  <c r="C115" i="9"/>
  <c r="Q117" i="3"/>
  <c r="M118" i="3"/>
  <c r="L116" i="7"/>
  <c r="L124" i="5"/>
  <c r="B121" i="23"/>
  <c r="M116" i="25"/>
  <c r="Q115" i="25"/>
  <c r="C125" i="25"/>
  <c r="G124" i="25"/>
  <c r="B117" i="20"/>
  <c r="B116" i="13"/>
  <c r="L115" i="27"/>
  <c r="B115" i="5"/>
  <c r="B118" i="8"/>
  <c r="M116" i="26"/>
  <c r="Q115" i="26"/>
  <c r="B116" i="7"/>
  <c r="L117" i="15"/>
  <c r="C130" i="27" l="1"/>
  <c r="G129" i="27"/>
  <c r="L118" i="25"/>
  <c r="C121" i="15"/>
  <c r="G120" i="15"/>
  <c r="M116" i="27"/>
  <c r="Q115" i="27"/>
  <c r="L118" i="3"/>
  <c r="C117" i="7"/>
  <c r="G116" i="7"/>
  <c r="L119" i="20"/>
  <c r="M117" i="19"/>
  <c r="Q116" i="19"/>
  <c r="L117" i="11"/>
  <c r="M130" i="5"/>
  <c r="Q129" i="5"/>
  <c r="B119" i="8"/>
  <c r="M118" i="13"/>
  <c r="Q117" i="13"/>
  <c r="B117" i="21"/>
  <c r="M126" i="9"/>
  <c r="Q125" i="9"/>
  <c r="C117" i="19"/>
  <c r="G116" i="19"/>
  <c r="L118" i="8"/>
  <c r="G115" i="9"/>
  <c r="C116" i="9"/>
  <c r="B122" i="4"/>
  <c r="A121" i="4"/>
  <c r="Q119" i="4"/>
  <c r="M120" i="4"/>
  <c r="C118" i="26"/>
  <c r="G117" i="26"/>
  <c r="C117" i="23"/>
  <c r="G116" i="23"/>
  <c r="L117" i="23"/>
  <c r="C118" i="21"/>
  <c r="G117" i="21"/>
  <c r="L117" i="4"/>
  <c r="B122" i="23"/>
  <c r="M118" i="15"/>
  <c r="Q117" i="15"/>
  <c r="B116" i="17"/>
  <c r="C138" i="14"/>
  <c r="G137" i="14"/>
  <c r="B120" i="3"/>
  <c r="B116" i="5"/>
  <c r="M117" i="25"/>
  <c r="Q116" i="25"/>
  <c r="C117" i="24"/>
  <c r="G116" i="24"/>
  <c r="B117" i="7"/>
  <c r="Q117" i="14"/>
  <c r="M118" i="14"/>
  <c r="B117" i="26"/>
  <c r="L125" i="5"/>
  <c r="C121" i="11"/>
  <c r="G120" i="11"/>
  <c r="B119" i="27"/>
  <c r="B117" i="25"/>
  <c r="L119" i="19"/>
  <c r="B118" i="15"/>
  <c r="M120" i="8"/>
  <c r="Q119" i="8"/>
  <c r="L116" i="27"/>
  <c r="L116" i="14"/>
  <c r="Q136" i="11"/>
  <c r="M137" i="11"/>
  <c r="B117" i="14"/>
  <c r="M118" i="23"/>
  <c r="Q117" i="23"/>
  <c r="L117" i="9"/>
  <c r="C119" i="13"/>
  <c r="G118" i="13"/>
  <c r="L117" i="24"/>
  <c r="L118" i="17"/>
  <c r="Q118" i="3"/>
  <c r="M119" i="3"/>
  <c r="M131" i="24"/>
  <c r="Q130" i="24"/>
  <c r="C116" i="5"/>
  <c r="G115" i="5"/>
  <c r="M127" i="7"/>
  <c r="Q126" i="7"/>
  <c r="L117" i="7"/>
  <c r="C120" i="8"/>
  <c r="G119" i="8"/>
  <c r="C117" i="3"/>
  <c r="G116" i="3"/>
  <c r="B117" i="13"/>
  <c r="M123" i="21"/>
  <c r="Q122" i="21"/>
  <c r="B119" i="24"/>
  <c r="L118" i="26"/>
  <c r="L117" i="21"/>
  <c r="Q118" i="20"/>
  <c r="M119" i="20"/>
  <c r="Q116" i="26"/>
  <c r="M117" i="26"/>
  <c r="C126" i="25"/>
  <c r="G125" i="25"/>
  <c r="Q115" i="17"/>
  <c r="M116" i="17"/>
  <c r="B116" i="9"/>
  <c r="L118" i="15"/>
  <c r="B118" i="20"/>
  <c r="B117" i="19"/>
  <c r="C128" i="4"/>
  <c r="G127" i="4"/>
  <c r="B118" i="11"/>
  <c r="C116" i="17"/>
  <c r="G115" i="17"/>
  <c r="C119" i="20"/>
  <c r="G118" i="20"/>
  <c r="L117" i="13"/>
  <c r="M120" i="3" l="1"/>
  <c r="Q119" i="3"/>
  <c r="C119" i="21"/>
  <c r="G118" i="21"/>
  <c r="C118" i="19"/>
  <c r="G117" i="19"/>
  <c r="C122" i="11"/>
  <c r="G121" i="11"/>
  <c r="C118" i="7"/>
  <c r="G117" i="7"/>
  <c r="L126" i="5"/>
  <c r="C118" i="24"/>
  <c r="G117" i="24"/>
  <c r="L119" i="3"/>
  <c r="L118" i="9"/>
  <c r="L119" i="15"/>
  <c r="C127" i="25"/>
  <c r="G126" i="25"/>
  <c r="L119" i="26"/>
  <c r="B12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L117" i="27"/>
  <c r="L118" i="7"/>
  <c r="B117" i="17"/>
  <c r="C118" i="23"/>
  <c r="G117" i="23"/>
  <c r="G116" i="9"/>
  <c r="C117" i="9"/>
  <c r="B120" i="8"/>
  <c r="Q126" i="9"/>
  <c r="M127" i="9"/>
  <c r="B120" i="24"/>
  <c r="M121" i="8"/>
  <c r="Q120" i="8"/>
  <c r="M128" i="7"/>
  <c r="Q127" i="7"/>
  <c r="M117" i="27"/>
  <c r="Q116" i="27"/>
  <c r="C129" i="4"/>
  <c r="G128" i="4"/>
  <c r="G118" i="26"/>
  <c r="C119" i="26"/>
  <c r="B118" i="19"/>
  <c r="M124" i="21"/>
  <c r="Q123" i="21"/>
  <c r="B119" i="15"/>
  <c r="B119" i="11"/>
  <c r="B118" i="26"/>
  <c r="Q118" i="14"/>
  <c r="M119" i="14"/>
  <c r="Q118" i="15"/>
  <c r="M119" i="15"/>
  <c r="B123" i="23"/>
  <c r="A84" i="23"/>
  <c r="A85" i="23"/>
  <c r="A86" i="23"/>
  <c r="A87" i="23"/>
  <c r="A88" i="23"/>
  <c r="A89" i="23"/>
  <c r="A90" i="23"/>
  <c r="A91" i="23"/>
  <c r="A92" i="23"/>
  <c r="A93" i="23"/>
  <c r="A94" i="23"/>
  <c r="A95" i="23"/>
  <c r="A96" i="23"/>
  <c r="A97" i="23"/>
  <c r="A98" i="23"/>
  <c r="A99" i="23"/>
  <c r="A100" i="23"/>
  <c r="A101" i="23"/>
  <c r="A102" i="23"/>
  <c r="A103" i="23"/>
  <c r="A104" i="23"/>
  <c r="A105" i="23"/>
  <c r="A106" i="23"/>
  <c r="A107" i="23"/>
  <c r="A108" i="23"/>
  <c r="A109" i="23"/>
  <c r="A110" i="23"/>
  <c r="A111" i="23"/>
  <c r="A112" i="23"/>
  <c r="A113" i="23"/>
  <c r="A114" i="23"/>
  <c r="A115" i="23"/>
  <c r="A116" i="23"/>
  <c r="A117" i="23"/>
  <c r="A118" i="23"/>
  <c r="A119" i="23"/>
  <c r="A120" i="23"/>
  <c r="L118" i="13"/>
  <c r="Q117" i="25"/>
  <c r="M118" i="25"/>
  <c r="A121" i="23"/>
  <c r="L119" i="8"/>
  <c r="M131" i="5"/>
  <c r="Q130" i="5"/>
  <c r="L119" i="17"/>
  <c r="B118" i="13"/>
  <c r="Q118" i="23"/>
  <c r="M119" i="23"/>
  <c r="L118" i="4"/>
  <c r="B118" i="21"/>
  <c r="L118" i="11"/>
  <c r="G121" i="15"/>
  <c r="C122" i="15"/>
  <c r="L119" i="25"/>
  <c r="C117" i="17"/>
  <c r="G116" i="17"/>
  <c r="L118" i="23"/>
  <c r="B117" i="5"/>
  <c r="M118" i="19"/>
  <c r="Q117" i="19"/>
  <c r="L118" i="21"/>
  <c r="L118" i="24"/>
  <c r="B118" i="14"/>
  <c r="M118" i="26"/>
  <c r="Q117" i="26"/>
  <c r="C118" i="3"/>
  <c r="G117" i="3"/>
  <c r="M138" i="11"/>
  <c r="Q137" i="11"/>
  <c r="B118" i="25"/>
  <c r="C117" i="5"/>
  <c r="G116" i="5"/>
  <c r="G120" i="8"/>
  <c r="C121" i="8"/>
  <c r="Q120" i="4"/>
  <c r="M121" i="4"/>
  <c r="Q116" i="17"/>
  <c r="M117" i="17"/>
  <c r="B118" i="7"/>
  <c r="B119" i="20"/>
  <c r="B117" i="9"/>
  <c r="L120" i="19"/>
  <c r="B121" i="3"/>
  <c r="C120" i="20"/>
  <c r="G119" i="20"/>
  <c r="Q119" i="20"/>
  <c r="M120" i="20"/>
  <c r="C120" i="13"/>
  <c r="G119" i="13"/>
  <c r="L117" i="14"/>
  <c r="L120" i="20"/>
  <c r="C131" i="27"/>
  <c r="G130" i="27"/>
  <c r="M132" i="24"/>
  <c r="Q131" i="24"/>
  <c r="B120" i="27"/>
  <c r="C139" i="14"/>
  <c r="G138" i="14"/>
  <c r="Q118" i="13"/>
  <c r="M119" i="13"/>
  <c r="L119" i="23" l="1"/>
  <c r="L119" i="7"/>
  <c r="L120" i="26"/>
  <c r="C119" i="7"/>
  <c r="G118" i="7"/>
  <c r="M128" i="9"/>
  <c r="Q127" i="9"/>
  <c r="B121" i="27"/>
  <c r="L119" i="24"/>
  <c r="M132" i="5"/>
  <c r="Q131" i="5"/>
  <c r="C128" i="25"/>
  <c r="G127" i="25"/>
  <c r="M120" i="23"/>
  <c r="Q119" i="23"/>
  <c r="B119" i="26"/>
  <c r="M125" i="21"/>
  <c r="Q124" i="21"/>
  <c r="B119" i="7"/>
  <c r="B119" i="25"/>
  <c r="C118" i="17"/>
  <c r="G117" i="17"/>
  <c r="L120" i="8"/>
  <c r="B119" i="19"/>
  <c r="M129" i="7"/>
  <c r="Q128" i="7"/>
  <c r="L119" i="13"/>
  <c r="M133" i="24"/>
  <c r="Q132" i="24"/>
  <c r="L120" i="25"/>
  <c r="L120" i="15"/>
  <c r="C120" i="26"/>
  <c r="G119" i="26"/>
  <c r="B121" i="8"/>
  <c r="C123" i="11"/>
  <c r="G122" i="11"/>
  <c r="B119" i="13"/>
  <c r="M119" i="25"/>
  <c r="Q118" i="25"/>
  <c r="B120" i="11"/>
  <c r="L118" i="27"/>
  <c r="L119" i="9"/>
  <c r="C121" i="13"/>
  <c r="G120" i="13"/>
  <c r="Q120" i="20"/>
  <c r="M121" i="20"/>
  <c r="Q117" i="17"/>
  <c r="M118" i="17"/>
  <c r="Q138" i="11"/>
  <c r="M139" i="11"/>
  <c r="B122" i="3"/>
  <c r="A121" i="3" s="1"/>
  <c r="Q121" i="4"/>
  <c r="M122" i="4"/>
  <c r="M122" i="8"/>
  <c r="Q121" i="8"/>
  <c r="L120" i="3"/>
  <c r="B120" i="20"/>
  <c r="G118" i="3"/>
  <c r="C119" i="3"/>
  <c r="C123" i="15"/>
  <c r="G122" i="15"/>
  <c r="B124" i="23"/>
  <c r="G117" i="9"/>
  <c r="C118" i="9"/>
  <c r="G118" i="19"/>
  <c r="C119" i="19"/>
  <c r="M120" i="13"/>
  <c r="Q119" i="13"/>
  <c r="C132" i="27"/>
  <c r="G131" i="27"/>
  <c r="L119" i="21"/>
  <c r="C120" i="21"/>
  <c r="G119" i="21"/>
  <c r="C121" i="20"/>
  <c r="G120" i="20"/>
  <c r="L119" i="11"/>
  <c r="C130" i="4"/>
  <c r="G129" i="4"/>
  <c r="C119" i="23"/>
  <c r="G118" i="23"/>
  <c r="Q118" i="19"/>
  <c r="M119" i="19"/>
  <c r="L120" i="17"/>
  <c r="M120" i="15"/>
  <c r="Q119" i="15"/>
  <c r="C119" i="24"/>
  <c r="G118" i="24"/>
  <c r="L121" i="19"/>
  <c r="C122" i="8"/>
  <c r="G121" i="8"/>
  <c r="B119" i="21"/>
  <c r="B121" i="24"/>
  <c r="B118" i="17"/>
  <c r="B124" i="4"/>
  <c r="L127" i="5"/>
  <c r="L121" i="20"/>
  <c r="Q118" i="26"/>
  <c r="M119" i="26"/>
  <c r="C140" i="14"/>
  <c r="G139" i="14"/>
  <c r="L118" i="14"/>
  <c r="C118" i="5"/>
  <c r="G117" i="5"/>
  <c r="M120" i="14"/>
  <c r="Q119" i="14"/>
  <c r="B120" i="15"/>
  <c r="B119" i="14"/>
  <c r="B118" i="5"/>
  <c r="M118" i="27"/>
  <c r="Q117" i="27"/>
  <c r="B118" i="9"/>
  <c r="L119" i="4"/>
  <c r="M121" i="3"/>
  <c r="Q120" i="3"/>
  <c r="L122" i="19" l="1"/>
  <c r="K121" i="19"/>
  <c r="C124" i="15"/>
  <c r="G123" i="15"/>
  <c r="M129" i="9"/>
  <c r="Q128" i="9"/>
  <c r="B119" i="5"/>
  <c r="C120" i="3"/>
  <c r="G119" i="3"/>
  <c r="M123" i="4"/>
  <c r="Q122" i="4"/>
  <c r="C122" i="13"/>
  <c r="G121" i="13"/>
  <c r="M130" i="7"/>
  <c r="Q129" i="7"/>
  <c r="C120" i="7"/>
  <c r="G119" i="7"/>
  <c r="C124" i="11"/>
  <c r="G123" i="11"/>
  <c r="L121" i="25"/>
  <c r="M133" i="5"/>
  <c r="Q132" i="5"/>
  <c r="B120" i="14"/>
  <c r="M121" i="13"/>
  <c r="Q120" i="13"/>
  <c r="L120" i="9"/>
  <c r="B122" i="8"/>
  <c r="B120" i="19"/>
  <c r="L121" i="26"/>
  <c r="B12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L119" i="27"/>
  <c r="Q125" i="21"/>
  <c r="M126" i="21"/>
  <c r="L120" i="7"/>
  <c r="L120" i="11"/>
  <c r="G119" i="19"/>
  <c r="C120" i="19"/>
  <c r="B121" i="15"/>
  <c r="L121" i="8"/>
  <c r="L120" i="24"/>
  <c r="B122" i="24"/>
  <c r="G121" i="20"/>
  <c r="C122" i="20"/>
  <c r="G118" i="9"/>
  <c r="C119" i="9"/>
  <c r="C121" i="26"/>
  <c r="G120" i="26"/>
  <c r="B120" i="26"/>
  <c r="C120" i="24"/>
  <c r="G119" i="24"/>
  <c r="Q121" i="3"/>
  <c r="M122" i="3"/>
  <c r="M120" i="26"/>
  <c r="Q119" i="26"/>
  <c r="B120" i="21"/>
  <c r="L122" i="20"/>
  <c r="K121" i="20"/>
  <c r="L121" i="17"/>
  <c r="L128" i="5"/>
  <c r="M140" i="11"/>
  <c r="Q139" i="11"/>
  <c r="Q120" i="14"/>
  <c r="M121" i="14"/>
  <c r="M120" i="19"/>
  <c r="Q119" i="19"/>
  <c r="B121" i="20"/>
  <c r="B121" i="11"/>
  <c r="M121" i="23"/>
  <c r="Q120" i="23"/>
  <c r="B122" i="27"/>
  <c r="A121" i="27"/>
  <c r="C133" i="27"/>
  <c r="G132" i="27"/>
  <c r="M121" i="15"/>
  <c r="Q120" i="15"/>
  <c r="L120" i="4"/>
  <c r="L121" i="15"/>
  <c r="M134" i="24"/>
  <c r="Q133" i="24"/>
  <c r="L120" i="23"/>
  <c r="M119" i="27"/>
  <c r="Q118" i="27"/>
  <c r="C131" i="4"/>
  <c r="G130" i="4"/>
  <c r="M119" i="17"/>
  <c r="Q118" i="17"/>
  <c r="L120" i="13"/>
  <c r="C119" i="17"/>
  <c r="G118" i="17"/>
  <c r="G140" i="14"/>
  <c r="C141" i="14"/>
  <c r="L121" i="3"/>
  <c r="M120" i="25"/>
  <c r="Q119" i="25"/>
  <c r="B120" i="25"/>
  <c r="B119" i="9"/>
  <c r="B125" i="4"/>
  <c r="C119" i="5"/>
  <c r="G118" i="5"/>
  <c r="C121" i="21"/>
  <c r="G120" i="21"/>
  <c r="L119" i="14"/>
  <c r="B119" i="17"/>
  <c r="C123" i="8"/>
  <c r="G122" i="8"/>
  <c r="C120" i="23"/>
  <c r="G119" i="23"/>
  <c r="L120" i="21"/>
  <c r="B125" i="23"/>
  <c r="C129" i="25"/>
  <c r="G128" i="25"/>
  <c r="M123" i="8"/>
  <c r="Q122" i="8"/>
  <c r="Q121" i="20"/>
  <c r="M122" i="20"/>
  <c r="B120" i="13"/>
  <c r="B120" i="7"/>
  <c r="L121" i="9" l="1"/>
  <c r="L12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96" i="20"/>
  <c r="K97" i="20"/>
  <c r="K98" i="20"/>
  <c r="K99" i="20"/>
  <c r="K100" i="20"/>
  <c r="K101" i="20"/>
  <c r="K102" i="20"/>
  <c r="K103" i="20"/>
  <c r="K104" i="20"/>
  <c r="K105" i="20"/>
  <c r="K106" i="20"/>
  <c r="K107" i="20"/>
  <c r="K108" i="20"/>
  <c r="K109" i="20"/>
  <c r="K110" i="20"/>
  <c r="K111" i="20"/>
  <c r="K112" i="20"/>
  <c r="K113" i="20"/>
  <c r="K114" i="20"/>
  <c r="K115" i="20"/>
  <c r="K116" i="20"/>
  <c r="K117" i="20"/>
  <c r="K118" i="20"/>
  <c r="K119" i="20"/>
  <c r="K120" i="20"/>
  <c r="M134" i="5"/>
  <c r="Q133" i="5"/>
  <c r="C123" i="13"/>
  <c r="G122" i="13"/>
  <c r="L121" i="4"/>
  <c r="B122" i="11"/>
  <c r="A121" i="11" s="1"/>
  <c r="B121" i="21"/>
  <c r="C120" i="9"/>
  <c r="G119" i="9"/>
  <c r="Q121" i="13"/>
  <c r="M122" i="13"/>
  <c r="C120" i="17"/>
  <c r="G119" i="17"/>
  <c r="L122" i="25"/>
  <c r="M124" i="4"/>
  <c r="Q123" i="4"/>
  <c r="M130" i="9"/>
  <c r="Q129" i="9"/>
  <c r="L121" i="13"/>
  <c r="M120" i="27"/>
  <c r="Q119" i="27"/>
  <c r="Q121" i="15"/>
  <c r="M122" i="15"/>
  <c r="B122" i="20"/>
  <c r="M121" i="26"/>
  <c r="Q120" i="26"/>
  <c r="C125" i="11"/>
  <c r="G124" i="11"/>
  <c r="G120" i="3"/>
  <c r="C121" i="3"/>
  <c r="C123" i="20"/>
  <c r="G122" i="20"/>
  <c r="Q122" i="3"/>
  <c r="M123" i="3"/>
  <c r="B12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B124" i="3"/>
  <c r="B121" i="14"/>
  <c r="L121" i="23"/>
  <c r="C134" i="27"/>
  <c r="G133" i="27"/>
  <c r="A121" i="24"/>
  <c r="C121" i="19"/>
  <c r="G120" i="19"/>
  <c r="B121" i="25"/>
  <c r="C122" i="21"/>
  <c r="G121" i="21"/>
  <c r="L121" i="24"/>
  <c r="B120" i="5"/>
  <c r="C121" i="24"/>
  <c r="G120" i="24"/>
  <c r="L121" i="11"/>
  <c r="L122" i="26"/>
  <c r="K121" i="26"/>
  <c r="M121" i="25"/>
  <c r="Q120" i="25"/>
  <c r="Q120" i="19"/>
  <c r="M121" i="19"/>
  <c r="L122" i="8"/>
  <c r="C121" i="7"/>
  <c r="G120" i="7"/>
  <c r="B121" i="19"/>
  <c r="C125" i="15"/>
  <c r="G124" i="15"/>
  <c r="L120" i="14"/>
  <c r="M120" i="17"/>
  <c r="Q119" i="17"/>
  <c r="G131" i="4"/>
  <c r="C132" i="4"/>
  <c r="M141" i="11"/>
  <c r="Q140" i="11"/>
  <c r="L121" i="21"/>
  <c r="C121" i="23"/>
  <c r="G120" i="23"/>
  <c r="M122" i="14"/>
  <c r="Q121" i="14"/>
  <c r="L129" i="5"/>
  <c r="B121" i="26"/>
  <c r="M127" i="21"/>
  <c r="Q126" i="21"/>
  <c r="B12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B121" i="7"/>
  <c r="B126" i="23"/>
  <c r="K121" i="3"/>
  <c r="L122" i="3"/>
  <c r="B123" i="27"/>
  <c r="A84" i="27"/>
  <c r="A85" i="27"/>
  <c r="A86" i="27"/>
  <c r="A87" i="27"/>
  <c r="A88" i="27"/>
  <c r="A89" i="27"/>
  <c r="A90" i="27"/>
  <c r="A91" i="27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L121" i="7"/>
  <c r="C130" i="25"/>
  <c r="G129" i="25"/>
  <c r="B122" i="15"/>
  <c r="A121" i="15"/>
  <c r="B121" i="13"/>
  <c r="M123" i="20"/>
  <c r="Q122" i="20"/>
  <c r="C120" i="5"/>
  <c r="G119" i="5"/>
  <c r="M124" i="8"/>
  <c r="Q123" i="8"/>
  <c r="B126" i="4"/>
  <c r="C124" i="8"/>
  <c r="G123" i="8"/>
  <c r="C142" i="14"/>
  <c r="G141" i="14"/>
  <c r="M135" i="24"/>
  <c r="Q134" i="24"/>
  <c r="B120" i="9"/>
  <c r="L122" i="15"/>
  <c r="K121" i="15" s="1"/>
  <c r="M122" i="23"/>
  <c r="Q121" i="23"/>
  <c r="K121" i="17"/>
  <c r="L122" i="17"/>
  <c r="A121" i="8"/>
  <c r="M131" i="7"/>
  <c r="Q130" i="7"/>
  <c r="B120" i="17"/>
  <c r="C122" i="26"/>
  <c r="G121" i="26"/>
  <c r="L120" i="27"/>
  <c r="L123" i="19"/>
  <c r="K84" i="19"/>
  <c r="K85" i="19"/>
  <c r="K86" i="19"/>
  <c r="K87" i="19"/>
  <c r="K88" i="19"/>
  <c r="K89" i="19"/>
  <c r="K90" i="19"/>
  <c r="K91" i="19"/>
  <c r="K92" i="19"/>
  <c r="K93" i="19"/>
  <c r="K94" i="19"/>
  <c r="K95" i="19"/>
  <c r="K96" i="19"/>
  <c r="K97" i="19"/>
  <c r="K98" i="19"/>
  <c r="K99" i="19"/>
  <c r="K100" i="19"/>
  <c r="K101" i="19"/>
  <c r="K102" i="19"/>
  <c r="K103" i="19"/>
  <c r="K104" i="19"/>
  <c r="K105" i="19"/>
  <c r="K106" i="19"/>
  <c r="K107" i="19"/>
  <c r="K108" i="19"/>
  <c r="K109" i="19"/>
  <c r="K110" i="19"/>
  <c r="K111" i="19"/>
  <c r="K112" i="19"/>
  <c r="K113" i="19"/>
  <c r="K114" i="19"/>
  <c r="K115" i="19"/>
  <c r="K116" i="19"/>
  <c r="K117" i="19"/>
  <c r="K118" i="19"/>
  <c r="K119" i="19"/>
  <c r="K120" i="19"/>
  <c r="C122" i="7" l="1"/>
  <c r="G121" i="7"/>
  <c r="M123" i="15"/>
  <c r="Q122" i="15"/>
  <c r="M122" i="19"/>
  <c r="Q121" i="19"/>
  <c r="L122" i="24"/>
  <c r="B122" i="14"/>
  <c r="A121" i="14"/>
  <c r="C122" i="3"/>
  <c r="G121" i="3"/>
  <c r="M123" i="13"/>
  <c r="Q122" i="13"/>
  <c r="L12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C122" i="23"/>
  <c r="G121" i="23"/>
  <c r="C122" i="19"/>
  <c r="G121" i="19"/>
  <c r="Q134" i="5"/>
  <c r="M135" i="5"/>
  <c r="M125" i="8"/>
  <c r="Q124" i="8"/>
  <c r="L12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111" i="26"/>
  <c r="K112" i="26"/>
  <c r="K113" i="26"/>
  <c r="K114" i="26"/>
  <c r="K115" i="26"/>
  <c r="K116" i="26"/>
  <c r="K117" i="26"/>
  <c r="K118" i="26"/>
  <c r="K119" i="26"/>
  <c r="K120" i="26"/>
  <c r="B125" i="3"/>
  <c r="M131" i="9"/>
  <c r="Q130" i="9"/>
  <c r="C123" i="26"/>
  <c r="G122" i="26"/>
  <c r="L12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B127" i="4"/>
  <c r="L122" i="21"/>
  <c r="K121" i="21"/>
  <c r="G120" i="9"/>
  <c r="C121" i="9"/>
  <c r="B122" i="26"/>
  <c r="A121" i="26"/>
  <c r="L122" i="11"/>
  <c r="K121" i="11"/>
  <c r="C126" i="11"/>
  <c r="G125" i="11"/>
  <c r="C131" i="25"/>
  <c r="G130" i="25"/>
  <c r="B124" i="8"/>
  <c r="B121" i="17"/>
  <c r="C126" i="15"/>
  <c r="G125" i="15"/>
  <c r="B127" i="23"/>
  <c r="Q141" i="11"/>
  <c r="M142" i="11"/>
  <c r="B122" i="21"/>
  <c r="C133" i="4"/>
  <c r="G132" i="4"/>
  <c r="C122" i="24"/>
  <c r="G121" i="24"/>
  <c r="M125" i="4"/>
  <c r="Q124" i="4"/>
  <c r="B12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G122" i="21"/>
  <c r="C123" i="21"/>
  <c r="B122" i="7"/>
  <c r="A121" i="7"/>
  <c r="B122" i="19"/>
  <c r="A121" i="19"/>
  <c r="M122" i="26"/>
  <c r="Q121" i="26"/>
  <c r="L123" i="25"/>
  <c r="K84" i="25"/>
  <c r="K85" i="25"/>
  <c r="K86" i="25"/>
  <c r="K87" i="25"/>
  <c r="K88" i="25"/>
  <c r="K89" i="25"/>
  <c r="K90" i="25"/>
  <c r="K91" i="25"/>
  <c r="K92" i="25"/>
  <c r="K93" i="25"/>
  <c r="K94" i="25"/>
  <c r="K95" i="25"/>
  <c r="K96" i="25"/>
  <c r="K97" i="25"/>
  <c r="K98" i="25"/>
  <c r="K99" i="25"/>
  <c r="K100" i="25"/>
  <c r="K101" i="25"/>
  <c r="K102" i="25"/>
  <c r="K103" i="25"/>
  <c r="K104" i="25"/>
  <c r="K105" i="25"/>
  <c r="K106" i="25"/>
  <c r="K107" i="25"/>
  <c r="K108" i="25"/>
  <c r="K109" i="25"/>
  <c r="K110" i="25"/>
  <c r="K111" i="25"/>
  <c r="K112" i="25"/>
  <c r="K113" i="25"/>
  <c r="K114" i="25"/>
  <c r="K115" i="25"/>
  <c r="K116" i="25"/>
  <c r="K117" i="25"/>
  <c r="K118" i="25"/>
  <c r="K119" i="25"/>
  <c r="K120" i="25"/>
  <c r="L124" i="19"/>
  <c r="C121" i="5"/>
  <c r="G120" i="5"/>
  <c r="M121" i="17"/>
  <c r="Q120" i="17"/>
  <c r="C135" i="27"/>
  <c r="G134" i="27"/>
  <c r="B124" i="24"/>
  <c r="B123" i="20"/>
  <c r="A84" i="20"/>
  <c r="A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98" i="20"/>
  <c r="A99" i="20"/>
  <c r="A100" i="20"/>
  <c r="A101" i="20"/>
  <c r="A102" i="20"/>
  <c r="A103" i="20"/>
  <c r="A104" i="20"/>
  <c r="A105" i="20"/>
  <c r="A106" i="20"/>
  <c r="A107" i="20"/>
  <c r="A108" i="20"/>
  <c r="A109" i="20"/>
  <c r="A110" i="20"/>
  <c r="A111" i="20"/>
  <c r="A112" i="20"/>
  <c r="A113" i="20"/>
  <c r="A114" i="20"/>
  <c r="A115" i="20"/>
  <c r="A116" i="20"/>
  <c r="A117" i="20"/>
  <c r="A118" i="20"/>
  <c r="A119" i="20"/>
  <c r="A120" i="20"/>
  <c r="K121" i="25"/>
  <c r="L122" i="4"/>
  <c r="K121" i="4"/>
  <c r="B121" i="9"/>
  <c r="M128" i="21"/>
  <c r="Q127" i="21"/>
  <c r="L122" i="7"/>
  <c r="K121" i="7" s="1"/>
  <c r="L121" i="27"/>
  <c r="L12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M124" i="20"/>
  <c r="Q123" i="20"/>
  <c r="L121" i="14"/>
  <c r="Q121" i="25"/>
  <c r="M122" i="25"/>
  <c r="B122" i="25"/>
  <c r="A121" i="25"/>
  <c r="K121" i="23"/>
  <c r="L122" i="23"/>
  <c r="M124" i="3"/>
  <c r="Q123" i="3"/>
  <c r="A121" i="20"/>
  <c r="L124" i="20"/>
  <c r="B121" i="5"/>
  <c r="C121" i="17"/>
  <c r="G120" i="17"/>
  <c r="L12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C143" i="14"/>
  <c r="G142" i="14"/>
  <c r="L130" i="5"/>
  <c r="K121" i="8"/>
  <c r="M136" i="24"/>
  <c r="Q135" i="24"/>
  <c r="B122" i="13"/>
  <c r="A121" i="13"/>
  <c r="M121" i="27"/>
  <c r="Q120" i="27"/>
  <c r="M132" i="7"/>
  <c r="Q131" i="7"/>
  <c r="M123" i="23"/>
  <c r="Q122" i="23"/>
  <c r="C125" i="8"/>
  <c r="G124" i="8"/>
  <c r="B12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B124" i="27"/>
  <c r="M123" i="14"/>
  <c r="Q122" i="14"/>
  <c r="C124" i="20"/>
  <c r="G123" i="20"/>
  <c r="L122" i="13"/>
  <c r="K121" i="13"/>
  <c r="C124" i="13"/>
  <c r="G123" i="13"/>
  <c r="L122" i="9"/>
  <c r="M125" i="3" l="1"/>
  <c r="Q124" i="3"/>
  <c r="B128" i="4"/>
  <c r="B124" i="15"/>
  <c r="L123" i="23"/>
  <c r="K84" i="23"/>
  <c r="K85" i="23"/>
  <c r="K86" i="23"/>
  <c r="K87" i="23"/>
  <c r="K88" i="23"/>
  <c r="K89" i="23"/>
  <c r="K90" i="23"/>
  <c r="K91" i="23"/>
  <c r="K92" i="23"/>
  <c r="K93" i="23"/>
  <c r="K94" i="23"/>
  <c r="K95" i="23"/>
  <c r="K96" i="23"/>
  <c r="K97" i="23"/>
  <c r="K98" i="23"/>
  <c r="K99" i="23"/>
  <c r="K100" i="23"/>
  <c r="K101" i="23"/>
  <c r="K102" i="23"/>
  <c r="K103" i="23"/>
  <c r="K104" i="23"/>
  <c r="K105" i="23"/>
  <c r="K106" i="23"/>
  <c r="K107" i="23"/>
  <c r="K108" i="23"/>
  <c r="K109" i="23"/>
  <c r="K110" i="23"/>
  <c r="K111" i="23"/>
  <c r="K112" i="23"/>
  <c r="K113" i="23"/>
  <c r="K114" i="23"/>
  <c r="K115" i="23"/>
  <c r="K116" i="23"/>
  <c r="K117" i="23"/>
  <c r="K118" i="23"/>
  <c r="K119" i="23"/>
  <c r="K120" i="23"/>
  <c r="L12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Q121" i="17"/>
  <c r="M122" i="17"/>
  <c r="M123" i="26"/>
  <c r="Q122" i="26"/>
  <c r="M143" i="11"/>
  <c r="Q142" i="11"/>
  <c r="L12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M132" i="9"/>
  <c r="Q131" i="9"/>
  <c r="M124" i="13"/>
  <c r="Q123" i="13"/>
  <c r="B123" i="25"/>
  <c r="A84" i="25"/>
  <c r="A85" i="25"/>
  <c r="A86" i="25"/>
  <c r="A87" i="25"/>
  <c r="A88" i="25"/>
  <c r="A89" i="25"/>
  <c r="A90" i="25"/>
  <c r="A91" i="25"/>
  <c r="A92" i="25"/>
  <c r="A93" i="25"/>
  <c r="A94" i="25"/>
  <c r="A95" i="25"/>
  <c r="A96" i="25"/>
  <c r="A97" i="25"/>
  <c r="A98" i="25"/>
  <c r="A99" i="25"/>
  <c r="A100" i="25"/>
  <c r="A101" i="25"/>
  <c r="A102" i="25"/>
  <c r="A103" i="25"/>
  <c r="A104" i="25"/>
  <c r="A105" i="25"/>
  <c r="A106" i="25"/>
  <c r="A107" i="25"/>
  <c r="A108" i="25"/>
  <c r="A109" i="25"/>
  <c r="A110" i="25"/>
  <c r="A111" i="25"/>
  <c r="A112" i="25"/>
  <c r="A113" i="25"/>
  <c r="A114" i="25"/>
  <c r="A115" i="25"/>
  <c r="A116" i="25"/>
  <c r="A117" i="25"/>
  <c r="A118" i="25"/>
  <c r="A119" i="25"/>
  <c r="A120" i="25"/>
  <c r="L124" i="17"/>
  <c r="C122" i="5"/>
  <c r="G121" i="5"/>
  <c r="B12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B124" i="11"/>
  <c r="B128" i="23"/>
  <c r="B126" i="3"/>
  <c r="C123" i="3"/>
  <c r="G122" i="3"/>
  <c r="L12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B12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K121" i="9"/>
  <c r="L131" i="5"/>
  <c r="C122" i="17"/>
  <c r="G121" i="17"/>
  <c r="Q122" i="25"/>
  <c r="M123" i="25"/>
  <c r="K121" i="27"/>
  <c r="L122" i="27"/>
  <c r="G122" i="19"/>
  <c r="C123" i="19"/>
  <c r="M124" i="23"/>
  <c r="Q123" i="23"/>
  <c r="L125" i="19"/>
  <c r="M126" i="4"/>
  <c r="Q125" i="4"/>
  <c r="B12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C125" i="13"/>
  <c r="G124" i="13"/>
  <c r="M137" i="24"/>
  <c r="Q136" i="24"/>
  <c r="K121" i="14"/>
  <c r="L122" i="14"/>
  <c r="L12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B124" i="20"/>
  <c r="G133" i="4"/>
  <c r="C134" i="4"/>
  <c r="C123" i="23"/>
  <c r="G122" i="23"/>
  <c r="L123" i="24"/>
  <c r="K84" i="24"/>
  <c r="K85" i="24"/>
  <c r="K86" i="24"/>
  <c r="K87" i="24"/>
  <c r="K88" i="24"/>
  <c r="K89" i="24"/>
  <c r="K90" i="24"/>
  <c r="K91" i="24"/>
  <c r="K92" i="24"/>
  <c r="K93" i="24"/>
  <c r="K94" i="24"/>
  <c r="K95" i="24"/>
  <c r="K96" i="24"/>
  <c r="K97" i="24"/>
  <c r="K98" i="24"/>
  <c r="K99" i="24"/>
  <c r="K100" i="24"/>
  <c r="K101" i="24"/>
  <c r="K102" i="24"/>
  <c r="K103" i="24"/>
  <c r="K104" i="24"/>
  <c r="K105" i="24"/>
  <c r="K106" i="24"/>
  <c r="K107" i="24"/>
  <c r="K108" i="24"/>
  <c r="K109" i="24"/>
  <c r="K110" i="24"/>
  <c r="K111" i="24"/>
  <c r="K112" i="24"/>
  <c r="K113" i="24"/>
  <c r="K114" i="24"/>
  <c r="K115" i="24"/>
  <c r="K116" i="24"/>
  <c r="K117" i="24"/>
  <c r="K118" i="24"/>
  <c r="K119" i="24"/>
  <c r="K120" i="24"/>
  <c r="B125" i="24"/>
  <c r="B12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B12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A120" i="21"/>
  <c r="C127" i="15"/>
  <c r="G126" i="15"/>
  <c r="K121" i="24"/>
  <c r="M124" i="14"/>
  <c r="Q123" i="14"/>
  <c r="B122" i="5"/>
  <c r="C124" i="21"/>
  <c r="G123" i="21"/>
  <c r="A121" i="21"/>
  <c r="B125" i="8"/>
  <c r="B12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L124" i="26"/>
  <c r="M123" i="19"/>
  <c r="Q122" i="19"/>
  <c r="C126" i="8"/>
  <c r="G125" i="8"/>
  <c r="L12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L124" i="15"/>
  <c r="C136" i="27"/>
  <c r="G135" i="27"/>
  <c r="B122" i="17"/>
  <c r="C122" i="9"/>
  <c r="G121" i="9"/>
  <c r="M133" i="7"/>
  <c r="Q132" i="7"/>
  <c r="M122" i="27"/>
  <c r="Q121" i="27"/>
  <c r="L125" i="20"/>
  <c r="M125" i="20"/>
  <c r="Q124" i="20"/>
  <c r="M129" i="21"/>
  <c r="Q128" i="21"/>
  <c r="C132" i="25"/>
  <c r="G131" i="25"/>
  <c r="C124" i="26"/>
  <c r="G123" i="26"/>
  <c r="M124" i="15"/>
  <c r="Q123" i="15"/>
  <c r="B125" i="27"/>
  <c r="C123" i="24"/>
  <c r="G122" i="24"/>
  <c r="M126" i="8"/>
  <c r="Q125" i="8"/>
  <c r="L124" i="3"/>
  <c r="C144" i="14"/>
  <c r="G143" i="14"/>
  <c r="C125" i="20"/>
  <c r="G124" i="20"/>
  <c r="L124" i="8"/>
  <c r="B122" i="9"/>
  <c r="L124" i="25"/>
  <c r="C127" i="11"/>
  <c r="G126" i="11"/>
  <c r="L123" i="21"/>
  <c r="K84" i="21"/>
  <c r="K85" i="21"/>
  <c r="K86" i="21"/>
  <c r="K87" i="21"/>
  <c r="K88" i="21"/>
  <c r="K89" i="21"/>
  <c r="K90" i="21"/>
  <c r="K91" i="21"/>
  <c r="K92" i="21"/>
  <c r="K93" i="21"/>
  <c r="K94" i="21"/>
  <c r="K95" i="21"/>
  <c r="K96" i="21"/>
  <c r="K97" i="21"/>
  <c r="K98" i="21"/>
  <c r="K99" i="21"/>
  <c r="K100" i="21"/>
  <c r="K101" i="21"/>
  <c r="K102" i="21"/>
  <c r="K103" i="21"/>
  <c r="K104" i="21"/>
  <c r="K105" i="21"/>
  <c r="K106" i="21"/>
  <c r="K107" i="21"/>
  <c r="K108" i="21"/>
  <c r="K109" i="21"/>
  <c r="K110" i="21"/>
  <c r="K111" i="21"/>
  <c r="K112" i="21"/>
  <c r="K113" i="21"/>
  <c r="K114" i="21"/>
  <c r="K115" i="21"/>
  <c r="K116" i="21"/>
  <c r="K117" i="21"/>
  <c r="K118" i="21"/>
  <c r="K119" i="21"/>
  <c r="K120" i="21"/>
  <c r="M136" i="5"/>
  <c r="Q135" i="5"/>
  <c r="C123" i="7"/>
  <c r="G122" i="7"/>
  <c r="B123" i="9" l="1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L125" i="8"/>
  <c r="B12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C124" i="23"/>
  <c r="G123" i="23"/>
  <c r="B129" i="23"/>
  <c r="B12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L124" i="24"/>
  <c r="B124" i="26"/>
  <c r="M125" i="23"/>
  <c r="Q124" i="23"/>
  <c r="M124" i="25"/>
  <c r="Q123" i="25"/>
  <c r="B124" i="21"/>
  <c r="L124" i="7"/>
  <c r="C137" i="27"/>
  <c r="G136" i="27"/>
  <c r="L124" i="13"/>
  <c r="M125" i="14"/>
  <c r="Q124" i="14"/>
  <c r="C135" i="4"/>
  <c r="G134" i="4"/>
  <c r="C124" i="19"/>
  <c r="G123" i="19"/>
  <c r="M133" i="9"/>
  <c r="Q132" i="9"/>
  <c r="B129" i="4"/>
  <c r="C124" i="7"/>
  <c r="G123" i="7"/>
  <c r="C123" i="17"/>
  <c r="G122" i="17"/>
  <c r="L124" i="9"/>
  <c r="L124" i="4"/>
  <c r="C127" i="8"/>
  <c r="G126" i="8"/>
  <c r="L124" i="21"/>
  <c r="L132" i="5"/>
  <c r="B125" i="11"/>
  <c r="B124" i="25"/>
  <c r="M123" i="27"/>
  <c r="Q122" i="27"/>
  <c r="B126" i="27"/>
  <c r="M134" i="7"/>
  <c r="Q133" i="7"/>
  <c r="G124" i="21"/>
  <c r="C125" i="21"/>
  <c r="B124" i="7"/>
  <c r="L125" i="26"/>
  <c r="L126" i="20"/>
  <c r="G123" i="24"/>
  <c r="C124" i="24"/>
  <c r="B126" i="8"/>
  <c r="C126" i="20"/>
  <c r="G125" i="20"/>
  <c r="L125" i="15"/>
  <c r="B126" i="24"/>
  <c r="B125" i="20"/>
  <c r="B124" i="14"/>
  <c r="A121" i="17"/>
  <c r="C128" i="11"/>
  <c r="G127" i="11"/>
  <c r="C145" i="14"/>
  <c r="G144" i="14"/>
  <c r="M124" i="19"/>
  <c r="Q123" i="19"/>
  <c r="C128" i="15"/>
  <c r="G127" i="15"/>
  <c r="L124" i="11"/>
  <c r="L125" i="3"/>
  <c r="M130" i="21"/>
  <c r="Q129" i="21"/>
  <c r="M138" i="24"/>
  <c r="Q137" i="24"/>
  <c r="M127" i="4"/>
  <c r="Q126" i="4"/>
  <c r="M144" i="11"/>
  <c r="Q143" i="11"/>
  <c r="L124" i="23"/>
  <c r="B124" i="19"/>
  <c r="M126" i="3"/>
  <c r="Q125" i="3"/>
  <c r="C123" i="9"/>
  <c r="G122" i="9"/>
  <c r="A121" i="9"/>
  <c r="C125" i="26"/>
  <c r="G124" i="26"/>
  <c r="M126" i="20"/>
  <c r="Q125" i="20"/>
  <c r="L126" i="19"/>
  <c r="C124" i="3"/>
  <c r="G123" i="3"/>
  <c r="M124" i="26"/>
  <c r="Q123" i="26"/>
  <c r="L125" i="25"/>
  <c r="M127" i="8"/>
  <c r="Q126" i="8"/>
  <c r="C123" i="5"/>
  <c r="G122" i="5"/>
  <c r="M123" i="17"/>
  <c r="Q122" i="17"/>
  <c r="M125" i="15"/>
  <c r="Q124" i="15"/>
  <c r="Q124" i="13"/>
  <c r="M125" i="13"/>
  <c r="C126" i="13"/>
  <c r="G125" i="13"/>
  <c r="B124" i="13"/>
  <c r="Q136" i="5"/>
  <c r="M137" i="5"/>
  <c r="C133" i="25"/>
  <c r="G132" i="25"/>
  <c r="A121" i="5"/>
  <c r="L12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L123" i="27"/>
  <c r="K84" i="27"/>
  <c r="K85" i="27"/>
  <c r="K86" i="27"/>
  <c r="K87" i="27"/>
  <c r="K88" i="27"/>
  <c r="K89" i="27"/>
  <c r="K90" i="27"/>
  <c r="K91" i="27"/>
  <c r="K92" i="27"/>
  <c r="K93" i="27"/>
  <c r="K94" i="27"/>
  <c r="K95" i="27"/>
  <c r="K96" i="27"/>
  <c r="K97" i="27"/>
  <c r="K98" i="27"/>
  <c r="K99" i="27"/>
  <c r="K100" i="27"/>
  <c r="K101" i="27"/>
  <c r="K102" i="27"/>
  <c r="K103" i="27"/>
  <c r="K104" i="27"/>
  <c r="K105" i="27"/>
  <c r="K106" i="27"/>
  <c r="K107" i="27"/>
  <c r="K108" i="27"/>
  <c r="K109" i="27"/>
  <c r="K110" i="27"/>
  <c r="K111" i="27"/>
  <c r="K112" i="27"/>
  <c r="K113" i="27"/>
  <c r="K114" i="27"/>
  <c r="K115" i="27"/>
  <c r="K116" i="27"/>
  <c r="K117" i="27"/>
  <c r="K118" i="27"/>
  <c r="K119" i="27"/>
  <c r="K120" i="27"/>
  <c r="B127" i="3"/>
  <c r="L125" i="17"/>
  <c r="B125" i="15"/>
  <c r="B127" i="8" l="1"/>
  <c r="C136" i="4"/>
  <c r="G135" i="4"/>
  <c r="L125" i="24"/>
  <c r="B125" i="13"/>
  <c r="M145" i="11"/>
  <c r="Q144" i="11"/>
  <c r="G145" i="14"/>
  <c r="C146" i="14"/>
  <c r="B126" i="15"/>
  <c r="M124" i="17"/>
  <c r="Q123" i="17"/>
  <c r="G124" i="24"/>
  <c r="C125" i="24"/>
  <c r="M135" i="7"/>
  <c r="Q134" i="7"/>
  <c r="L124" i="14"/>
  <c r="C125" i="3"/>
  <c r="G124" i="3"/>
  <c r="B127" i="27"/>
  <c r="L125" i="4"/>
  <c r="G123" i="5"/>
  <c r="C124" i="5"/>
  <c r="G123" i="9"/>
  <c r="C124" i="9"/>
  <c r="L127" i="20"/>
  <c r="L125" i="9"/>
  <c r="L125" i="13"/>
  <c r="B124" i="5"/>
  <c r="C129" i="11"/>
  <c r="G128" i="11"/>
  <c r="L126" i="15"/>
  <c r="B128" i="3"/>
  <c r="L127" i="19"/>
  <c r="L126" i="26"/>
  <c r="M124" i="27"/>
  <c r="Q123" i="27"/>
  <c r="L125" i="21"/>
  <c r="M127" i="3"/>
  <c r="Q126" i="3"/>
  <c r="M128" i="4"/>
  <c r="Q127" i="4"/>
  <c r="L125" i="11"/>
  <c r="C125" i="7"/>
  <c r="G124" i="7"/>
  <c r="C138" i="27"/>
  <c r="G137" i="27"/>
  <c r="B124" i="17"/>
  <c r="M126" i="14"/>
  <c r="Q125" i="14"/>
  <c r="G123" i="17"/>
  <c r="C124" i="17"/>
  <c r="B130" i="4"/>
  <c r="M126" i="13"/>
  <c r="Q125" i="13"/>
  <c r="M139" i="24"/>
  <c r="Q138" i="24"/>
  <c r="C129" i="15"/>
  <c r="G128" i="15"/>
  <c r="B125" i="14"/>
  <c r="B125" i="25"/>
  <c r="C128" i="8"/>
  <c r="G127" i="8"/>
  <c r="M125" i="25"/>
  <c r="Q124" i="25"/>
  <c r="L126" i="8"/>
  <c r="M128" i="8"/>
  <c r="Q127" i="8"/>
  <c r="B125" i="19"/>
  <c r="B130" i="23"/>
  <c r="B126" i="11"/>
  <c r="M126" i="23"/>
  <c r="Q125" i="23"/>
  <c r="L126" i="17"/>
  <c r="L124" i="27"/>
  <c r="B126" i="20"/>
  <c r="M134" i="9"/>
  <c r="Q133" i="9"/>
  <c r="M131" i="21"/>
  <c r="Q130" i="21"/>
  <c r="M125" i="19"/>
  <c r="Q124" i="19"/>
  <c r="G126" i="20"/>
  <c r="C127" i="20"/>
  <c r="B125" i="7"/>
  <c r="C125" i="23"/>
  <c r="G124" i="23"/>
  <c r="L133" i="5"/>
  <c r="L125" i="7"/>
  <c r="B125" i="26"/>
  <c r="C127" i="13"/>
  <c r="G126" i="13"/>
  <c r="L126" i="25"/>
  <c r="C134" i="25"/>
  <c r="G133" i="25"/>
  <c r="M127" i="20"/>
  <c r="Q126" i="20"/>
  <c r="M138" i="5"/>
  <c r="Q137" i="5"/>
  <c r="M126" i="15"/>
  <c r="Q125" i="15"/>
  <c r="C126" i="26"/>
  <c r="G125" i="26"/>
  <c r="L126" i="3"/>
  <c r="Q124" i="26"/>
  <c r="M125" i="26"/>
  <c r="L125" i="23"/>
  <c r="B127" i="24"/>
  <c r="C126" i="21"/>
  <c r="G125" i="21"/>
  <c r="C125" i="19"/>
  <c r="G124" i="19"/>
  <c r="B125" i="21"/>
  <c r="B124" i="9"/>
  <c r="M139" i="5" l="1"/>
  <c r="Q138" i="5"/>
  <c r="G125" i="23"/>
  <c r="C126" i="23"/>
  <c r="M127" i="23"/>
  <c r="Q126" i="23"/>
  <c r="B131" i="4"/>
  <c r="L128" i="20"/>
  <c r="B127" i="15"/>
  <c r="B126" i="26"/>
  <c r="B127" i="20"/>
  <c r="B126" i="25"/>
  <c r="B125" i="17"/>
  <c r="C125" i="9"/>
  <c r="G124" i="9"/>
  <c r="C147" i="14"/>
  <c r="G146" i="14"/>
  <c r="L125" i="14"/>
  <c r="B126" i="19"/>
  <c r="G124" i="17"/>
  <c r="C125" i="17"/>
  <c r="C128" i="20"/>
  <c r="G127" i="20"/>
  <c r="L126" i="23"/>
  <c r="Q125" i="26"/>
  <c r="M126" i="26"/>
  <c r="B125" i="9"/>
  <c r="L126" i="7"/>
  <c r="C139" i="27"/>
  <c r="G138" i="27"/>
  <c r="L126" i="21"/>
  <c r="M136" i="7"/>
  <c r="Q135" i="7"/>
  <c r="C126" i="7"/>
  <c r="G125" i="7"/>
  <c r="C126" i="24"/>
  <c r="G125" i="24"/>
  <c r="Q127" i="20"/>
  <c r="M128" i="20"/>
  <c r="B131" i="23"/>
  <c r="M129" i="8"/>
  <c r="Q128" i="8"/>
  <c r="C130" i="11"/>
  <c r="G129" i="11"/>
  <c r="B128" i="8"/>
  <c r="L127" i="15"/>
  <c r="L127" i="25"/>
  <c r="M125" i="27"/>
  <c r="Q124" i="27"/>
  <c r="B125" i="5"/>
  <c r="B126" i="13"/>
  <c r="B129" i="3"/>
  <c r="L125" i="27"/>
  <c r="B126" i="21"/>
  <c r="Q125" i="19"/>
  <c r="M126" i="19"/>
  <c r="B127" i="11"/>
  <c r="L126" i="11"/>
  <c r="G125" i="19"/>
  <c r="C126" i="19"/>
  <c r="Q131" i="21"/>
  <c r="M132" i="21"/>
  <c r="M129" i="4"/>
  <c r="Q128" i="4"/>
  <c r="L127" i="26"/>
  <c r="L126" i="13"/>
  <c r="B128" i="27"/>
  <c r="B126" i="14"/>
  <c r="C130" i="15"/>
  <c r="G129" i="15"/>
  <c r="L134" i="5"/>
  <c r="M140" i="24"/>
  <c r="Q139" i="24"/>
  <c r="L126" i="4"/>
  <c r="L127" i="8"/>
  <c r="B126" i="7"/>
  <c r="C125" i="5"/>
  <c r="G124" i="5"/>
  <c r="M146" i="11"/>
  <c r="Q145" i="11"/>
  <c r="C135" i="25"/>
  <c r="G134" i="25"/>
  <c r="G126" i="26"/>
  <c r="C127" i="26"/>
  <c r="M127" i="15"/>
  <c r="Q126" i="15"/>
  <c r="Q125" i="25"/>
  <c r="M126" i="25"/>
  <c r="M127" i="13"/>
  <c r="Q126" i="13"/>
  <c r="M128" i="3"/>
  <c r="Q127" i="3"/>
  <c r="L127" i="3"/>
  <c r="C127" i="21"/>
  <c r="G126" i="21"/>
  <c r="Q134" i="9"/>
  <c r="M135" i="9"/>
  <c r="L127" i="17"/>
  <c r="L126" i="9"/>
  <c r="M125" i="17"/>
  <c r="Q124" i="17"/>
  <c r="L126" i="24"/>
  <c r="L128" i="19"/>
  <c r="C128" i="13"/>
  <c r="G127" i="13"/>
  <c r="M127" i="14"/>
  <c r="Q126" i="14"/>
  <c r="B128" i="24"/>
  <c r="C129" i="8"/>
  <c r="G128" i="8"/>
  <c r="C126" i="3"/>
  <c r="G125" i="3"/>
  <c r="C137" i="4"/>
  <c r="G136" i="4"/>
  <c r="C129" i="20" l="1"/>
  <c r="G128" i="20"/>
  <c r="B126" i="17"/>
  <c r="M128" i="15"/>
  <c r="Q127" i="15"/>
  <c r="B127" i="7"/>
  <c r="B127" i="21"/>
  <c r="C127" i="7"/>
  <c r="G126" i="7"/>
  <c r="G125" i="17"/>
  <c r="C126" i="17"/>
  <c r="B127" i="25"/>
  <c r="G125" i="5"/>
  <c r="C126" i="5"/>
  <c r="B127" i="14"/>
  <c r="L127" i="7"/>
  <c r="B128" i="20"/>
  <c r="M128" i="23"/>
  <c r="Q127" i="23"/>
  <c r="C131" i="15"/>
  <c r="G130" i="15"/>
  <c r="L128" i="3"/>
  <c r="L128" i="15"/>
  <c r="L126" i="27"/>
  <c r="Q128" i="20"/>
  <c r="M129" i="20"/>
  <c r="B126" i="9"/>
  <c r="B127" i="26"/>
  <c r="L127" i="24"/>
  <c r="C128" i="21"/>
  <c r="G127" i="21"/>
  <c r="M133" i="21"/>
  <c r="Q132" i="21"/>
  <c r="M128" i="14"/>
  <c r="Q127" i="14"/>
  <c r="M126" i="17"/>
  <c r="Q125" i="17"/>
  <c r="L128" i="25"/>
  <c r="C140" i="27"/>
  <c r="G139" i="27"/>
  <c r="C129" i="13"/>
  <c r="G128" i="13"/>
  <c r="G127" i="26"/>
  <c r="C128" i="26"/>
  <c r="M126" i="27"/>
  <c r="Q125" i="27"/>
  <c r="G137" i="4"/>
  <c r="C138" i="4"/>
  <c r="B129" i="8"/>
  <c r="L126" i="14"/>
  <c r="M130" i="8"/>
  <c r="Q129" i="8"/>
  <c r="B127" i="19"/>
  <c r="L127" i="4"/>
  <c r="M137" i="7"/>
  <c r="Q136" i="7"/>
  <c r="B132" i="4"/>
  <c r="C130" i="8"/>
  <c r="G129" i="8"/>
  <c r="B129" i="27"/>
  <c r="C127" i="19"/>
  <c r="G126" i="19"/>
  <c r="M128" i="13"/>
  <c r="Q127" i="13"/>
  <c r="M136" i="9"/>
  <c r="Q135" i="9"/>
  <c r="C136" i="25"/>
  <c r="G135" i="25"/>
  <c r="B132" i="23"/>
  <c r="L127" i="9"/>
  <c r="L128" i="8"/>
  <c r="C127" i="3"/>
  <c r="G126" i="3"/>
  <c r="M129" i="3"/>
  <c r="Q128" i="3"/>
  <c r="L128" i="17"/>
  <c r="M127" i="25"/>
  <c r="Q126" i="25"/>
  <c r="L127" i="13"/>
  <c r="B130" i="3"/>
  <c r="M127" i="26"/>
  <c r="Q126" i="26"/>
  <c r="L129" i="19"/>
  <c r="M141" i="24"/>
  <c r="Q140" i="24"/>
  <c r="L127" i="11"/>
  <c r="B127" i="13"/>
  <c r="C148" i="14"/>
  <c r="G147" i="14"/>
  <c r="B128" i="15"/>
  <c r="C127" i="23"/>
  <c r="G126" i="23"/>
  <c r="L129" i="20"/>
  <c r="B126" i="5"/>
  <c r="C127" i="24"/>
  <c r="G126" i="24"/>
  <c r="L127" i="23"/>
  <c r="C126" i="9"/>
  <c r="G125" i="9"/>
  <c r="L128" i="26"/>
  <c r="C131" i="11"/>
  <c r="G130" i="11"/>
  <c r="L127" i="21"/>
  <c r="M147" i="11"/>
  <c r="Q146" i="11"/>
  <c r="L135" i="5"/>
  <c r="B128" i="11"/>
  <c r="B129" i="24"/>
  <c r="M130" i="4"/>
  <c r="Q129" i="4"/>
  <c r="M127" i="19"/>
  <c r="Q126" i="19"/>
  <c r="M140" i="5"/>
  <c r="Q139" i="5"/>
  <c r="L130" i="20" l="1"/>
  <c r="B131" i="3"/>
  <c r="M131" i="8"/>
  <c r="Q130" i="8"/>
  <c r="B128" i="14"/>
  <c r="B129" i="11"/>
  <c r="L129" i="8"/>
  <c r="C141" i="27"/>
  <c r="G140" i="27"/>
  <c r="B128" i="26"/>
  <c r="L129" i="3"/>
  <c r="L128" i="9"/>
  <c r="B127" i="9"/>
  <c r="B128" i="21"/>
  <c r="L128" i="13"/>
  <c r="L129" i="25"/>
  <c r="C132" i="15"/>
  <c r="G131" i="15"/>
  <c r="L128" i="23"/>
  <c r="M128" i="25"/>
  <c r="Q127" i="25"/>
  <c r="B133" i="23"/>
  <c r="C139" i="4"/>
  <c r="G138" i="4"/>
  <c r="M142" i="24"/>
  <c r="Q141" i="24"/>
  <c r="L136" i="5"/>
  <c r="B129" i="15"/>
  <c r="B130" i="27"/>
  <c r="M127" i="17"/>
  <c r="Q126" i="17"/>
  <c r="C127" i="5"/>
  <c r="G126" i="5"/>
  <c r="B128" i="7"/>
  <c r="G126" i="9"/>
  <c r="C127" i="9"/>
  <c r="G148" i="14"/>
  <c r="C149" i="14"/>
  <c r="M130" i="20"/>
  <c r="Q129" i="20"/>
  <c r="Q128" i="15"/>
  <c r="M129" i="15"/>
  <c r="M127" i="27"/>
  <c r="Q126" i="27"/>
  <c r="L128" i="21"/>
  <c r="B133" i="4"/>
  <c r="L127" i="14"/>
  <c r="M129" i="23"/>
  <c r="Q128" i="23"/>
  <c r="C128" i="24"/>
  <c r="G127" i="24"/>
  <c r="B127" i="5"/>
  <c r="C131" i="8"/>
  <c r="G130" i="8"/>
  <c r="M129" i="14"/>
  <c r="Q128" i="14"/>
  <c r="L127" i="27"/>
  <c r="M128" i="19"/>
  <c r="Q127" i="19"/>
  <c r="Q133" i="21"/>
  <c r="M134" i="21"/>
  <c r="B129" i="20"/>
  <c r="C128" i="19"/>
  <c r="G127" i="19"/>
  <c r="M128" i="26"/>
  <c r="Q127" i="26"/>
  <c r="C137" i="25"/>
  <c r="G136" i="25"/>
  <c r="B128" i="19"/>
  <c r="C129" i="26"/>
  <c r="G128" i="26"/>
  <c r="B128" i="25"/>
  <c r="B127" i="17"/>
  <c r="B128" i="13"/>
  <c r="C129" i="21"/>
  <c r="G128" i="21"/>
  <c r="G126" i="17"/>
  <c r="C127" i="17"/>
  <c r="G127" i="23"/>
  <c r="C128" i="23"/>
  <c r="M141" i="5"/>
  <c r="Q140" i="5"/>
  <c r="C132" i="11"/>
  <c r="G131" i="11"/>
  <c r="M130" i="3"/>
  <c r="Q129" i="3"/>
  <c r="M137" i="9"/>
  <c r="Q136" i="9"/>
  <c r="B130" i="8"/>
  <c r="L128" i="4"/>
  <c r="L130" i="19"/>
  <c r="M148" i="11"/>
  <c r="Q147" i="11"/>
  <c r="L129" i="17"/>
  <c r="M131" i="4"/>
  <c r="Q130" i="4"/>
  <c r="L129" i="15"/>
  <c r="L128" i="7"/>
  <c r="L129" i="26"/>
  <c r="L128" i="24"/>
  <c r="C130" i="20"/>
  <c r="G129" i="20"/>
  <c r="B130" i="24"/>
  <c r="L128" i="11"/>
  <c r="C128" i="3"/>
  <c r="G127" i="3"/>
  <c r="Q128" i="13"/>
  <c r="M129" i="13"/>
  <c r="M138" i="7"/>
  <c r="Q137" i="7"/>
  <c r="C130" i="13"/>
  <c r="G129" i="13"/>
  <c r="C128" i="7"/>
  <c r="G127" i="7"/>
  <c r="C130" i="21" l="1"/>
  <c r="G129" i="21"/>
  <c r="Q130" i="20"/>
  <c r="M131" i="20"/>
  <c r="L130" i="25"/>
  <c r="C129" i="3"/>
  <c r="G128" i="3"/>
  <c r="L130" i="26"/>
  <c r="B131" i="8"/>
  <c r="B129" i="19"/>
  <c r="M128" i="27"/>
  <c r="Q127" i="27"/>
  <c r="M143" i="24"/>
  <c r="Q142" i="24"/>
  <c r="L130" i="8"/>
  <c r="M128" i="17"/>
  <c r="Q127" i="17"/>
  <c r="L129" i="9"/>
  <c r="M130" i="23"/>
  <c r="Q129" i="23"/>
  <c r="L129" i="13"/>
  <c r="C131" i="13"/>
  <c r="G130" i="13"/>
  <c r="C150" i="14"/>
  <c r="G149" i="14"/>
  <c r="B129" i="14"/>
  <c r="M138" i="9"/>
  <c r="Q137" i="9"/>
  <c r="L130" i="3"/>
  <c r="L130" i="15"/>
  <c r="M131" i="3"/>
  <c r="Q130" i="3"/>
  <c r="B129" i="13"/>
  <c r="L128" i="14"/>
  <c r="C131" i="20"/>
  <c r="G130" i="20"/>
  <c r="L130" i="17"/>
  <c r="M129" i="26"/>
  <c r="Q128" i="26"/>
  <c r="G131" i="8"/>
  <c r="C132" i="8"/>
  <c r="M130" i="15"/>
  <c r="Q129" i="15"/>
  <c r="B129" i="21"/>
  <c r="L129" i="11"/>
  <c r="B130" i="11"/>
  <c r="G127" i="9"/>
  <c r="C128" i="9"/>
  <c r="G139" i="4"/>
  <c r="C140" i="4"/>
  <c r="B129" i="26"/>
  <c r="C133" i="11"/>
  <c r="G132" i="11"/>
  <c r="B131" i="27"/>
  <c r="B134" i="23"/>
  <c r="B134" i="4"/>
  <c r="L129" i="24"/>
  <c r="M149" i="11"/>
  <c r="Q148" i="11"/>
  <c r="B129" i="25"/>
  <c r="C142" i="27"/>
  <c r="G141" i="27"/>
  <c r="M132" i="8"/>
  <c r="Q131" i="8"/>
  <c r="B131" i="24"/>
  <c r="C138" i="25"/>
  <c r="G137" i="25"/>
  <c r="B128" i="17"/>
  <c r="L131" i="19"/>
  <c r="M142" i="5"/>
  <c r="Q141" i="5"/>
  <c r="B129" i="7"/>
  <c r="B128" i="9"/>
  <c r="C129" i="7"/>
  <c r="G128" i="7"/>
  <c r="M129" i="25"/>
  <c r="Q128" i="25"/>
  <c r="C129" i="23"/>
  <c r="G128" i="23"/>
  <c r="C129" i="19"/>
  <c r="G128" i="19"/>
  <c r="B128" i="5"/>
  <c r="L129" i="21"/>
  <c r="M139" i="7"/>
  <c r="Q138" i="7"/>
  <c r="B130" i="20"/>
  <c r="M129" i="19"/>
  <c r="Q128" i="19"/>
  <c r="C128" i="5"/>
  <c r="G127" i="5"/>
  <c r="B132" i="3"/>
  <c r="M130" i="13"/>
  <c r="Q129" i="13"/>
  <c r="L129" i="4"/>
  <c r="B130" i="15"/>
  <c r="L129" i="23"/>
  <c r="M130" i="14"/>
  <c r="Q129" i="14"/>
  <c r="L129" i="7"/>
  <c r="G127" i="17"/>
  <c r="C128" i="17"/>
  <c r="G128" i="24"/>
  <c r="C129" i="24"/>
  <c r="L137" i="5"/>
  <c r="L131" i="20"/>
  <c r="M132" i="4"/>
  <c r="Q131" i="4"/>
  <c r="C130" i="26"/>
  <c r="G129" i="26"/>
  <c r="Q134" i="21"/>
  <c r="M135" i="21"/>
  <c r="L128" i="27"/>
  <c r="C133" i="15"/>
  <c r="G132" i="15"/>
  <c r="B133" i="3" l="1"/>
  <c r="C131" i="26"/>
  <c r="G130" i="26"/>
  <c r="B131" i="15"/>
  <c r="L132" i="19"/>
  <c r="B130" i="21"/>
  <c r="M139" i="9"/>
  <c r="Q138" i="9"/>
  <c r="L131" i="26"/>
  <c r="M133" i="8"/>
  <c r="Q132" i="8"/>
  <c r="C134" i="11"/>
  <c r="G133" i="11"/>
  <c r="M144" i="24"/>
  <c r="Q143" i="24"/>
  <c r="G129" i="19"/>
  <c r="C130" i="19"/>
  <c r="B131" i="20"/>
  <c r="B135" i="4"/>
  <c r="B130" i="26"/>
  <c r="L129" i="14"/>
  <c r="C130" i="7"/>
  <c r="G129" i="7"/>
  <c r="M131" i="15"/>
  <c r="Q130" i="15"/>
  <c r="B130" i="13"/>
  <c r="B130" i="14"/>
  <c r="L131" i="25"/>
  <c r="C130" i="23"/>
  <c r="G129" i="23"/>
  <c r="B129" i="17"/>
  <c r="C141" i="4"/>
  <c r="G140" i="4"/>
  <c r="C133" i="8"/>
  <c r="G132" i="8"/>
  <c r="L130" i="9"/>
  <c r="M129" i="27"/>
  <c r="Q128" i="27"/>
  <c r="B135" i="23"/>
  <c r="C151" i="14"/>
  <c r="G150" i="14"/>
  <c r="C143" i="27"/>
  <c r="G142" i="27"/>
  <c r="G128" i="9"/>
  <c r="C129" i="9"/>
  <c r="M132" i="3"/>
  <c r="Q131" i="3"/>
  <c r="B130" i="25"/>
  <c r="B132" i="27"/>
  <c r="L131" i="15"/>
  <c r="M132" i="20"/>
  <c r="Q131" i="20"/>
  <c r="B130" i="19"/>
  <c r="M130" i="19"/>
  <c r="Q129" i="19"/>
  <c r="L129" i="27"/>
  <c r="L130" i="21"/>
  <c r="B131" i="11"/>
  <c r="M130" i="26"/>
  <c r="Q129" i="26"/>
  <c r="C132" i="13"/>
  <c r="G131" i="13"/>
  <c r="Q128" i="17"/>
  <c r="M129" i="17"/>
  <c r="B129" i="9"/>
  <c r="L138" i="5"/>
  <c r="M131" i="14"/>
  <c r="Q130" i="14"/>
  <c r="M150" i="11"/>
  <c r="Q149" i="11"/>
  <c r="L131" i="17"/>
  <c r="L131" i="3"/>
  <c r="M133" i="4"/>
  <c r="Q132" i="4"/>
  <c r="C134" i="15"/>
  <c r="G133" i="15"/>
  <c r="M131" i="13"/>
  <c r="Q130" i="13"/>
  <c r="M140" i="7"/>
  <c r="Q139" i="7"/>
  <c r="B130" i="7"/>
  <c r="L130" i="23"/>
  <c r="C139" i="25"/>
  <c r="G138" i="25"/>
  <c r="L130" i="13"/>
  <c r="L132" i="20"/>
  <c r="L130" i="4"/>
  <c r="M136" i="21"/>
  <c r="Q135" i="21"/>
  <c r="C130" i="24"/>
  <c r="G129" i="24"/>
  <c r="C130" i="3"/>
  <c r="G129" i="3"/>
  <c r="G128" i="17"/>
  <c r="C129" i="17"/>
  <c r="L130" i="7"/>
  <c r="B129" i="5"/>
  <c r="L130" i="24"/>
  <c r="L130" i="11"/>
  <c r="B132" i="8"/>
  <c r="G128" i="5"/>
  <c r="C129" i="5"/>
  <c r="Q129" i="25"/>
  <c r="M130" i="25"/>
  <c r="Q142" i="5"/>
  <c r="M143" i="5"/>
  <c r="B132" i="24"/>
  <c r="G131" i="20"/>
  <c r="C132" i="20"/>
  <c r="M131" i="23"/>
  <c r="Q130" i="23"/>
  <c r="L131" i="8"/>
  <c r="C131" i="21"/>
  <c r="G130" i="21"/>
  <c r="M130" i="27" l="1"/>
  <c r="Q129" i="27"/>
  <c r="M132" i="15"/>
  <c r="Q131" i="15"/>
  <c r="L133" i="19"/>
  <c r="L131" i="9"/>
  <c r="B131" i="26"/>
  <c r="C131" i="24"/>
  <c r="G130" i="24"/>
  <c r="B136" i="4"/>
  <c r="C132" i="21"/>
  <c r="G131" i="21"/>
  <c r="C130" i="5"/>
  <c r="G129" i="5"/>
  <c r="M137" i="21"/>
  <c r="Q136" i="21"/>
  <c r="M131" i="19"/>
  <c r="Q130" i="19"/>
  <c r="B133" i="27"/>
  <c r="C135" i="11"/>
  <c r="G134" i="11"/>
  <c r="L132" i="8"/>
  <c r="C140" i="25"/>
  <c r="G139" i="25"/>
  <c r="B131" i="25"/>
  <c r="G133" i="8"/>
  <c r="C134" i="8"/>
  <c r="M134" i="8"/>
  <c r="Q133" i="8"/>
  <c r="B130" i="9"/>
  <c r="L131" i="24"/>
  <c r="M134" i="4"/>
  <c r="Q133" i="4"/>
  <c r="C133" i="13"/>
  <c r="G132" i="13"/>
  <c r="C144" i="27"/>
  <c r="G143" i="27"/>
  <c r="B131" i="19"/>
  <c r="M132" i="23"/>
  <c r="Q131" i="23"/>
  <c r="M132" i="14"/>
  <c r="Q131" i="14"/>
  <c r="M131" i="26"/>
  <c r="Q130" i="26"/>
  <c r="L132" i="25"/>
  <c r="C135" i="15"/>
  <c r="G134" i="15"/>
  <c r="B130" i="5"/>
  <c r="L131" i="7"/>
  <c r="L132" i="3"/>
  <c r="B132" i="11"/>
  <c r="G151" i="14"/>
  <c r="C152" i="14"/>
  <c r="G141" i="4"/>
  <c r="C142" i="4"/>
  <c r="C131" i="7"/>
  <c r="G130" i="7"/>
  <c r="B132" i="20"/>
  <c r="L132" i="26"/>
  <c r="B132" i="15"/>
  <c r="M131" i="25"/>
  <c r="Q130" i="25"/>
  <c r="M130" i="17"/>
  <c r="Q129" i="17"/>
  <c r="G132" i="20"/>
  <c r="C133" i="20"/>
  <c r="B133" i="8"/>
  <c r="L131" i="23"/>
  <c r="G129" i="17"/>
  <c r="C130" i="17"/>
  <c r="L131" i="21"/>
  <c r="M144" i="5"/>
  <c r="Q143" i="5"/>
  <c r="G129" i="9"/>
  <c r="C130" i="9"/>
  <c r="M145" i="24"/>
  <c r="Q144" i="24"/>
  <c r="L131" i="13"/>
  <c r="L131" i="4"/>
  <c r="B130" i="17"/>
  <c r="M140" i="9"/>
  <c r="Q139" i="9"/>
  <c r="C132" i="26"/>
  <c r="G131" i="26"/>
  <c r="C131" i="19"/>
  <c r="G130" i="19"/>
  <c r="L130" i="14"/>
  <c r="B133" i="24"/>
  <c r="L131" i="11"/>
  <c r="L133" i="20"/>
  <c r="M151" i="11"/>
  <c r="Q150" i="11"/>
  <c r="L130" i="27"/>
  <c r="M133" i="3"/>
  <c r="Q132" i="3"/>
  <c r="B136" i="23"/>
  <c r="B131" i="14"/>
  <c r="B134" i="3"/>
  <c r="M132" i="13"/>
  <c r="Q131" i="13"/>
  <c r="B131" i="7"/>
  <c r="L132" i="17"/>
  <c r="M133" i="20"/>
  <c r="Q132" i="20"/>
  <c r="C131" i="3"/>
  <c r="G130" i="3"/>
  <c r="M141" i="7"/>
  <c r="Q140" i="7"/>
  <c r="L139" i="5"/>
  <c r="L132" i="15"/>
  <c r="B131" i="13"/>
  <c r="B131" i="21"/>
  <c r="C131" i="23"/>
  <c r="G130" i="23"/>
  <c r="C132" i="3" l="1"/>
  <c r="G131" i="3"/>
  <c r="L133" i="15"/>
  <c r="M131" i="17"/>
  <c r="Q130" i="17"/>
  <c r="C141" i="25"/>
  <c r="G140" i="25"/>
  <c r="B137" i="4"/>
  <c r="B134" i="24"/>
  <c r="M146" i="24"/>
  <c r="Q145" i="24"/>
  <c r="B133" i="11"/>
  <c r="C145" i="27"/>
  <c r="G144" i="27"/>
  <c r="B134" i="27"/>
  <c r="M134" i="3"/>
  <c r="Q133" i="3"/>
  <c r="G130" i="17"/>
  <c r="C131" i="17"/>
  <c r="M132" i="25"/>
  <c r="Q131" i="25"/>
  <c r="M132" i="26"/>
  <c r="Q131" i="26"/>
  <c r="C134" i="13"/>
  <c r="G133" i="13"/>
  <c r="C132" i="24"/>
  <c r="G131" i="24"/>
  <c r="M132" i="19"/>
  <c r="Q131" i="19"/>
  <c r="Q132" i="15"/>
  <c r="M133" i="15"/>
  <c r="M141" i="9"/>
  <c r="Q140" i="9"/>
  <c r="C132" i="23"/>
  <c r="G131" i="23"/>
  <c r="L140" i="5"/>
  <c r="Q144" i="5"/>
  <c r="M145" i="5"/>
  <c r="B133" i="15"/>
  <c r="L132" i="7"/>
  <c r="M133" i="14"/>
  <c r="Q132" i="14"/>
  <c r="M135" i="4"/>
  <c r="Q134" i="4"/>
  <c r="M133" i="13"/>
  <c r="Q132" i="13"/>
  <c r="C135" i="8"/>
  <c r="G134" i="8"/>
  <c r="B132" i="26"/>
  <c r="M142" i="7"/>
  <c r="Q141" i="7"/>
  <c r="B131" i="5"/>
  <c r="L133" i="8"/>
  <c r="L131" i="27"/>
  <c r="L133" i="26"/>
  <c r="B132" i="21"/>
  <c r="B135" i="3"/>
  <c r="B131" i="17"/>
  <c r="B133" i="20"/>
  <c r="M138" i="21"/>
  <c r="Q137" i="21"/>
  <c r="M131" i="27"/>
  <c r="Q130" i="27"/>
  <c r="C133" i="26"/>
  <c r="G132" i="26"/>
  <c r="L133" i="3"/>
  <c r="Q151" i="11"/>
  <c r="M152" i="11"/>
  <c r="C131" i="5"/>
  <c r="G130" i="5"/>
  <c r="L132" i="9"/>
  <c r="G130" i="9"/>
  <c r="C131" i="9"/>
  <c r="B134" i="8"/>
  <c r="M133" i="23"/>
  <c r="Q132" i="23"/>
  <c r="L132" i="24"/>
  <c r="L131" i="14"/>
  <c r="L134" i="20"/>
  <c r="C132" i="7"/>
  <c r="G131" i="7"/>
  <c r="C136" i="15"/>
  <c r="G135" i="15"/>
  <c r="B132" i="13"/>
  <c r="B132" i="14"/>
  <c r="L132" i="4"/>
  <c r="C143" i="4"/>
  <c r="G142" i="4"/>
  <c r="B132" i="19"/>
  <c r="B131" i="9"/>
  <c r="C133" i="21"/>
  <c r="G132" i="21"/>
  <c r="C134" i="20"/>
  <c r="G133" i="20"/>
  <c r="B132" i="25"/>
  <c r="L132" i="23"/>
  <c r="M134" i="20"/>
  <c r="Q133" i="20"/>
  <c r="C132" i="19"/>
  <c r="G131" i="19"/>
  <c r="B132" i="7"/>
  <c r="L133" i="17"/>
  <c r="L132" i="13"/>
  <c r="C153" i="14"/>
  <c r="G152" i="14"/>
  <c r="B137" i="23"/>
  <c r="L132" i="11"/>
  <c r="L132" i="21"/>
  <c r="L133" i="25"/>
  <c r="M135" i="8"/>
  <c r="Q134" i="8"/>
  <c r="C136" i="11"/>
  <c r="G135" i="11"/>
  <c r="L134" i="19"/>
  <c r="G131" i="5" l="1"/>
  <c r="C132" i="5"/>
  <c r="M143" i="7"/>
  <c r="Q142" i="7"/>
  <c r="B132" i="9"/>
  <c r="C133" i="7"/>
  <c r="G132" i="7"/>
  <c r="L134" i="3"/>
  <c r="B133" i="26"/>
  <c r="C133" i="23"/>
  <c r="G132" i="23"/>
  <c r="B135" i="27"/>
  <c r="B138" i="4"/>
  <c r="B133" i="19"/>
  <c r="L135" i="20"/>
  <c r="M134" i="14"/>
  <c r="Q133" i="14"/>
  <c r="L135" i="19"/>
  <c r="B135" i="8"/>
  <c r="C134" i="26"/>
  <c r="G133" i="26"/>
  <c r="C135" i="13"/>
  <c r="G134" i="13"/>
  <c r="C142" i="25"/>
  <c r="G141" i="25"/>
  <c r="M134" i="23"/>
  <c r="Q133" i="23"/>
  <c r="B138" i="23"/>
  <c r="Q141" i="9"/>
  <c r="M142" i="9"/>
  <c r="B133" i="7"/>
  <c r="C144" i="4"/>
  <c r="G143" i="4"/>
  <c r="L132" i="14"/>
  <c r="C132" i="9"/>
  <c r="G131" i="9"/>
  <c r="Q152" i="11"/>
  <c r="M153" i="11"/>
  <c r="M132" i="27"/>
  <c r="Q131" i="27"/>
  <c r="B133" i="21"/>
  <c r="L133" i="7"/>
  <c r="M134" i="15"/>
  <c r="Q133" i="15"/>
  <c r="B136" i="3"/>
  <c r="L134" i="26"/>
  <c r="M133" i="26"/>
  <c r="Q132" i="26"/>
  <c r="C146" i="27"/>
  <c r="G145" i="27"/>
  <c r="G132" i="19"/>
  <c r="C133" i="19"/>
  <c r="L133" i="11"/>
  <c r="M136" i="4"/>
  <c r="Q135" i="4"/>
  <c r="B133" i="25"/>
  <c r="C136" i="8"/>
  <c r="G135" i="8"/>
  <c r="C137" i="11"/>
  <c r="G136" i="11"/>
  <c r="C135" i="20"/>
  <c r="G134" i="20"/>
  <c r="M139" i="21"/>
  <c r="Q138" i="21"/>
  <c r="B132" i="5"/>
  <c r="B134" i="15"/>
  <c r="B134" i="11"/>
  <c r="L134" i="17"/>
  <c r="M136" i="8"/>
  <c r="Q135" i="8"/>
  <c r="L133" i="4"/>
  <c r="L132" i="27"/>
  <c r="M134" i="13"/>
  <c r="Q133" i="13"/>
  <c r="M146" i="5"/>
  <c r="Q145" i="5"/>
  <c r="M133" i="19"/>
  <c r="Q132" i="19"/>
  <c r="M133" i="25"/>
  <c r="Q132" i="25"/>
  <c r="L133" i="9"/>
  <c r="B134" i="20"/>
  <c r="G131" i="17"/>
  <c r="C132" i="17"/>
  <c r="M132" i="17"/>
  <c r="Q131" i="17"/>
  <c r="B133" i="14"/>
  <c r="L134" i="25"/>
  <c r="C154" i="14"/>
  <c r="G153" i="14"/>
  <c r="L133" i="13"/>
  <c r="M135" i="20"/>
  <c r="Q134" i="20"/>
  <c r="B133" i="13"/>
  <c r="L134" i="15"/>
  <c r="L133" i="21"/>
  <c r="M135" i="3"/>
  <c r="Q134" i="3"/>
  <c r="L134" i="8"/>
  <c r="M147" i="24"/>
  <c r="Q146" i="24"/>
  <c r="C134" i="21"/>
  <c r="G133" i="21"/>
  <c r="L133" i="23"/>
  <c r="C137" i="15"/>
  <c r="G136" i="15"/>
  <c r="L141" i="5"/>
  <c r="B132" i="17"/>
  <c r="L133" i="24"/>
  <c r="G132" i="24"/>
  <c r="C133" i="24"/>
  <c r="B135" i="24"/>
  <c r="C133" i="3"/>
  <c r="G132" i="3"/>
  <c r="G133" i="19" l="1"/>
  <c r="C134" i="19"/>
  <c r="B139" i="23"/>
  <c r="B135" i="11"/>
  <c r="B137" i="3"/>
  <c r="L135" i="25"/>
  <c r="C138" i="15"/>
  <c r="G137" i="15"/>
  <c r="L134" i="23"/>
  <c r="B135" i="20"/>
  <c r="C133" i="9"/>
  <c r="G132" i="9"/>
  <c r="M135" i="23"/>
  <c r="Q134" i="23"/>
  <c r="C134" i="7"/>
  <c r="G133" i="7"/>
  <c r="B133" i="9"/>
  <c r="B134" i="13"/>
  <c r="L135" i="15"/>
  <c r="M147" i="5"/>
  <c r="Q146" i="5"/>
  <c r="B134" i="21"/>
  <c r="M136" i="3"/>
  <c r="Q135" i="3"/>
  <c r="B139" i="4"/>
  <c r="C147" i="27"/>
  <c r="G146" i="27"/>
  <c r="L133" i="14"/>
  <c r="G134" i="21"/>
  <c r="C135" i="21"/>
  <c r="B134" i="14"/>
  <c r="G154" i="14"/>
  <c r="C155" i="14"/>
  <c r="M137" i="8"/>
  <c r="Q136" i="8"/>
  <c r="C134" i="3"/>
  <c r="G133" i="3"/>
  <c r="B136" i="24"/>
  <c r="B135" i="15"/>
  <c r="C143" i="25"/>
  <c r="G142" i="25"/>
  <c r="G144" i="4"/>
  <c r="C145" i="4"/>
  <c r="C138" i="11"/>
  <c r="G137" i="11"/>
  <c r="M135" i="15"/>
  <c r="Q134" i="15"/>
  <c r="C136" i="13"/>
  <c r="G135" i="13"/>
  <c r="L142" i="5"/>
  <c r="B133" i="17"/>
  <c r="L134" i="9"/>
  <c r="C134" i="24"/>
  <c r="G133" i="24"/>
  <c r="M136" i="20"/>
  <c r="Q135" i="20"/>
  <c r="M134" i="26"/>
  <c r="Q133" i="26"/>
  <c r="L134" i="4"/>
  <c r="B133" i="5"/>
  <c r="M148" i="24"/>
  <c r="Q147" i="24"/>
  <c r="L134" i="13"/>
  <c r="M134" i="25"/>
  <c r="Q133" i="25"/>
  <c r="B134" i="7"/>
  <c r="M135" i="14"/>
  <c r="Q134" i="14"/>
  <c r="B136" i="27"/>
  <c r="M144" i="7"/>
  <c r="Q143" i="7"/>
  <c r="L134" i="21"/>
  <c r="G136" i="8"/>
  <c r="C137" i="8"/>
  <c r="L134" i="7"/>
  <c r="M143" i="9"/>
  <c r="Q142" i="9"/>
  <c r="C135" i="26"/>
  <c r="G134" i="26"/>
  <c r="Q132" i="17"/>
  <c r="M133" i="17"/>
  <c r="M134" i="19"/>
  <c r="Q133" i="19"/>
  <c r="M140" i="21"/>
  <c r="Q139" i="21"/>
  <c r="C134" i="23"/>
  <c r="G133" i="23"/>
  <c r="L135" i="26"/>
  <c r="B136" i="8"/>
  <c r="C133" i="5"/>
  <c r="G132" i="5"/>
  <c r="B134" i="25"/>
  <c r="L135" i="8"/>
  <c r="G132" i="17"/>
  <c r="C133" i="17"/>
  <c r="M137" i="4"/>
  <c r="Q136" i="4"/>
  <c r="L136" i="19"/>
  <c r="L136" i="20"/>
  <c r="B134" i="26"/>
  <c r="L134" i="24"/>
  <c r="M135" i="13"/>
  <c r="Q134" i="13"/>
  <c r="L135" i="17"/>
  <c r="M133" i="27"/>
  <c r="Q132" i="27"/>
  <c r="B134" i="19"/>
  <c r="L133" i="27"/>
  <c r="G135" i="20"/>
  <c r="C136" i="20"/>
  <c r="L134" i="11"/>
  <c r="Q153" i="11"/>
  <c r="M154" i="11"/>
  <c r="L135" i="3"/>
  <c r="L136" i="17" l="1"/>
  <c r="C156" i="14"/>
  <c r="G155" i="14"/>
  <c r="B140" i="4"/>
  <c r="M136" i="23"/>
  <c r="Q135" i="23"/>
  <c r="M136" i="13"/>
  <c r="Q135" i="13"/>
  <c r="M141" i="21"/>
  <c r="Q140" i="21"/>
  <c r="B135" i="7"/>
  <c r="B137" i="8"/>
  <c r="M134" i="17"/>
  <c r="Q133" i="17"/>
  <c r="L135" i="21"/>
  <c r="B137" i="24"/>
  <c r="C136" i="21"/>
  <c r="G135" i="21"/>
  <c r="B135" i="21"/>
  <c r="B136" i="20"/>
  <c r="M135" i="25"/>
  <c r="Q134" i="25"/>
  <c r="Q134" i="26"/>
  <c r="M135" i="26"/>
  <c r="M136" i="15"/>
  <c r="Q135" i="15"/>
  <c r="B138" i="3"/>
  <c r="L136" i="26"/>
  <c r="M138" i="4"/>
  <c r="Q137" i="4"/>
  <c r="B135" i="19"/>
  <c r="L135" i="13"/>
  <c r="M137" i="20"/>
  <c r="Q136" i="20"/>
  <c r="C139" i="11"/>
  <c r="G138" i="11"/>
  <c r="L136" i="3"/>
  <c r="B135" i="26"/>
  <c r="C136" i="26"/>
  <c r="G135" i="26"/>
  <c r="M148" i="5"/>
  <c r="Q147" i="5"/>
  <c r="C135" i="3"/>
  <c r="G134" i="3"/>
  <c r="L134" i="14"/>
  <c r="L136" i="15"/>
  <c r="C135" i="7"/>
  <c r="G134" i="7"/>
  <c r="L135" i="23"/>
  <c r="B136" i="11"/>
  <c r="Q154" i="11"/>
  <c r="M155" i="11"/>
  <c r="M144" i="9"/>
  <c r="Q143" i="9"/>
  <c r="M145" i="7"/>
  <c r="Q144" i="7"/>
  <c r="G133" i="17"/>
  <c r="C134" i="17"/>
  <c r="M149" i="24"/>
  <c r="Q148" i="24"/>
  <c r="C135" i="24"/>
  <c r="G134" i="24"/>
  <c r="M138" i="8"/>
  <c r="Q137" i="8"/>
  <c r="C148" i="27"/>
  <c r="G147" i="27"/>
  <c r="C139" i="15"/>
  <c r="G138" i="15"/>
  <c r="C135" i="23"/>
  <c r="G134" i="23"/>
  <c r="M134" i="27"/>
  <c r="Q133" i="27"/>
  <c r="L135" i="7"/>
  <c r="B137" i="27"/>
  <c r="L137" i="20"/>
  <c r="L136" i="25"/>
  <c r="L135" i="24"/>
  <c r="C134" i="9"/>
  <c r="G133" i="9"/>
  <c r="C146" i="4"/>
  <c r="G145" i="4"/>
  <c r="C137" i="20"/>
  <c r="G136" i="20"/>
  <c r="M136" i="14"/>
  <c r="Q135" i="14"/>
  <c r="B134" i="5"/>
  <c r="L143" i="5"/>
  <c r="B140" i="23"/>
  <c r="L137" i="19"/>
  <c r="B134" i="9"/>
  <c r="L135" i="9"/>
  <c r="C144" i="25"/>
  <c r="G143" i="25"/>
  <c r="L134" i="27"/>
  <c r="B134" i="17"/>
  <c r="L135" i="11"/>
  <c r="L136" i="8"/>
  <c r="B135" i="13"/>
  <c r="B135" i="25"/>
  <c r="G137" i="8"/>
  <c r="C138" i="8"/>
  <c r="L135" i="4"/>
  <c r="C135" i="19"/>
  <c r="G134" i="19"/>
  <c r="G133" i="5"/>
  <c r="C134" i="5"/>
  <c r="M135" i="19"/>
  <c r="Q134" i="19"/>
  <c r="C137" i="13"/>
  <c r="G136" i="13"/>
  <c r="B136" i="15"/>
  <c r="B135" i="14"/>
  <c r="M137" i="3"/>
  <c r="Q136" i="3"/>
  <c r="L135" i="14" l="1"/>
  <c r="L144" i="5"/>
  <c r="C135" i="5"/>
  <c r="G134" i="5"/>
  <c r="B135" i="17"/>
  <c r="L136" i="24"/>
  <c r="L136" i="7"/>
  <c r="M146" i="7"/>
  <c r="Q145" i="7"/>
  <c r="L137" i="15"/>
  <c r="C137" i="21"/>
  <c r="G136" i="21"/>
  <c r="B136" i="25"/>
  <c r="C138" i="20"/>
  <c r="G137" i="20"/>
  <c r="C136" i="24"/>
  <c r="G135" i="24"/>
  <c r="B136" i="7"/>
  <c r="B138" i="24"/>
  <c r="L138" i="19"/>
  <c r="M150" i="24"/>
  <c r="Q149" i="24"/>
  <c r="M137" i="15"/>
  <c r="Q136" i="15"/>
  <c r="Q141" i="21"/>
  <c r="M142" i="21"/>
  <c r="C136" i="19"/>
  <c r="G135" i="19"/>
  <c r="L138" i="20"/>
  <c r="M135" i="27"/>
  <c r="Q134" i="27"/>
  <c r="C136" i="3"/>
  <c r="G135" i="3"/>
  <c r="M138" i="20"/>
  <c r="Q137" i="20"/>
  <c r="M149" i="5"/>
  <c r="Q148" i="5"/>
  <c r="C140" i="11"/>
  <c r="G139" i="11"/>
  <c r="M139" i="4"/>
  <c r="Q138" i="4"/>
  <c r="G146" i="4"/>
  <c r="C147" i="4"/>
  <c r="G134" i="17"/>
  <c r="C135" i="17"/>
  <c r="L135" i="27"/>
  <c r="M137" i="13"/>
  <c r="Q136" i="13"/>
  <c r="L137" i="25"/>
  <c r="B141" i="23"/>
  <c r="B136" i="13"/>
  <c r="B136" i="14"/>
  <c r="C145" i="25"/>
  <c r="G144" i="25"/>
  <c r="C136" i="23"/>
  <c r="G135" i="23"/>
  <c r="Q155" i="11"/>
  <c r="M156" i="11"/>
  <c r="L136" i="13"/>
  <c r="M136" i="25"/>
  <c r="Q135" i="25"/>
  <c r="G134" i="9"/>
  <c r="C135" i="9"/>
  <c r="L136" i="21"/>
  <c r="M136" i="26"/>
  <c r="Q135" i="26"/>
  <c r="M138" i="3"/>
  <c r="Q137" i="3"/>
  <c r="B137" i="15"/>
  <c r="L137" i="8"/>
  <c r="B137" i="20"/>
  <c r="M137" i="23"/>
  <c r="Q136" i="23"/>
  <c r="B137" i="11"/>
  <c r="C137" i="26"/>
  <c r="G136" i="26"/>
  <c r="B141" i="4"/>
  <c r="M135" i="17"/>
  <c r="Q134" i="17"/>
  <c r="L137" i="26"/>
  <c r="M145" i="9"/>
  <c r="Q144" i="9"/>
  <c r="B136" i="19"/>
  <c r="B136" i="26"/>
  <c r="B138" i="8"/>
  <c r="L136" i="4"/>
  <c r="C138" i="13"/>
  <c r="G137" i="13"/>
  <c r="L136" i="9"/>
  <c r="C140" i="15"/>
  <c r="G139" i="15"/>
  <c r="L136" i="11"/>
  <c r="B135" i="5"/>
  <c r="C149" i="27"/>
  <c r="G148" i="27"/>
  <c r="L136" i="23"/>
  <c r="C157" i="14"/>
  <c r="G156" i="14"/>
  <c r="B138" i="27"/>
  <c r="B136" i="21"/>
  <c r="M136" i="19"/>
  <c r="Q135" i="19"/>
  <c r="C139" i="8"/>
  <c r="G138" i="8"/>
  <c r="B135" i="9"/>
  <c r="M137" i="14"/>
  <c r="Q136" i="14"/>
  <c r="M139" i="8"/>
  <c r="Q138" i="8"/>
  <c r="C136" i="7"/>
  <c r="G135" i="7"/>
  <c r="L137" i="3"/>
  <c r="B139" i="3"/>
  <c r="L137" i="17"/>
  <c r="L138" i="3" l="1"/>
  <c r="B137" i="26"/>
  <c r="M137" i="25"/>
  <c r="Q136" i="25"/>
  <c r="B137" i="14"/>
  <c r="L139" i="19"/>
  <c r="B137" i="25"/>
  <c r="B139" i="27"/>
  <c r="B137" i="19"/>
  <c r="L137" i="13"/>
  <c r="M150" i="5"/>
  <c r="Q149" i="5"/>
  <c r="M136" i="27"/>
  <c r="Q135" i="27"/>
  <c r="L136" i="27"/>
  <c r="B139" i="24"/>
  <c r="L137" i="21"/>
  <c r="L139" i="20"/>
  <c r="B137" i="7"/>
  <c r="C136" i="5"/>
  <c r="G135" i="5"/>
  <c r="L138" i="17"/>
  <c r="M138" i="14"/>
  <c r="Q137" i="14"/>
  <c r="G137" i="21"/>
  <c r="C138" i="21"/>
  <c r="C158" i="14"/>
  <c r="G157" i="14"/>
  <c r="L137" i="9"/>
  <c r="L138" i="26"/>
  <c r="M140" i="8"/>
  <c r="Q139" i="8"/>
  <c r="L138" i="8"/>
  <c r="M157" i="11"/>
  <c r="Q156" i="11"/>
  <c r="B137" i="13"/>
  <c r="L138" i="15"/>
  <c r="L137" i="23"/>
  <c r="G137" i="26"/>
  <c r="C138" i="26"/>
  <c r="B138" i="15"/>
  <c r="G135" i="17"/>
  <c r="C136" i="17"/>
  <c r="M146" i="9"/>
  <c r="Q145" i="9"/>
  <c r="B142" i="23"/>
  <c r="C137" i="19"/>
  <c r="G136" i="19"/>
  <c r="Q138" i="3"/>
  <c r="M139" i="3"/>
  <c r="C137" i="23"/>
  <c r="G136" i="23"/>
  <c r="M139" i="20"/>
  <c r="Q138" i="20"/>
  <c r="M143" i="21"/>
  <c r="Q142" i="21"/>
  <c r="M147" i="7"/>
  <c r="Q146" i="7"/>
  <c r="B136" i="9"/>
  <c r="C139" i="13"/>
  <c r="G138" i="13"/>
  <c r="C140" i="8"/>
  <c r="G139" i="8"/>
  <c r="C150" i="27"/>
  <c r="G149" i="27"/>
  <c r="C148" i="4"/>
  <c r="G147" i="4"/>
  <c r="B140" i="3"/>
  <c r="B138" i="11"/>
  <c r="M137" i="26"/>
  <c r="Q136" i="26"/>
  <c r="C137" i="24"/>
  <c r="G136" i="24"/>
  <c r="C141" i="15"/>
  <c r="G140" i="15"/>
  <c r="L137" i="7"/>
  <c r="L145" i="5"/>
  <c r="L138" i="25"/>
  <c r="L137" i="4"/>
  <c r="C137" i="3"/>
  <c r="G136" i="3"/>
  <c r="M138" i="15"/>
  <c r="Q137" i="15"/>
  <c r="B137" i="21"/>
  <c r="M140" i="4"/>
  <c r="Q139" i="4"/>
  <c r="Q136" i="19"/>
  <c r="M137" i="19"/>
  <c r="G135" i="9"/>
  <c r="C136" i="9"/>
  <c r="M138" i="23"/>
  <c r="Q137" i="23"/>
  <c r="B136" i="5"/>
  <c r="B139" i="8"/>
  <c r="B138" i="20"/>
  <c r="L136" i="14"/>
  <c r="C137" i="7"/>
  <c r="G136" i="7"/>
  <c r="M138" i="13"/>
  <c r="Q137" i="13"/>
  <c r="C139" i="20"/>
  <c r="G138" i="20"/>
  <c r="L137" i="24"/>
  <c r="M136" i="17"/>
  <c r="Q135" i="17"/>
  <c r="C146" i="25"/>
  <c r="G145" i="25"/>
  <c r="M151" i="24"/>
  <c r="Q150" i="24"/>
  <c r="L137" i="11"/>
  <c r="B142" i="4"/>
  <c r="C141" i="11"/>
  <c r="G140" i="11"/>
  <c r="B136" i="17"/>
  <c r="L138" i="7" l="1"/>
  <c r="Q139" i="20"/>
  <c r="M140" i="20"/>
  <c r="L140" i="19"/>
  <c r="C147" i="25"/>
  <c r="G146" i="25"/>
  <c r="M139" i="15"/>
  <c r="Q138" i="15"/>
  <c r="B138" i="13"/>
  <c r="C159" i="14"/>
  <c r="G158" i="14"/>
  <c r="L138" i="13"/>
  <c r="L138" i="21"/>
  <c r="C142" i="11"/>
  <c r="G141" i="11"/>
  <c r="L138" i="24"/>
  <c r="B139" i="20"/>
  <c r="M138" i="26"/>
  <c r="Q137" i="26"/>
  <c r="C138" i="23"/>
  <c r="G137" i="23"/>
  <c r="C138" i="3"/>
  <c r="G137" i="3"/>
  <c r="B139" i="11"/>
  <c r="Q139" i="3"/>
  <c r="M140" i="3"/>
  <c r="C139" i="21"/>
  <c r="G138" i="21"/>
  <c r="B137" i="17"/>
  <c r="G136" i="17"/>
  <c r="C137" i="17"/>
  <c r="G136" i="9"/>
  <c r="C137" i="9"/>
  <c r="Q136" i="17"/>
  <c r="M137" i="17"/>
  <c r="C142" i="15"/>
  <c r="G141" i="15"/>
  <c r="C151" i="27"/>
  <c r="G150" i="27"/>
  <c r="M158" i="11"/>
  <c r="Q157" i="11"/>
  <c r="B138" i="14"/>
  <c r="M138" i="19"/>
  <c r="Q137" i="19"/>
  <c r="C141" i="8"/>
  <c r="G140" i="8"/>
  <c r="L139" i="8"/>
  <c r="M139" i="14"/>
  <c r="Q138" i="14"/>
  <c r="M138" i="25"/>
  <c r="Q137" i="25"/>
  <c r="B139" i="15"/>
  <c r="L139" i="17"/>
  <c r="B140" i="24"/>
  <c r="B138" i="19"/>
  <c r="M139" i="13"/>
  <c r="Q138" i="13"/>
  <c r="B140" i="8"/>
  <c r="B141" i="3"/>
  <c r="C140" i="13"/>
  <c r="G139" i="13"/>
  <c r="C139" i="26"/>
  <c r="G138" i="26"/>
  <c r="M141" i="8"/>
  <c r="Q140" i="8"/>
  <c r="L137" i="27"/>
  <c r="C138" i="7"/>
  <c r="G137" i="7"/>
  <c r="B137" i="5"/>
  <c r="C137" i="5"/>
  <c r="G136" i="5"/>
  <c r="B138" i="26"/>
  <c r="L138" i="4"/>
  <c r="L137" i="14"/>
  <c r="L139" i="25"/>
  <c r="L138" i="23"/>
  <c r="M148" i="7"/>
  <c r="Q147" i="7"/>
  <c r="C138" i="19"/>
  <c r="G137" i="19"/>
  <c r="L139" i="26"/>
  <c r="B138" i="7"/>
  <c r="M137" i="27"/>
  <c r="Q136" i="27"/>
  <c r="B140" i="27"/>
  <c r="L139" i="3"/>
  <c r="B143" i="4"/>
  <c r="C138" i="24"/>
  <c r="G137" i="24"/>
  <c r="B137" i="9"/>
  <c r="M147" i="9"/>
  <c r="Q146" i="9"/>
  <c r="L138" i="11"/>
  <c r="C140" i="20"/>
  <c r="G139" i="20"/>
  <c r="M141" i="4"/>
  <c r="Q140" i="4"/>
  <c r="L139" i="15"/>
  <c r="L146" i="5"/>
  <c r="M152" i="24"/>
  <c r="Q151" i="24"/>
  <c r="B138" i="21"/>
  <c r="M144" i="21"/>
  <c r="Q143" i="21"/>
  <c r="L138" i="9"/>
  <c r="Q150" i="5"/>
  <c r="M151" i="5"/>
  <c r="B138" i="25"/>
  <c r="M139" i="23"/>
  <c r="Q138" i="23"/>
  <c r="G148" i="4"/>
  <c r="C149" i="4"/>
  <c r="B143" i="23"/>
  <c r="L140" i="20"/>
  <c r="M138" i="17" l="1"/>
  <c r="Q137" i="17"/>
  <c r="L141" i="19"/>
  <c r="C139" i="24"/>
  <c r="G138" i="24"/>
  <c r="B141" i="24"/>
  <c r="L140" i="8"/>
  <c r="G159" i="14"/>
  <c r="C160" i="14"/>
  <c r="M141" i="3"/>
  <c r="Q140" i="3"/>
  <c r="B139" i="13"/>
  <c r="C141" i="13"/>
  <c r="G140" i="13"/>
  <c r="L140" i="17"/>
  <c r="G137" i="9"/>
  <c r="C138" i="9"/>
  <c r="M139" i="19"/>
  <c r="Q138" i="19"/>
  <c r="L140" i="15"/>
  <c r="C139" i="19"/>
  <c r="G138" i="19"/>
  <c r="B138" i="5"/>
  <c r="M149" i="7"/>
  <c r="Q148" i="7"/>
  <c r="C139" i="7"/>
  <c r="G138" i="7"/>
  <c r="B139" i="25"/>
  <c r="B144" i="4"/>
  <c r="M142" i="4"/>
  <c r="Q141" i="4"/>
  <c r="B139" i="14"/>
  <c r="Q158" i="11"/>
  <c r="M159" i="11"/>
  <c r="L140" i="3"/>
  <c r="L139" i="4"/>
  <c r="B142" i="3"/>
  <c r="B140" i="11"/>
  <c r="L139" i="24"/>
  <c r="L141" i="20"/>
  <c r="L139" i="23"/>
  <c r="L138" i="27"/>
  <c r="G137" i="17"/>
  <c r="C138" i="17"/>
  <c r="Q140" i="20"/>
  <c r="M141" i="20"/>
  <c r="M153" i="24"/>
  <c r="Q152" i="24"/>
  <c r="L139" i="9"/>
  <c r="B139" i="26"/>
  <c r="B140" i="15"/>
  <c r="C142" i="8"/>
  <c r="G141" i="8"/>
  <c r="M140" i="15"/>
  <c r="Q139" i="15"/>
  <c r="B141" i="8"/>
  <c r="M152" i="5"/>
  <c r="Q151" i="5"/>
  <c r="C141" i="20"/>
  <c r="G140" i="20"/>
  <c r="B141" i="27"/>
  <c r="C139" i="3"/>
  <c r="G138" i="3"/>
  <c r="C143" i="11"/>
  <c r="G142" i="11"/>
  <c r="M138" i="27"/>
  <c r="Q137" i="27"/>
  <c r="C138" i="5"/>
  <c r="G137" i="5"/>
  <c r="B138" i="17"/>
  <c r="L139" i="21"/>
  <c r="L139" i="11"/>
  <c r="C139" i="23"/>
  <c r="G138" i="23"/>
  <c r="M145" i="21"/>
  <c r="Q144" i="21"/>
  <c r="B139" i="21"/>
  <c r="B139" i="7"/>
  <c r="C152" i="27"/>
  <c r="G151" i="27"/>
  <c r="M142" i="8"/>
  <c r="Q141" i="8"/>
  <c r="M139" i="26"/>
  <c r="Q138" i="26"/>
  <c r="L139" i="7"/>
  <c r="B144" i="23"/>
  <c r="M148" i="9"/>
  <c r="Q147" i="9"/>
  <c r="L139" i="13"/>
  <c r="L140" i="26"/>
  <c r="B140" i="20"/>
  <c r="C150" i="4"/>
  <c r="G149" i="4"/>
  <c r="M140" i="13"/>
  <c r="Q139" i="13"/>
  <c r="L147" i="5"/>
  <c r="M139" i="25"/>
  <c r="Q138" i="25"/>
  <c r="C140" i="21"/>
  <c r="G139" i="21"/>
  <c r="C148" i="25"/>
  <c r="G147" i="25"/>
  <c r="B138" i="9"/>
  <c r="L140" i="25"/>
  <c r="C140" i="26"/>
  <c r="G139" i="26"/>
  <c r="C143" i="15"/>
  <c r="G142" i="15"/>
  <c r="M140" i="23"/>
  <c r="Q139" i="23"/>
  <c r="L138" i="14"/>
  <c r="B139" i="19"/>
  <c r="M140" i="14"/>
  <c r="Q139" i="14"/>
  <c r="B142" i="8" l="1"/>
  <c r="L139" i="27"/>
  <c r="B139" i="5"/>
  <c r="G138" i="9"/>
  <c r="C139" i="9"/>
  <c r="M143" i="4"/>
  <c r="Q142" i="4"/>
  <c r="M142" i="3"/>
  <c r="Q141" i="3"/>
  <c r="M139" i="27"/>
  <c r="Q138" i="27"/>
  <c r="Q140" i="15"/>
  <c r="M141" i="15"/>
  <c r="L140" i="9"/>
  <c r="L140" i="23"/>
  <c r="G139" i="19"/>
  <c r="C140" i="19"/>
  <c r="C153" i="27"/>
  <c r="G152" i="27"/>
  <c r="B140" i="19"/>
  <c r="Q140" i="13"/>
  <c r="M141" i="13"/>
  <c r="B140" i="7"/>
  <c r="B143" i="3"/>
  <c r="B145" i="4"/>
  <c r="C140" i="24"/>
  <c r="G139" i="24"/>
  <c r="C139" i="5"/>
  <c r="G138" i="5"/>
  <c r="L141" i="15"/>
  <c r="L141" i="17"/>
  <c r="B139" i="9"/>
  <c r="G150" i="4"/>
  <c r="C151" i="4"/>
  <c r="C142" i="20"/>
  <c r="G141" i="20"/>
  <c r="M154" i="24"/>
  <c r="Q153" i="24"/>
  <c r="L142" i="20"/>
  <c r="L140" i="4"/>
  <c r="C161" i="14"/>
  <c r="G160" i="14"/>
  <c r="L141" i="25"/>
  <c r="B145" i="23"/>
  <c r="L140" i="11"/>
  <c r="L140" i="7"/>
  <c r="L141" i="3"/>
  <c r="C142" i="13"/>
  <c r="G141" i="13"/>
  <c r="L142" i="19"/>
  <c r="C141" i="26"/>
  <c r="G140" i="26"/>
  <c r="B142" i="27"/>
  <c r="L139" i="14"/>
  <c r="M142" i="20"/>
  <c r="Q141" i="20"/>
  <c r="B141" i="20"/>
  <c r="L140" i="21"/>
  <c r="C143" i="8"/>
  <c r="G142" i="8"/>
  <c r="B140" i="25"/>
  <c r="M140" i="19"/>
  <c r="Q139" i="19"/>
  <c r="L148" i="5"/>
  <c r="M140" i="26"/>
  <c r="Q139" i="26"/>
  <c r="C140" i="7"/>
  <c r="G139" i="7"/>
  <c r="B141" i="15"/>
  <c r="M146" i="21"/>
  <c r="Q145" i="21"/>
  <c r="B139" i="17"/>
  <c r="C140" i="3"/>
  <c r="G139" i="3"/>
  <c r="Q152" i="5"/>
  <c r="M153" i="5"/>
  <c r="G138" i="17"/>
  <c r="C139" i="17"/>
  <c r="Q159" i="11"/>
  <c r="M160" i="11"/>
  <c r="M150" i="7"/>
  <c r="Q149" i="7"/>
  <c r="L141" i="26"/>
  <c r="M141" i="23"/>
  <c r="Q140" i="23"/>
  <c r="L140" i="13"/>
  <c r="B140" i="13"/>
  <c r="M139" i="17"/>
  <c r="Q138" i="17"/>
  <c r="M141" i="14"/>
  <c r="Q140" i="14"/>
  <c r="B140" i="21"/>
  <c r="C144" i="11"/>
  <c r="G143" i="11"/>
  <c r="C149" i="25"/>
  <c r="G148" i="25"/>
  <c r="L141" i="8"/>
  <c r="G140" i="21"/>
  <c r="C141" i="21"/>
  <c r="M143" i="8"/>
  <c r="Q142" i="8"/>
  <c r="C140" i="23"/>
  <c r="G139" i="23"/>
  <c r="L140" i="24"/>
  <c r="C144" i="15"/>
  <c r="G143" i="15"/>
  <c r="B140" i="26"/>
  <c r="B140" i="14"/>
  <c r="M140" i="25"/>
  <c r="Q139" i="25"/>
  <c r="Q148" i="9"/>
  <c r="M149" i="9"/>
  <c r="B141" i="11"/>
  <c r="B142" i="24"/>
  <c r="L141" i="21" l="1"/>
  <c r="M142" i="13"/>
  <c r="Q141" i="13"/>
  <c r="L141" i="9"/>
  <c r="M144" i="4"/>
  <c r="Q143" i="4"/>
  <c r="L141" i="11"/>
  <c r="M155" i="24"/>
  <c r="Q154" i="24"/>
  <c r="B146" i="23"/>
  <c r="B141" i="19"/>
  <c r="M142" i="15"/>
  <c r="Q141" i="15"/>
  <c r="B142" i="20"/>
  <c r="C143" i="13"/>
  <c r="G142" i="13"/>
  <c r="C143" i="20"/>
  <c r="G142" i="20"/>
  <c r="C140" i="9"/>
  <c r="G139" i="9"/>
  <c r="M142" i="14"/>
  <c r="Q141" i="14"/>
  <c r="B141" i="14"/>
  <c r="L142" i="8"/>
  <c r="B141" i="26"/>
  <c r="M151" i="7"/>
  <c r="Q150" i="7"/>
  <c r="L142" i="3"/>
  <c r="C152" i="4"/>
  <c r="G151" i="4"/>
  <c r="G139" i="5"/>
  <c r="C140" i="5"/>
  <c r="M140" i="27"/>
  <c r="Q139" i="27"/>
  <c r="B140" i="5"/>
  <c r="C141" i="23"/>
  <c r="G140" i="23"/>
  <c r="M144" i="8"/>
  <c r="Q143" i="8"/>
  <c r="C154" i="27"/>
  <c r="G153" i="27"/>
  <c r="Q140" i="19"/>
  <c r="M141" i="19"/>
  <c r="L142" i="25"/>
  <c r="B140" i="9"/>
  <c r="G140" i="24"/>
  <c r="C141" i="24"/>
  <c r="L149" i="5"/>
  <c r="B143" i="24"/>
  <c r="B142" i="11"/>
  <c r="G141" i="21"/>
  <c r="C142" i="21"/>
  <c r="G139" i="17"/>
  <c r="C140" i="17"/>
  <c r="M143" i="20"/>
  <c r="Q142" i="20"/>
  <c r="M140" i="17"/>
  <c r="Q139" i="17"/>
  <c r="L140" i="14"/>
  <c r="B141" i="13"/>
  <c r="M154" i="5"/>
  <c r="Q153" i="5"/>
  <c r="C141" i="7"/>
  <c r="G140" i="7"/>
  <c r="L140" i="27"/>
  <c r="M141" i="26"/>
  <c r="Q140" i="26"/>
  <c r="C162" i="14"/>
  <c r="G161" i="14"/>
  <c r="L142" i="17"/>
  <c r="B146" i="4"/>
  <c r="C141" i="19"/>
  <c r="G140" i="19"/>
  <c r="M161" i="11"/>
  <c r="Q160" i="11"/>
  <c r="B141" i="21"/>
  <c r="B141" i="25"/>
  <c r="C145" i="15"/>
  <c r="G144" i="15"/>
  <c r="C141" i="3"/>
  <c r="G140" i="3"/>
  <c r="B143" i="8"/>
  <c r="C145" i="11"/>
  <c r="G144" i="11"/>
  <c r="M150" i="9"/>
  <c r="Q149" i="9"/>
  <c r="L141" i="13"/>
  <c r="B140" i="17"/>
  <c r="B143" i="27"/>
  <c r="L142" i="15"/>
  <c r="B144" i="3"/>
  <c r="M143" i="3"/>
  <c r="Q142" i="3"/>
  <c r="B142" i="15"/>
  <c r="M141" i="25"/>
  <c r="Q140" i="25"/>
  <c r="L141" i="24"/>
  <c r="C150" i="25"/>
  <c r="G149" i="25"/>
  <c r="M142" i="23"/>
  <c r="Q141" i="23"/>
  <c r="L141" i="4"/>
  <c r="C144" i="8"/>
  <c r="G143" i="8"/>
  <c r="C142" i="26"/>
  <c r="G141" i="26"/>
  <c r="L143" i="20"/>
  <c r="B141" i="7"/>
  <c r="L141" i="23"/>
  <c r="L142" i="26"/>
  <c r="M147" i="21"/>
  <c r="Q146" i="21"/>
  <c r="L143" i="19"/>
  <c r="L141" i="7"/>
  <c r="B141" i="17" l="1"/>
  <c r="B142" i="13"/>
  <c r="B141" i="9"/>
  <c r="M145" i="8"/>
  <c r="Q144" i="8"/>
  <c r="B147" i="23"/>
  <c r="L143" i="17"/>
  <c r="M144" i="20"/>
  <c r="Q143" i="20"/>
  <c r="L142" i="24"/>
  <c r="Q141" i="26"/>
  <c r="M142" i="26"/>
  <c r="C143" i="21"/>
  <c r="G142" i="21"/>
  <c r="L142" i="4"/>
  <c r="C142" i="3"/>
  <c r="G141" i="3"/>
  <c r="B142" i="21"/>
  <c r="G152" i="4"/>
  <c r="C153" i="4"/>
  <c r="C144" i="20"/>
  <c r="G143" i="20"/>
  <c r="L143" i="25"/>
  <c r="Q141" i="19"/>
  <c r="M142" i="19"/>
  <c r="L143" i="3"/>
  <c r="C144" i="13"/>
  <c r="G143" i="13"/>
  <c r="M156" i="24"/>
  <c r="Q155" i="24"/>
  <c r="L141" i="14"/>
  <c r="M151" i="9"/>
  <c r="Q150" i="9"/>
  <c r="L141" i="27"/>
  <c r="B142" i="7"/>
  <c r="B144" i="24"/>
  <c r="L142" i="11"/>
  <c r="L142" i="23"/>
  <c r="B143" i="11"/>
  <c r="L143" i="15"/>
  <c r="M162" i="11"/>
  <c r="Q161" i="11"/>
  <c r="M152" i="7"/>
  <c r="Q151" i="7"/>
  <c r="B143" i="20"/>
  <c r="B143" i="15"/>
  <c r="C142" i="19"/>
  <c r="G141" i="19"/>
  <c r="L150" i="5"/>
  <c r="M142" i="25"/>
  <c r="Q141" i="25"/>
  <c r="L142" i="7"/>
  <c r="M143" i="23"/>
  <c r="Q142" i="23"/>
  <c r="Q140" i="17"/>
  <c r="M141" i="17"/>
  <c r="B144" i="27"/>
  <c r="C146" i="15"/>
  <c r="G145" i="15"/>
  <c r="L144" i="19"/>
  <c r="L144" i="20"/>
  <c r="C151" i="25"/>
  <c r="G150" i="25"/>
  <c r="C146" i="11"/>
  <c r="G145" i="11"/>
  <c r="B147" i="4"/>
  <c r="G141" i="23"/>
  <c r="C142" i="23"/>
  <c r="B142" i="26"/>
  <c r="M145" i="4"/>
  <c r="Q144" i="4"/>
  <c r="M143" i="15"/>
  <c r="Q142" i="15"/>
  <c r="L142" i="9"/>
  <c r="B142" i="19"/>
  <c r="C155" i="27"/>
  <c r="G154" i="27"/>
  <c r="M143" i="14"/>
  <c r="Q142" i="14"/>
  <c r="C142" i="7"/>
  <c r="G141" i="7"/>
  <c r="M143" i="13"/>
  <c r="Q142" i="13"/>
  <c r="B144" i="8"/>
  <c r="B141" i="5"/>
  <c r="G162" i="14"/>
  <c r="G2" i="14"/>
  <c r="M141" i="27"/>
  <c r="Q140" i="27"/>
  <c r="G142" i="26"/>
  <c r="C143" i="26"/>
  <c r="M148" i="21"/>
  <c r="Q147" i="21"/>
  <c r="L143" i="26"/>
  <c r="M144" i="3"/>
  <c r="Q143" i="3"/>
  <c r="C145" i="8"/>
  <c r="G144" i="8"/>
  <c r="B145" i="3"/>
  <c r="L143" i="8"/>
  <c r="M155" i="5"/>
  <c r="Q154" i="5"/>
  <c r="C142" i="24"/>
  <c r="G141" i="24"/>
  <c r="B142" i="14"/>
  <c r="L142" i="21"/>
  <c r="L142" i="13"/>
  <c r="B142" i="25"/>
  <c r="G140" i="17"/>
  <c r="C141" i="17"/>
  <c r="C141" i="5"/>
  <c r="G140" i="5"/>
  <c r="C141" i="9"/>
  <c r="G140" i="9"/>
  <c r="C147" i="11" l="1"/>
  <c r="G146" i="11"/>
  <c r="B143" i="21"/>
  <c r="M146" i="8"/>
  <c r="Q145" i="8"/>
  <c r="M153" i="7"/>
  <c r="Q152" i="7"/>
  <c r="B143" i="7"/>
  <c r="C145" i="13"/>
  <c r="G144" i="13"/>
  <c r="B142" i="9"/>
  <c r="M156" i="5"/>
  <c r="Q155" i="5"/>
  <c r="L144" i="3"/>
  <c r="C146" i="8"/>
  <c r="G145" i="8"/>
  <c r="G143" i="26"/>
  <c r="C144" i="26"/>
  <c r="B143" i="26"/>
  <c r="C142" i="9"/>
  <c r="G141" i="9"/>
  <c r="M145" i="3"/>
  <c r="Q144" i="3"/>
  <c r="M142" i="17"/>
  <c r="Q141" i="17"/>
  <c r="C143" i="3"/>
  <c r="G142" i="3"/>
  <c r="L143" i="24"/>
  <c r="B143" i="13"/>
  <c r="C156" i="27"/>
  <c r="G155" i="27"/>
  <c r="L142" i="27"/>
  <c r="G141" i="5"/>
  <c r="C142" i="5"/>
  <c r="M143" i="25"/>
  <c r="Q142" i="25"/>
  <c r="L145" i="20"/>
  <c r="L143" i="21"/>
  <c r="L144" i="8"/>
  <c r="Q143" i="13"/>
  <c r="M144" i="13"/>
  <c r="Q162" i="11"/>
  <c r="Q2" i="11"/>
  <c r="M143" i="19"/>
  <c r="Q142" i="19"/>
  <c r="M142" i="27"/>
  <c r="Q141" i="27"/>
  <c r="L145" i="19"/>
  <c r="L144" i="15"/>
  <c r="B143" i="19"/>
  <c r="L144" i="26"/>
  <c r="G141" i="17"/>
  <c r="C142" i="17"/>
  <c r="L151" i="5"/>
  <c r="M152" i="9"/>
  <c r="Q151" i="9"/>
  <c r="Q144" i="20"/>
  <c r="M145" i="20"/>
  <c r="B142" i="17"/>
  <c r="L143" i="4"/>
  <c r="L144" i="17"/>
  <c r="L143" i="9"/>
  <c r="L144" i="25"/>
  <c r="C147" i="15"/>
  <c r="G146" i="15"/>
  <c r="M144" i="23"/>
  <c r="Q143" i="23"/>
  <c r="B144" i="11"/>
  <c r="M149" i="21"/>
  <c r="Q148" i="21"/>
  <c r="B148" i="4"/>
  <c r="C143" i="19"/>
  <c r="G142" i="19"/>
  <c r="B143" i="25"/>
  <c r="G142" i="24"/>
  <c r="C143" i="24"/>
  <c r="B146" i="3"/>
  <c r="B142" i="5"/>
  <c r="C143" i="7"/>
  <c r="G142" i="7"/>
  <c r="M144" i="15"/>
  <c r="Q143" i="15"/>
  <c r="L143" i="7"/>
  <c r="L143" i="23"/>
  <c r="L142" i="14"/>
  <c r="G144" i="20"/>
  <c r="C145" i="20"/>
  <c r="C143" i="23"/>
  <c r="G142" i="23"/>
  <c r="B143" i="14"/>
  <c r="L143" i="13"/>
  <c r="C152" i="25"/>
  <c r="G151" i="25"/>
  <c r="F2" i="14"/>
  <c r="H2" i="14" s="1"/>
  <c r="B144" i="15"/>
  <c r="B148" i="23"/>
  <c r="B145" i="27"/>
  <c r="C154" i="4"/>
  <c r="G153" i="4"/>
  <c r="M146" i="4"/>
  <c r="Q145" i="4"/>
  <c r="B144" i="20"/>
  <c r="L143" i="11"/>
  <c r="C144" i="21"/>
  <c r="G143" i="21"/>
  <c r="B145" i="8"/>
  <c r="M144" i="14"/>
  <c r="Q143" i="14"/>
  <c r="B145" i="24"/>
  <c r="M157" i="24"/>
  <c r="Q156" i="24"/>
  <c r="M143" i="26"/>
  <c r="Q142" i="26"/>
  <c r="M145" i="14" l="1"/>
  <c r="Q144" i="14"/>
  <c r="L144" i="23"/>
  <c r="C144" i="3"/>
  <c r="G143" i="3"/>
  <c r="M147" i="4"/>
  <c r="Q146" i="4"/>
  <c r="C153" i="25"/>
  <c r="G152" i="25"/>
  <c r="L145" i="17"/>
  <c r="G142" i="17"/>
  <c r="C143" i="17"/>
  <c r="C143" i="5"/>
  <c r="G142" i="5"/>
  <c r="L144" i="13"/>
  <c r="L145" i="3"/>
  <c r="L145" i="25"/>
  <c r="L145" i="8"/>
  <c r="B144" i="26"/>
  <c r="L144" i="7"/>
  <c r="M145" i="23"/>
  <c r="Q144" i="23"/>
  <c r="L144" i="4"/>
  <c r="L146" i="19"/>
  <c r="L144" i="21"/>
  <c r="B146" i="27"/>
  <c r="C146" i="20"/>
  <c r="G145" i="20"/>
  <c r="B149" i="23"/>
  <c r="B143" i="17"/>
  <c r="L143" i="27"/>
  <c r="M143" i="17"/>
  <c r="Q142" i="17"/>
  <c r="M147" i="8"/>
  <c r="Q146" i="8"/>
  <c r="L144" i="11"/>
  <c r="Q144" i="15"/>
  <c r="M145" i="15"/>
  <c r="L145" i="26"/>
  <c r="C145" i="26"/>
  <c r="G144" i="26"/>
  <c r="C144" i="19"/>
  <c r="G143" i="19"/>
  <c r="M146" i="20"/>
  <c r="Q145" i="20"/>
  <c r="M157" i="5"/>
  <c r="Q156" i="5"/>
  <c r="B144" i="14"/>
  <c r="C148" i="15"/>
  <c r="G147" i="15"/>
  <c r="B149" i="4"/>
  <c r="L146" i="20"/>
  <c r="M158" i="24"/>
  <c r="Q157" i="24"/>
  <c r="C155" i="4"/>
  <c r="G154" i="4"/>
  <c r="C144" i="7"/>
  <c r="G143" i="7"/>
  <c r="C157" i="27"/>
  <c r="G156" i="27"/>
  <c r="B143" i="9"/>
  <c r="B144" i="21"/>
  <c r="Q149" i="21"/>
  <c r="M150" i="21"/>
  <c r="M144" i="26"/>
  <c r="Q143" i="26"/>
  <c r="M143" i="27"/>
  <c r="Q142" i="27"/>
  <c r="B146" i="24"/>
  <c r="G144" i="21"/>
  <c r="C145" i="21"/>
  <c r="B145" i="15"/>
  <c r="C144" i="23"/>
  <c r="G143" i="23"/>
  <c r="B143" i="5"/>
  <c r="Q152" i="9"/>
  <c r="M153" i="9"/>
  <c r="B144" i="19"/>
  <c r="L152" i="5"/>
  <c r="M144" i="19"/>
  <c r="Q143" i="19"/>
  <c r="M146" i="3"/>
  <c r="Q145" i="3"/>
  <c r="C146" i="13"/>
  <c r="G145" i="13"/>
  <c r="B144" i="13"/>
  <c r="B147" i="3"/>
  <c r="B144" i="7"/>
  <c r="B145" i="20"/>
  <c r="C144" i="24"/>
  <c r="G143" i="24"/>
  <c r="H154" i="14"/>
  <c r="I154" i="14" s="1"/>
  <c r="J154" i="14" s="1"/>
  <c r="H140" i="14"/>
  <c r="I140" i="14" s="1"/>
  <c r="J140" i="14" s="1"/>
  <c r="H21" i="14"/>
  <c r="I21" i="14" s="1"/>
  <c r="J21" i="14" s="1"/>
  <c r="H141" i="14"/>
  <c r="I141" i="14" s="1"/>
  <c r="J141" i="14" s="1"/>
  <c r="H155" i="14"/>
  <c r="I155" i="14" s="1"/>
  <c r="J155" i="14" s="1"/>
  <c r="H142" i="14"/>
  <c r="I142" i="14" s="1"/>
  <c r="J142" i="14" s="1"/>
  <c r="H17" i="14"/>
  <c r="I17" i="14" s="1"/>
  <c r="J17" i="14" s="1"/>
  <c r="H16" i="14"/>
  <c r="I16" i="14" s="1"/>
  <c r="J16" i="14" s="1"/>
  <c r="H15" i="14"/>
  <c r="I15" i="14" s="1"/>
  <c r="J15" i="14" s="1"/>
  <c r="H14" i="14"/>
  <c r="I14" i="14" s="1"/>
  <c r="J14" i="14" s="1"/>
  <c r="H13" i="14"/>
  <c r="I13" i="14" s="1"/>
  <c r="J13" i="14" s="1"/>
  <c r="H12" i="14"/>
  <c r="I12" i="14" s="1"/>
  <c r="J12" i="14" s="1"/>
  <c r="H11" i="14"/>
  <c r="I11" i="14" s="1"/>
  <c r="J11" i="14" s="1"/>
  <c r="H10" i="14"/>
  <c r="I10" i="14" s="1"/>
  <c r="J10" i="14" s="1"/>
  <c r="H9" i="14"/>
  <c r="I9" i="14" s="1"/>
  <c r="J9" i="14" s="1"/>
  <c r="H8" i="14"/>
  <c r="I8" i="14" s="1"/>
  <c r="J8" i="14" s="1"/>
  <c r="H7" i="14"/>
  <c r="I7" i="14" s="1"/>
  <c r="J7" i="14" s="1"/>
  <c r="H162" i="14"/>
  <c r="I162" i="14" s="1"/>
  <c r="J162" i="14" s="1"/>
  <c r="H143" i="14"/>
  <c r="I143" i="14" s="1"/>
  <c r="J143" i="14" s="1"/>
  <c r="H156" i="14"/>
  <c r="I156" i="14" s="1"/>
  <c r="J156" i="14" s="1"/>
  <c r="H144" i="14"/>
  <c r="I144" i="14" s="1"/>
  <c r="J144" i="14" s="1"/>
  <c r="H147" i="14"/>
  <c r="I147" i="14" s="1"/>
  <c r="J147" i="14" s="1"/>
  <c r="H159" i="14"/>
  <c r="I159" i="14" s="1"/>
  <c r="J159" i="14" s="1"/>
  <c r="H150" i="14"/>
  <c r="I150" i="14" s="1"/>
  <c r="J150" i="14" s="1"/>
  <c r="H44" i="14"/>
  <c r="I44" i="14" s="1"/>
  <c r="J44" i="14" s="1"/>
  <c r="H153" i="14"/>
  <c r="I153" i="14" s="1"/>
  <c r="J153" i="14" s="1"/>
  <c r="H116" i="14"/>
  <c r="I116" i="14" s="1"/>
  <c r="J116" i="14" s="1"/>
  <c r="H108" i="14"/>
  <c r="I108" i="14" s="1"/>
  <c r="J108" i="14" s="1"/>
  <c r="H100" i="14"/>
  <c r="I100" i="14" s="1"/>
  <c r="J100" i="14" s="1"/>
  <c r="H92" i="14"/>
  <c r="I92" i="14" s="1"/>
  <c r="J92" i="14" s="1"/>
  <c r="H84" i="14"/>
  <c r="I84" i="14" s="1"/>
  <c r="J84" i="14" s="1"/>
  <c r="H75" i="14"/>
  <c r="I75" i="14" s="1"/>
  <c r="J75" i="14" s="1"/>
  <c r="H59" i="14"/>
  <c r="I59" i="14" s="1"/>
  <c r="J59" i="14" s="1"/>
  <c r="H43" i="14"/>
  <c r="I43" i="14" s="1"/>
  <c r="J43" i="14" s="1"/>
  <c r="H35" i="14"/>
  <c r="I35" i="14" s="1"/>
  <c r="J35" i="14" s="1"/>
  <c r="H23" i="14"/>
  <c r="I23" i="14" s="1"/>
  <c r="J23" i="14" s="1"/>
  <c r="H157" i="14"/>
  <c r="I157" i="14" s="1"/>
  <c r="J157" i="14" s="1"/>
  <c r="H145" i="14"/>
  <c r="I145" i="14" s="1"/>
  <c r="J145" i="14" s="1"/>
  <c r="H132" i="14"/>
  <c r="I132" i="14" s="1"/>
  <c r="J132" i="14" s="1"/>
  <c r="H124" i="14"/>
  <c r="I124" i="14" s="1"/>
  <c r="J124" i="14" s="1"/>
  <c r="H82" i="14"/>
  <c r="I82" i="14" s="1"/>
  <c r="J82" i="14" s="1"/>
  <c r="H66" i="14"/>
  <c r="I66" i="14" s="1"/>
  <c r="J66" i="14" s="1"/>
  <c r="H50" i="14"/>
  <c r="I50" i="14" s="1"/>
  <c r="J50" i="14" s="1"/>
  <c r="H20" i="14"/>
  <c r="I20" i="14" s="1"/>
  <c r="J20" i="14" s="1"/>
  <c r="H119" i="14"/>
  <c r="I119" i="14" s="1"/>
  <c r="J119" i="14" s="1"/>
  <c r="H111" i="14"/>
  <c r="I111" i="14" s="1"/>
  <c r="J111" i="14" s="1"/>
  <c r="H103" i="14"/>
  <c r="I103" i="14" s="1"/>
  <c r="J103" i="14" s="1"/>
  <c r="H95" i="14"/>
  <c r="I95" i="14" s="1"/>
  <c r="J95" i="14" s="1"/>
  <c r="H87" i="14"/>
  <c r="I87" i="14" s="1"/>
  <c r="J87" i="14" s="1"/>
  <c r="H73" i="14"/>
  <c r="I73" i="14" s="1"/>
  <c r="J73" i="14" s="1"/>
  <c r="H57" i="14"/>
  <c r="I57" i="14" s="1"/>
  <c r="J57" i="14" s="1"/>
  <c r="H38" i="14"/>
  <c r="I38" i="14" s="1"/>
  <c r="J38" i="14" s="1"/>
  <c r="H26" i="14"/>
  <c r="I26" i="14" s="1"/>
  <c r="J26" i="14" s="1"/>
  <c r="H135" i="14"/>
  <c r="I135" i="14" s="1"/>
  <c r="J135" i="14" s="1"/>
  <c r="H127" i="14"/>
  <c r="I127" i="14" s="1"/>
  <c r="J127" i="14" s="1"/>
  <c r="H80" i="14"/>
  <c r="I80" i="14" s="1"/>
  <c r="J80" i="14" s="1"/>
  <c r="H64" i="14"/>
  <c r="I64" i="14" s="1"/>
  <c r="J64" i="14" s="1"/>
  <c r="H48" i="14"/>
  <c r="I48" i="14" s="1"/>
  <c r="J48" i="14" s="1"/>
  <c r="H161" i="14"/>
  <c r="I161" i="14" s="1"/>
  <c r="J161" i="14" s="1"/>
  <c r="H122" i="14"/>
  <c r="I122" i="14" s="1"/>
  <c r="J122" i="14" s="1"/>
  <c r="H114" i="14"/>
  <c r="I114" i="14" s="1"/>
  <c r="J114" i="14" s="1"/>
  <c r="H106" i="14"/>
  <c r="I106" i="14" s="1"/>
  <c r="J106" i="14" s="1"/>
  <c r="H98" i="14"/>
  <c r="I98" i="14" s="1"/>
  <c r="J98" i="14" s="1"/>
  <c r="H90" i="14"/>
  <c r="I90" i="14" s="1"/>
  <c r="J90" i="14" s="1"/>
  <c r="H71" i="14"/>
  <c r="I71" i="14" s="1"/>
  <c r="J71" i="14" s="1"/>
  <c r="H55" i="14"/>
  <c r="I55" i="14" s="1"/>
  <c r="J55" i="14" s="1"/>
  <c r="H41" i="14"/>
  <c r="I41" i="14" s="1"/>
  <c r="J41" i="14" s="1"/>
  <c r="H33" i="14"/>
  <c r="I33" i="14" s="1"/>
  <c r="J33" i="14" s="1"/>
  <c r="H29" i="14"/>
  <c r="I29" i="14" s="1"/>
  <c r="J29" i="14" s="1"/>
  <c r="H148" i="14"/>
  <c r="I148" i="14" s="1"/>
  <c r="J148" i="14" s="1"/>
  <c r="H138" i="14"/>
  <c r="I138" i="14" s="1"/>
  <c r="J138" i="14" s="1"/>
  <c r="H130" i="14"/>
  <c r="I130" i="14" s="1"/>
  <c r="J130" i="14" s="1"/>
  <c r="H78" i="14"/>
  <c r="I78" i="14" s="1"/>
  <c r="J78" i="14" s="1"/>
  <c r="H62" i="14"/>
  <c r="I62" i="14" s="1"/>
  <c r="J62" i="14" s="1"/>
  <c r="H46" i="14"/>
  <c r="I46" i="14" s="1"/>
  <c r="J46" i="14" s="1"/>
  <c r="H152" i="14"/>
  <c r="I152" i="14" s="1"/>
  <c r="J152" i="14" s="1"/>
  <c r="H117" i="14"/>
  <c r="I117" i="14" s="1"/>
  <c r="J117" i="14" s="1"/>
  <c r="H115" i="14"/>
  <c r="I115" i="14" s="1"/>
  <c r="J115" i="14" s="1"/>
  <c r="H107" i="14"/>
  <c r="I107" i="14" s="1"/>
  <c r="J107" i="14" s="1"/>
  <c r="H99" i="14"/>
  <c r="I99" i="14" s="1"/>
  <c r="J99" i="14" s="1"/>
  <c r="H91" i="14"/>
  <c r="I91" i="14" s="1"/>
  <c r="J91" i="14" s="1"/>
  <c r="H81" i="14"/>
  <c r="I81" i="14" s="1"/>
  <c r="J81" i="14" s="1"/>
  <c r="H65" i="14"/>
  <c r="I65" i="14" s="1"/>
  <c r="J65" i="14" s="1"/>
  <c r="H49" i="14"/>
  <c r="I49" i="14" s="1"/>
  <c r="J49" i="14" s="1"/>
  <c r="H42" i="14"/>
  <c r="I42" i="14" s="1"/>
  <c r="J42" i="14" s="1"/>
  <c r="H34" i="14"/>
  <c r="I34" i="14" s="1"/>
  <c r="J34" i="14" s="1"/>
  <c r="H22" i="14"/>
  <c r="I22" i="14" s="1"/>
  <c r="J22" i="14" s="1"/>
  <c r="H118" i="14"/>
  <c r="I118" i="14" s="1"/>
  <c r="J118" i="14" s="1"/>
  <c r="H110" i="14"/>
  <c r="I110" i="14" s="1"/>
  <c r="J110" i="14" s="1"/>
  <c r="H151" i="14"/>
  <c r="I151" i="14" s="1"/>
  <c r="J151" i="14" s="1"/>
  <c r="H149" i="14"/>
  <c r="I149" i="14" s="1"/>
  <c r="J149" i="14" s="1"/>
  <c r="H134" i="14"/>
  <c r="I134" i="14" s="1"/>
  <c r="J134" i="14" s="1"/>
  <c r="H126" i="14"/>
  <c r="I126" i="14" s="1"/>
  <c r="J126" i="14" s="1"/>
  <c r="H70" i="14"/>
  <c r="I70" i="14" s="1"/>
  <c r="J70" i="14" s="1"/>
  <c r="H125" i="14"/>
  <c r="I125" i="14" s="1"/>
  <c r="J125" i="14" s="1"/>
  <c r="H104" i="14"/>
  <c r="I104" i="14" s="1"/>
  <c r="J104" i="14" s="1"/>
  <c r="H96" i="14"/>
  <c r="I96" i="14" s="1"/>
  <c r="J96" i="14" s="1"/>
  <c r="H88" i="14"/>
  <c r="I88" i="14" s="1"/>
  <c r="J88" i="14" s="1"/>
  <c r="H74" i="14"/>
  <c r="I74" i="14" s="1"/>
  <c r="J74" i="14" s="1"/>
  <c r="H68" i="14"/>
  <c r="I68" i="14" s="1"/>
  <c r="J68" i="14" s="1"/>
  <c r="H36" i="14"/>
  <c r="I36" i="14" s="1"/>
  <c r="J36" i="14" s="1"/>
  <c r="H27" i="14"/>
  <c r="I27" i="14" s="1"/>
  <c r="J27" i="14" s="1"/>
  <c r="H131" i="14"/>
  <c r="I131" i="14" s="1"/>
  <c r="J131" i="14" s="1"/>
  <c r="H109" i="14"/>
  <c r="I109" i="14" s="1"/>
  <c r="J109" i="14" s="1"/>
  <c r="H101" i="14"/>
  <c r="I101" i="14" s="1"/>
  <c r="J101" i="14" s="1"/>
  <c r="H93" i="14"/>
  <c r="I93" i="14" s="1"/>
  <c r="J93" i="14" s="1"/>
  <c r="H85" i="14"/>
  <c r="I85" i="14" s="1"/>
  <c r="J85" i="14" s="1"/>
  <c r="H128" i="14"/>
  <c r="I128" i="14" s="1"/>
  <c r="J128" i="14" s="1"/>
  <c r="H112" i="14"/>
  <c r="I112" i="14" s="1"/>
  <c r="J112" i="14" s="1"/>
  <c r="H54" i="14"/>
  <c r="I54" i="14" s="1"/>
  <c r="J54" i="14" s="1"/>
  <c r="H24" i="14"/>
  <c r="I24" i="14" s="1"/>
  <c r="J24" i="14" s="1"/>
  <c r="H146" i="14"/>
  <c r="I146" i="14" s="1"/>
  <c r="J146" i="14" s="1"/>
  <c r="H137" i="14"/>
  <c r="I137" i="14" s="1"/>
  <c r="J137" i="14" s="1"/>
  <c r="H79" i="14"/>
  <c r="I79" i="14" s="1"/>
  <c r="J79" i="14" s="1"/>
  <c r="H76" i="14"/>
  <c r="I76" i="14" s="1"/>
  <c r="J76" i="14" s="1"/>
  <c r="H51" i="14"/>
  <c r="I51" i="14" s="1"/>
  <c r="J51" i="14" s="1"/>
  <c r="H31" i="14"/>
  <c r="I31" i="14" s="1"/>
  <c r="J31" i="14" s="1"/>
  <c r="H67" i="14"/>
  <c r="I67" i="14" s="1"/>
  <c r="J67" i="14" s="1"/>
  <c r="H158" i="14"/>
  <c r="I158" i="14" s="1"/>
  <c r="J158" i="14" s="1"/>
  <c r="H133" i="14"/>
  <c r="I133" i="14" s="1"/>
  <c r="J133" i="14" s="1"/>
  <c r="H121" i="14"/>
  <c r="I121" i="14" s="1"/>
  <c r="J121" i="14" s="1"/>
  <c r="H105" i="14"/>
  <c r="I105" i="14" s="1"/>
  <c r="J105" i="14" s="1"/>
  <c r="H97" i="14"/>
  <c r="I97" i="14" s="1"/>
  <c r="J97" i="14" s="1"/>
  <c r="H89" i="14"/>
  <c r="I89" i="14" s="1"/>
  <c r="J89" i="14" s="1"/>
  <c r="H72" i="14"/>
  <c r="I72" i="14" s="1"/>
  <c r="J72" i="14" s="1"/>
  <c r="H61" i="14"/>
  <c r="I61" i="14" s="1"/>
  <c r="J61" i="14" s="1"/>
  <c r="H40" i="14"/>
  <c r="I40" i="14" s="1"/>
  <c r="J40" i="14" s="1"/>
  <c r="H30" i="14"/>
  <c r="I30" i="14" s="1"/>
  <c r="J30" i="14" s="1"/>
  <c r="H123" i="14"/>
  <c r="I123" i="14" s="1"/>
  <c r="J123" i="14" s="1"/>
  <c r="H58" i="14"/>
  <c r="I58" i="14" s="1"/>
  <c r="J58" i="14" s="1"/>
  <c r="H47" i="14"/>
  <c r="I47" i="14" s="1"/>
  <c r="J47" i="14" s="1"/>
  <c r="H37" i="14"/>
  <c r="I37" i="14" s="1"/>
  <c r="J37" i="14" s="1"/>
  <c r="H28" i="14"/>
  <c r="I28" i="14" s="1"/>
  <c r="J28" i="14" s="1"/>
  <c r="H63" i="14"/>
  <c r="I63" i="14" s="1"/>
  <c r="J63" i="14" s="1"/>
  <c r="H18" i="14"/>
  <c r="I18" i="14" s="1"/>
  <c r="J18" i="14" s="1"/>
  <c r="H77" i="14"/>
  <c r="I77" i="14" s="1"/>
  <c r="J77" i="14" s="1"/>
  <c r="H6" i="14"/>
  <c r="I6" i="14" s="1"/>
  <c r="J6" i="14" s="1"/>
  <c r="H86" i="14"/>
  <c r="I86" i="14" s="1"/>
  <c r="J86" i="14" s="1"/>
  <c r="H45" i="14"/>
  <c r="I45" i="14" s="1"/>
  <c r="J45" i="14" s="1"/>
  <c r="H94" i="14"/>
  <c r="I94" i="14" s="1"/>
  <c r="J94" i="14" s="1"/>
  <c r="H53" i="14"/>
  <c r="I53" i="14" s="1"/>
  <c r="J53" i="14" s="1"/>
  <c r="H32" i="14"/>
  <c r="I32" i="14" s="1"/>
  <c r="J32" i="14" s="1"/>
  <c r="H160" i="14"/>
  <c r="I160" i="14" s="1"/>
  <c r="J160" i="14" s="1"/>
  <c r="H113" i="14"/>
  <c r="I113" i="14" s="1"/>
  <c r="J113" i="14" s="1"/>
  <c r="H102" i="14"/>
  <c r="I102" i="14" s="1"/>
  <c r="J102" i="14" s="1"/>
  <c r="H139" i="14"/>
  <c r="I139" i="14" s="1"/>
  <c r="J139" i="14" s="1"/>
  <c r="H60" i="14"/>
  <c r="I60" i="14" s="1"/>
  <c r="J60" i="14" s="1"/>
  <c r="H120" i="14"/>
  <c r="I120" i="14" s="1"/>
  <c r="J120" i="14" s="1"/>
  <c r="H25" i="14"/>
  <c r="I25" i="14" s="1"/>
  <c r="J25" i="14" s="1"/>
  <c r="H19" i="14"/>
  <c r="I19" i="14" s="1"/>
  <c r="J19" i="14" s="1"/>
  <c r="H83" i="14"/>
  <c r="I83" i="14" s="1"/>
  <c r="J83" i="14" s="1"/>
  <c r="H52" i="14"/>
  <c r="I52" i="14" s="1"/>
  <c r="J52" i="14" s="1"/>
  <c r="H136" i="14"/>
  <c r="I136" i="14" s="1"/>
  <c r="J136" i="14" s="1"/>
  <c r="H129" i="14"/>
  <c r="I129" i="14" s="1"/>
  <c r="J129" i="14" s="1"/>
  <c r="H56" i="14"/>
  <c r="I56" i="14" s="1"/>
  <c r="J56" i="14" s="1"/>
  <c r="H69" i="14"/>
  <c r="I69" i="14" s="1"/>
  <c r="J69" i="14" s="1"/>
  <c r="H39" i="14"/>
  <c r="I39" i="14" s="1"/>
  <c r="J39" i="14" s="1"/>
  <c r="L143" i="14"/>
  <c r="L144" i="9"/>
  <c r="P2" i="11"/>
  <c r="R2" i="11" s="1"/>
  <c r="L144" i="24"/>
  <c r="G142" i="9"/>
  <c r="C143" i="9"/>
  <c r="C147" i="8"/>
  <c r="G146" i="8"/>
  <c r="M154" i="7"/>
  <c r="Q153" i="7"/>
  <c r="B146" i="8"/>
  <c r="B144" i="25"/>
  <c r="B145" i="11"/>
  <c r="L145" i="15"/>
  <c r="M145" i="13"/>
  <c r="Q144" i="13"/>
  <c r="M144" i="25"/>
  <c r="Q143" i="25"/>
  <c r="C148" i="11"/>
  <c r="G147" i="11"/>
  <c r="M145" i="25" l="1"/>
  <c r="Q144" i="25"/>
  <c r="B144" i="5"/>
  <c r="B146" i="15"/>
  <c r="G144" i="24"/>
  <c r="C145" i="24"/>
  <c r="C146" i="21"/>
  <c r="G145" i="21"/>
  <c r="B150" i="4"/>
  <c r="C144" i="5"/>
  <c r="G143" i="5"/>
  <c r="C148" i="8"/>
  <c r="G147" i="8"/>
  <c r="M146" i="13"/>
  <c r="Q145" i="13"/>
  <c r="G143" i="9"/>
  <c r="C144" i="9"/>
  <c r="M145" i="19"/>
  <c r="Q144" i="19"/>
  <c r="C158" i="27"/>
  <c r="G157" i="27"/>
  <c r="B150" i="23"/>
  <c r="L145" i="4"/>
  <c r="B148" i="3"/>
  <c r="L153" i="5"/>
  <c r="G144" i="23"/>
  <c r="C145" i="23"/>
  <c r="C145" i="19"/>
  <c r="G144" i="19"/>
  <c r="M148" i="8"/>
  <c r="Q147" i="8"/>
  <c r="G143" i="17"/>
  <c r="C144" i="17"/>
  <c r="B147" i="27"/>
  <c r="M146" i="23"/>
  <c r="Q145" i="23"/>
  <c r="L146" i="25"/>
  <c r="C145" i="3"/>
  <c r="G144" i="3"/>
  <c r="I2" i="14"/>
  <c r="J2" i="14" s="1"/>
  <c r="B147" i="24"/>
  <c r="L145" i="24"/>
  <c r="C147" i="20"/>
  <c r="G146" i="20"/>
  <c r="L146" i="17"/>
  <c r="C149" i="15"/>
  <c r="G148" i="15"/>
  <c r="L145" i="7"/>
  <c r="L144" i="27"/>
  <c r="L146" i="15"/>
  <c r="R162" i="11"/>
  <c r="S162" i="11" s="1"/>
  <c r="T162" i="11" s="1"/>
  <c r="R161" i="11"/>
  <c r="S161" i="11" s="1"/>
  <c r="T161" i="11" s="1"/>
  <c r="R150" i="11"/>
  <c r="S150" i="11" s="1"/>
  <c r="T150" i="11" s="1"/>
  <c r="R138" i="11"/>
  <c r="S138" i="11" s="1"/>
  <c r="T138" i="11" s="1"/>
  <c r="R130" i="11"/>
  <c r="S130" i="11" s="1"/>
  <c r="T130" i="11" s="1"/>
  <c r="R122" i="11"/>
  <c r="S122" i="11" s="1"/>
  <c r="T122" i="11" s="1"/>
  <c r="R113" i="11"/>
  <c r="S113" i="11" s="1"/>
  <c r="T113" i="11" s="1"/>
  <c r="R97" i="11"/>
  <c r="S97" i="11" s="1"/>
  <c r="T97" i="11" s="1"/>
  <c r="R75" i="11"/>
  <c r="S75" i="11" s="1"/>
  <c r="T75" i="11" s="1"/>
  <c r="R59" i="11"/>
  <c r="S59" i="11" s="1"/>
  <c r="T59" i="11" s="1"/>
  <c r="R40" i="11"/>
  <c r="S40" i="11" s="1"/>
  <c r="T40" i="11" s="1"/>
  <c r="R26" i="11"/>
  <c r="S26" i="11" s="1"/>
  <c r="T26" i="11" s="1"/>
  <c r="R19" i="11"/>
  <c r="S19" i="11" s="1"/>
  <c r="T19" i="11" s="1"/>
  <c r="R157" i="11"/>
  <c r="S157" i="11" s="1"/>
  <c r="T157" i="11" s="1"/>
  <c r="R110" i="11"/>
  <c r="S110" i="11" s="1"/>
  <c r="T110" i="11" s="1"/>
  <c r="R94" i="11"/>
  <c r="S94" i="11" s="1"/>
  <c r="T94" i="11" s="1"/>
  <c r="R72" i="11"/>
  <c r="S72" i="11" s="1"/>
  <c r="T72" i="11" s="1"/>
  <c r="R56" i="11"/>
  <c r="S56" i="11" s="1"/>
  <c r="T56" i="11" s="1"/>
  <c r="R37" i="11"/>
  <c r="S37" i="11" s="1"/>
  <c r="T37" i="11" s="1"/>
  <c r="R30" i="11"/>
  <c r="S30" i="11" s="1"/>
  <c r="T30" i="11" s="1"/>
  <c r="R23" i="11"/>
  <c r="S23" i="11" s="1"/>
  <c r="T23" i="11" s="1"/>
  <c r="R15" i="11"/>
  <c r="S15" i="11" s="1"/>
  <c r="T15" i="11" s="1"/>
  <c r="R11" i="11"/>
  <c r="S11" i="11" s="1"/>
  <c r="T11" i="11" s="1"/>
  <c r="R7" i="11"/>
  <c r="S7" i="11" s="1"/>
  <c r="T7" i="11" s="1"/>
  <c r="R148" i="11"/>
  <c r="S148" i="11" s="1"/>
  <c r="T148" i="11" s="1"/>
  <c r="R141" i="11"/>
  <c r="S141" i="11" s="1"/>
  <c r="T141" i="11" s="1"/>
  <c r="R133" i="11"/>
  <c r="S133" i="11" s="1"/>
  <c r="T133" i="11" s="1"/>
  <c r="R125" i="11"/>
  <c r="S125" i="11" s="1"/>
  <c r="T125" i="11" s="1"/>
  <c r="R107" i="11"/>
  <c r="S107" i="11" s="1"/>
  <c r="T107" i="11" s="1"/>
  <c r="R91" i="11"/>
  <c r="S91" i="11" s="1"/>
  <c r="T91" i="11" s="1"/>
  <c r="R69" i="11"/>
  <c r="S69" i="11" s="1"/>
  <c r="T69" i="11" s="1"/>
  <c r="R53" i="11"/>
  <c r="S53" i="11" s="1"/>
  <c r="T53" i="11" s="1"/>
  <c r="R34" i="11"/>
  <c r="S34" i="11" s="1"/>
  <c r="T34" i="11" s="1"/>
  <c r="R155" i="11"/>
  <c r="S155" i="11" s="1"/>
  <c r="T155" i="11" s="1"/>
  <c r="R120" i="11"/>
  <c r="S120" i="11" s="1"/>
  <c r="T120" i="11" s="1"/>
  <c r="R104" i="11"/>
  <c r="S104" i="11" s="1"/>
  <c r="T104" i="11" s="1"/>
  <c r="R88" i="11"/>
  <c r="S88" i="11" s="1"/>
  <c r="T88" i="11" s="1"/>
  <c r="R82" i="11"/>
  <c r="S82" i="11" s="1"/>
  <c r="T82" i="11" s="1"/>
  <c r="R66" i="11"/>
  <c r="S66" i="11" s="1"/>
  <c r="T66" i="11" s="1"/>
  <c r="R50" i="11"/>
  <c r="S50" i="11" s="1"/>
  <c r="T50" i="11" s="1"/>
  <c r="R146" i="11"/>
  <c r="S146" i="11" s="1"/>
  <c r="T146" i="11" s="1"/>
  <c r="R136" i="11"/>
  <c r="S136" i="11" s="1"/>
  <c r="T136" i="11" s="1"/>
  <c r="R128" i="11"/>
  <c r="S128" i="11" s="1"/>
  <c r="T128" i="11" s="1"/>
  <c r="R117" i="11"/>
  <c r="S117" i="11" s="1"/>
  <c r="T117" i="11" s="1"/>
  <c r="R101" i="11"/>
  <c r="S101" i="11" s="1"/>
  <c r="T101" i="11" s="1"/>
  <c r="R85" i="11"/>
  <c r="S85" i="11" s="1"/>
  <c r="T85" i="11" s="1"/>
  <c r="R79" i="11"/>
  <c r="S79" i="11" s="1"/>
  <c r="T79" i="11" s="1"/>
  <c r="R63" i="11"/>
  <c r="S63" i="11" s="1"/>
  <c r="T63" i="11" s="1"/>
  <c r="R47" i="11"/>
  <c r="S47" i="11" s="1"/>
  <c r="T47" i="11" s="1"/>
  <c r="R20" i="11"/>
  <c r="S20" i="11" s="1"/>
  <c r="T20" i="11" s="1"/>
  <c r="R153" i="11"/>
  <c r="S153" i="11" s="1"/>
  <c r="T153" i="11" s="1"/>
  <c r="R114" i="11"/>
  <c r="S114" i="11" s="1"/>
  <c r="T114" i="11" s="1"/>
  <c r="R98" i="11"/>
  <c r="S98" i="11" s="1"/>
  <c r="T98" i="11" s="1"/>
  <c r="R76" i="11"/>
  <c r="S76" i="11" s="1"/>
  <c r="T76" i="11" s="1"/>
  <c r="R160" i="11"/>
  <c r="S160" i="11" s="1"/>
  <c r="T160" i="11" s="1"/>
  <c r="R144" i="11"/>
  <c r="S144" i="11" s="1"/>
  <c r="T144" i="11" s="1"/>
  <c r="R139" i="11"/>
  <c r="S139" i="11" s="1"/>
  <c r="T139" i="11" s="1"/>
  <c r="R131" i="11"/>
  <c r="S131" i="11" s="1"/>
  <c r="T131" i="11" s="1"/>
  <c r="R123" i="11"/>
  <c r="S123" i="11" s="1"/>
  <c r="T123" i="11" s="1"/>
  <c r="R111" i="11"/>
  <c r="S111" i="11" s="1"/>
  <c r="T111" i="11" s="1"/>
  <c r="R95" i="11"/>
  <c r="S95" i="11" s="1"/>
  <c r="T95" i="11" s="1"/>
  <c r="R73" i="11"/>
  <c r="S73" i="11" s="1"/>
  <c r="T73" i="11" s="1"/>
  <c r="R151" i="11"/>
  <c r="S151" i="11" s="1"/>
  <c r="T151" i="11" s="1"/>
  <c r="R108" i="11"/>
  <c r="S108" i="11" s="1"/>
  <c r="T108" i="11" s="1"/>
  <c r="R92" i="11"/>
  <c r="S92" i="11" s="1"/>
  <c r="T92" i="11" s="1"/>
  <c r="R70" i="11"/>
  <c r="S70" i="11" s="1"/>
  <c r="T70" i="11" s="1"/>
  <c r="R54" i="11"/>
  <c r="S54" i="11" s="1"/>
  <c r="T54" i="11" s="1"/>
  <c r="R35" i="11"/>
  <c r="S35" i="11" s="1"/>
  <c r="T35" i="11" s="1"/>
  <c r="R145" i="11"/>
  <c r="S145" i="11" s="1"/>
  <c r="T145" i="11" s="1"/>
  <c r="R106" i="11"/>
  <c r="S106" i="11" s="1"/>
  <c r="T106" i="11" s="1"/>
  <c r="R90" i="11"/>
  <c r="S90" i="11" s="1"/>
  <c r="T90" i="11" s="1"/>
  <c r="R68" i="11"/>
  <c r="S68" i="11" s="1"/>
  <c r="T68" i="11" s="1"/>
  <c r="R140" i="11"/>
  <c r="S140" i="11" s="1"/>
  <c r="T140" i="11" s="1"/>
  <c r="R87" i="11"/>
  <c r="S87" i="11" s="1"/>
  <c r="T87" i="11" s="1"/>
  <c r="R61" i="11"/>
  <c r="S61" i="11" s="1"/>
  <c r="T61" i="11" s="1"/>
  <c r="R36" i="11"/>
  <c r="S36" i="11" s="1"/>
  <c r="T36" i="11" s="1"/>
  <c r="R18" i="11"/>
  <c r="S18" i="11" s="1"/>
  <c r="T18" i="11" s="1"/>
  <c r="R12" i="11"/>
  <c r="S12" i="11" s="1"/>
  <c r="T12" i="11" s="1"/>
  <c r="R158" i="11"/>
  <c r="S158" i="11" s="1"/>
  <c r="T158" i="11" s="1"/>
  <c r="R103" i="11"/>
  <c r="S103" i="11" s="1"/>
  <c r="T103" i="11" s="1"/>
  <c r="R71" i="11"/>
  <c r="S71" i="11" s="1"/>
  <c r="T71" i="11" s="1"/>
  <c r="R44" i="11"/>
  <c r="S44" i="11" s="1"/>
  <c r="T44" i="11" s="1"/>
  <c r="R42" i="11"/>
  <c r="S42" i="11" s="1"/>
  <c r="T42" i="11" s="1"/>
  <c r="R28" i="11"/>
  <c r="S28" i="11" s="1"/>
  <c r="T28" i="11" s="1"/>
  <c r="R8" i="11"/>
  <c r="S8" i="11" s="1"/>
  <c r="T8" i="11" s="1"/>
  <c r="R152" i="11"/>
  <c r="S152" i="11" s="1"/>
  <c r="T152" i="11" s="1"/>
  <c r="R142" i="11"/>
  <c r="S142" i="11" s="1"/>
  <c r="T142" i="11" s="1"/>
  <c r="R119" i="11"/>
  <c r="S119" i="11" s="1"/>
  <c r="T119" i="11" s="1"/>
  <c r="R84" i="11"/>
  <c r="S84" i="11" s="1"/>
  <c r="T84" i="11" s="1"/>
  <c r="R48" i="11"/>
  <c r="S48" i="11" s="1"/>
  <c r="T48" i="11" s="1"/>
  <c r="R14" i="11"/>
  <c r="S14" i="11" s="1"/>
  <c r="T14" i="11" s="1"/>
  <c r="R100" i="11"/>
  <c r="S100" i="11" s="1"/>
  <c r="T100" i="11" s="1"/>
  <c r="R89" i="11"/>
  <c r="S89" i="11" s="1"/>
  <c r="T89" i="11" s="1"/>
  <c r="R81" i="11"/>
  <c r="S81" i="11" s="1"/>
  <c r="T81" i="11" s="1"/>
  <c r="R46" i="11"/>
  <c r="S46" i="11" s="1"/>
  <c r="T46" i="11" s="1"/>
  <c r="R10" i="11"/>
  <c r="S10" i="11" s="1"/>
  <c r="T10" i="11" s="1"/>
  <c r="R116" i="11"/>
  <c r="S116" i="11" s="1"/>
  <c r="T116" i="11" s="1"/>
  <c r="R105" i="11"/>
  <c r="S105" i="11" s="1"/>
  <c r="T105" i="11" s="1"/>
  <c r="R121" i="11"/>
  <c r="S121" i="11" s="1"/>
  <c r="T121" i="11" s="1"/>
  <c r="R86" i="11"/>
  <c r="S86" i="11" s="1"/>
  <c r="T86" i="11" s="1"/>
  <c r="R65" i="11"/>
  <c r="S65" i="11" s="1"/>
  <c r="T65" i="11" s="1"/>
  <c r="R127" i="11"/>
  <c r="S127" i="11" s="1"/>
  <c r="T127" i="11" s="1"/>
  <c r="R102" i="11"/>
  <c r="S102" i="11" s="1"/>
  <c r="T102" i="11" s="1"/>
  <c r="R78" i="11"/>
  <c r="S78" i="11" s="1"/>
  <c r="T78" i="11" s="1"/>
  <c r="R52" i="11"/>
  <c r="S52" i="11" s="1"/>
  <c r="T52" i="11" s="1"/>
  <c r="R31" i="11"/>
  <c r="S31" i="11" s="1"/>
  <c r="T31" i="11" s="1"/>
  <c r="R21" i="11"/>
  <c r="S21" i="11" s="1"/>
  <c r="T21" i="11" s="1"/>
  <c r="R154" i="11"/>
  <c r="S154" i="11" s="1"/>
  <c r="T154" i="11" s="1"/>
  <c r="R118" i="11"/>
  <c r="S118" i="11" s="1"/>
  <c r="T118" i="11" s="1"/>
  <c r="R83" i="11"/>
  <c r="S83" i="11" s="1"/>
  <c r="T83" i="11" s="1"/>
  <c r="R67" i="11"/>
  <c r="S67" i="11" s="1"/>
  <c r="T67" i="11" s="1"/>
  <c r="R60" i="11"/>
  <c r="S60" i="11" s="1"/>
  <c r="T60" i="11" s="1"/>
  <c r="R33" i="11"/>
  <c r="S33" i="11" s="1"/>
  <c r="T33" i="11" s="1"/>
  <c r="R27" i="11"/>
  <c r="S27" i="11" s="1"/>
  <c r="T27" i="11" s="1"/>
  <c r="R6" i="11"/>
  <c r="S6" i="11" s="1"/>
  <c r="T6" i="11" s="1"/>
  <c r="R156" i="11"/>
  <c r="S156" i="11" s="1"/>
  <c r="T156" i="11" s="1"/>
  <c r="R115" i="11"/>
  <c r="S115" i="11" s="1"/>
  <c r="T115" i="11" s="1"/>
  <c r="R64" i="11"/>
  <c r="S64" i="11" s="1"/>
  <c r="T64" i="11" s="1"/>
  <c r="R43" i="11"/>
  <c r="S43" i="11" s="1"/>
  <c r="T43" i="11" s="1"/>
  <c r="R39" i="11"/>
  <c r="S39" i="11" s="1"/>
  <c r="T39" i="11" s="1"/>
  <c r="R16" i="11"/>
  <c r="S16" i="11" s="1"/>
  <c r="T16" i="11" s="1"/>
  <c r="R129" i="11"/>
  <c r="S129" i="11" s="1"/>
  <c r="T129" i="11" s="1"/>
  <c r="R124" i="11"/>
  <c r="S124" i="11" s="1"/>
  <c r="T124" i="11" s="1"/>
  <c r="R80" i="11"/>
  <c r="S80" i="11" s="1"/>
  <c r="T80" i="11" s="1"/>
  <c r="R57" i="11"/>
  <c r="S57" i="11" s="1"/>
  <c r="T57" i="11" s="1"/>
  <c r="R29" i="11"/>
  <c r="S29" i="11" s="1"/>
  <c r="T29" i="11" s="1"/>
  <c r="R25" i="11"/>
  <c r="S25" i="11" s="1"/>
  <c r="T25" i="11" s="1"/>
  <c r="R9" i="11"/>
  <c r="S9" i="11" s="1"/>
  <c r="T9" i="11" s="1"/>
  <c r="R137" i="11"/>
  <c r="S137" i="11" s="1"/>
  <c r="T137" i="11" s="1"/>
  <c r="R22" i="11"/>
  <c r="S22" i="11" s="1"/>
  <c r="T22" i="11" s="1"/>
  <c r="R93" i="11"/>
  <c r="S93" i="11" s="1"/>
  <c r="T93" i="11" s="1"/>
  <c r="R49" i="11"/>
  <c r="S49" i="11" s="1"/>
  <c r="T49" i="11" s="1"/>
  <c r="R45" i="11"/>
  <c r="S45" i="11" s="1"/>
  <c r="T45" i="11" s="1"/>
  <c r="R41" i="11"/>
  <c r="S41" i="11" s="1"/>
  <c r="T41" i="11" s="1"/>
  <c r="R159" i="11"/>
  <c r="S159" i="11" s="1"/>
  <c r="T159" i="11" s="1"/>
  <c r="R149" i="11"/>
  <c r="S149" i="11" s="1"/>
  <c r="T149" i="11" s="1"/>
  <c r="R132" i="11"/>
  <c r="S132" i="11" s="1"/>
  <c r="T132" i="11" s="1"/>
  <c r="R96" i="11"/>
  <c r="S96" i="11" s="1"/>
  <c r="T96" i="11" s="1"/>
  <c r="R38" i="11"/>
  <c r="S38" i="11" s="1"/>
  <c r="T38" i="11" s="1"/>
  <c r="R143" i="11"/>
  <c r="S143" i="11" s="1"/>
  <c r="T143" i="11" s="1"/>
  <c r="R112" i="11"/>
  <c r="S112" i="11" s="1"/>
  <c r="T112" i="11" s="1"/>
  <c r="R134" i="11"/>
  <c r="S134" i="11" s="1"/>
  <c r="T134" i="11" s="1"/>
  <c r="R77" i="11"/>
  <c r="S77" i="11" s="1"/>
  <c r="T77" i="11" s="1"/>
  <c r="R13" i="11"/>
  <c r="S13" i="11" s="1"/>
  <c r="T13" i="11" s="1"/>
  <c r="R17" i="11"/>
  <c r="S17" i="11" s="1"/>
  <c r="T17" i="11" s="1"/>
  <c r="R99" i="11"/>
  <c r="S99" i="11" s="1"/>
  <c r="T99" i="11" s="1"/>
  <c r="R58" i="11"/>
  <c r="S58" i="11" s="1"/>
  <c r="T58" i="11" s="1"/>
  <c r="R74" i="11"/>
  <c r="S74" i="11" s="1"/>
  <c r="T74" i="11" s="1"/>
  <c r="R135" i="11"/>
  <c r="S135" i="11" s="1"/>
  <c r="T135" i="11" s="1"/>
  <c r="R55" i="11"/>
  <c r="S55" i="11" s="1"/>
  <c r="T55" i="11" s="1"/>
  <c r="R24" i="11"/>
  <c r="S24" i="11" s="1"/>
  <c r="T24" i="11" s="1"/>
  <c r="R126" i="11"/>
  <c r="S126" i="11" s="1"/>
  <c r="T126" i="11" s="1"/>
  <c r="R62" i="11"/>
  <c r="S62" i="11" s="1"/>
  <c r="T62" i="11" s="1"/>
  <c r="R147" i="11"/>
  <c r="S147" i="11" s="1"/>
  <c r="T147" i="11" s="1"/>
  <c r="R51" i="11"/>
  <c r="S51" i="11" s="1"/>
  <c r="T51" i="11" s="1"/>
  <c r="R109" i="11"/>
  <c r="S109" i="11" s="1"/>
  <c r="T109" i="11" s="1"/>
  <c r="R32" i="11"/>
  <c r="S32" i="11" s="1"/>
  <c r="T32" i="11" s="1"/>
  <c r="B145" i="13"/>
  <c r="B145" i="14"/>
  <c r="C146" i="26"/>
  <c r="G145" i="26"/>
  <c r="L146" i="3"/>
  <c r="L145" i="23"/>
  <c r="M144" i="27"/>
  <c r="Q143" i="27"/>
  <c r="M144" i="17"/>
  <c r="Q143" i="17"/>
  <c r="B146" i="11"/>
  <c r="Q144" i="26"/>
  <c r="M145" i="26"/>
  <c r="C154" i="25"/>
  <c r="G153" i="25"/>
  <c r="B145" i="25"/>
  <c r="B147" i="8"/>
  <c r="C149" i="11"/>
  <c r="G148" i="11"/>
  <c r="C156" i="4"/>
  <c r="G155" i="4"/>
  <c r="B145" i="7"/>
  <c r="B145" i="19"/>
  <c r="M158" i="5"/>
  <c r="Q157" i="5"/>
  <c r="B144" i="17"/>
  <c r="B145" i="26"/>
  <c r="M148" i="4"/>
  <c r="Q147" i="4"/>
  <c r="C145" i="7"/>
  <c r="G144" i="7"/>
  <c r="M151" i="21"/>
  <c r="Q150" i="21"/>
  <c r="C147" i="13"/>
  <c r="G146" i="13"/>
  <c r="B145" i="21"/>
  <c r="L145" i="21"/>
  <c r="L145" i="13"/>
  <c r="M146" i="14"/>
  <c r="Q145" i="14"/>
  <c r="L146" i="26"/>
  <c r="B146" i="20"/>
  <c r="M154" i="9"/>
  <c r="Q153" i="9"/>
  <c r="M159" i="24"/>
  <c r="Q158" i="24"/>
  <c r="L146" i="8"/>
  <c r="L145" i="9"/>
  <c r="Q145" i="15"/>
  <c r="M146" i="15"/>
  <c r="M155" i="7"/>
  <c r="Q154" i="7"/>
  <c r="L144" i="14"/>
  <c r="M147" i="3"/>
  <c r="Q146" i="3"/>
  <c r="B144" i="9"/>
  <c r="L147" i="20"/>
  <c r="M147" i="20"/>
  <c r="Q146" i="20"/>
  <c r="L145" i="11"/>
  <c r="L147" i="19"/>
  <c r="M156" i="7" l="1"/>
  <c r="Q155" i="7"/>
  <c r="B146" i="25"/>
  <c r="L147" i="15"/>
  <c r="L147" i="17"/>
  <c r="L146" i="24"/>
  <c r="L146" i="11"/>
  <c r="B146" i="13"/>
  <c r="B145" i="5"/>
  <c r="C148" i="13"/>
  <c r="G147" i="13"/>
  <c r="M160" i="24"/>
  <c r="Q159" i="24"/>
  <c r="L146" i="13"/>
  <c r="C146" i="7"/>
  <c r="G145" i="7"/>
  <c r="B146" i="7"/>
  <c r="Q144" i="17"/>
  <c r="M145" i="17"/>
  <c r="L154" i="5"/>
  <c r="C159" i="27"/>
  <c r="G158" i="27"/>
  <c r="B151" i="4"/>
  <c r="L146" i="21"/>
  <c r="C155" i="25"/>
  <c r="G154" i="25"/>
  <c r="L145" i="27"/>
  <c r="C148" i="20"/>
  <c r="G147" i="20"/>
  <c r="L148" i="20"/>
  <c r="M147" i="15"/>
  <c r="Q146" i="15"/>
  <c r="M155" i="9"/>
  <c r="Q154" i="9"/>
  <c r="M145" i="27"/>
  <c r="Q144" i="27"/>
  <c r="B148" i="24"/>
  <c r="B149" i="3"/>
  <c r="M148" i="20"/>
  <c r="Q147" i="20"/>
  <c r="B148" i="27"/>
  <c r="M149" i="4"/>
  <c r="Q148" i="4"/>
  <c r="B145" i="9"/>
  <c r="L146" i="9"/>
  <c r="G144" i="17"/>
  <c r="C145" i="17"/>
  <c r="Q145" i="19"/>
  <c r="M146" i="19"/>
  <c r="C147" i="21"/>
  <c r="G146" i="21"/>
  <c r="B146" i="21"/>
  <c r="G156" i="4"/>
  <c r="C157" i="4"/>
  <c r="L146" i="23"/>
  <c r="B146" i="26"/>
  <c r="L146" i="7"/>
  <c r="C145" i="9"/>
  <c r="G144" i="9"/>
  <c r="Q145" i="25"/>
  <c r="M146" i="25"/>
  <c r="L147" i="3"/>
  <c r="C146" i="3"/>
  <c r="G145" i="3"/>
  <c r="C146" i="24"/>
  <c r="G145" i="24"/>
  <c r="C150" i="11"/>
  <c r="G149" i="11"/>
  <c r="M146" i="26"/>
  <c r="Q145" i="26"/>
  <c r="B145" i="17"/>
  <c r="M148" i="3"/>
  <c r="Q147" i="3"/>
  <c r="B147" i="20"/>
  <c r="L147" i="25"/>
  <c r="M149" i="8"/>
  <c r="Q148" i="8"/>
  <c r="M147" i="13"/>
  <c r="Q146" i="13"/>
  <c r="L147" i="26"/>
  <c r="Q158" i="5"/>
  <c r="M159" i="5"/>
  <c r="G146" i="26"/>
  <c r="C147" i="26"/>
  <c r="C146" i="19"/>
  <c r="G145" i="19"/>
  <c r="L146" i="4"/>
  <c r="C149" i="8"/>
  <c r="G148" i="8"/>
  <c r="B151" i="23"/>
  <c r="S2" i="11"/>
  <c r="T2" i="11" s="1"/>
  <c r="C150" i="15"/>
  <c r="G149" i="15"/>
  <c r="M147" i="23"/>
  <c r="Q146" i="23"/>
  <c r="L145" i="14"/>
  <c r="M152" i="21"/>
  <c r="Q151" i="21"/>
  <c r="B148" i="8"/>
  <c r="B146" i="14"/>
  <c r="L148" i="19"/>
  <c r="L147" i="8"/>
  <c r="M147" i="14"/>
  <c r="Q146" i="14"/>
  <c r="B146" i="19"/>
  <c r="B147" i="11"/>
  <c r="C146" i="23"/>
  <c r="G145" i="23"/>
  <c r="C145" i="5"/>
  <c r="G144" i="5"/>
  <c r="B147" i="15"/>
  <c r="B148" i="20" l="1"/>
  <c r="G146" i="24"/>
  <c r="C147" i="24"/>
  <c r="B146" i="5"/>
  <c r="C147" i="19"/>
  <c r="G146" i="19"/>
  <c r="M146" i="17"/>
  <c r="Q145" i="17"/>
  <c r="L146" i="14"/>
  <c r="B149" i="24"/>
  <c r="L147" i="24"/>
  <c r="C156" i="25"/>
  <c r="G155" i="25"/>
  <c r="L148" i="17"/>
  <c r="G145" i="9"/>
  <c r="C146" i="9"/>
  <c r="M148" i="14"/>
  <c r="Q147" i="14"/>
  <c r="B147" i="7"/>
  <c r="M150" i="4"/>
  <c r="Q149" i="4"/>
  <c r="M146" i="27"/>
  <c r="Q145" i="27"/>
  <c r="L148" i="15"/>
  <c r="C147" i="3"/>
  <c r="G146" i="3"/>
  <c r="C147" i="7"/>
  <c r="G146" i="7"/>
  <c r="B147" i="13"/>
  <c r="L147" i="7"/>
  <c r="B152" i="23"/>
  <c r="C148" i="26"/>
  <c r="G147" i="26"/>
  <c r="M149" i="3"/>
  <c r="Q148" i="3"/>
  <c r="C148" i="21"/>
  <c r="G147" i="21"/>
  <c r="L148" i="8"/>
  <c r="C151" i="15"/>
  <c r="G150" i="15"/>
  <c r="B149" i="27"/>
  <c r="M156" i="9"/>
  <c r="Q155" i="9"/>
  <c r="B152" i="4"/>
  <c r="L149" i="19"/>
  <c r="M160" i="5"/>
  <c r="Q159" i="5"/>
  <c r="M150" i="8"/>
  <c r="Q149" i="8"/>
  <c r="B147" i="25"/>
  <c r="B147" i="19"/>
  <c r="M147" i="26"/>
  <c r="Q146" i="26"/>
  <c r="G145" i="17"/>
  <c r="C146" i="17"/>
  <c r="M149" i="20"/>
  <c r="Q148" i="20"/>
  <c r="M148" i="15"/>
  <c r="Q147" i="15"/>
  <c r="M161" i="24"/>
  <c r="Q160" i="24"/>
  <c r="B150" i="3"/>
  <c r="M148" i="23"/>
  <c r="Q147" i="23"/>
  <c r="M148" i="13"/>
  <c r="Q147" i="13"/>
  <c r="L148" i="25"/>
  <c r="B147" i="14"/>
  <c r="B146" i="17"/>
  <c r="L148" i="3"/>
  <c r="L147" i="23"/>
  <c r="L149" i="20"/>
  <c r="C160" i="27"/>
  <c r="G159" i="27"/>
  <c r="L147" i="11"/>
  <c r="C147" i="23"/>
  <c r="G146" i="23"/>
  <c r="L148" i="26"/>
  <c r="L147" i="9"/>
  <c r="L155" i="5"/>
  <c r="L146" i="27"/>
  <c r="L147" i="21"/>
  <c r="B147" i="26"/>
  <c r="L147" i="13"/>
  <c r="B148" i="15"/>
  <c r="C146" i="5"/>
  <c r="G145" i="5"/>
  <c r="G149" i="8"/>
  <c r="C150" i="8"/>
  <c r="C158" i="4"/>
  <c r="G157" i="4"/>
  <c r="B149" i="8"/>
  <c r="C151" i="11"/>
  <c r="G150" i="11"/>
  <c r="Q146" i="25"/>
  <c r="M147" i="25"/>
  <c r="M147" i="19"/>
  <c r="Q146" i="19"/>
  <c r="L147" i="4"/>
  <c r="B147" i="21"/>
  <c r="B146" i="9"/>
  <c r="C149" i="20"/>
  <c r="G148" i="20"/>
  <c r="M157" i="7"/>
  <c r="Q156" i="7"/>
  <c r="B148" i="11"/>
  <c r="M153" i="21"/>
  <c r="Q152" i="21"/>
  <c r="C149" i="13"/>
  <c r="G148" i="13"/>
  <c r="L148" i="9" l="1"/>
  <c r="L148" i="23"/>
  <c r="B153" i="23"/>
  <c r="L149" i="15"/>
  <c r="C147" i="9"/>
  <c r="G146" i="9"/>
  <c r="M162" i="24"/>
  <c r="Q161" i="24"/>
  <c r="C152" i="15"/>
  <c r="G151" i="15"/>
  <c r="L148" i="13"/>
  <c r="L147" i="27"/>
  <c r="M149" i="13"/>
  <c r="Q148" i="13"/>
  <c r="B153" i="4"/>
  <c r="L147" i="14"/>
  <c r="L150" i="20"/>
  <c r="L149" i="3"/>
  <c r="M149" i="15"/>
  <c r="Q148" i="15"/>
  <c r="L149" i="17"/>
  <c r="B148" i="21"/>
  <c r="Q153" i="21"/>
  <c r="M154" i="21"/>
  <c r="L148" i="4"/>
  <c r="B148" i="26"/>
  <c r="L149" i="8"/>
  <c r="L148" i="7"/>
  <c r="M147" i="17"/>
  <c r="Q146" i="17"/>
  <c r="M147" i="27"/>
  <c r="Q146" i="27"/>
  <c r="C157" i="25"/>
  <c r="G156" i="25"/>
  <c r="L148" i="21"/>
  <c r="C152" i="11"/>
  <c r="G151" i="11"/>
  <c r="M157" i="9"/>
  <c r="Q156" i="9"/>
  <c r="C148" i="19"/>
  <c r="G147" i="19"/>
  <c r="C150" i="20"/>
  <c r="G149" i="20"/>
  <c r="G146" i="17"/>
  <c r="C147" i="17"/>
  <c r="B150" i="27"/>
  <c r="C149" i="21"/>
  <c r="G148" i="21"/>
  <c r="M151" i="4"/>
  <c r="Q150" i="4"/>
  <c r="L148" i="24"/>
  <c r="B147" i="5"/>
  <c r="B149" i="15"/>
  <c r="C148" i="23"/>
  <c r="G147" i="23"/>
  <c r="B149" i="11"/>
  <c r="B150" i="8"/>
  <c r="M148" i="19"/>
  <c r="Q147" i="19"/>
  <c r="M158" i="7"/>
  <c r="Q157" i="7"/>
  <c r="C159" i="4"/>
  <c r="G158" i="4"/>
  <c r="L148" i="11"/>
  <c r="B147" i="17"/>
  <c r="Q149" i="20"/>
  <c r="M150" i="20"/>
  <c r="C151" i="8"/>
  <c r="G150" i="8"/>
  <c r="B148" i="14"/>
  <c r="M149" i="23"/>
  <c r="Q148" i="23"/>
  <c r="B148" i="13"/>
  <c r="L156" i="5"/>
  <c r="C161" i="27"/>
  <c r="G160" i="27"/>
  <c r="M148" i="26"/>
  <c r="Q147" i="26"/>
  <c r="M151" i="8"/>
  <c r="Q150" i="8"/>
  <c r="B148" i="7"/>
  <c r="B150" i="24"/>
  <c r="C148" i="24"/>
  <c r="G147" i="24"/>
  <c r="B151" i="3"/>
  <c r="B148" i="19"/>
  <c r="Q160" i="5"/>
  <c r="M161" i="5"/>
  <c r="M150" i="3"/>
  <c r="Q149" i="3"/>
  <c r="C148" i="7"/>
  <c r="G147" i="7"/>
  <c r="C150" i="13"/>
  <c r="G149" i="13"/>
  <c r="B147" i="9"/>
  <c r="L149" i="25"/>
  <c r="L150" i="19"/>
  <c r="C149" i="26"/>
  <c r="G148" i="26"/>
  <c r="C148" i="3"/>
  <c r="G147" i="3"/>
  <c r="B149" i="20"/>
  <c r="M148" i="25"/>
  <c r="Q147" i="25"/>
  <c r="C147" i="5"/>
  <c r="G146" i="5"/>
  <c r="L149" i="26"/>
  <c r="B148" i="25"/>
  <c r="Q148" i="14"/>
  <c r="M149" i="14"/>
  <c r="C151" i="13" l="1"/>
  <c r="G150" i="13"/>
  <c r="M149" i="26"/>
  <c r="Q148" i="26"/>
  <c r="M149" i="19"/>
  <c r="Q148" i="19"/>
  <c r="M152" i="4"/>
  <c r="Q151" i="4"/>
  <c r="L150" i="17"/>
  <c r="L148" i="14"/>
  <c r="C153" i="15"/>
  <c r="G152" i="15"/>
  <c r="C152" i="8"/>
  <c r="G151" i="8"/>
  <c r="C149" i="24"/>
  <c r="G148" i="24"/>
  <c r="C150" i="21"/>
  <c r="G149" i="21"/>
  <c r="B150" i="11"/>
  <c r="L149" i="23"/>
  <c r="L150" i="26"/>
  <c r="L157" i="5"/>
  <c r="M150" i="15"/>
  <c r="Q149" i="15"/>
  <c r="M148" i="17"/>
  <c r="Q147" i="17"/>
  <c r="M162" i="5"/>
  <c r="Q161" i="5"/>
  <c r="C149" i="23"/>
  <c r="G148" i="23"/>
  <c r="G147" i="17"/>
  <c r="C148" i="17"/>
  <c r="B150" i="20"/>
  <c r="M158" i="9"/>
  <c r="Q157" i="9"/>
  <c r="B149" i="26"/>
  <c r="M150" i="13"/>
  <c r="Q149" i="13"/>
  <c r="C158" i="25"/>
  <c r="G157" i="25"/>
  <c r="C149" i="7"/>
  <c r="G148" i="7"/>
  <c r="B154" i="4"/>
  <c r="M149" i="25"/>
  <c r="Q148" i="25"/>
  <c r="L149" i="11"/>
  <c r="M150" i="14"/>
  <c r="Q149" i="14"/>
  <c r="B149" i="19"/>
  <c r="C151" i="20"/>
  <c r="G150" i="20"/>
  <c r="C153" i="11"/>
  <c r="G152" i="11"/>
  <c r="L149" i="7"/>
  <c r="L149" i="4"/>
  <c r="L150" i="3"/>
  <c r="L148" i="27"/>
  <c r="C148" i="9"/>
  <c r="G147" i="9"/>
  <c r="M148" i="27"/>
  <c r="Q147" i="27"/>
  <c r="C149" i="3"/>
  <c r="G148" i="3"/>
  <c r="C160" i="4"/>
  <c r="G159" i="4"/>
  <c r="B148" i="5"/>
  <c r="M155" i="21"/>
  <c r="Q154" i="21"/>
  <c r="L150" i="15"/>
  <c r="L150" i="25"/>
  <c r="G161" i="27"/>
  <c r="C162" i="27"/>
  <c r="B151" i="27"/>
  <c r="B149" i="13"/>
  <c r="B148" i="9"/>
  <c r="B149" i="7"/>
  <c r="L150" i="8"/>
  <c r="L149" i="13"/>
  <c r="B151" i="8"/>
  <c r="M151" i="3"/>
  <c r="Q150" i="3"/>
  <c r="Q162" i="24"/>
  <c r="Q2" i="24"/>
  <c r="B151" i="24"/>
  <c r="B150" i="15"/>
  <c r="G148" i="19"/>
  <c r="C149" i="19"/>
  <c r="L149" i="21"/>
  <c r="B149" i="25"/>
  <c r="M159" i="7"/>
  <c r="Q158" i="7"/>
  <c r="M150" i="23"/>
  <c r="Q149" i="23"/>
  <c r="C150" i="26"/>
  <c r="G149" i="26"/>
  <c r="B152" i="3"/>
  <c r="B149" i="14"/>
  <c r="M151" i="20"/>
  <c r="Q150" i="20"/>
  <c r="M152" i="8"/>
  <c r="Q151" i="8"/>
  <c r="L149" i="24"/>
  <c r="B149" i="21"/>
  <c r="B154" i="23"/>
  <c r="L149" i="9"/>
  <c r="G147" i="5"/>
  <c r="C148" i="5"/>
  <c r="L151" i="19"/>
  <c r="B148" i="17"/>
  <c r="L151" i="20"/>
  <c r="C152" i="20" l="1"/>
  <c r="G151" i="20"/>
  <c r="B150" i="26"/>
  <c r="L150" i="23"/>
  <c r="Q162" i="5"/>
  <c r="Q2" i="5"/>
  <c r="G152" i="8"/>
  <c r="C153" i="8"/>
  <c r="M152" i="3"/>
  <c r="Q151" i="3"/>
  <c r="B149" i="9"/>
  <c r="B155" i="4"/>
  <c r="M159" i="9"/>
  <c r="Q158" i="9"/>
  <c r="Q148" i="17"/>
  <c r="M149" i="17"/>
  <c r="B150" i="13"/>
  <c r="M153" i="4"/>
  <c r="Q152" i="4"/>
  <c r="C150" i="7"/>
  <c r="G149" i="7"/>
  <c r="C154" i="15"/>
  <c r="G153" i="15"/>
  <c r="M156" i="21"/>
  <c r="Q155" i="21"/>
  <c r="C149" i="9"/>
  <c r="G148" i="9"/>
  <c r="B149" i="5"/>
  <c r="L149" i="27"/>
  <c r="B151" i="11"/>
  <c r="M150" i="19"/>
  <c r="Q149" i="19"/>
  <c r="C159" i="25"/>
  <c r="G158" i="25"/>
  <c r="B151" i="20"/>
  <c r="M151" i="15"/>
  <c r="Q150" i="15"/>
  <c r="L149" i="14"/>
  <c r="Q151" i="20"/>
  <c r="M152" i="20"/>
  <c r="B149" i="17"/>
  <c r="B153" i="3"/>
  <c r="G149" i="19"/>
  <c r="C150" i="19"/>
  <c r="M151" i="14"/>
  <c r="Q150" i="14"/>
  <c r="L150" i="24"/>
  <c r="B152" i="27"/>
  <c r="L151" i="3"/>
  <c r="G150" i="21"/>
  <c r="C151" i="21"/>
  <c r="B155" i="23"/>
  <c r="B150" i="21"/>
  <c r="B150" i="19"/>
  <c r="B152" i="8"/>
  <c r="L152" i="19"/>
  <c r="L150" i="13"/>
  <c r="L152" i="20"/>
  <c r="G150" i="26"/>
  <c r="C151" i="26"/>
  <c r="G160" i="4"/>
  <c r="C161" i="4"/>
  <c r="L150" i="11"/>
  <c r="L151" i="17"/>
  <c r="M150" i="26"/>
  <c r="Q149" i="26"/>
  <c r="G162" i="27"/>
  <c r="G2" i="27"/>
  <c r="L151" i="15"/>
  <c r="L150" i="21"/>
  <c r="L150" i="4"/>
  <c r="M153" i="8"/>
  <c r="Q152" i="8"/>
  <c r="L158" i="5"/>
  <c r="C149" i="5"/>
  <c r="G148" i="5"/>
  <c r="L151" i="8"/>
  <c r="L150" i="7"/>
  <c r="M160" i="7"/>
  <c r="Q159" i="7"/>
  <c r="B152" i="24"/>
  <c r="G148" i="17"/>
  <c r="C149" i="17"/>
  <c r="Q149" i="25"/>
  <c r="M150" i="25"/>
  <c r="M151" i="13"/>
  <c r="Q150" i="13"/>
  <c r="C150" i="24"/>
  <c r="G149" i="24"/>
  <c r="C152" i="13"/>
  <c r="G151" i="13"/>
  <c r="B150" i="7"/>
  <c r="L151" i="25"/>
  <c r="C154" i="11"/>
  <c r="G153" i="11"/>
  <c r="L151" i="26"/>
  <c r="B150" i="25"/>
  <c r="B150" i="14"/>
  <c r="B151" i="15"/>
  <c r="M151" i="23"/>
  <c r="Q150" i="23"/>
  <c r="C150" i="3"/>
  <c r="G149" i="3"/>
  <c r="P2" i="24"/>
  <c r="R2" i="24" s="1"/>
  <c r="L150" i="9"/>
  <c r="M149" i="27"/>
  <c r="Q148" i="27"/>
  <c r="G149" i="23"/>
  <c r="C150" i="23"/>
  <c r="C152" i="21" l="1"/>
  <c r="G151" i="21"/>
  <c r="L152" i="25"/>
  <c r="B153" i="24"/>
  <c r="L152" i="17"/>
  <c r="C155" i="15"/>
  <c r="G154" i="15"/>
  <c r="M160" i="9"/>
  <c r="Q159" i="9"/>
  <c r="L152" i="8"/>
  <c r="L153" i="19"/>
  <c r="C151" i="7"/>
  <c r="G150" i="7"/>
  <c r="P2" i="5"/>
  <c r="R2" i="5" s="1"/>
  <c r="Q151" i="15"/>
  <c r="M152" i="15"/>
  <c r="L150" i="27"/>
  <c r="B151" i="14"/>
  <c r="B151" i="25"/>
  <c r="C153" i="13"/>
  <c r="G152" i="13"/>
  <c r="G149" i="5"/>
  <c r="C150" i="5"/>
  <c r="B153" i="8"/>
  <c r="B150" i="5"/>
  <c r="L159" i="5"/>
  <c r="L151" i="11"/>
  <c r="C151" i="19"/>
  <c r="G150" i="19"/>
  <c r="L151" i="24"/>
  <c r="C162" i="4"/>
  <c r="G161" i="4"/>
  <c r="B152" i="20"/>
  <c r="L151" i="21"/>
  <c r="B151" i="19"/>
  <c r="M154" i="8"/>
  <c r="Q153" i="8"/>
  <c r="L152" i="3"/>
  <c r="B154" i="3"/>
  <c r="C160" i="25"/>
  <c r="G159" i="25"/>
  <c r="B156" i="4"/>
  <c r="M152" i="14"/>
  <c r="Q151" i="14"/>
  <c r="M150" i="27"/>
  <c r="Q149" i="27"/>
  <c r="C151" i="24"/>
  <c r="G150" i="24"/>
  <c r="M154" i="4"/>
  <c r="Q153" i="4"/>
  <c r="C151" i="3"/>
  <c r="G150" i="3"/>
  <c r="L152" i="26"/>
  <c r="M152" i="13"/>
  <c r="Q151" i="13"/>
  <c r="M161" i="7"/>
  <c r="Q160" i="7"/>
  <c r="L152" i="15"/>
  <c r="C152" i="26"/>
  <c r="G151" i="26"/>
  <c r="B151" i="21"/>
  <c r="B151" i="13"/>
  <c r="L151" i="23"/>
  <c r="M151" i="25"/>
  <c r="Q150" i="25"/>
  <c r="B150" i="17"/>
  <c r="M151" i="19"/>
  <c r="Q150" i="19"/>
  <c r="B150" i="9"/>
  <c r="C150" i="9"/>
  <c r="G149" i="9"/>
  <c r="L153" i="20"/>
  <c r="B156" i="23"/>
  <c r="B153" i="27"/>
  <c r="M150" i="17"/>
  <c r="Q149" i="17"/>
  <c r="B151" i="7"/>
  <c r="B152" i="11"/>
  <c r="F2" i="27"/>
  <c r="H2" i="27" s="1"/>
  <c r="C155" i="11"/>
  <c r="G154" i="11"/>
  <c r="L151" i="13"/>
  <c r="Q152" i="20"/>
  <c r="M153" i="20"/>
  <c r="M157" i="21"/>
  <c r="Q156" i="21"/>
  <c r="M153" i="3"/>
  <c r="Q152" i="3"/>
  <c r="B151" i="26"/>
  <c r="L151" i="4"/>
  <c r="C151" i="23"/>
  <c r="G150" i="23"/>
  <c r="R162" i="24"/>
  <c r="S162" i="24" s="1"/>
  <c r="T162" i="24" s="1"/>
  <c r="R156" i="24"/>
  <c r="S156" i="24" s="1"/>
  <c r="T156" i="24" s="1"/>
  <c r="R148" i="24"/>
  <c r="S148" i="24" s="1"/>
  <c r="T148" i="24" s="1"/>
  <c r="R140" i="24"/>
  <c r="S140" i="24" s="1"/>
  <c r="T140" i="24" s="1"/>
  <c r="R132" i="24"/>
  <c r="S132" i="24" s="1"/>
  <c r="T132" i="24" s="1"/>
  <c r="R124" i="24"/>
  <c r="S124" i="24" s="1"/>
  <c r="T124" i="24" s="1"/>
  <c r="R117" i="24"/>
  <c r="S117" i="24" s="1"/>
  <c r="T117" i="24" s="1"/>
  <c r="R107" i="24"/>
  <c r="S107" i="24" s="1"/>
  <c r="T107" i="24" s="1"/>
  <c r="R91" i="24"/>
  <c r="S91" i="24" s="1"/>
  <c r="T91" i="24" s="1"/>
  <c r="R77" i="24"/>
  <c r="S77" i="24" s="1"/>
  <c r="T77" i="24" s="1"/>
  <c r="R61" i="24"/>
  <c r="S61" i="24" s="1"/>
  <c r="T61" i="24" s="1"/>
  <c r="R45" i="24"/>
  <c r="S45" i="24" s="1"/>
  <c r="T45" i="24" s="1"/>
  <c r="R108" i="24"/>
  <c r="S108" i="24" s="1"/>
  <c r="T108" i="24" s="1"/>
  <c r="R92" i="24"/>
  <c r="S92" i="24" s="1"/>
  <c r="T92" i="24" s="1"/>
  <c r="R78" i="24"/>
  <c r="S78" i="24" s="1"/>
  <c r="T78" i="24" s="1"/>
  <c r="R160" i="24"/>
  <c r="S160" i="24" s="1"/>
  <c r="T160" i="24" s="1"/>
  <c r="R152" i="24"/>
  <c r="S152" i="24" s="1"/>
  <c r="T152" i="24" s="1"/>
  <c r="R144" i="24"/>
  <c r="S144" i="24" s="1"/>
  <c r="T144" i="24" s="1"/>
  <c r="R136" i="24"/>
  <c r="S136" i="24" s="1"/>
  <c r="T136" i="24" s="1"/>
  <c r="R128" i="24"/>
  <c r="S128" i="24" s="1"/>
  <c r="T128" i="24" s="1"/>
  <c r="R121" i="24"/>
  <c r="S121" i="24" s="1"/>
  <c r="T121" i="24" s="1"/>
  <c r="R113" i="24"/>
  <c r="S113" i="24" s="1"/>
  <c r="T113" i="24" s="1"/>
  <c r="R99" i="24"/>
  <c r="S99" i="24" s="1"/>
  <c r="T99" i="24" s="1"/>
  <c r="R109" i="24"/>
  <c r="S109" i="24" s="1"/>
  <c r="T109" i="24" s="1"/>
  <c r="R94" i="24"/>
  <c r="S94" i="24" s="1"/>
  <c r="T94" i="24" s="1"/>
  <c r="R68" i="24"/>
  <c r="S68" i="24" s="1"/>
  <c r="T68" i="24" s="1"/>
  <c r="R59" i="24"/>
  <c r="S59" i="24" s="1"/>
  <c r="T59" i="24" s="1"/>
  <c r="R50" i="24"/>
  <c r="S50" i="24" s="1"/>
  <c r="T50" i="24" s="1"/>
  <c r="R33" i="24"/>
  <c r="S33" i="24" s="1"/>
  <c r="T33" i="24" s="1"/>
  <c r="R27" i="24"/>
  <c r="S27" i="24" s="1"/>
  <c r="T27" i="24" s="1"/>
  <c r="R8" i="24"/>
  <c r="S8" i="24" s="1"/>
  <c r="T8" i="24" s="1"/>
  <c r="R104" i="24"/>
  <c r="S104" i="24" s="1"/>
  <c r="T104" i="24" s="1"/>
  <c r="R100" i="24"/>
  <c r="S100" i="24" s="1"/>
  <c r="T100" i="24" s="1"/>
  <c r="R125" i="24"/>
  <c r="S125" i="24" s="1"/>
  <c r="T125" i="24" s="1"/>
  <c r="R88" i="24"/>
  <c r="S88" i="24" s="1"/>
  <c r="T88" i="24" s="1"/>
  <c r="R69" i="24"/>
  <c r="S69" i="24" s="1"/>
  <c r="T69" i="24" s="1"/>
  <c r="R60" i="24"/>
  <c r="S60" i="24" s="1"/>
  <c r="T60" i="24" s="1"/>
  <c r="R51" i="24"/>
  <c r="S51" i="24" s="1"/>
  <c r="T51" i="24" s="1"/>
  <c r="R35" i="24"/>
  <c r="S35" i="24" s="1"/>
  <c r="T35" i="24" s="1"/>
  <c r="R31" i="24"/>
  <c r="S31" i="24" s="1"/>
  <c r="T31" i="24" s="1"/>
  <c r="R29" i="24"/>
  <c r="S29" i="24" s="1"/>
  <c r="T29" i="24" s="1"/>
  <c r="R10" i="24"/>
  <c r="S10" i="24" s="1"/>
  <c r="T10" i="24" s="1"/>
  <c r="R133" i="24"/>
  <c r="S133" i="24" s="1"/>
  <c r="T133" i="24" s="1"/>
  <c r="R129" i="24"/>
  <c r="S129" i="24" s="1"/>
  <c r="T129" i="24" s="1"/>
  <c r="R95" i="24"/>
  <c r="S95" i="24" s="1"/>
  <c r="T95" i="24" s="1"/>
  <c r="R83" i="24"/>
  <c r="S83" i="24" s="1"/>
  <c r="T83" i="24" s="1"/>
  <c r="R52" i="24"/>
  <c r="S52" i="24" s="1"/>
  <c r="T52" i="24" s="1"/>
  <c r="R11" i="24"/>
  <c r="S11" i="24" s="1"/>
  <c r="T11" i="24" s="1"/>
  <c r="R141" i="24"/>
  <c r="S141" i="24" s="1"/>
  <c r="T141" i="24" s="1"/>
  <c r="R137" i="24"/>
  <c r="S137" i="24" s="1"/>
  <c r="T137" i="24" s="1"/>
  <c r="R118" i="24"/>
  <c r="S118" i="24" s="1"/>
  <c r="T118" i="24" s="1"/>
  <c r="R114" i="24"/>
  <c r="S114" i="24" s="1"/>
  <c r="T114" i="24" s="1"/>
  <c r="R110" i="24"/>
  <c r="S110" i="24" s="1"/>
  <c r="T110" i="24" s="1"/>
  <c r="R105" i="24"/>
  <c r="S105" i="24" s="1"/>
  <c r="T105" i="24" s="1"/>
  <c r="R89" i="24"/>
  <c r="S89" i="24" s="1"/>
  <c r="T89" i="24" s="1"/>
  <c r="R70" i="24"/>
  <c r="S70" i="24" s="1"/>
  <c r="T70" i="24" s="1"/>
  <c r="R36" i="24"/>
  <c r="S36" i="24" s="1"/>
  <c r="T36" i="24" s="1"/>
  <c r="R12" i="24"/>
  <c r="S12" i="24" s="1"/>
  <c r="T12" i="24" s="1"/>
  <c r="R149" i="24"/>
  <c r="S149" i="24" s="1"/>
  <c r="T149" i="24" s="1"/>
  <c r="R145" i="24"/>
  <c r="S145" i="24" s="1"/>
  <c r="T145" i="24" s="1"/>
  <c r="R150" i="24"/>
  <c r="S150" i="24" s="1"/>
  <c r="T150" i="24" s="1"/>
  <c r="R146" i="24"/>
  <c r="S146" i="24" s="1"/>
  <c r="T146" i="24" s="1"/>
  <c r="R73" i="24"/>
  <c r="S73" i="24" s="1"/>
  <c r="T73" i="24" s="1"/>
  <c r="R47" i="24"/>
  <c r="S47" i="24" s="1"/>
  <c r="T47" i="24" s="1"/>
  <c r="R19" i="24"/>
  <c r="S19" i="24" s="1"/>
  <c r="T19" i="24" s="1"/>
  <c r="R151" i="24"/>
  <c r="S151" i="24" s="1"/>
  <c r="T151" i="24" s="1"/>
  <c r="R147" i="24"/>
  <c r="S147" i="24" s="1"/>
  <c r="T147" i="24" s="1"/>
  <c r="R97" i="24"/>
  <c r="S97" i="24" s="1"/>
  <c r="T97" i="24" s="1"/>
  <c r="R74" i="24"/>
  <c r="S74" i="24" s="1"/>
  <c r="T74" i="24" s="1"/>
  <c r="R71" i="24"/>
  <c r="S71" i="24" s="1"/>
  <c r="T71" i="24" s="1"/>
  <c r="R54" i="24"/>
  <c r="S54" i="24" s="1"/>
  <c r="T54" i="24" s="1"/>
  <c r="R43" i="24"/>
  <c r="S43" i="24" s="1"/>
  <c r="T43" i="24" s="1"/>
  <c r="R158" i="24"/>
  <c r="S158" i="24" s="1"/>
  <c r="T158" i="24" s="1"/>
  <c r="R153" i="24"/>
  <c r="S153" i="24" s="1"/>
  <c r="T153" i="24" s="1"/>
  <c r="R130" i="24"/>
  <c r="S130" i="24" s="1"/>
  <c r="T130" i="24" s="1"/>
  <c r="R38" i="24"/>
  <c r="S38" i="24" s="1"/>
  <c r="T38" i="24" s="1"/>
  <c r="R139" i="24"/>
  <c r="S139" i="24" s="1"/>
  <c r="T139" i="24" s="1"/>
  <c r="R106" i="24"/>
  <c r="S106" i="24" s="1"/>
  <c r="T106" i="24" s="1"/>
  <c r="R86" i="24"/>
  <c r="S86" i="24" s="1"/>
  <c r="T86" i="24" s="1"/>
  <c r="R46" i="24"/>
  <c r="S46" i="24" s="1"/>
  <c r="T46" i="24" s="1"/>
  <c r="R24" i="24"/>
  <c r="S24" i="24" s="1"/>
  <c r="T24" i="24" s="1"/>
  <c r="R21" i="24"/>
  <c r="S21" i="24" s="1"/>
  <c r="T21" i="24" s="1"/>
  <c r="R14" i="24"/>
  <c r="S14" i="24" s="1"/>
  <c r="T14" i="24" s="1"/>
  <c r="R134" i="24"/>
  <c r="S134" i="24" s="1"/>
  <c r="T134" i="24" s="1"/>
  <c r="R93" i="24"/>
  <c r="S93" i="24" s="1"/>
  <c r="T93" i="24" s="1"/>
  <c r="R84" i="24"/>
  <c r="S84" i="24" s="1"/>
  <c r="T84" i="24" s="1"/>
  <c r="R63" i="24"/>
  <c r="S63" i="24" s="1"/>
  <c r="T63" i="24" s="1"/>
  <c r="R57" i="24"/>
  <c r="S57" i="24" s="1"/>
  <c r="T57" i="24" s="1"/>
  <c r="R49" i="24"/>
  <c r="S49" i="24" s="1"/>
  <c r="T49" i="24" s="1"/>
  <c r="R41" i="24"/>
  <c r="S41" i="24" s="1"/>
  <c r="T41" i="24" s="1"/>
  <c r="R32" i="24"/>
  <c r="S32" i="24" s="1"/>
  <c r="T32" i="24" s="1"/>
  <c r="R119" i="24"/>
  <c r="S119" i="24" s="1"/>
  <c r="T119" i="24" s="1"/>
  <c r="R102" i="24"/>
  <c r="S102" i="24" s="1"/>
  <c r="T102" i="24" s="1"/>
  <c r="R82" i="24"/>
  <c r="S82" i="24" s="1"/>
  <c r="T82" i="24" s="1"/>
  <c r="R80" i="24"/>
  <c r="S80" i="24" s="1"/>
  <c r="T80" i="24" s="1"/>
  <c r="R72" i="24"/>
  <c r="S72" i="24" s="1"/>
  <c r="T72" i="24" s="1"/>
  <c r="R66" i="24"/>
  <c r="S66" i="24" s="1"/>
  <c r="T66" i="24" s="1"/>
  <c r="R157" i="24"/>
  <c r="S157" i="24" s="1"/>
  <c r="T157" i="24" s="1"/>
  <c r="R155" i="24"/>
  <c r="S155" i="24" s="1"/>
  <c r="T155" i="24" s="1"/>
  <c r="R123" i="24"/>
  <c r="S123" i="24" s="1"/>
  <c r="T123" i="24" s="1"/>
  <c r="R115" i="24"/>
  <c r="S115" i="24" s="1"/>
  <c r="T115" i="24" s="1"/>
  <c r="R111" i="24"/>
  <c r="S111" i="24" s="1"/>
  <c r="T111" i="24" s="1"/>
  <c r="R98" i="24"/>
  <c r="S98" i="24" s="1"/>
  <c r="T98" i="24" s="1"/>
  <c r="R131" i="24"/>
  <c r="S131" i="24" s="1"/>
  <c r="T131" i="24" s="1"/>
  <c r="R87" i="24"/>
  <c r="S87" i="24" s="1"/>
  <c r="T87" i="24" s="1"/>
  <c r="R58" i="24"/>
  <c r="S58" i="24" s="1"/>
  <c r="T58" i="24" s="1"/>
  <c r="R161" i="24"/>
  <c r="S161" i="24" s="1"/>
  <c r="T161" i="24" s="1"/>
  <c r="R159" i="24"/>
  <c r="S159" i="24" s="1"/>
  <c r="T159" i="24" s="1"/>
  <c r="R85" i="24"/>
  <c r="S85" i="24" s="1"/>
  <c r="T85" i="24" s="1"/>
  <c r="R154" i="24"/>
  <c r="S154" i="24" s="1"/>
  <c r="T154" i="24" s="1"/>
  <c r="R135" i="24"/>
  <c r="S135" i="24" s="1"/>
  <c r="T135" i="24" s="1"/>
  <c r="R101" i="24"/>
  <c r="S101" i="24" s="1"/>
  <c r="T101" i="24" s="1"/>
  <c r="R122" i="24"/>
  <c r="S122" i="24" s="1"/>
  <c r="T122" i="24" s="1"/>
  <c r="R120" i="24"/>
  <c r="S120" i="24" s="1"/>
  <c r="T120" i="24" s="1"/>
  <c r="R116" i="24"/>
  <c r="S116" i="24" s="1"/>
  <c r="T116" i="24" s="1"/>
  <c r="R112" i="24"/>
  <c r="S112" i="24" s="1"/>
  <c r="T112" i="24" s="1"/>
  <c r="R65" i="24"/>
  <c r="S65" i="24" s="1"/>
  <c r="T65" i="24" s="1"/>
  <c r="R48" i="24"/>
  <c r="S48" i="24" s="1"/>
  <c r="T48" i="24" s="1"/>
  <c r="R90" i="24"/>
  <c r="S90" i="24" s="1"/>
  <c r="T90" i="24" s="1"/>
  <c r="R40" i="24"/>
  <c r="S40" i="24" s="1"/>
  <c r="T40" i="24" s="1"/>
  <c r="R18" i="24"/>
  <c r="S18" i="24" s="1"/>
  <c r="T18" i="24" s="1"/>
  <c r="R142" i="24"/>
  <c r="S142" i="24" s="1"/>
  <c r="T142" i="24" s="1"/>
  <c r="R79" i="24"/>
  <c r="S79" i="24" s="1"/>
  <c r="T79" i="24" s="1"/>
  <c r="R55" i="24"/>
  <c r="S55" i="24" s="1"/>
  <c r="T55" i="24" s="1"/>
  <c r="R16" i="24"/>
  <c r="S16" i="24" s="1"/>
  <c r="T16" i="24" s="1"/>
  <c r="R75" i="24"/>
  <c r="S75" i="24" s="1"/>
  <c r="T75" i="24" s="1"/>
  <c r="R37" i="24"/>
  <c r="S37" i="24" s="1"/>
  <c r="T37" i="24" s="1"/>
  <c r="R96" i="24"/>
  <c r="S96" i="24" s="1"/>
  <c r="T96" i="24" s="1"/>
  <c r="R42" i="24"/>
  <c r="S42" i="24" s="1"/>
  <c r="T42" i="24" s="1"/>
  <c r="R127" i="24"/>
  <c r="S127" i="24" s="1"/>
  <c r="T127" i="24" s="1"/>
  <c r="R67" i="24"/>
  <c r="S67" i="24" s="1"/>
  <c r="T67" i="24" s="1"/>
  <c r="R62" i="24"/>
  <c r="S62" i="24" s="1"/>
  <c r="T62" i="24" s="1"/>
  <c r="R39" i="24"/>
  <c r="S39" i="24" s="1"/>
  <c r="T39" i="24" s="1"/>
  <c r="R25" i="24"/>
  <c r="S25" i="24" s="1"/>
  <c r="T25" i="24" s="1"/>
  <c r="R23" i="24"/>
  <c r="S23" i="24" s="1"/>
  <c r="T23" i="24" s="1"/>
  <c r="R126" i="24"/>
  <c r="S126" i="24" s="1"/>
  <c r="T126" i="24" s="1"/>
  <c r="R17" i="24"/>
  <c r="S17" i="24" s="1"/>
  <c r="T17" i="24" s="1"/>
  <c r="R15" i="24"/>
  <c r="S15" i="24" s="1"/>
  <c r="T15" i="24" s="1"/>
  <c r="R13" i="24"/>
  <c r="S13" i="24" s="1"/>
  <c r="T13" i="24" s="1"/>
  <c r="R53" i="24"/>
  <c r="S53" i="24" s="1"/>
  <c r="T53" i="24" s="1"/>
  <c r="R143" i="24"/>
  <c r="S143" i="24" s="1"/>
  <c r="T143" i="24" s="1"/>
  <c r="R7" i="24"/>
  <c r="S7" i="24" s="1"/>
  <c r="T7" i="24" s="1"/>
  <c r="R30" i="24"/>
  <c r="S30" i="24" s="1"/>
  <c r="T30" i="24" s="1"/>
  <c r="R34" i="24"/>
  <c r="S34" i="24" s="1"/>
  <c r="T34" i="24" s="1"/>
  <c r="R22" i="24"/>
  <c r="S22" i="24" s="1"/>
  <c r="T22" i="24" s="1"/>
  <c r="R76" i="24"/>
  <c r="S76" i="24" s="1"/>
  <c r="T76" i="24" s="1"/>
  <c r="R26" i="24"/>
  <c r="S26" i="24" s="1"/>
  <c r="T26" i="24" s="1"/>
  <c r="R81" i="24"/>
  <c r="S81" i="24" s="1"/>
  <c r="T81" i="24" s="1"/>
  <c r="R56" i="24"/>
  <c r="S56" i="24" s="1"/>
  <c r="T56" i="24" s="1"/>
  <c r="R64" i="24"/>
  <c r="S64" i="24" s="1"/>
  <c r="T64" i="24" s="1"/>
  <c r="R28" i="24"/>
  <c r="S28" i="24" s="1"/>
  <c r="T28" i="24" s="1"/>
  <c r="R9" i="24"/>
  <c r="S9" i="24" s="1"/>
  <c r="T9" i="24" s="1"/>
  <c r="R44" i="24"/>
  <c r="S44" i="24" s="1"/>
  <c r="T44" i="24" s="1"/>
  <c r="R6" i="24"/>
  <c r="S6" i="24" s="1"/>
  <c r="T6" i="24" s="1"/>
  <c r="R20" i="24"/>
  <c r="S20" i="24" s="1"/>
  <c r="T20" i="24" s="1"/>
  <c r="R103" i="24"/>
  <c r="S103" i="24" s="1"/>
  <c r="T103" i="24" s="1"/>
  <c r="R138" i="24"/>
  <c r="S138" i="24" s="1"/>
  <c r="T138" i="24" s="1"/>
  <c r="G149" i="17"/>
  <c r="C150" i="17"/>
  <c r="Q150" i="26"/>
  <c r="M151" i="26"/>
  <c r="L151" i="9"/>
  <c r="M152" i="23"/>
  <c r="Q151" i="23"/>
  <c r="B152" i="15"/>
  <c r="L151" i="7"/>
  <c r="L150" i="14"/>
  <c r="G153" i="8"/>
  <c r="C154" i="8"/>
  <c r="C153" i="20"/>
  <c r="G152" i="20"/>
  <c r="M153" i="15" l="1"/>
  <c r="Q152" i="15"/>
  <c r="C154" i="13"/>
  <c r="G153" i="13"/>
  <c r="M161" i="9"/>
  <c r="Q160" i="9"/>
  <c r="L153" i="26"/>
  <c r="C152" i="19"/>
  <c r="G151" i="19"/>
  <c r="C156" i="15"/>
  <c r="G155" i="15"/>
  <c r="M154" i="3"/>
  <c r="Q153" i="3"/>
  <c r="B152" i="25"/>
  <c r="Q157" i="21"/>
  <c r="M158" i="21"/>
  <c r="G150" i="9"/>
  <c r="C151" i="9"/>
  <c r="B151" i="9"/>
  <c r="G150" i="17"/>
  <c r="C151" i="17"/>
  <c r="B153" i="11"/>
  <c r="B153" i="20"/>
  <c r="R158" i="5"/>
  <c r="S158" i="5" s="1"/>
  <c r="T158" i="5" s="1"/>
  <c r="R150" i="5"/>
  <c r="S150" i="5" s="1"/>
  <c r="T150" i="5" s="1"/>
  <c r="R142" i="5"/>
  <c r="S142" i="5" s="1"/>
  <c r="T142" i="5" s="1"/>
  <c r="R134" i="5"/>
  <c r="S134" i="5" s="1"/>
  <c r="T134" i="5" s="1"/>
  <c r="R126" i="5"/>
  <c r="S126" i="5" s="1"/>
  <c r="T126" i="5" s="1"/>
  <c r="R118" i="5"/>
  <c r="S118" i="5" s="1"/>
  <c r="T118" i="5" s="1"/>
  <c r="R102" i="5"/>
  <c r="S102" i="5" s="1"/>
  <c r="T102" i="5" s="1"/>
  <c r="R22" i="5"/>
  <c r="S22" i="5" s="1"/>
  <c r="T22" i="5" s="1"/>
  <c r="R119" i="5"/>
  <c r="S119" i="5" s="1"/>
  <c r="T119" i="5" s="1"/>
  <c r="R103" i="5"/>
  <c r="S103" i="5" s="1"/>
  <c r="T103" i="5" s="1"/>
  <c r="R21" i="5"/>
  <c r="S21" i="5" s="1"/>
  <c r="T21" i="5" s="1"/>
  <c r="R159" i="5"/>
  <c r="S159" i="5" s="1"/>
  <c r="T159" i="5" s="1"/>
  <c r="R151" i="5"/>
  <c r="S151" i="5" s="1"/>
  <c r="T151" i="5" s="1"/>
  <c r="R143" i="5"/>
  <c r="S143" i="5" s="1"/>
  <c r="T143" i="5" s="1"/>
  <c r="R135" i="5"/>
  <c r="S135" i="5" s="1"/>
  <c r="T135" i="5" s="1"/>
  <c r="R127" i="5"/>
  <c r="S127" i="5" s="1"/>
  <c r="T127" i="5" s="1"/>
  <c r="R120" i="5"/>
  <c r="S120" i="5" s="1"/>
  <c r="T120" i="5" s="1"/>
  <c r="R104" i="5"/>
  <c r="S104" i="5" s="1"/>
  <c r="T104" i="5" s="1"/>
  <c r="R20" i="5"/>
  <c r="S20" i="5" s="1"/>
  <c r="T20" i="5" s="1"/>
  <c r="R19" i="5"/>
  <c r="S19" i="5" s="1"/>
  <c r="T19" i="5" s="1"/>
  <c r="R18" i="5"/>
  <c r="S18" i="5" s="1"/>
  <c r="T18" i="5" s="1"/>
  <c r="R105" i="5"/>
  <c r="S105" i="5" s="1"/>
  <c r="T105" i="5" s="1"/>
  <c r="R17" i="5"/>
  <c r="S17" i="5" s="1"/>
  <c r="T17" i="5" s="1"/>
  <c r="R16" i="5"/>
  <c r="S16" i="5" s="1"/>
  <c r="T16" i="5" s="1"/>
  <c r="R15" i="5"/>
  <c r="S15" i="5" s="1"/>
  <c r="T15" i="5" s="1"/>
  <c r="R14" i="5"/>
  <c r="S14" i="5" s="1"/>
  <c r="T14" i="5" s="1"/>
  <c r="R13" i="5"/>
  <c r="S13" i="5" s="1"/>
  <c r="T13" i="5" s="1"/>
  <c r="R12" i="5"/>
  <c r="S12" i="5" s="1"/>
  <c r="T12" i="5" s="1"/>
  <c r="R11" i="5"/>
  <c r="S11" i="5" s="1"/>
  <c r="T11" i="5" s="1"/>
  <c r="R10" i="5"/>
  <c r="S10" i="5" s="1"/>
  <c r="T10" i="5" s="1"/>
  <c r="R9" i="5"/>
  <c r="S9" i="5" s="1"/>
  <c r="T9" i="5" s="1"/>
  <c r="R8" i="5"/>
  <c r="S8" i="5" s="1"/>
  <c r="T8" i="5" s="1"/>
  <c r="R7" i="5"/>
  <c r="S7" i="5" s="1"/>
  <c r="T7" i="5" s="1"/>
  <c r="R6" i="5"/>
  <c r="S6" i="5" s="1"/>
  <c r="T6" i="5" s="1"/>
  <c r="R160" i="5"/>
  <c r="S160" i="5" s="1"/>
  <c r="T160" i="5" s="1"/>
  <c r="R152" i="5"/>
  <c r="S152" i="5" s="1"/>
  <c r="T152" i="5" s="1"/>
  <c r="R144" i="5"/>
  <c r="S144" i="5" s="1"/>
  <c r="T144" i="5" s="1"/>
  <c r="R136" i="5"/>
  <c r="S136" i="5" s="1"/>
  <c r="T136" i="5" s="1"/>
  <c r="R128" i="5"/>
  <c r="S128" i="5" s="1"/>
  <c r="T128" i="5" s="1"/>
  <c r="R121" i="5"/>
  <c r="S121" i="5" s="1"/>
  <c r="T121" i="5" s="1"/>
  <c r="R106" i="5"/>
  <c r="S106" i="5" s="1"/>
  <c r="T106" i="5" s="1"/>
  <c r="R107" i="5"/>
  <c r="S107" i="5" s="1"/>
  <c r="T107" i="5" s="1"/>
  <c r="R153" i="5"/>
  <c r="S153" i="5" s="1"/>
  <c r="T153" i="5" s="1"/>
  <c r="R145" i="5"/>
  <c r="S145" i="5" s="1"/>
  <c r="T145" i="5" s="1"/>
  <c r="R137" i="5"/>
  <c r="S137" i="5" s="1"/>
  <c r="T137" i="5" s="1"/>
  <c r="R129" i="5"/>
  <c r="S129" i="5" s="1"/>
  <c r="T129" i="5" s="1"/>
  <c r="R108" i="5"/>
  <c r="S108" i="5" s="1"/>
  <c r="T108" i="5" s="1"/>
  <c r="R109" i="5"/>
  <c r="S109" i="5" s="1"/>
  <c r="T109" i="5" s="1"/>
  <c r="R95" i="5"/>
  <c r="S95" i="5" s="1"/>
  <c r="T95" i="5" s="1"/>
  <c r="R31" i="5"/>
  <c r="S31" i="5" s="1"/>
  <c r="T31" i="5" s="1"/>
  <c r="R161" i="5"/>
  <c r="S161" i="5" s="1"/>
  <c r="T161" i="5" s="1"/>
  <c r="R155" i="5"/>
  <c r="S155" i="5" s="1"/>
  <c r="T155" i="5" s="1"/>
  <c r="R147" i="5"/>
  <c r="S147" i="5" s="1"/>
  <c r="T147" i="5" s="1"/>
  <c r="R139" i="5"/>
  <c r="S139" i="5" s="1"/>
  <c r="T139" i="5" s="1"/>
  <c r="R131" i="5"/>
  <c r="S131" i="5" s="1"/>
  <c r="T131" i="5" s="1"/>
  <c r="R123" i="5"/>
  <c r="S123" i="5" s="1"/>
  <c r="T123" i="5" s="1"/>
  <c r="R83" i="5"/>
  <c r="S83" i="5" s="1"/>
  <c r="T83" i="5" s="1"/>
  <c r="R74" i="5"/>
  <c r="S74" i="5" s="1"/>
  <c r="T74" i="5" s="1"/>
  <c r="R66" i="5"/>
  <c r="S66" i="5" s="1"/>
  <c r="T66" i="5" s="1"/>
  <c r="R58" i="5"/>
  <c r="S58" i="5" s="1"/>
  <c r="T58" i="5" s="1"/>
  <c r="R50" i="5"/>
  <c r="S50" i="5" s="1"/>
  <c r="T50" i="5" s="1"/>
  <c r="R42" i="5"/>
  <c r="S42" i="5" s="1"/>
  <c r="T42" i="5" s="1"/>
  <c r="R28" i="5"/>
  <c r="S28" i="5" s="1"/>
  <c r="T28" i="5" s="1"/>
  <c r="R157" i="5"/>
  <c r="S157" i="5" s="1"/>
  <c r="T157" i="5" s="1"/>
  <c r="R149" i="5"/>
  <c r="S149" i="5" s="1"/>
  <c r="T149" i="5" s="1"/>
  <c r="R141" i="5"/>
  <c r="S141" i="5" s="1"/>
  <c r="T141" i="5" s="1"/>
  <c r="R133" i="5"/>
  <c r="S133" i="5" s="1"/>
  <c r="T133" i="5" s="1"/>
  <c r="R125" i="5"/>
  <c r="S125" i="5" s="1"/>
  <c r="T125" i="5" s="1"/>
  <c r="R93" i="5"/>
  <c r="S93" i="5" s="1"/>
  <c r="T93" i="5" s="1"/>
  <c r="R81" i="5"/>
  <c r="S81" i="5" s="1"/>
  <c r="T81" i="5" s="1"/>
  <c r="R39" i="5"/>
  <c r="S39" i="5" s="1"/>
  <c r="T39" i="5" s="1"/>
  <c r="R25" i="5"/>
  <c r="S25" i="5" s="1"/>
  <c r="T25" i="5" s="1"/>
  <c r="R89" i="5"/>
  <c r="S89" i="5" s="1"/>
  <c r="T89" i="5" s="1"/>
  <c r="R77" i="5"/>
  <c r="S77" i="5" s="1"/>
  <c r="T77" i="5" s="1"/>
  <c r="R43" i="5"/>
  <c r="S43" i="5" s="1"/>
  <c r="T43" i="5" s="1"/>
  <c r="R29" i="5"/>
  <c r="S29" i="5" s="1"/>
  <c r="T29" i="5" s="1"/>
  <c r="R156" i="5"/>
  <c r="S156" i="5" s="1"/>
  <c r="T156" i="5" s="1"/>
  <c r="R117" i="5"/>
  <c r="S117" i="5" s="1"/>
  <c r="T117" i="5" s="1"/>
  <c r="R132" i="5"/>
  <c r="S132" i="5" s="1"/>
  <c r="T132" i="5" s="1"/>
  <c r="R110" i="5"/>
  <c r="S110" i="5" s="1"/>
  <c r="T110" i="5" s="1"/>
  <c r="R94" i="5"/>
  <c r="S94" i="5" s="1"/>
  <c r="T94" i="5" s="1"/>
  <c r="R96" i="5"/>
  <c r="S96" i="5" s="1"/>
  <c r="T96" i="5" s="1"/>
  <c r="R33" i="5"/>
  <c r="S33" i="5" s="1"/>
  <c r="T33" i="5" s="1"/>
  <c r="R26" i="5"/>
  <c r="S26" i="5" s="1"/>
  <c r="T26" i="5" s="1"/>
  <c r="R112" i="5"/>
  <c r="S112" i="5" s="1"/>
  <c r="T112" i="5" s="1"/>
  <c r="R98" i="5"/>
  <c r="S98" i="5" s="1"/>
  <c r="T98" i="5" s="1"/>
  <c r="R40" i="5"/>
  <c r="S40" i="5" s="1"/>
  <c r="T40" i="5" s="1"/>
  <c r="R124" i="5"/>
  <c r="S124" i="5" s="1"/>
  <c r="T124" i="5" s="1"/>
  <c r="R100" i="5"/>
  <c r="S100" i="5" s="1"/>
  <c r="T100" i="5" s="1"/>
  <c r="R87" i="5"/>
  <c r="S87" i="5" s="1"/>
  <c r="T87" i="5" s="1"/>
  <c r="R85" i="5"/>
  <c r="S85" i="5" s="1"/>
  <c r="T85" i="5" s="1"/>
  <c r="R72" i="5"/>
  <c r="S72" i="5" s="1"/>
  <c r="T72" i="5" s="1"/>
  <c r="R70" i="5"/>
  <c r="S70" i="5" s="1"/>
  <c r="T70" i="5" s="1"/>
  <c r="R68" i="5"/>
  <c r="S68" i="5" s="1"/>
  <c r="T68" i="5" s="1"/>
  <c r="R64" i="5"/>
  <c r="S64" i="5" s="1"/>
  <c r="T64" i="5" s="1"/>
  <c r="R62" i="5"/>
  <c r="S62" i="5" s="1"/>
  <c r="T62" i="5" s="1"/>
  <c r="R60" i="5"/>
  <c r="S60" i="5" s="1"/>
  <c r="T60" i="5" s="1"/>
  <c r="R56" i="5"/>
  <c r="S56" i="5" s="1"/>
  <c r="T56" i="5" s="1"/>
  <c r="R54" i="5"/>
  <c r="S54" i="5" s="1"/>
  <c r="T54" i="5" s="1"/>
  <c r="R52" i="5"/>
  <c r="S52" i="5" s="1"/>
  <c r="T52" i="5" s="1"/>
  <c r="R48" i="5"/>
  <c r="S48" i="5" s="1"/>
  <c r="T48" i="5" s="1"/>
  <c r="R46" i="5"/>
  <c r="S46" i="5" s="1"/>
  <c r="T46" i="5" s="1"/>
  <c r="R44" i="5"/>
  <c r="S44" i="5" s="1"/>
  <c r="T44" i="5" s="1"/>
  <c r="R36" i="5"/>
  <c r="S36" i="5" s="1"/>
  <c r="T36" i="5" s="1"/>
  <c r="R24" i="5"/>
  <c r="S24" i="5" s="1"/>
  <c r="T24" i="5" s="1"/>
  <c r="R114" i="5"/>
  <c r="S114" i="5" s="1"/>
  <c r="T114" i="5" s="1"/>
  <c r="R91" i="5"/>
  <c r="S91" i="5" s="1"/>
  <c r="T91" i="5" s="1"/>
  <c r="R38" i="5"/>
  <c r="S38" i="5" s="1"/>
  <c r="T38" i="5" s="1"/>
  <c r="R76" i="5"/>
  <c r="S76" i="5" s="1"/>
  <c r="T76" i="5" s="1"/>
  <c r="R34" i="5"/>
  <c r="S34" i="5" s="1"/>
  <c r="T34" i="5" s="1"/>
  <c r="R116" i="5"/>
  <c r="S116" i="5" s="1"/>
  <c r="T116" i="5" s="1"/>
  <c r="R80" i="5"/>
  <c r="S80" i="5" s="1"/>
  <c r="T80" i="5" s="1"/>
  <c r="R78" i="5"/>
  <c r="S78" i="5" s="1"/>
  <c r="T78" i="5" s="1"/>
  <c r="R92" i="5"/>
  <c r="S92" i="5" s="1"/>
  <c r="T92" i="5" s="1"/>
  <c r="R59" i="5"/>
  <c r="S59" i="5" s="1"/>
  <c r="T59" i="5" s="1"/>
  <c r="R47" i="5"/>
  <c r="S47" i="5" s="1"/>
  <c r="T47" i="5" s="1"/>
  <c r="R37" i="5"/>
  <c r="S37" i="5" s="1"/>
  <c r="T37" i="5" s="1"/>
  <c r="R23" i="5"/>
  <c r="S23" i="5" s="1"/>
  <c r="T23" i="5" s="1"/>
  <c r="R65" i="5"/>
  <c r="S65" i="5" s="1"/>
  <c r="T65" i="5" s="1"/>
  <c r="R45" i="5"/>
  <c r="S45" i="5" s="1"/>
  <c r="T45" i="5" s="1"/>
  <c r="R130" i="5"/>
  <c r="S130" i="5" s="1"/>
  <c r="T130" i="5" s="1"/>
  <c r="R115" i="5"/>
  <c r="S115" i="5" s="1"/>
  <c r="T115" i="5" s="1"/>
  <c r="R148" i="5"/>
  <c r="S148" i="5" s="1"/>
  <c r="T148" i="5" s="1"/>
  <c r="R122" i="5"/>
  <c r="S122" i="5" s="1"/>
  <c r="T122" i="5" s="1"/>
  <c r="R111" i="5"/>
  <c r="S111" i="5" s="1"/>
  <c r="T111" i="5" s="1"/>
  <c r="R101" i="5"/>
  <c r="S101" i="5" s="1"/>
  <c r="T101" i="5" s="1"/>
  <c r="R88" i="5"/>
  <c r="S88" i="5" s="1"/>
  <c r="T88" i="5" s="1"/>
  <c r="R71" i="5"/>
  <c r="S71" i="5" s="1"/>
  <c r="T71" i="5" s="1"/>
  <c r="R49" i="5"/>
  <c r="S49" i="5" s="1"/>
  <c r="T49" i="5" s="1"/>
  <c r="R84" i="5"/>
  <c r="S84" i="5" s="1"/>
  <c r="T84" i="5" s="1"/>
  <c r="R61" i="5"/>
  <c r="S61" i="5" s="1"/>
  <c r="T61" i="5" s="1"/>
  <c r="R67" i="5"/>
  <c r="S67" i="5" s="1"/>
  <c r="T67" i="5" s="1"/>
  <c r="R55" i="5"/>
  <c r="S55" i="5" s="1"/>
  <c r="T55" i="5" s="1"/>
  <c r="R97" i="5"/>
  <c r="S97" i="5" s="1"/>
  <c r="T97" i="5" s="1"/>
  <c r="R140" i="5"/>
  <c r="S140" i="5" s="1"/>
  <c r="T140" i="5" s="1"/>
  <c r="R51" i="5"/>
  <c r="S51" i="5" s="1"/>
  <c r="T51" i="5" s="1"/>
  <c r="R41" i="5"/>
  <c r="S41" i="5" s="1"/>
  <c r="T41" i="5" s="1"/>
  <c r="R27" i="5"/>
  <c r="S27" i="5" s="1"/>
  <c r="T27" i="5" s="1"/>
  <c r="R86" i="5"/>
  <c r="S86" i="5" s="1"/>
  <c r="T86" i="5" s="1"/>
  <c r="R90" i="5"/>
  <c r="S90" i="5" s="1"/>
  <c r="T90" i="5" s="1"/>
  <c r="R69" i="5"/>
  <c r="S69" i="5" s="1"/>
  <c r="T69" i="5" s="1"/>
  <c r="R79" i="5"/>
  <c r="S79" i="5" s="1"/>
  <c r="T79" i="5" s="1"/>
  <c r="R30" i="5"/>
  <c r="S30" i="5" s="1"/>
  <c r="T30" i="5" s="1"/>
  <c r="R113" i="5"/>
  <c r="S113" i="5" s="1"/>
  <c r="T113" i="5" s="1"/>
  <c r="R146" i="5"/>
  <c r="S146" i="5" s="1"/>
  <c r="T146" i="5" s="1"/>
  <c r="R35" i="5"/>
  <c r="S35" i="5" s="1"/>
  <c r="T35" i="5" s="1"/>
  <c r="R73" i="5"/>
  <c r="S73" i="5" s="1"/>
  <c r="T73" i="5" s="1"/>
  <c r="R75" i="5"/>
  <c r="S75" i="5" s="1"/>
  <c r="T75" i="5" s="1"/>
  <c r="R138" i="5"/>
  <c r="S138" i="5" s="1"/>
  <c r="T138" i="5" s="1"/>
  <c r="R53" i="5"/>
  <c r="S53" i="5" s="1"/>
  <c r="T53" i="5" s="1"/>
  <c r="R162" i="5"/>
  <c r="S162" i="5" s="1"/>
  <c r="T162" i="5" s="1"/>
  <c r="R63" i="5"/>
  <c r="S63" i="5" s="1"/>
  <c r="T63" i="5" s="1"/>
  <c r="R154" i="5"/>
  <c r="S154" i="5" s="1"/>
  <c r="T154" i="5" s="1"/>
  <c r="R99" i="5"/>
  <c r="S99" i="5" s="1"/>
  <c r="T99" i="5" s="1"/>
  <c r="R82" i="5"/>
  <c r="S82" i="5" s="1"/>
  <c r="T82" i="5" s="1"/>
  <c r="R57" i="5"/>
  <c r="S57" i="5" s="1"/>
  <c r="T57" i="5" s="1"/>
  <c r="R32" i="5"/>
  <c r="S32" i="5" s="1"/>
  <c r="T32" i="5" s="1"/>
  <c r="L152" i="9"/>
  <c r="M154" i="20"/>
  <c r="Q153" i="20"/>
  <c r="B152" i="7"/>
  <c r="C152" i="23"/>
  <c r="G151" i="23"/>
  <c r="B152" i="21"/>
  <c r="C152" i="3"/>
  <c r="G151" i="3"/>
  <c r="C152" i="7"/>
  <c r="G151" i="7"/>
  <c r="B152" i="13"/>
  <c r="C155" i="8"/>
  <c r="G154" i="8"/>
  <c r="M153" i="23"/>
  <c r="Q152" i="23"/>
  <c r="S2" i="24"/>
  <c r="T2" i="24" s="1"/>
  <c r="B157" i="4"/>
  <c r="G162" i="4"/>
  <c r="G2" i="4"/>
  <c r="L152" i="11"/>
  <c r="B152" i="14"/>
  <c r="M153" i="14"/>
  <c r="Q152" i="14"/>
  <c r="L151" i="14"/>
  <c r="M151" i="17"/>
  <c r="Q150" i="17"/>
  <c r="M152" i="19"/>
  <c r="Q151" i="19"/>
  <c r="M155" i="4"/>
  <c r="Q154" i="4"/>
  <c r="C154" i="20"/>
  <c r="G153" i="20"/>
  <c r="M155" i="8"/>
  <c r="Q154" i="8"/>
  <c r="L152" i="13"/>
  <c r="C153" i="26"/>
  <c r="G152" i="26"/>
  <c r="B152" i="19"/>
  <c r="B151" i="5"/>
  <c r="L153" i="17"/>
  <c r="L160" i="5"/>
  <c r="L154" i="19"/>
  <c r="L152" i="4"/>
  <c r="B151" i="17"/>
  <c r="C161" i="25"/>
  <c r="G160" i="25"/>
  <c r="B154" i="8"/>
  <c r="B154" i="24"/>
  <c r="B154" i="27"/>
  <c r="C152" i="24"/>
  <c r="G151" i="24"/>
  <c r="L152" i="21"/>
  <c r="C151" i="5"/>
  <c r="G150" i="5"/>
  <c r="L153" i="25"/>
  <c r="B153" i="15"/>
  <c r="B157" i="23"/>
  <c r="M162" i="7"/>
  <c r="Q161" i="7"/>
  <c r="B155" i="3"/>
  <c r="L152" i="24"/>
  <c r="L152" i="7"/>
  <c r="M152" i="25"/>
  <c r="Q151" i="25"/>
  <c r="L153" i="15"/>
  <c r="M152" i="26"/>
  <c r="Q151" i="26"/>
  <c r="B152" i="26"/>
  <c r="C156" i="11"/>
  <c r="G155" i="11"/>
  <c r="L154" i="20"/>
  <c r="L153" i="8"/>
  <c r="H160" i="27"/>
  <c r="I160" i="27" s="1"/>
  <c r="J160" i="27" s="1"/>
  <c r="H159" i="27"/>
  <c r="I159" i="27" s="1"/>
  <c r="J159" i="27" s="1"/>
  <c r="H158" i="27"/>
  <c r="I158" i="27" s="1"/>
  <c r="J158" i="27" s="1"/>
  <c r="H157" i="27"/>
  <c r="I157" i="27" s="1"/>
  <c r="J157" i="27" s="1"/>
  <c r="H156" i="27"/>
  <c r="I156" i="27" s="1"/>
  <c r="J156" i="27" s="1"/>
  <c r="H155" i="27"/>
  <c r="I155" i="27" s="1"/>
  <c r="J155" i="27" s="1"/>
  <c r="H154" i="27"/>
  <c r="I154" i="27" s="1"/>
  <c r="J154" i="27" s="1"/>
  <c r="H153" i="27"/>
  <c r="I153" i="27" s="1"/>
  <c r="J153" i="27" s="1"/>
  <c r="H152" i="27"/>
  <c r="I152" i="27" s="1"/>
  <c r="J152" i="27" s="1"/>
  <c r="H151" i="27"/>
  <c r="I151" i="27" s="1"/>
  <c r="J151" i="27" s="1"/>
  <c r="H150" i="27"/>
  <c r="I150" i="27" s="1"/>
  <c r="J150" i="27" s="1"/>
  <c r="H149" i="27"/>
  <c r="I149" i="27" s="1"/>
  <c r="J149" i="27" s="1"/>
  <c r="H148" i="27"/>
  <c r="I148" i="27" s="1"/>
  <c r="J148" i="27" s="1"/>
  <c r="H147" i="27"/>
  <c r="I147" i="27" s="1"/>
  <c r="J147" i="27" s="1"/>
  <c r="H146" i="27"/>
  <c r="I146" i="27" s="1"/>
  <c r="J146" i="27" s="1"/>
  <c r="H145" i="27"/>
  <c r="I145" i="27" s="1"/>
  <c r="J145" i="27" s="1"/>
  <c r="H144" i="27"/>
  <c r="I144" i="27" s="1"/>
  <c r="J144" i="27" s="1"/>
  <c r="H143" i="27"/>
  <c r="I143" i="27" s="1"/>
  <c r="J143" i="27" s="1"/>
  <c r="H142" i="27"/>
  <c r="I142" i="27" s="1"/>
  <c r="J142" i="27" s="1"/>
  <c r="H141" i="27"/>
  <c r="I141" i="27" s="1"/>
  <c r="J141" i="27" s="1"/>
  <c r="H140" i="27"/>
  <c r="I140" i="27" s="1"/>
  <c r="J140" i="27" s="1"/>
  <c r="H139" i="27"/>
  <c r="I139" i="27" s="1"/>
  <c r="J139" i="27" s="1"/>
  <c r="H138" i="27"/>
  <c r="I138" i="27" s="1"/>
  <c r="J138" i="27" s="1"/>
  <c r="H137" i="27"/>
  <c r="I137" i="27" s="1"/>
  <c r="J137" i="27" s="1"/>
  <c r="H136" i="27"/>
  <c r="I136" i="27" s="1"/>
  <c r="J136" i="27" s="1"/>
  <c r="H135" i="27"/>
  <c r="I135" i="27" s="1"/>
  <c r="J135" i="27" s="1"/>
  <c r="H134" i="27"/>
  <c r="I134" i="27" s="1"/>
  <c r="J134" i="27" s="1"/>
  <c r="H133" i="27"/>
  <c r="I133" i="27" s="1"/>
  <c r="J133" i="27" s="1"/>
  <c r="H132" i="27"/>
  <c r="I132" i="27" s="1"/>
  <c r="J132" i="27" s="1"/>
  <c r="H131" i="27"/>
  <c r="I131" i="27" s="1"/>
  <c r="J131" i="27" s="1"/>
  <c r="H130" i="27"/>
  <c r="I130" i="27" s="1"/>
  <c r="J130" i="27" s="1"/>
  <c r="H129" i="27"/>
  <c r="I129" i="27" s="1"/>
  <c r="J129" i="27" s="1"/>
  <c r="H128" i="27"/>
  <c r="I128" i="27" s="1"/>
  <c r="J128" i="27" s="1"/>
  <c r="H127" i="27"/>
  <c r="I127" i="27" s="1"/>
  <c r="J127" i="27" s="1"/>
  <c r="H126" i="27"/>
  <c r="I126" i="27" s="1"/>
  <c r="J126" i="27" s="1"/>
  <c r="H125" i="27"/>
  <c r="I125" i="27" s="1"/>
  <c r="J125" i="27" s="1"/>
  <c r="H124" i="27"/>
  <c r="I124" i="27" s="1"/>
  <c r="J124" i="27" s="1"/>
  <c r="H123" i="27"/>
  <c r="I123" i="27" s="1"/>
  <c r="J123" i="27" s="1"/>
  <c r="H162" i="27"/>
  <c r="I162" i="27" s="1"/>
  <c r="J162" i="27" s="1"/>
  <c r="H93" i="27"/>
  <c r="I93" i="27" s="1"/>
  <c r="J93" i="27" s="1"/>
  <c r="H81" i="27"/>
  <c r="I81" i="27" s="1"/>
  <c r="J81" i="27" s="1"/>
  <c r="H69" i="27"/>
  <c r="I69" i="27" s="1"/>
  <c r="J69" i="27" s="1"/>
  <c r="H53" i="27"/>
  <c r="I53" i="27" s="1"/>
  <c r="J53" i="27" s="1"/>
  <c r="H113" i="27"/>
  <c r="I113" i="27" s="1"/>
  <c r="J113" i="27" s="1"/>
  <c r="H105" i="27"/>
  <c r="I105" i="27" s="1"/>
  <c r="J105" i="27" s="1"/>
  <c r="H94" i="27"/>
  <c r="I94" i="27" s="1"/>
  <c r="J94" i="27" s="1"/>
  <c r="H70" i="27"/>
  <c r="I70" i="27" s="1"/>
  <c r="J70" i="27" s="1"/>
  <c r="H54" i="27"/>
  <c r="I54" i="27" s="1"/>
  <c r="J54" i="27" s="1"/>
  <c r="H122" i="27"/>
  <c r="I122" i="27" s="1"/>
  <c r="J122" i="27" s="1"/>
  <c r="H111" i="27"/>
  <c r="I111" i="27" s="1"/>
  <c r="J111" i="27" s="1"/>
  <c r="H102" i="27"/>
  <c r="I102" i="27" s="1"/>
  <c r="J102" i="27" s="1"/>
  <c r="H90" i="27"/>
  <c r="I90" i="27" s="1"/>
  <c r="J90" i="27" s="1"/>
  <c r="H49" i="27"/>
  <c r="I49" i="27" s="1"/>
  <c r="J49" i="27" s="1"/>
  <c r="H120" i="27"/>
  <c r="I120" i="27" s="1"/>
  <c r="J120" i="27" s="1"/>
  <c r="H116" i="27"/>
  <c r="I116" i="27" s="1"/>
  <c r="J116" i="27" s="1"/>
  <c r="H107" i="27"/>
  <c r="I107" i="27" s="1"/>
  <c r="J107" i="27" s="1"/>
  <c r="H117" i="27"/>
  <c r="I117" i="27" s="1"/>
  <c r="J117" i="27" s="1"/>
  <c r="H96" i="27"/>
  <c r="I96" i="27" s="1"/>
  <c r="J96" i="27" s="1"/>
  <c r="H91" i="27"/>
  <c r="I91" i="27" s="1"/>
  <c r="J91" i="27" s="1"/>
  <c r="H114" i="27"/>
  <c r="I114" i="27" s="1"/>
  <c r="J114" i="27" s="1"/>
  <c r="H104" i="27"/>
  <c r="I104" i="27" s="1"/>
  <c r="J104" i="27" s="1"/>
  <c r="H101" i="27"/>
  <c r="I101" i="27" s="1"/>
  <c r="J101" i="27" s="1"/>
  <c r="H87" i="27"/>
  <c r="I87" i="27" s="1"/>
  <c r="J87" i="27" s="1"/>
  <c r="H74" i="27"/>
  <c r="I74" i="27" s="1"/>
  <c r="J74" i="27" s="1"/>
  <c r="H60" i="27"/>
  <c r="I60" i="27" s="1"/>
  <c r="J60" i="27" s="1"/>
  <c r="H17" i="27"/>
  <c r="I17" i="27" s="1"/>
  <c r="J17" i="27" s="1"/>
  <c r="H16" i="27"/>
  <c r="I16" i="27" s="1"/>
  <c r="J16" i="27" s="1"/>
  <c r="H15" i="27"/>
  <c r="I15" i="27" s="1"/>
  <c r="J15" i="27" s="1"/>
  <c r="H14" i="27"/>
  <c r="I14" i="27" s="1"/>
  <c r="J14" i="27" s="1"/>
  <c r="H13" i="27"/>
  <c r="I13" i="27" s="1"/>
  <c r="J13" i="27" s="1"/>
  <c r="H12" i="27"/>
  <c r="I12" i="27" s="1"/>
  <c r="J12" i="27" s="1"/>
  <c r="H11" i="27"/>
  <c r="I11" i="27" s="1"/>
  <c r="J11" i="27" s="1"/>
  <c r="H10" i="27"/>
  <c r="I10" i="27" s="1"/>
  <c r="J10" i="27" s="1"/>
  <c r="H9" i="27"/>
  <c r="I9" i="27" s="1"/>
  <c r="J9" i="27" s="1"/>
  <c r="H8" i="27"/>
  <c r="I8" i="27" s="1"/>
  <c r="J8" i="27" s="1"/>
  <c r="H7" i="27"/>
  <c r="I7" i="27" s="1"/>
  <c r="J7" i="27" s="1"/>
  <c r="H97" i="27"/>
  <c r="I97" i="27" s="1"/>
  <c r="J97" i="27" s="1"/>
  <c r="H92" i="27"/>
  <c r="I92" i="27" s="1"/>
  <c r="J92" i="27" s="1"/>
  <c r="H79" i="27"/>
  <c r="I79" i="27" s="1"/>
  <c r="J79" i="27" s="1"/>
  <c r="H51" i="27"/>
  <c r="I51" i="27" s="1"/>
  <c r="J51" i="27" s="1"/>
  <c r="H161" i="27"/>
  <c r="I161" i="27" s="1"/>
  <c r="J161" i="27" s="1"/>
  <c r="H108" i="27"/>
  <c r="I108" i="27" s="1"/>
  <c r="J108" i="27" s="1"/>
  <c r="H75" i="27"/>
  <c r="I75" i="27" s="1"/>
  <c r="J75" i="27" s="1"/>
  <c r="H61" i="27"/>
  <c r="I61" i="27" s="1"/>
  <c r="J61" i="27" s="1"/>
  <c r="H106" i="27"/>
  <c r="I106" i="27" s="1"/>
  <c r="J106" i="27" s="1"/>
  <c r="H99" i="27"/>
  <c r="I99" i="27" s="1"/>
  <c r="J99" i="27" s="1"/>
  <c r="H89" i="27"/>
  <c r="I89" i="27" s="1"/>
  <c r="J89" i="27" s="1"/>
  <c r="H85" i="27"/>
  <c r="I85" i="27" s="1"/>
  <c r="J85" i="27" s="1"/>
  <c r="H72" i="27"/>
  <c r="I72" i="27" s="1"/>
  <c r="J72" i="27" s="1"/>
  <c r="H47" i="27"/>
  <c r="I47" i="27" s="1"/>
  <c r="J47" i="27" s="1"/>
  <c r="H39" i="27"/>
  <c r="I39" i="27" s="1"/>
  <c r="J39" i="27" s="1"/>
  <c r="H119" i="27"/>
  <c r="I119" i="27" s="1"/>
  <c r="J119" i="27" s="1"/>
  <c r="H100" i="27"/>
  <c r="I100" i="27" s="1"/>
  <c r="J100" i="27" s="1"/>
  <c r="H95" i="27"/>
  <c r="I95" i="27" s="1"/>
  <c r="J95" i="27" s="1"/>
  <c r="H68" i="27"/>
  <c r="I68" i="27" s="1"/>
  <c r="J68" i="27" s="1"/>
  <c r="H103" i="27"/>
  <c r="I103" i="27" s="1"/>
  <c r="J103" i="27" s="1"/>
  <c r="H98" i="27"/>
  <c r="I98" i="27" s="1"/>
  <c r="J98" i="27" s="1"/>
  <c r="H32" i="27"/>
  <c r="I32" i="27" s="1"/>
  <c r="J32" i="27" s="1"/>
  <c r="H22" i="27"/>
  <c r="I22" i="27" s="1"/>
  <c r="J22" i="27" s="1"/>
  <c r="H115" i="27"/>
  <c r="I115" i="27" s="1"/>
  <c r="J115" i="27" s="1"/>
  <c r="H83" i="27"/>
  <c r="I83" i="27" s="1"/>
  <c r="J83" i="27" s="1"/>
  <c r="H38" i="27"/>
  <c r="I38" i="27" s="1"/>
  <c r="J38" i="27" s="1"/>
  <c r="H27" i="27"/>
  <c r="I27" i="27" s="1"/>
  <c r="J27" i="27" s="1"/>
  <c r="H45" i="27"/>
  <c r="I45" i="27" s="1"/>
  <c r="J45" i="27" s="1"/>
  <c r="H33" i="27"/>
  <c r="I33" i="27" s="1"/>
  <c r="J33" i="27" s="1"/>
  <c r="H23" i="27"/>
  <c r="I23" i="27" s="1"/>
  <c r="J23" i="27" s="1"/>
  <c r="H110" i="27"/>
  <c r="I110" i="27" s="1"/>
  <c r="J110" i="27" s="1"/>
  <c r="H42" i="27"/>
  <c r="I42" i="27" s="1"/>
  <c r="J42" i="27" s="1"/>
  <c r="H77" i="27"/>
  <c r="I77" i="27" s="1"/>
  <c r="J77" i="27" s="1"/>
  <c r="H65" i="27"/>
  <c r="I65" i="27" s="1"/>
  <c r="J65" i="27" s="1"/>
  <c r="H58" i="27"/>
  <c r="I58" i="27" s="1"/>
  <c r="J58" i="27" s="1"/>
  <c r="H48" i="27"/>
  <c r="I48" i="27" s="1"/>
  <c r="J48" i="27" s="1"/>
  <c r="H109" i="27"/>
  <c r="I109" i="27" s="1"/>
  <c r="J109" i="27" s="1"/>
  <c r="H82" i="27"/>
  <c r="I82" i="27" s="1"/>
  <c r="J82" i="27" s="1"/>
  <c r="H40" i="27"/>
  <c r="I40" i="27" s="1"/>
  <c r="J40" i="27" s="1"/>
  <c r="H29" i="27"/>
  <c r="I29" i="27" s="1"/>
  <c r="J29" i="27" s="1"/>
  <c r="H25" i="27"/>
  <c r="I25" i="27" s="1"/>
  <c r="J25" i="27" s="1"/>
  <c r="H18" i="27"/>
  <c r="I18" i="27" s="1"/>
  <c r="J18" i="27" s="1"/>
  <c r="H118" i="27"/>
  <c r="I118" i="27" s="1"/>
  <c r="J118" i="27" s="1"/>
  <c r="H88" i="27"/>
  <c r="I88" i="27" s="1"/>
  <c r="J88" i="27" s="1"/>
  <c r="H57" i="27"/>
  <c r="I57" i="27" s="1"/>
  <c r="J57" i="27" s="1"/>
  <c r="H50" i="27"/>
  <c r="I50" i="27" s="1"/>
  <c r="J50" i="27" s="1"/>
  <c r="H43" i="27"/>
  <c r="I43" i="27" s="1"/>
  <c r="J43" i="27" s="1"/>
  <c r="H41" i="27"/>
  <c r="I41" i="27" s="1"/>
  <c r="J41" i="27" s="1"/>
  <c r="H30" i="27"/>
  <c r="I30" i="27" s="1"/>
  <c r="J30" i="27" s="1"/>
  <c r="H20" i="27"/>
  <c r="I20" i="27" s="1"/>
  <c r="J20" i="27" s="1"/>
  <c r="H71" i="27"/>
  <c r="I71" i="27" s="1"/>
  <c r="J71" i="27" s="1"/>
  <c r="H35" i="27"/>
  <c r="I35" i="27" s="1"/>
  <c r="J35" i="27" s="1"/>
  <c r="H64" i="27"/>
  <c r="I64" i="27" s="1"/>
  <c r="J64" i="27" s="1"/>
  <c r="H28" i="27"/>
  <c r="I28" i="27" s="1"/>
  <c r="J28" i="27" s="1"/>
  <c r="H59" i="27"/>
  <c r="I59" i="27" s="1"/>
  <c r="J59" i="27" s="1"/>
  <c r="H112" i="27"/>
  <c r="I112" i="27" s="1"/>
  <c r="J112" i="27" s="1"/>
  <c r="H76" i="27"/>
  <c r="I76" i="27" s="1"/>
  <c r="J76" i="27" s="1"/>
  <c r="H21" i="27"/>
  <c r="I21" i="27" s="1"/>
  <c r="J21" i="27" s="1"/>
  <c r="H80" i="27"/>
  <c r="I80" i="27" s="1"/>
  <c r="J80" i="27" s="1"/>
  <c r="H46" i="27"/>
  <c r="I46" i="27" s="1"/>
  <c r="J46" i="27" s="1"/>
  <c r="H34" i="27"/>
  <c r="I34" i="27" s="1"/>
  <c r="J34" i="27" s="1"/>
  <c r="H19" i="27"/>
  <c r="I19" i="27" s="1"/>
  <c r="J19" i="27" s="1"/>
  <c r="H55" i="27"/>
  <c r="I55" i="27" s="1"/>
  <c r="J55" i="27" s="1"/>
  <c r="H44" i="27"/>
  <c r="I44" i="27" s="1"/>
  <c r="J44" i="27" s="1"/>
  <c r="H6" i="27"/>
  <c r="I6" i="27" s="1"/>
  <c r="J6" i="27" s="1"/>
  <c r="H84" i="27"/>
  <c r="I84" i="27" s="1"/>
  <c r="J84" i="27" s="1"/>
  <c r="H62" i="27"/>
  <c r="I62" i="27" s="1"/>
  <c r="J62" i="27" s="1"/>
  <c r="H37" i="27"/>
  <c r="I37" i="27" s="1"/>
  <c r="J37" i="27" s="1"/>
  <c r="H24" i="27"/>
  <c r="I24" i="27" s="1"/>
  <c r="J24" i="27" s="1"/>
  <c r="H63" i="27"/>
  <c r="I63" i="27" s="1"/>
  <c r="J63" i="27" s="1"/>
  <c r="H121" i="27"/>
  <c r="I121" i="27" s="1"/>
  <c r="J121" i="27" s="1"/>
  <c r="H86" i="27"/>
  <c r="I86" i="27" s="1"/>
  <c r="J86" i="27" s="1"/>
  <c r="H73" i="27"/>
  <c r="I73" i="27" s="1"/>
  <c r="J73" i="27" s="1"/>
  <c r="H66" i="27"/>
  <c r="I66" i="27" s="1"/>
  <c r="J66" i="27" s="1"/>
  <c r="H56" i="27"/>
  <c r="I56" i="27" s="1"/>
  <c r="J56" i="27" s="1"/>
  <c r="H52" i="27"/>
  <c r="I52" i="27" s="1"/>
  <c r="J52" i="27" s="1"/>
  <c r="H67" i="27"/>
  <c r="I67" i="27" s="1"/>
  <c r="J67" i="27" s="1"/>
  <c r="H78" i="27"/>
  <c r="I78" i="27" s="1"/>
  <c r="J78" i="27" s="1"/>
  <c r="H36" i="27"/>
  <c r="I36" i="27" s="1"/>
  <c r="J36" i="27" s="1"/>
  <c r="H31" i="27"/>
  <c r="I31" i="27" s="1"/>
  <c r="J31" i="27" s="1"/>
  <c r="H26" i="27"/>
  <c r="I26" i="27" s="1"/>
  <c r="J26" i="27" s="1"/>
  <c r="L152" i="23"/>
  <c r="M153" i="13"/>
  <c r="Q152" i="13"/>
  <c r="M151" i="27"/>
  <c r="Q150" i="27"/>
  <c r="L153" i="3"/>
  <c r="L151" i="27"/>
  <c r="C153" i="21"/>
  <c r="G152" i="21"/>
  <c r="M153" i="26" l="1"/>
  <c r="Q152" i="26"/>
  <c r="L153" i="21"/>
  <c r="L152" i="14"/>
  <c r="B153" i="13"/>
  <c r="Q162" i="7"/>
  <c r="Q2" i="7"/>
  <c r="C155" i="13"/>
  <c r="G154" i="13"/>
  <c r="C155" i="20"/>
  <c r="G154" i="20"/>
  <c r="M154" i="14"/>
  <c r="Q153" i="14"/>
  <c r="I2" i="27"/>
  <c r="J2" i="27" s="1"/>
  <c r="G152" i="24"/>
  <c r="C153" i="24"/>
  <c r="G161" i="25"/>
  <c r="C162" i="25"/>
  <c r="B153" i="19"/>
  <c r="Q154" i="3"/>
  <c r="M155" i="3"/>
  <c r="S2" i="5"/>
  <c r="T2" i="5" s="1"/>
  <c r="B158" i="23"/>
  <c r="C157" i="15"/>
  <c r="G156" i="15"/>
  <c r="M154" i="15"/>
  <c r="Q153" i="15"/>
  <c r="L153" i="9"/>
  <c r="C153" i="7"/>
  <c r="G152" i="7"/>
  <c r="L154" i="8"/>
  <c r="B152" i="17"/>
  <c r="G153" i="26"/>
  <c r="C154" i="26"/>
  <c r="B153" i="14"/>
  <c r="B152" i="9"/>
  <c r="B154" i="20"/>
  <c r="C154" i="21"/>
  <c r="G153" i="21"/>
  <c r="M153" i="25"/>
  <c r="Q152" i="25"/>
  <c r="L153" i="4"/>
  <c r="L153" i="13"/>
  <c r="M156" i="4"/>
  <c r="Q155" i="4"/>
  <c r="B154" i="11"/>
  <c r="G151" i="9"/>
  <c r="C152" i="9"/>
  <c r="L152" i="27"/>
  <c r="B154" i="15"/>
  <c r="C153" i="23"/>
  <c r="G152" i="23"/>
  <c r="C153" i="19"/>
  <c r="G152" i="19"/>
  <c r="L153" i="23"/>
  <c r="L155" i="20"/>
  <c r="G151" i="17"/>
  <c r="C152" i="17"/>
  <c r="M159" i="21"/>
  <c r="Q158" i="21"/>
  <c r="B152" i="5"/>
  <c r="M154" i="13"/>
  <c r="Q153" i="13"/>
  <c r="L154" i="15"/>
  <c r="L153" i="7"/>
  <c r="B155" i="27"/>
  <c r="C153" i="3"/>
  <c r="G152" i="3"/>
  <c r="B155" i="24"/>
  <c r="F2" i="4"/>
  <c r="H2" i="4" s="1"/>
  <c r="B153" i="7"/>
  <c r="L153" i="11"/>
  <c r="L153" i="24"/>
  <c r="M156" i="8"/>
  <c r="Q155" i="8"/>
  <c r="M152" i="17"/>
  <c r="Q151" i="17"/>
  <c r="M154" i="23"/>
  <c r="Q153" i="23"/>
  <c r="B153" i="21"/>
  <c r="L154" i="26"/>
  <c r="B153" i="25"/>
  <c r="L154" i="25"/>
  <c r="L155" i="19"/>
  <c r="L161" i="5"/>
  <c r="K160" i="5"/>
  <c r="M153" i="19"/>
  <c r="Q152" i="19"/>
  <c r="L154" i="3"/>
  <c r="C157" i="11"/>
  <c r="G156" i="11"/>
  <c r="B153" i="26"/>
  <c r="M152" i="27"/>
  <c r="Q151" i="27"/>
  <c r="B156" i="3"/>
  <c r="C152" i="5"/>
  <c r="G151" i="5"/>
  <c r="B155" i="8"/>
  <c r="L154" i="17"/>
  <c r="B158" i="4"/>
  <c r="C156" i="8"/>
  <c r="G155" i="8"/>
  <c r="M155" i="20"/>
  <c r="Q154" i="20"/>
  <c r="M162" i="9"/>
  <c r="Q161" i="9"/>
  <c r="L154" i="7" l="1"/>
  <c r="C153" i="5"/>
  <c r="G152" i="5"/>
  <c r="L156" i="20"/>
  <c r="L154" i="4"/>
  <c r="Q162" i="9"/>
  <c r="Q2" i="9"/>
  <c r="M154" i="19"/>
  <c r="Q153" i="19"/>
  <c r="Q152" i="17"/>
  <c r="M153" i="17"/>
  <c r="H82" i="4"/>
  <c r="I82" i="4" s="1"/>
  <c r="J82" i="4" s="1"/>
  <c r="H81" i="4"/>
  <c r="I81" i="4" s="1"/>
  <c r="J81" i="4" s="1"/>
  <c r="H80" i="4"/>
  <c r="I80" i="4" s="1"/>
  <c r="J80" i="4" s="1"/>
  <c r="H79" i="4"/>
  <c r="I79" i="4" s="1"/>
  <c r="J79" i="4" s="1"/>
  <c r="H78" i="4"/>
  <c r="I78" i="4" s="1"/>
  <c r="J78" i="4" s="1"/>
  <c r="H77" i="4"/>
  <c r="I77" i="4" s="1"/>
  <c r="J77" i="4" s="1"/>
  <c r="H76" i="4"/>
  <c r="I76" i="4" s="1"/>
  <c r="J76" i="4" s="1"/>
  <c r="H75" i="4"/>
  <c r="I75" i="4" s="1"/>
  <c r="J75" i="4" s="1"/>
  <c r="H74" i="4"/>
  <c r="I74" i="4" s="1"/>
  <c r="J74" i="4" s="1"/>
  <c r="H73" i="4"/>
  <c r="I73" i="4" s="1"/>
  <c r="J73" i="4" s="1"/>
  <c r="H72" i="4"/>
  <c r="I72" i="4" s="1"/>
  <c r="J72" i="4" s="1"/>
  <c r="H71" i="4"/>
  <c r="I71" i="4" s="1"/>
  <c r="J71" i="4" s="1"/>
  <c r="H70" i="4"/>
  <c r="I70" i="4" s="1"/>
  <c r="J70" i="4" s="1"/>
  <c r="H69" i="4"/>
  <c r="I69" i="4" s="1"/>
  <c r="J69" i="4" s="1"/>
  <c r="H68" i="4"/>
  <c r="I68" i="4" s="1"/>
  <c r="J68" i="4" s="1"/>
  <c r="H67" i="4"/>
  <c r="I67" i="4" s="1"/>
  <c r="J67" i="4" s="1"/>
  <c r="H66" i="4"/>
  <c r="I66" i="4" s="1"/>
  <c r="J66" i="4" s="1"/>
  <c r="H65" i="4"/>
  <c r="I65" i="4" s="1"/>
  <c r="J65" i="4" s="1"/>
  <c r="H64" i="4"/>
  <c r="I64" i="4" s="1"/>
  <c r="J64" i="4" s="1"/>
  <c r="H63" i="4"/>
  <c r="I63" i="4" s="1"/>
  <c r="J63" i="4" s="1"/>
  <c r="H62" i="4"/>
  <c r="I62" i="4" s="1"/>
  <c r="J62" i="4" s="1"/>
  <c r="H61" i="4"/>
  <c r="I61" i="4" s="1"/>
  <c r="J61" i="4" s="1"/>
  <c r="H60" i="4"/>
  <c r="I60" i="4" s="1"/>
  <c r="J60" i="4" s="1"/>
  <c r="H59" i="4"/>
  <c r="I59" i="4" s="1"/>
  <c r="J59" i="4" s="1"/>
  <c r="H58" i="4"/>
  <c r="I58" i="4" s="1"/>
  <c r="J58" i="4" s="1"/>
  <c r="H57" i="4"/>
  <c r="I57" i="4" s="1"/>
  <c r="J57" i="4" s="1"/>
  <c r="H56" i="4"/>
  <c r="I56" i="4" s="1"/>
  <c r="J56" i="4" s="1"/>
  <c r="H55" i="4"/>
  <c r="I55" i="4" s="1"/>
  <c r="J55" i="4" s="1"/>
  <c r="H54" i="4"/>
  <c r="I54" i="4" s="1"/>
  <c r="J54" i="4" s="1"/>
  <c r="H53" i="4"/>
  <c r="I53" i="4" s="1"/>
  <c r="J53" i="4" s="1"/>
  <c r="H52" i="4"/>
  <c r="I52" i="4" s="1"/>
  <c r="J52" i="4" s="1"/>
  <c r="H51" i="4"/>
  <c r="I51" i="4" s="1"/>
  <c r="J51" i="4" s="1"/>
  <c r="H50" i="4"/>
  <c r="I50" i="4" s="1"/>
  <c r="J50" i="4" s="1"/>
  <c r="H49" i="4"/>
  <c r="I49" i="4" s="1"/>
  <c r="J49" i="4" s="1"/>
  <c r="H48" i="4"/>
  <c r="I48" i="4" s="1"/>
  <c r="J48" i="4" s="1"/>
  <c r="H47" i="4"/>
  <c r="I47" i="4" s="1"/>
  <c r="J47" i="4" s="1"/>
  <c r="H46" i="4"/>
  <c r="I46" i="4" s="1"/>
  <c r="J46" i="4" s="1"/>
  <c r="H45" i="4"/>
  <c r="I45" i="4" s="1"/>
  <c r="J45" i="4" s="1"/>
  <c r="H160" i="4"/>
  <c r="I160" i="4" s="1"/>
  <c r="J160" i="4" s="1"/>
  <c r="H152" i="4"/>
  <c r="I152" i="4" s="1"/>
  <c r="J152" i="4" s="1"/>
  <c r="H144" i="4"/>
  <c r="I144" i="4" s="1"/>
  <c r="J144" i="4" s="1"/>
  <c r="H136" i="4"/>
  <c r="I136" i="4" s="1"/>
  <c r="J136" i="4" s="1"/>
  <c r="H128" i="4"/>
  <c r="I128" i="4" s="1"/>
  <c r="J128" i="4" s="1"/>
  <c r="H120" i="4"/>
  <c r="I120" i="4" s="1"/>
  <c r="J120" i="4" s="1"/>
  <c r="H104" i="4"/>
  <c r="I104" i="4" s="1"/>
  <c r="J104" i="4" s="1"/>
  <c r="H40" i="4"/>
  <c r="I40" i="4" s="1"/>
  <c r="J40" i="4" s="1"/>
  <c r="H36" i="4"/>
  <c r="I36" i="4" s="1"/>
  <c r="J36" i="4" s="1"/>
  <c r="H14" i="4"/>
  <c r="I14" i="4" s="1"/>
  <c r="J14" i="4" s="1"/>
  <c r="H155" i="4"/>
  <c r="I155" i="4" s="1"/>
  <c r="J155" i="4" s="1"/>
  <c r="H147" i="4"/>
  <c r="I147" i="4" s="1"/>
  <c r="J147" i="4" s="1"/>
  <c r="H139" i="4"/>
  <c r="I139" i="4" s="1"/>
  <c r="J139" i="4" s="1"/>
  <c r="H131" i="4"/>
  <c r="I131" i="4" s="1"/>
  <c r="J131" i="4" s="1"/>
  <c r="H123" i="4"/>
  <c r="I123" i="4" s="1"/>
  <c r="J123" i="4" s="1"/>
  <c r="H114" i="4"/>
  <c r="I114" i="4" s="1"/>
  <c r="J114" i="4" s="1"/>
  <c r="H44" i="4"/>
  <c r="I44" i="4" s="1"/>
  <c r="J44" i="4" s="1"/>
  <c r="H21" i="4"/>
  <c r="I21" i="4" s="1"/>
  <c r="J21" i="4" s="1"/>
  <c r="H153" i="4"/>
  <c r="I153" i="4" s="1"/>
  <c r="J153" i="4" s="1"/>
  <c r="H145" i="4"/>
  <c r="I145" i="4" s="1"/>
  <c r="J145" i="4" s="1"/>
  <c r="H137" i="4"/>
  <c r="I137" i="4" s="1"/>
  <c r="J137" i="4" s="1"/>
  <c r="H129" i="4"/>
  <c r="I129" i="4" s="1"/>
  <c r="J129" i="4" s="1"/>
  <c r="H118" i="4"/>
  <c r="I118" i="4" s="1"/>
  <c r="J118" i="4" s="1"/>
  <c r="H102" i="4"/>
  <c r="I102" i="4" s="1"/>
  <c r="J102" i="4" s="1"/>
  <c r="H83" i="4"/>
  <c r="I83" i="4" s="1"/>
  <c r="J83" i="4" s="1"/>
  <c r="H16" i="4"/>
  <c r="I16" i="4" s="1"/>
  <c r="J16" i="4" s="1"/>
  <c r="H156" i="4"/>
  <c r="I156" i="4" s="1"/>
  <c r="J156" i="4" s="1"/>
  <c r="H141" i="4"/>
  <c r="I141" i="4" s="1"/>
  <c r="J141" i="4" s="1"/>
  <c r="H124" i="4"/>
  <c r="I124" i="4" s="1"/>
  <c r="J124" i="4" s="1"/>
  <c r="H122" i="4"/>
  <c r="I122" i="4" s="1"/>
  <c r="J122" i="4" s="1"/>
  <c r="H108" i="4"/>
  <c r="I108" i="4" s="1"/>
  <c r="J108" i="4" s="1"/>
  <c r="H103" i="4"/>
  <c r="I103" i="4" s="1"/>
  <c r="J103" i="4" s="1"/>
  <c r="H93" i="4"/>
  <c r="I93" i="4" s="1"/>
  <c r="J93" i="4" s="1"/>
  <c r="H88" i="4"/>
  <c r="I88" i="4" s="1"/>
  <c r="J88" i="4" s="1"/>
  <c r="H154" i="4"/>
  <c r="I154" i="4" s="1"/>
  <c r="J154" i="4" s="1"/>
  <c r="H27" i="4"/>
  <c r="I27" i="4" s="1"/>
  <c r="J27" i="4" s="1"/>
  <c r="H8" i="4"/>
  <c r="I8" i="4" s="1"/>
  <c r="J8" i="4" s="1"/>
  <c r="H150" i="4"/>
  <c r="I150" i="4" s="1"/>
  <c r="J150" i="4" s="1"/>
  <c r="H135" i="4"/>
  <c r="I135" i="4" s="1"/>
  <c r="J135" i="4" s="1"/>
  <c r="H113" i="4"/>
  <c r="I113" i="4" s="1"/>
  <c r="J113" i="4" s="1"/>
  <c r="H96" i="4"/>
  <c r="I96" i="4" s="1"/>
  <c r="J96" i="4" s="1"/>
  <c r="H91" i="4"/>
  <c r="I91" i="4" s="1"/>
  <c r="J91" i="4" s="1"/>
  <c r="H43" i="4"/>
  <c r="I43" i="4" s="1"/>
  <c r="J43" i="4" s="1"/>
  <c r="H37" i="4"/>
  <c r="I37" i="4" s="1"/>
  <c r="J37" i="4" s="1"/>
  <c r="H33" i="4"/>
  <c r="I33" i="4" s="1"/>
  <c r="J33" i="4" s="1"/>
  <c r="H111" i="4"/>
  <c r="I111" i="4" s="1"/>
  <c r="J111" i="4" s="1"/>
  <c r="H101" i="4"/>
  <c r="I101" i="4" s="1"/>
  <c r="J101" i="4" s="1"/>
  <c r="H86" i="4"/>
  <c r="I86" i="4" s="1"/>
  <c r="J86" i="4" s="1"/>
  <c r="H34" i="4"/>
  <c r="I34" i="4" s="1"/>
  <c r="J34" i="4" s="1"/>
  <c r="H30" i="4"/>
  <c r="I30" i="4" s="1"/>
  <c r="J30" i="4" s="1"/>
  <c r="H18" i="4"/>
  <c r="I18" i="4" s="1"/>
  <c r="J18" i="4" s="1"/>
  <c r="H148" i="4"/>
  <c r="I148" i="4" s="1"/>
  <c r="J148" i="4" s="1"/>
  <c r="H133" i="4"/>
  <c r="I133" i="4" s="1"/>
  <c r="J133" i="4" s="1"/>
  <c r="H106" i="4"/>
  <c r="I106" i="4" s="1"/>
  <c r="J106" i="4" s="1"/>
  <c r="H99" i="4"/>
  <c r="I99" i="4" s="1"/>
  <c r="J99" i="4" s="1"/>
  <c r="H22" i="4"/>
  <c r="I22" i="4" s="1"/>
  <c r="J22" i="4" s="1"/>
  <c r="H15" i="4"/>
  <c r="I15" i="4" s="1"/>
  <c r="J15" i="4" s="1"/>
  <c r="H161" i="4"/>
  <c r="I161" i="4" s="1"/>
  <c r="J161" i="4" s="1"/>
  <c r="H146" i="4"/>
  <c r="I146" i="4" s="1"/>
  <c r="J146" i="4" s="1"/>
  <c r="H94" i="4"/>
  <c r="I94" i="4" s="1"/>
  <c r="J94" i="4" s="1"/>
  <c r="H25" i="4"/>
  <c r="I25" i="4" s="1"/>
  <c r="J25" i="4" s="1"/>
  <c r="H12" i="4"/>
  <c r="I12" i="4" s="1"/>
  <c r="J12" i="4" s="1"/>
  <c r="H159" i="4"/>
  <c r="I159" i="4" s="1"/>
  <c r="J159" i="4" s="1"/>
  <c r="H142" i="4"/>
  <c r="I142" i="4" s="1"/>
  <c r="J142" i="4" s="1"/>
  <c r="H127" i="4"/>
  <c r="I127" i="4" s="1"/>
  <c r="J127" i="4" s="1"/>
  <c r="H109" i="4"/>
  <c r="I109" i="4" s="1"/>
  <c r="J109" i="4" s="1"/>
  <c r="H28" i="4"/>
  <c r="I28" i="4" s="1"/>
  <c r="J28" i="4" s="1"/>
  <c r="H9" i="4"/>
  <c r="I9" i="4" s="1"/>
  <c r="J9" i="4" s="1"/>
  <c r="H6" i="4"/>
  <c r="I6" i="4" s="1"/>
  <c r="J6" i="4" s="1"/>
  <c r="H116" i="4"/>
  <c r="I116" i="4" s="1"/>
  <c r="J116" i="4" s="1"/>
  <c r="H89" i="4"/>
  <c r="I89" i="4" s="1"/>
  <c r="J89" i="4" s="1"/>
  <c r="H84" i="4"/>
  <c r="I84" i="4" s="1"/>
  <c r="J84" i="4" s="1"/>
  <c r="H41" i="4"/>
  <c r="I41" i="4" s="1"/>
  <c r="J41" i="4" s="1"/>
  <c r="H38" i="4"/>
  <c r="I38" i="4" s="1"/>
  <c r="J38" i="4" s="1"/>
  <c r="H85" i="4"/>
  <c r="I85" i="4" s="1"/>
  <c r="J85" i="4" s="1"/>
  <c r="H7" i="4"/>
  <c r="I7" i="4" s="1"/>
  <c r="J7" i="4" s="1"/>
  <c r="H10" i="4"/>
  <c r="I10" i="4" s="1"/>
  <c r="J10" i="4" s="1"/>
  <c r="H112" i="4"/>
  <c r="I112" i="4" s="1"/>
  <c r="J112" i="4" s="1"/>
  <c r="H90" i="4"/>
  <c r="I90" i="4" s="1"/>
  <c r="J90" i="4" s="1"/>
  <c r="H87" i="4"/>
  <c r="I87" i="4" s="1"/>
  <c r="J87" i="4" s="1"/>
  <c r="H42" i="4"/>
  <c r="I42" i="4" s="1"/>
  <c r="J42" i="4" s="1"/>
  <c r="H157" i="4"/>
  <c r="I157" i="4" s="1"/>
  <c r="J157" i="4" s="1"/>
  <c r="H151" i="4"/>
  <c r="I151" i="4" s="1"/>
  <c r="J151" i="4" s="1"/>
  <c r="H130" i="4"/>
  <c r="I130" i="4" s="1"/>
  <c r="J130" i="4" s="1"/>
  <c r="H115" i="4"/>
  <c r="I115" i="4" s="1"/>
  <c r="J115" i="4" s="1"/>
  <c r="H98" i="4"/>
  <c r="I98" i="4" s="1"/>
  <c r="J98" i="4" s="1"/>
  <c r="H95" i="4"/>
  <c r="I95" i="4" s="1"/>
  <c r="J95" i="4" s="1"/>
  <c r="H32" i="4"/>
  <c r="I32" i="4" s="1"/>
  <c r="J32" i="4" s="1"/>
  <c r="H20" i="4"/>
  <c r="I20" i="4" s="1"/>
  <c r="J20" i="4" s="1"/>
  <c r="H11" i="4"/>
  <c r="I11" i="4" s="1"/>
  <c r="J11" i="4" s="1"/>
  <c r="H13" i="4"/>
  <c r="I13" i="4" s="1"/>
  <c r="J13" i="4" s="1"/>
  <c r="H26" i="4"/>
  <c r="I26" i="4" s="1"/>
  <c r="J26" i="4" s="1"/>
  <c r="H92" i="4"/>
  <c r="I92" i="4" s="1"/>
  <c r="J92" i="4" s="1"/>
  <c r="H39" i="4"/>
  <c r="I39" i="4" s="1"/>
  <c r="J39" i="4" s="1"/>
  <c r="H126" i="4"/>
  <c r="I126" i="4" s="1"/>
  <c r="J126" i="4" s="1"/>
  <c r="H24" i="4"/>
  <c r="I24" i="4" s="1"/>
  <c r="J24" i="4" s="1"/>
  <c r="H138" i="4"/>
  <c r="I138" i="4" s="1"/>
  <c r="J138" i="4" s="1"/>
  <c r="H132" i="4"/>
  <c r="I132" i="4" s="1"/>
  <c r="J132" i="4" s="1"/>
  <c r="H100" i="4"/>
  <c r="I100" i="4" s="1"/>
  <c r="J100" i="4" s="1"/>
  <c r="H19" i="4"/>
  <c r="I19" i="4" s="1"/>
  <c r="J19" i="4" s="1"/>
  <c r="H117" i="4"/>
  <c r="I117" i="4" s="1"/>
  <c r="J117" i="4" s="1"/>
  <c r="H97" i="4"/>
  <c r="I97" i="4" s="1"/>
  <c r="J97" i="4" s="1"/>
  <c r="H29" i="4"/>
  <c r="I29" i="4" s="1"/>
  <c r="J29" i="4" s="1"/>
  <c r="H17" i="4"/>
  <c r="I17" i="4" s="1"/>
  <c r="J17" i="4" s="1"/>
  <c r="H31" i="4"/>
  <c r="I31" i="4" s="1"/>
  <c r="J31" i="4" s="1"/>
  <c r="H110" i="4"/>
  <c r="I110" i="4" s="1"/>
  <c r="J110" i="4" s="1"/>
  <c r="H134" i="4"/>
  <c r="I134" i="4" s="1"/>
  <c r="J134" i="4" s="1"/>
  <c r="H105" i="4"/>
  <c r="I105" i="4" s="1"/>
  <c r="J105" i="4" s="1"/>
  <c r="H35" i="4"/>
  <c r="I35" i="4" s="1"/>
  <c r="J35" i="4" s="1"/>
  <c r="H149" i="4"/>
  <c r="I149" i="4" s="1"/>
  <c r="J149" i="4" s="1"/>
  <c r="H158" i="4"/>
  <c r="I158" i="4" s="1"/>
  <c r="J158" i="4" s="1"/>
  <c r="H121" i="4"/>
  <c r="I121" i="4" s="1"/>
  <c r="J121" i="4" s="1"/>
  <c r="H107" i="4"/>
  <c r="I107" i="4" s="1"/>
  <c r="J107" i="4" s="1"/>
  <c r="H119" i="4"/>
  <c r="I119" i="4" s="1"/>
  <c r="J119" i="4" s="1"/>
  <c r="H162" i="4"/>
  <c r="I162" i="4" s="1"/>
  <c r="J162" i="4" s="1"/>
  <c r="H140" i="4"/>
  <c r="I140" i="4" s="1"/>
  <c r="J140" i="4" s="1"/>
  <c r="H125" i="4"/>
  <c r="I125" i="4" s="1"/>
  <c r="J125" i="4" s="1"/>
  <c r="H23" i="4"/>
  <c r="I23" i="4" s="1"/>
  <c r="J23" i="4" s="1"/>
  <c r="H143" i="4"/>
  <c r="I143" i="4" s="1"/>
  <c r="J143" i="4" s="1"/>
  <c r="M155" i="13"/>
  <c r="Q154" i="13"/>
  <c r="L154" i="23"/>
  <c r="G152" i="9"/>
  <c r="C153" i="9"/>
  <c r="P2" i="7"/>
  <c r="R2" i="7" s="1"/>
  <c r="L154" i="9"/>
  <c r="L16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C155" i="26"/>
  <c r="G154" i="26"/>
  <c r="M155" i="14"/>
  <c r="Q154" i="14"/>
  <c r="M157" i="8"/>
  <c r="Q156" i="8"/>
  <c r="C154" i="19"/>
  <c r="G153" i="19"/>
  <c r="B155" i="11"/>
  <c r="C155" i="21"/>
  <c r="G154" i="21"/>
  <c r="B154" i="13"/>
  <c r="B157" i="3"/>
  <c r="M154" i="25"/>
  <c r="Q153" i="25"/>
  <c r="M156" i="20"/>
  <c r="Q155" i="20"/>
  <c r="L156" i="19"/>
  <c r="B156" i="24"/>
  <c r="M156" i="3"/>
  <c r="Q155" i="3"/>
  <c r="G155" i="20"/>
  <c r="C156" i="20"/>
  <c r="L154" i="24"/>
  <c r="B153" i="17"/>
  <c r="M155" i="15"/>
  <c r="Q154" i="15"/>
  <c r="L153" i="14"/>
  <c r="B153" i="5"/>
  <c r="C154" i="23"/>
  <c r="G153" i="23"/>
  <c r="B159" i="4"/>
  <c r="C154" i="3"/>
  <c r="G153" i="3"/>
  <c r="C158" i="15"/>
  <c r="G157" i="15"/>
  <c r="C156" i="13"/>
  <c r="G155" i="13"/>
  <c r="L154" i="11"/>
  <c r="B156" i="27"/>
  <c r="L155" i="25"/>
  <c r="L155" i="17"/>
  <c r="C158" i="11"/>
  <c r="G157" i="11"/>
  <c r="B154" i="21"/>
  <c r="M160" i="21"/>
  <c r="Q159" i="21"/>
  <c r="B155" i="20"/>
  <c r="B153" i="9"/>
  <c r="B154" i="19"/>
  <c r="L154" i="21"/>
  <c r="B154" i="26"/>
  <c r="M157" i="4"/>
  <c r="Q156" i="4"/>
  <c r="L155" i="8"/>
  <c r="B159" i="23"/>
  <c r="C157" i="8"/>
  <c r="G156" i="8"/>
  <c r="L155" i="3"/>
  <c r="G162" i="25"/>
  <c r="G2" i="25"/>
  <c r="B154" i="25"/>
  <c r="G152" i="17"/>
  <c r="C153" i="17"/>
  <c r="B155" i="15"/>
  <c r="L154" i="13"/>
  <c r="B156" i="8"/>
  <c r="B154" i="7"/>
  <c r="M153" i="27"/>
  <c r="Q152" i="27"/>
  <c r="L155" i="26"/>
  <c r="M155" i="23"/>
  <c r="Q154" i="23"/>
  <c r="L155" i="15"/>
  <c r="L153" i="27"/>
  <c r="C154" i="7"/>
  <c r="G153" i="7"/>
  <c r="B154" i="14"/>
  <c r="C154" i="24"/>
  <c r="G153" i="24"/>
  <c r="Q153" i="26"/>
  <c r="M154" i="26"/>
  <c r="B158" i="3" l="1"/>
  <c r="R162" i="7"/>
  <c r="S162" i="7" s="1"/>
  <c r="T162" i="7" s="1"/>
  <c r="R155" i="7"/>
  <c r="S155" i="7" s="1"/>
  <c r="T155" i="7" s="1"/>
  <c r="R147" i="7"/>
  <c r="S147" i="7" s="1"/>
  <c r="T147" i="7" s="1"/>
  <c r="R139" i="7"/>
  <c r="S139" i="7" s="1"/>
  <c r="T139" i="7" s="1"/>
  <c r="R131" i="7"/>
  <c r="S131" i="7" s="1"/>
  <c r="T131" i="7" s="1"/>
  <c r="R123" i="7"/>
  <c r="S123" i="7" s="1"/>
  <c r="T123" i="7" s="1"/>
  <c r="R111" i="7"/>
  <c r="S111" i="7" s="1"/>
  <c r="T111" i="7" s="1"/>
  <c r="R26" i="7"/>
  <c r="S26" i="7" s="1"/>
  <c r="T26" i="7" s="1"/>
  <c r="R22" i="7"/>
  <c r="S22" i="7" s="1"/>
  <c r="T22" i="7" s="1"/>
  <c r="R12" i="7"/>
  <c r="S12" i="7" s="1"/>
  <c r="T12" i="7" s="1"/>
  <c r="R108" i="7"/>
  <c r="S108" i="7" s="1"/>
  <c r="T108" i="7" s="1"/>
  <c r="R79" i="7"/>
  <c r="S79" i="7" s="1"/>
  <c r="T79" i="7" s="1"/>
  <c r="R75" i="7"/>
  <c r="S75" i="7" s="1"/>
  <c r="T75" i="7" s="1"/>
  <c r="R71" i="7"/>
  <c r="S71" i="7" s="1"/>
  <c r="T71" i="7" s="1"/>
  <c r="R67" i="7"/>
  <c r="S67" i="7" s="1"/>
  <c r="T67" i="7" s="1"/>
  <c r="R63" i="7"/>
  <c r="S63" i="7" s="1"/>
  <c r="T63" i="7" s="1"/>
  <c r="R59" i="7"/>
  <c r="S59" i="7" s="1"/>
  <c r="T59" i="7" s="1"/>
  <c r="R55" i="7"/>
  <c r="S55" i="7" s="1"/>
  <c r="T55" i="7" s="1"/>
  <c r="R51" i="7"/>
  <c r="S51" i="7" s="1"/>
  <c r="T51" i="7" s="1"/>
  <c r="R47" i="7"/>
  <c r="S47" i="7" s="1"/>
  <c r="T47" i="7" s="1"/>
  <c r="R7" i="7"/>
  <c r="S7" i="7" s="1"/>
  <c r="T7" i="7" s="1"/>
  <c r="R158" i="7"/>
  <c r="S158" i="7" s="1"/>
  <c r="T158" i="7" s="1"/>
  <c r="R150" i="7"/>
  <c r="S150" i="7" s="1"/>
  <c r="T150" i="7" s="1"/>
  <c r="R142" i="7"/>
  <c r="S142" i="7" s="1"/>
  <c r="T142" i="7" s="1"/>
  <c r="R134" i="7"/>
  <c r="S134" i="7" s="1"/>
  <c r="T134" i="7" s="1"/>
  <c r="R126" i="7"/>
  <c r="S126" i="7" s="1"/>
  <c r="T126" i="7" s="1"/>
  <c r="R121" i="7"/>
  <c r="S121" i="7" s="1"/>
  <c r="T121" i="7" s="1"/>
  <c r="R105" i="7"/>
  <c r="S105" i="7" s="1"/>
  <c r="T105" i="7" s="1"/>
  <c r="R31" i="7"/>
  <c r="S31" i="7" s="1"/>
  <c r="T31" i="7" s="1"/>
  <c r="R118" i="7"/>
  <c r="S118" i="7" s="1"/>
  <c r="T118" i="7" s="1"/>
  <c r="R102" i="7"/>
  <c r="S102" i="7" s="1"/>
  <c r="T102" i="7" s="1"/>
  <c r="R95" i="7"/>
  <c r="S95" i="7" s="1"/>
  <c r="T95" i="7" s="1"/>
  <c r="R91" i="7"/>
  <c r="S91" i="7" s="1"/>
  <c r="T91" i="7" s="1"/>
  <c r="R87" i="7"/>
  <c r="S87" i="7" s="1"/>
  <c r="T87" i="7" s="1"/>
  <c r="R83" i="7"/>
  <c r="S83" i="7" s="1"/>
  <c r="T83" i="7" s="1"/>
  <c r="R40" i="7"/>
  <c r="S40" i="7" s="1"/>
  <c r="T40" i="7" s="1"/>
  <c r="R36" i="7"/>
  <c r="S36" i="7" s="1"/>
  <c r="T36" i="7" s="1"/>
  <c r="R32" i="7"/>
  <c r="S32" i="7" s="1"/>
  <c r="T32" i="7" s="1"/>
  <c r="R17" i="7"/>
  <c r="S17" i="7" s="1"/>
  <c r="T17" i="7" s="1"/>
  <c r="R13" i="7"/>
  <c r="S13" i="7" s="1"/>
  <c r="T13" i="7" s="1"/>
  <c r="R112" i="7"/>
  <c r="S112" i="7" s="1"/>
  <c r="T112" i="7" s="1"/>
  <c r="R80" i="7"/>
  <c r="S80" i="7" s="1"/>
  <c r="T80" i="7" s="1"/>
  <c r="R76" i="7"/>
  <c r="S76" i="7" s="1"/>
  <c r="T76" i="7" s="1"/>
  <c r="R72" i="7"/>
  <c r="S72" i="7" s="1"/>
  <c r="T72" i="7" s="1"/>
  <c r="R68" i="7"/>
  <c r="S68" i="7" s="1"/>
  <c r="T68" i="7" s="1"/>
  <c r="R64" i="7"/>
  <c r="S64" i="7" s="1"/>
  <c r="T64" i="7" s="1"/>
  <c r="R60" i="7"/>
  <c r="S60" i="7" s="1"/>
  <c r="T60" i="7" s="1"/>
  <c r="R56" i="7"/>
  <c r="S56" i="7" s="1"/>
  <c r="T56" i="7" s="1"/>
  <c r="R52" i="7"/>
  <c r="S52" i="7" s="1"/>
  <c r="T52" i="7" s="1"/>
  <c r="R48" i="7"/>
  <c r="S48" i="7" s="1"/>
  <c r="T48" i="7" s="1"/>
  <c r="R44" i="7"/>
  <c r="S44" i="7" s="1"/>
  <c r="T44" i="7" s="1"/>
  <c r="R18" i="7"/>
  <c r="S18" i="7" s="1"/>
  <c r="T18" i="7" s="1"/>
  <c r="R106" i="7"/>
  <c r="S106" i="7" s="1"/>
  <c r="T106" i="7" s="1"/>
  <c r="R96" i="7"/>
  <c r="S96" i="7" s="1"/>
  <c r="T96" i="7" s="1"/>
  <c r="R92" i="7"/>
  <c r="S92" i="7" s="1"/>
  <c r="T92" i="7" s="1"/>
  <c r="R88" i="7"/>
  <c r="S88" i="7" s="1"/>
  <c r="T88" i="7" s="1"/>
  <c r="R84" i="7"/>
  <c r="S84" i="7" s="1"/>
  <c r="T84" i="7" s="1"/>
  <c r="R41" i="7"/>
  <c r="S41" i="7" s="1"/>
  <c r="T41" i="7" s="1"/>
  <c r="R37" i="7"/>
  <c r="S37" i="7" s="1"/>
  <c r="T37" i="7" s="1"/>
  <c r="R33" i="7"/>
  <c r="S33" i="7" s="1"/>
  <c r="T33" i="7" s="1"/>
  <c r="R14" i="7"/>
  <c r="S14" i="7" s="1"/>
  <c r="T14" i="7" s="1"/>
  <c r="R9" i="7"/>
  <c r="S9" i="7" s="1"/>
  <c r="T9" i="7" s="1"/>
  <c r="R157" i="7"/>
  <c r="S157" i="7" s="1"/>
  <c r="T157" i="7" s="1"/>
  <c r="R141" i="7"/>
  <c r="S141" i="7" s="1"/>
  <c r="T141" i="7" s="1"/>
  <c r="R125" i="7"/>
  <c r="S125" i="7" s="1"/>
  <c r="T125" i="7" s="1"/>
  <c r="R99" i="7"/>
  <c r="S99" i="7" s="1"/>
  <c r="T99" i="7" s="1"/>
  <c r="R97" i="7"/>
  <c r="S97" i="7" s="1"/>
  <c r="T97" i="7" s="1"/>
  <c r="R62" i="7"/>
  <c r="S62" i="7" s="1"/>
  <c r="T62" i="7" s="1"/>
  <c r="R25" i="7"/>
  <c r="S25" i="7" s="1"/>
  <c r="T25" i="7" s="1"/>
  <c r="R159" i="7"/>
  <c r="S159" i="7" s="1"/>
  <c r="T159" i="7" s="1"/>
  <c r="R143" i="7"/>
  <c r="S143" i="7" s="1"/>
  <c r="T143" i="7" s="1"/>
  <c r="R127" i="7"/>
  <c r="S127" i="7" s="1"/>
  <c r="T127" i="7" s="1"/>
  <c r="R93" i="7"/>
  <c r="S93" i="7" s="1"/>
  <c r="T93" i="7" s="1"/>
  <c r="R81" i="7"/>
  <c r="S81" i="7" s="1"/>
  <c r="T81" i="7" s="1"/>
  <c r="R58" i="7"/>
  <c r="S58" i="7" s="1"/>
  <c r="T58" i="7" s="1"/>
  <c r="R10" i="7"/>
  <c r="S10" i="7" s="1"/>
  <c r="T10" i="7" s="1"/>
  <c r="R120" i="7"/>
  <c r="S120" i="7" s="1"/>
  <c r="T120" i="7" s="1"/>
  <c r="R103" i="7"/>
  <c r="S103" i="7" s="1"/>
  <c r="T103" i="7" s="1"/>
  <c r="R89" i="7"/>
  <c r="S89" i="7" s="1"/>
  <c r="T89" i="7" s="1"/>
  <c r="R77" i="7"/>
  <c r="S77" i="7" s="1"/>
  <c r="T77" i="7" s="1"/>
  <c r="R54" i="7"/>
  <c r="S54" i="7" s="1"/>
  <c r="T54" i="7" s="1"/>
  <c r="R21" i="7"/>
  <c r="S21" i="7" s="1"/>
  <c r="T21" i="7" s="1"/>
  <c r="R19" i="7"/>
  <c r="S19" i="7" s="1"/>
  <c r="T19" i="7" s="1"/>
  <c r="R8" i="7"/>
  <c r="S8" i="7" s="1"/>
  <c r="T8" i="7" s="1"/>
  <c r="R161" i="7"/>
  <c r="S161" i="7" s="1"/>
  <c r="T161" i="7" s="1"/>
  <c r="R152" i="7"/>
  <c r="S152" i="7" s="1"/>
  <c r="T152" i="7" s="1"/>
  <c r="R145" i="7"/>
  <c r="S145" i="7" s="1"/>
  <c r="T145" i="7" s="1"/>
  <c r="R136" i="7"/>
  <c r="S136" i="7" s="1"/>
  <c r="T136" i="7" s="1"/>
  <c r="R129" i="7"/>
  <c r="S129" i="7" s="1"/>
  <c r="T129" i="7" s="1"/>
  <c r="R101" i="7"/>
  <c r="S101" i="7" s="1"/>
  <c r="T101" i="7" s="1"/>
  <c r="R85" i="7"/>
  <c r="S85" i="7" s="1"/>
  <c r="T85" i="7" s="1"/>
  <c r="R73" i="7"/>
  <c r="S73" i="7" s="1"/>
  <c r="T73" i="7" s="1"/>
  <c r="R50" i="7"/>
  <c r="S50" i="7" s="1"/>
  <c r="T50" i="7" s="1"/>
  <c r="R42" i="7"/>
  <c r="S42" i="7" s="1"/>
  <c r="T42" i="7" s="1"/>
  <c r="R38" i="7"/>
  <c r="S38" i="7" s="1"/>
  <c r="T38" i="7" s="1"/>
  <c r="R34" i="7"/>
  <c r="S34" i="7" s="1"/>
  <c r="T34" i="7" s="1"/>
  <c r="R69" i="7"/>
  <c r="S69" i="7" s="1"/>
  <c r="T69" i="7" s="1"/>
  <c r="R46" i="7"/>
  <c r="S46" i="7" s="1"/>
  <c r="T46" i="7" s="1"/>
  <c r="R154" i="7"/>
  <c r="S154" i="7" s="1"/>
  <c r="T154" i="7" s="1"/>
  <c r="R138" i="7"/>
  <c r="S138" i="7" s="1"/>
  <c r="T138" i="7" s="1"/>
  <c r="R122" i="7"/>
  <c r="S122" i="7" s="1"/>
  <c r="T122" i="7" s="1"/>
  <c r="R109" i="7"/>
  <c r="S109" i="7" s="1"/>
  <c r="T109" i="7" s="1"/>
  <c r="R65" i="7"/>
  <c r="S65" i="7" s="1"/>
  <c r="T65" i="7" s="1"/>
  <c r="R30" i="7"/>
  <c r="S30" i="7" s="1"/>
  <c r="T30" i="7" s="1"/>
  <c r="R156" i="7"/>
  <c r="S156" i="7" s="1"/>
  <c r="T156" i="7" s="1"/>
  <c r="R140" i="7"/>
  <c r="S140" i="7" s="1"/>
  <c r="T140" i="7" s="1"/>
  <c r="R124" i="7"/>
  <c r="S124" i="7" s="1"/>
  <c r="T124" i="7" s="1"/>
  <c r="R115" i="7"/>
  <c r="S115" i="7" s="1"/>
  <c r="T115" i="7" s="1"/>
  <c r="R113" i="7"/>
  <c r="S113" i="7" s="1"/>
  <c r="T113" i="7" s="1"/>
  <c r="R107" i="7"/>
  <c r="S107" i="7" s="1"/>
  <c r="T107" i="7" s="1"/>
  <c r="R61" i="7"/>
  <c r="S61" i="7" s="1"/>
  <c r="T61" i="7" s="1"/>
  <c r="R28" i="7"/>
  <c r="S28" i="7" s="1"/>
  <c r="T28" i="7" s="1"/>
  <c r="R57" i="7"/>
  <c r="S57" i="7" s="1"/>
  <c r="T57" i="7" s="1"/>
  <c r="R24" i="7"/>
  <c r="S24" i="7" s="1"/>
  <c r="T24" i="7" s="1"/>
  <c r="R15" i="7"/>
  <c r="S15" i="7" s="1"/>
  <c r="T15" i="7" s="1"/>
  <c r="R110" i="7"/>
  <c r="S110" i="7" s="1"/>
  <c r="T110" i="7" s="1"/>
  <c r="R49" i="7"/>
  <c r="S49" i="7" s="1"/>
  <c r="T49" i="7" s="1"/>
  <c r="R16" i="7"/>
  <c r="S16" i="7" s="1"/>
  <c r="T16" i="7" s="1"/>
  <c r="R90" i="7"/>
  <c r="S90" i="7" s="1"/>
  <c r="T90" i="7" s="1"/>
  <c r="R43" i="7"/>
  <c r="S43" i="7" s="1"/>
  <c r="T43" i="7" s="1"/>
  <c r="R148" i="7"/>
  <c r="S148" i="7" s="1"/>
  <c r="T148" i="7" s="1"/>
  <c r="R119" i="7"/>
  <c r="S119" i="7" s="1"/>
  <c r="T119" i="7" s="1"/>
  <c r="R74" i="7"/>
  <c r="S74" i="7" s="1"/>
  <c r="T74" i="7" s="1"/>
  <c r="R144" i="7"/>
  <c r="S144" i="7" s="1"/>
  <c r="T144" i="7" s="1"/>
  <c r="R133" i="7"/>
  <c r="S133" i="7" s="1"/>
  <c r="T133" i="7" s="1"/>
  <c r="R45" i="7"/>
  <c r="S45" i="7" s="1"/>
  <c r="T45" i="7" s="1"/>
  <c r="R39" i="7"/>
  <c r="S39" i="7" s="1"/>
  <c r="T39" i="7" s="1"/>
  <c r="R98" i="7"/>
  <c r="S98" i="7" s="1"/>
  <c r="T98" i="7" s="1"/>
  <c r="R86" i="7"/>
  <c r="S86" i="7" s="1"/>
  <c r="T86" i="7" s="1"/>
  <c r="R70" i="7"/>
  <c r="S70" i="7" s="1"/>
  <c r="T70" i="7" s="1"/>
  <c r="R23" i="7"/>
  <c r="S23" i="7" s="1"/>
  <c r="T23" i="7" s="1"/>
  <c r="R20" i="7"/>
  <c r="S20" i="7" s="1"/>
  <c r="T20" i="7" s="1"/>
  <c r="R153" i="7"/>
  <c r="S153" i="7" s="1"/>
  <c r="T153" i="7" s="1"/>
  <c r="R6" i="7"/>
  <c r="S6" i="7" s="1"/>
  <c r="T6" i="7" s="1"/>
  <c r="R128" i="7"/>
  <c r="S128" i="7" s="1"/>
  <c r="T128" i="7" s="1"/>
  <c r="R78" i="7"/>
  <c r="S78" i="7" s="1"/>
  <c r="T78" i="7" s="1"/>
  <c r="R66" i="7"/>
  <c r="S66" i="7" s="1"/>
  <c r="T66" i="7" s="1"/>
  <c r="R137" i="7"/>
  <c r="S137" i="7" s="1"/>
  <c r="T137" i="7" s="1"/>
  <c r="R132" i="7"/>
  <c r="S132" i="7" s="1"/>
  <c r="T132" i="7" s="1"/>
  <c r="R100" i="7"/>
  <c r="S100" i="7" s="1"/>
  <c r="T100" i="7" s="1"/>
  <c r="R82" i="7"/>
  <c r="S82" i="7" s="1"/>
  <c r="T82" i="7" s="1"/>
  <c r="R114" i="7"/>
  <c r="S114" i="7" s="1"/>
  <c r="T114" i="7" s="1"/>
  <c r="R151" i="7"/>
  <c r="S151" i="7" s="1"/>
  <c r="T151" i="7" s="1"/>
  <c r="R117" i="7"/>
  <c r="S117" i="7" s="1"/>
  <c r="T117" i="7" s="1"/>
  <c r="R104" i="7"/>
  <c r="S104" i="7" s="1"/>
  <c r="T104" i="7" s="1"/>
  <c r="R29" i="7"/>
  <c r="S29" i="7" s="1"/>
  <c r="T29" i="7" s="1"/>
  <c r="R146" i="7"/>
  <c r="S146" i="7" s="1"/>
  <c r="T146" i="7" s="1"/>
  <c r="R149" i="7"/>
  <c r="S149" i="7" s="1"/>
  <c r="T149" i="7" s="1"/>
  <c r="R27" i="7"/>
  <c r="S27" i="7" s="1"/>
  <c r="T27" i="7" s="1"/>
  <c r="R94" i="7"/>
  <c r="S94" i="7" s="1"/>
  <c r="T94" i="7" s="1"/>
  <c r="R130" i="7"/>
  <c r="S130" i="7" s="1"/>
  <c r="T130" i="7" s="1"/>
  <c r="R53" i="7"/>
  <c r="S53" i="7" s="1"/>
  <c r="T53" i="7" s="1"/>
  <c r="R160" i="7"/>
  <c r="S160" i="7" s="1"/>
  <c r="T160" i="7" s="1"/>
  <c r="R135" i="7"/>
  <c r="S135" i="7" s="1"/>
  <c r="T135" i="7" s="1"/>
  <c r="R11" i="7"/>
  <c r="S11" i="7" s="1"/>
  <c r="T11" i="7" s="1"/>
  <c r="R116" i="7"/>
  <c r="S116" i="7" s="1"/>
  <c r="T116" i="7" s="1"/>
  <c r="R35" i="7"/>
  <c r="S35" i="7" s="1"/>
  <c r="T35" i="7" s="1"/>
  <c r="B157" i="8"/>
  <c r="B155" i="14"/>
  <c r="C157" i="13"/>
  <c r="G156" i="13"/>
  <c r="Q156" i="3"/>
  <c r="M157" i="3"/>
  <c r="B155" i="26"/>
  <c r="L155" i="4"/>
  <c r="B155" i="21"/>
  <c r="C155" i="7"/>
  <c r="G154" i="7"/>
  <c r="B156" i="20"/>
  <c r="C155" i="3"/>
  <c r="G154" i="3"/>
  <c r="B155" i="13"/>
  <c r="B160" i="23"/>
  <c r="M155" i="26"/>
  <c r="Q154" i="26"/>
  <c r="B155" i="25"/>
  <c r="B160" i="4"/>
  <c r="L157" i="20"/>
  <c r="M161" i="21"/>
  <c r="Q160" i="21"/>
  <c r="B157" i="24"/>
  <c r="M158" i="8"/>
  <c r="Q157" i="8"/>
  <c r="L156" i="8"/>
  <c r="C155" i="24"/>
  <c r="G154" i="24"/>
  <c r="L156" i="15"/>
  <c r="B155" i="7"/>
  <c r="C159" i="15"/>
  <c r="G158" i="15"/>
  <c r="M158" i="4"/>
  <c r="Q157" i="4"/>
  <c r="C155" i="23"/>
  <c r="G154" i="23"/>
  <c r="L155" i="24"/>
  <c r="C154" i="9"/>
  <c r="G153" i="9"/>
  <c r="F2" i="25"/>
  <c r="H2" i="25" s="1"/>
  <c r="B157" i="27"/>
  <c r="B154" i="5"/>
  <c r="C156" i="21"/>
  <c r="G155" i="21"/>
  <c r="L155" i="23"/>
  <c r="L155" i="21"/>
  <c r="L155" i="11"/>
  <c r="L157" i="19"/>
  <c r="B156" i="11"/>
  <c r="L155" i="9"/>
  <c r="M154" i="17"/>
  <c r="Q153" i="17"/>
  <c r="L154" i="27"/>
  <c r="M156" i="23"/>
  <c r="Q155" i="23"/>
  <c r="L154" i="14"/>
  <c r="Q155" i="14"/>
  <c r="M156" i="14"/>
  <c r="L156" i="3"/>
  <c r="C159" i="11"/>
  <c r="G158" i="11"/>
  <c r="L156" i="26"/>
  <c r="L155" i="13"/>
  <c r="L156" i="17"/>
  <c r="Q156" i="20"/>
  <c r="M157" i="20"/>
  <c r="M156" i="13"/>
  <c r="Q155" i="13"/>
  <c r="C154" i="5"/>
  <c r="G153" i="5"/>
  <c r="M156" i="15"/>
  <c r="Q155" i="15"/>
  <c r="C155" i="19"/>
  <c r="G154" i="19"/>
  <c r="M155" i="19"/>
  <c r="Q154" i="19"/>
  <c r="M154" i="27"/>
  <c r="Q153" i="27"/>
  <c r="C158" i="8"/>
  <c r="G157" i="8"/>
  <c r="B154" i="17"/>
  <c r="M155" i="25"/>
  <c r="Q154" i="25"/>
  <c r="B155" i="19"/>
  <c r="B156" i="15"/>
  <c r="L156" i="25"/>
  <c r="G153" i="17"/>
  <c r="C154" i="17"/>
  <c r="B154" i="9"/>
  <c r="C157" i="20"/>
  <c r="G156" i="20"/>
  <c r="C156" i="26"/>
  <c r="G155" i="26"/>
  <c r="I2" i="4"/>
  <c r="J2" i="4" s="1"/>
  <c r="P2" i="9"/>
  <c r="R2" i="9" s="1"/>
  <c r="L155" i="7"/>
  <c r="L158" i="20" l="1"/>
  <c r="C160" i="11"/>
  <c r="G159" i="11"/>
  <c r="M157" i="23"/>
  <c r="Q156" i="23"/>
  <c r="L156" i="21"/>
  <c r="M159" i="4"/>
  <c r="Q158" i="4"/>
  <c r="L157" i="8"/>
  <c r="L157" i="3"/>
  <c r="L155" i="27"/>
  <c r="B158" i="27"/>
  <c r="C156" i="3"/>
  <c r="G155" i="3"/>
  <c r="M155" i="27"/>
  <c r="Q154" i="27"/>
  <c r="M155" i="17"/>
  <c r="Q154" i="17"/>
  <c r="M159" i="8"/>
  <c r="Q158" i="8"/>
  <c r="B157" i="20"/>
  <c r="B161" i="4"/>
  <c r="A160" i="4"/>
  <c r="B156" i="26"/>
  <c r="B158" i="8"/>
  <c r="L156" i="23"/>
  <c r="L156" i="9"/>
  <c r="C155" i="9"/>
  <c r="G154" i="9"/>
  <c r="C160" i="15"/>
  <c r="G159" i="15"/>
  <c r="C156" i="7"/>
  <c r="G155" i="7"/>
  <c r="B159" i="3"/>
  <c r="B156" i="14"/>
  <c r="M156" i="19"/>
  <c r="Q155" i="19"/>
  <c r="B155" i="9"/>
  <c r="B156" i="19"/>
  <c r="G154" i="17"/>
  <c r="C155" i="17"/>
  <c r="G156" i="21"/>
  <c r="C157" i="21"/>
  <c r="B158" i="24"/>
  <c r="B155" i="5"/>
  <c r="M156" i="26"/>
  <c r="Q155" i="26"/>
  <c r="C155" i="5"/>
  <c r="G154" i="5"/>
  <c r="L156" i="7"/>
  <c r="G155" i="19"/>
  <c r="C156" i="19"/>
  <c r="B157" i="11"/>
  <c r="B156" i="7"/>
  <c r="M158" i="3"/>
  <c r="Q157" i="3"/>
  <c r="L157" i="25"/>
  <c r="H161" i="25"/>
  <c r="I161" i="25" s="1"/>
  <c r="J161" i="25" s="1"/>
  <c r="H155" i="25"/>
  <c r="I155" i="25" s="1"/>
  <c r="J155" i="25" s="1"/>
  <c r="H139" i="25"/>
  <c r="I139" i="25" s="1"/>
  <c r="J139" i="25" s="1"/>
  <c r="H156" i="25"/>
  <c r="I156" i="25" s="1"/>
  <c r="J156" i="25" s="1"/>
  <c r="H140" i="25"/>
  <c r="I140" i="25" s="1"/>
  <c r="J140" i="25" s="1"/>
  <c r="H159" i="25"/>
  <c r="I159" i="25" s="1"/>
  <c r="J159" i="25" s="1"/>
  <c r="H147" i="25"/>
  <c r="I147" i="25" s="1"/>
  <c r="J147" i="25" s="1"/>
  <c r="H141" i="25"/>
  <c r="I141" i="25" s="1"/>
  <c r="J141" i="25" s="1"/>
  <c r="H116" i="25"/>
  <c r="I116" i="25" s="1"/>
  <c r="J116" i="25" s="1"/>
  <c r="H100" i="25"/>
  <c r="I100" i="25" s="1"/>
  <c r="J100" i="25" s="1"/>
  <c r="H117" i="25"/>
  <c r="I117" i="25" s="1"/>
  <c r="J117" i="25" s="1"/>
  <c r="H101" i="25"/>
  <c r="I101" i="25" s="1"/>
  <c r="J101" i="25" s="1"/>
  <c r="H21" i="25"/>
  <c r="I21" i="25" s="1"/>
  <c r="J21" i="25" s="1"/>
  <c r="H160" i="25"/>
  <c r="I160" i="25" s="1"/>
  <c r="J160" i="25" s="1"/>
  <c r="H137" i="25"/>
  <c r="I137" i="25" s="1"/>
  <c r="J137" i="25" s="1"/>
  <c r="H123" i="25"/>
  <c r="I123" i="25" s="1"/>
  <c r="J123" i="25" s="1"/>
  <c r="H108" i="25"/>
  <c r="I108" i="25" s="1"/>
  <c r="J108" i="25" s="1"/>
  <c r="H134" i="25"/>
  <c r="I134" i="25" s="1"/>
  <c r="J134" i="25" s="1"/>
  <c r="H88" i="25"/>
  <c r="I88" i="25" s="1"/>
  <c r="J88" i="25" s="1"/>
  <c r="H80" i="25"/>
  <c r="I80" i="25" s="1"/>
  <c r="J80" i="25" s="1"/>
  <c r="H64" i="25"/>
  <c r="I64" i="25" s="1"/>
  <c r="J64" i="25" s="1"/>
  <c r="H154" i="25"/>
  <c r="I154" i="25" s="1"/>
  <c r="J154" i="25" s="1"/>
  <c r="H144" i="25"/>
  <c r="I144" i="25" s="1"/>
  <c r="J144" i="25" s="1"/>
  <c r="H131" i="25"/>
  <c r="I131" i="25" s="1"/>
  <c r="J131" i="25" s="1"/>
  <c r="H119" i="25"/>
  <c r="I119" i="25" s="1"/>
  <c r="J119" i="25" s="1"/>
  <c r="H114" i="25"/>
  <c r="I114" i="25" s="1"/>
  <c r="J114" i="25" s="1"/>
  <c r="H89" i="25"/>
  <c r="I89" i="25" s="1"/>
  <c r="J89" i="25" s="1"/>
  <c r="H157" i="25"/>
  <c r="I157" i="25" s="1"/>
  <c r="J157" i="25" s="1"/>
  <c r="H110" i="25"/>
  <c r="I110" i="25" s="1"/>
  <c r="J110" i="25" s="1"/>
  <c r="H105" i="25"/>
  <c r="I105" i="25" s="1"/>
  <c r="J105" i="25" s="1"/>
  <c r="H90" i="25"/>
  <c r="I90" i="25" s="1"/>
  <c r="J90" i="25" s="1"/>
  <c r="H70" i="25"/>
  <c r="I70" i="25" s="1"/>
  <c r="J70" i="25" s="1"/>
  <c r="H54" i="25"/>
  <c r="I54" i="25" s="1"/>
  <c r="J54" i="25" s="1"/>
  <c r="H32" i="25"/>
  <c r="I32" i="25" s="1"/>
  <c r="J32" i="25" s="1"/>
  <c r="H26" i="25"/>
  <c r="I26" i="25" s="1"/>
  <c r="J26" i="25" s="1"/>
  <c r="H151" i="25"/>
  <c r="I151" i="25" s="1"/>
  <c r="J151" i="25" s="1"/>
  <c r="H148" i="25"/>
  <c r="I148" i="25" s="1"/>
  <c r="J148" i="25" s="1"/>
  <c r="H128" i="25"/>
  <c r="I128" i="25" s="1"/>
  <c r="J128" i="25" s="1"/>
  <c r="H124" i="25"/>
  <c r="I124" i="25" s="1"/>
  <c r="J124" i="25" s="1"/>
  <c r="H115" i="25"/>
  <c r="I115" i="25" s="1"/>
  <c r="J115" i="25" s="1"/>
  <c r="H91" i="25"/>
  <c r="I91" i="25" s="1"/>
  <c r="J91" i="25" s="1"/>
  <c r="H81" i="25"/>
  <c r="I81" i="25" s="1"/>
  <c r="J81" i="25" s="1"/>
  <c r="H65" i="25"/>
  <c r="I65" i="25" s="1"/>
  <c r="J65" i="25" s="1"/>
  <c r="H49" i="25"/>
  <c r="I49" i="25" s="1"/>
  <c r="J49" i="25" s="1"/>
  <c r="H44" i="25"/>
  <c r="I44" i="25" s="1"/>
  <c r="J44" i="25" s="1"/>
  <c r="H39" i="25"/>
  <c r="I39" i="25" s="1"/>
  <c r="J39" i="25" s="1"/>
  <c r="H33" i="25"/>
  <c r="I33" i="25" s="1"/>
  <c r="J33" i="25" s="1"/>
  <c r="H27" i="25"/>
  <c r="I27" i="25" s="1"/>
  <c r="J27" i="25" s="1"/>
  <c r="H162" i="25"/>
  <c r="I162" i="25" s="1"/>
  <c r="J162" i="25" s="1"/>
  <c r="H138" i="25"/>
  <c r="I138" i="25" s="1"/>
  <c r="J138" i="25" s="1"/>
  <c r="H135" i="25"/>
  <c r="I135" i="25" s="1"/>
  <c r="J135" i="25" s="1"/>
  <c r="H92" i="25"/>
  <c r="I92" i="25" s="1"/>
  <c r="J92" i="25" s="1"/>
  <c r="H132" i="25"/>
  <c r="I132" i="25" s="1"/>
  <c r="J132" i="25" s="1"/>
  <c r="H120" i="25"/>
  <c r="I120" i="25" s="1"/>
  <c r="J120" i="25" s="1"/>
  <c r="H106" i="25"/>
  <c r="I106" i="25" s="1"/>
  <c r="J106" i="25" s="1"/>
  <c r="H93" i="25"/>
  <c r="I93" i="25" s="1"/>
  <c r="J93" i="25" s="1"/>
  <c r="H136" i="25"/>
  <c r="I136" i="25" s="1"/>
  <c r="J136" i="25" s="1"/>
  <c r="H112" i="25"/>
  <c r="I112" i="25" s="1"/>
  <c r="J112" i="25" s="1"/>
  <c r="H103" i="25"/>
  <c r="I103" i="25" s="1"/>
  <c r="J103" i="25" s="1"/>
  <c r="H98" i="25"/>
  <c r="I98" i="25" s="1"/>
  <c r="J98" i="25" s="1"/>
  <c r="H83" i="25"/>
  <c r="I83" i="25" s="1"/>
  <c r="J83" i="25" s="1"/>
  <c r="H78" i="25"/>
  <c r="I78" i="25" s="1"/>
  <c r="J78" i="25" s="1"/>
  <c r="H62" i="25"/>
  <c r="I62" i="25" s="1"/>
  <c r="J62" i="25" s="1"/>
  <c r="H46" i="25"/>
  <c r="I46" i="25" s="1"/>
  <c r="J46" i="25" s="1"/>
  <c r="H36" i="25"/>
  <c r="I36" i="25" s="1"/>
  <c r="J36" i="25" s="1"/>
  <c r="H16" i="25"/>
  <c r="I16" i="25" s="1"/>
  <c r="J16" i="25" s="1"/>
  <c r="H150" i="25"/>
  <c r="I150" i="25" s="1"/>
  <c r="J150" i="25" s="1"/>
  <c r="H113" i="25"/>
  <c r="I113" i="25" s="1"/>
  <c r="J113" i="25" s="1"/>
  <c r="H109" i="25"/>
  <c r="I109" i="25" s="1"/>
  <c r="J109" i="25" s="1"/>
  <c r="H104" i="25"/>
  <c r="I104" i="25" s="1"/>
  <c r="J104" i="25" s="1"/>
  <c r="H35" i="25"/>
  <c r="I35" i="25" s="1"/>
  <c r="J35" i="25" s="1"/>
  <c r="H25" i="25"/>
  <c r="I25" i="25" s="1"/>
  <c r="J25" i="25" s="1"/>
  <c r="H20" i="25"/>
  <c r="I20" i="25" s="1"/>
  <c r="J20" i="25" s="1"/>
  <c r="H10" i="25"/>
  <c r="I10" i="25" s="1"/>
  <c r="J10" i="25" s="1"/>
  <c r="H152" i="25"/>
  <c r="I152" i="25" s="1"/>
  <c r="J152" i="25" s="1"/>
  <c r="H122" i="25"/>
  <c r="I122" i="25" s="1"/>
  <c r="J122" i="25" s="1"/>
  <c r="H102" i="25"/>
  <c r="I102" i="25" s="1"/>
  <c r="J102" i="25" s="1"/>
  <c r="H79" i="25"/>
  <c r="I79" i="25" s="1"/>
  <c r="J79" i="25" s="1"/>
  <c r="H82" i="25"/>
  <c r="I82" i="25" s="1"/>
  <c r="J82" i="25" s="1"/>
  <c r="H60" i="25"/>
  <c r="I60" i="25" s="1"/>
  <c r="J60" i="25" s="1"/>
  <c r="H57" i="25"/>
  <c r="I57" i="25" s="1"/>
  <c r="J57" i="25" s="1"/>
  <c r="H31" i="25"/>
  <c r="I31" i="25" s="1"/>
  <c r="J31" i="25" s="1"/>
  <c r="H126" i="25"/>
  <c r="I126" i="25" s="1"/>
  <c r="J126" i="25" s="1"/>
  <c r="H68" i="25"/>
  <c r="I68" i="25" s="1"/>
  <c r="J68" i="25" s="1"/>
  <c r="H11" i="25"/>
  <c r="I11" i="25" s="1"/>
  <c r="J11" i="25" s="1"/>
  <c r="H149" i="25"/>
  <c r="I149" i="25" s="1"/>
  <c r="J149" i="25" s="1"/>
  <c r="H85" i="25"/>
  <c r="I85" i="25" s="1"/>
  <c r="J85" i="25" s="1"/>
  <c r="H74" i="25"/>
  <c r="I74" i="25" s="1"/>
  <c r="J74" i="25" s="1"/>
  <c r="H71" i="25"/>
  <c r="I71" i="25" s="1"/>
  <c r="J71" i="25" s="1"/>
  <c r="H51" i="25"/>
  <c r="I51" i="25" s="1"/>
  <c r="J51" i="25" s="1"/>
  <c r="H48" i="25"/>
  <c r="I48" i="25" s="1"/>
  <c r="J48" i="25" s="1"/>
  <c r="H42" i="25"/>
  <c r="I42" i="25" s="1"/>
  <c r="J42" i="25" s="1"/>
  <c r="H96" i="25"/>
  <c r="I96" i="25" s="1"/>
  <c r="J96" i="25" s="1"/>
  <c r="H77" i="25"/>
  <c r="I77" i="25" s="1"/>
  <c r="J77" i="25" s="1"/>
  <c r="H63" i="25"/>
  <c r="I63" i="25" s="1"/>
  <c r="J63" i="25" s="1"/>
  <c r="H45" i="25"/>
  <c r="I45" i="25" s="1"/>
  <c r="J45" i="25" s="1"/>
  <c r="H99" i="25"/>
  <c r="I99" i="25" s="1"/>
  <c r="J99" i="25" s="1"/>
  <c r="H69" i="25"/>
  <c r="I69" i="25" s="1"/>
  <c r="J69" i="25" s="1"/>
  <c r="H43" i="25"/>
  <c r="I43" i="25" s="1"/>
  <c r="J43" i="25" s="1"/>
  <c r="H37" i="25"/>
  <c r="I37" i="25" s="1"/>
  <c r="J37" i="25" s="1"/>
  <c r="H34" i="25"/>
  <c r="I34" i="25" s="1"/>
  <c r="J34" i="25" s="1"/>
  <c r="H23" i="25"/>
  <c r="I23" i="25" s="1"/>
  <c r="J23" i="25" s="1"/>
  <c r="H8" i="25"/>
  <c r="I8" i="25" s="1"/>
  <c r="J8" i="25" s="1"/>
  <c r="H127" i="25"/>
  <c r="I127" i="25" s="1"/>
  <c r="J127" i="25" s="1"/>
  <c r="H107" i="25"/>
  <c r="I107" i="25" s="1"/>
  <c r="J107" i="25" s="1"/>
  <c r="H87" i="25"/>
  <c r="I87" i="25" s="1"/>
  <c r="J87" i="25" s="1"/>
  <c r="H158" i="25"/>
  <c r="I158" i="25" s="1"/>
  <c r="J158" i="25" s="1"/>
  <c r="H129" i="25"/>
  <c r="I129" i="25" s="1"/>
  <c r="J129" i="25" s="1"/>
  <c r="H118" i="25"/>
  <c r="I118" i="25" s="1"/>
  <c r="J118" i="25" s="1"/>
  <c r="H76" i="25"/>
  <c r="I76" i="25" s="1"/>
  <c r="J76" i="25" s="1"/>
  <c r="H73" i="25"/>
  <c r="I73" i="25" s="1"/>
  <c r="J73" i="25" s="1"/>
  <c r="H50" i="25"/>
  <c r="I50" i="25" s="1"/>
  <c r="J50" i="25" s="1"/>
  <c r="H41" i="25"/>
  <c r="I41" i="25" s="1"/>
  <c r="J41" i="25" s="1"/>
  <c r="H19" i="25"/>
  <c r="I19" i="25" s="1"/>
  <c r="J19" i="25" s="1"/>
  <c r="H14" i="25"/>
  <c r="I14" i="25" s="1"/>
  <c r="J14" i="25" s="1"/>
  <c r="H143" i="25"/>
  <c r="I143" i="25" s="1"/>
  <c r="J143" i="25" s="1"/>
  <c r="H84" i="25"/>
  <c r="I84" i="25" s="1"/>
  <c r="J84" i="25" s="1"/>
  <c r="H55" i="25"/>
  <c r="I55" i="25" s="1"/>
  <c r="J55" i="25" s="1"/>
  <c r="H53" i="25"/>
  <c r="I53" i="25" s="1"/>
  <c r="J53" i="25" s="1"/>
  <c r="H17" i="25"/>
  <c r="I17" i="25" s="1"/>
  <c r="J17" i="25" s="1"/>
  <c r="H6" i="25"/>
  <c r="I6" i="25" s="1"/>
  <c r="J6" i="25" s="1"/>
  <c r="H95" i="25"/>
  <c r="I95" i="25" s="1"/>
  <c r="J95" i="25" s="1"/>
  <c r="H22" i="25"/>
  <c r="I22" i="25" s="1"/>
  <c r="J22" i="25" s="1"/>
  <c r="H75" i="25"/>
  <c r="I75" i="25" s="1"/>
  <c r="J75" i="25" s="1"/>
  <c r="H29" i="25"/>
  <c r="I29" i="25" s="1"/>
  <c r="J29" i="25" s="1"/>
  <c r="H24" i="25"/>
  <c r="I24" i="25" s="1"/>
  <c r="J24" i="25" s="1"/>
  <c r="H9" i="25"/>
  <c r="I9" i="25" s="1"/>
  <c r="J9" i="25" s="1"/>
  <c r="H142" i="25"/>
  <c r="I142" i="25" s="1"/>
  <c r="J142" i="25" s="1"/>
  <c r="H130" i="25"/>
  <c r="I130" i="25" s="1"/>
  <c r="J130" i="25" s="1"/>
  <c r="H86" i="25"/>
  <c r="I86" i="25" s="1"/>
  <c r="J86" i="25" s="1"/>
  <c r="H38" i="25"/>
  <c r="I38" i="25" s="1"/>
  <c r="J38" i="25" s="1"/>
  <c r="H125" i="25"/>
  <c r="I125" i="25" s="1"/>
  <c r="J125" i="25" s="1"/>
  <c r="H72" i="25"/>
  <c r="I72" i="25" s="1"/>
  <c r="J72" i="25" s="1"/>
  <c r="H18" i="25"/>
  <c r="I18" i="25" s="1"/>
  <c r="J18" i="25" s="1"/>
  <c r="H121" i="25"/>
  <c r="I121" i="25" s="1"/>
  <c r="J121" i="25" s="1"/>
  <c r="H56" i="25"/>
  <c r="I56" i="25" s="1"/>
  <c r="J56" i="25" s="1"/>
  <c r="H47" i="25"/>
  <c r="I47" i="25" s="1"/>
  <c r="J47" i="25" s="1"/>
  <c r="H66" i="25"/>
  <c r="I66" i="25" s="1"/>
  <c r="J66" i="25" s="1"/>
  <c r="H58" i="25"/>
  <c r="I58" i="25" s="1"/>
  <c r="J58" i="25" s="1"/>
  <c r="H13" i="25"/>
  <c r="I13" i="25" s="1"/>
  <c r="J13" i="25" s="1"/>
  <c r="H153" i="25"/>
  <c r="I153" i="25" s="1"/>
  <c r="J153" i="25" s="1"/>
  <c r="H97" i="25"/>
  <c r="I97" i="25" s="1"/>
  <c r="J97" i="25" s="1"/>
  <c r="H61" i="25"/>
  <c r="I61" i="25" s="1"/>
  <c r="J61" i="25" s="1"/>
  <c r="H28" i="25"/>
  <c r="I28" i="25" s="1"/>
  <c r="J28" i="25" s="1"/>
  <c r="H145" i="25"/>
  <c r="I145" i="25" s="1"/>
  <c r="J145" i="25" s="1"/>
  <c r="H111" i="25"/>
  <c r="I111" i="25" s="1"/>
  <c r="J111" i="25" s="1"/>
  <c r="H133" i="25"/>
  <c r="I133" i="25" s="1"/>
  <c r="J133" i="25" s="1"/>
  <c r="H52" i="25"/>
  <c r="I52" i="25" s="1"/>
  <c r="J52" i="25" s="1"/>
  <c r="H40" i="25"/>
  <c r="I40" i="25" s="1"/>
  <c r="J40" i="25" s="1"/>
  <c r="H30" i="25"/>
  <c r="I30" i="25" s="1"/>
  <c r="J30" i="25" s="1"/>
  <c r="H59" i="25"/>
  <c r="I59" i="25" s="1"/>
  <c r="J59" i="25" s="1"/>
  <c r="H146" i="25"/>
  <c r="I146" i="25" s="1"/>
  <c r="J146" i="25" s="1"/>
  <c r="H12" i="25"/>
  <c r="I12" i="25" s="1"/>
  <c r="J12" i="25" s="1"/>
  <c r="H94" i="25"/>
  <c r="I94" i="25" s="1"/>
  <c r="J94" i="25" s="1"/>
  <c r="H15" i="25"/>
  <c r="I15" i="25" s="1"/>
  <c r="J15" i="25" s="1"/>
  <c r="H67" i="25"/>
  <c r="I67" i="25" s="1"/>
  <c r="J67" i="25" s="1"/>
  <c r="H7" i="25"/>
  <c r="I7" i="25" s="1"/>
  <c r="J7" i="25" s="1"/>
  <c r="M158" i="20"/>
  <c r="Q157" i="20"/>
  <c r="M157" i="14"/>
  <c r="Q156" i="14"/>
  <c r="B156" i="21"/>
  <c r="R152" i="9"/>
  <c r="S152" i="9" s="1"/>
  <c r="T152" i="9" s="1"/>
  <c r="R106" i="9"/>
  <c r="S106" i="9" s="1"/>
  <c r="T106" i="9" s="1"/>
  <c r="R90" i="9"/>
  <c r="S90" i="9" s="1"/>
  <c r="T90" i="9" s="1"/>
  <c r="R71" i="9"/>
  <c r="S71" i="9" s="1"/>
  <c r="T71" i="9" s="1"/>
  <c r="R55" i="9"/>
  <c r="S55" i="9" s="1"/>
  <c r="T55" i="9" s="1"/>
  <c r="R41" i="9"/>
  <c r="S41" i="9" s="1"/>
  <c r="T41" i="9" s="1"/>
  <c r="R146" i="9"/>
  <c r="S146" i="9" s="1"/>
  <c r="T146" i="9" s="1"/>
  <c r="R138" i="9"/>
  <c r="S138" i="9" s="1"/>
  <c r="T138" i="9" s="1"/>
  <c r="R130" i="9"/>
  <c r="S130" i="9" s="1"/>
  <c r="T130" i="9" s="1"/>
  <c r="R107" i="9"/>
  <c r="S107" i="9" s="1"/>
  <c r="T107" i="9" s="1"/>
  <c r="R91" i="9"/>
  <c r="S91" i="9" s="1"/>
  <c r="T91" i="9" s="1"/>
  <c r="R72" i="9"/>
  <c r="S72" i="9" s="1"/>
  <c r="T72" i="9" s="1"/>
  <c r="R56" i="9"/>
  <c r="S56" i="9" s="1"/>
  <c r="T56" i="9" s="1"/>
  <c r="R42" i="9"/>
  <c r="S42" i="9" s="1"/>
  <c r="T42" i="9" s="1"/>
  <c r="R162" i="9"/>
  <c r="S162" i="9" s="1"/>
  <c r="T162" i="9" s="1"/>
  <c r="R158" i="9"/>
  <c r="S158" i="9" s="1"/>
  <c r="T158" i="9" s="1"/>
  <c r="R108" i="9"/>
  <c r="S108" i="9" s="1"/>
  <c r="T108" i="9" s="1"/>
  <c r="R92" i="9"/>
  <c r="S92" i="9" s="1"/>
  <c r="T92" i="9" s="1"/>
  <c r="R73" i="9"/>
  <c r="S73" i="9" s="1"/>
  <c r="T73" i="9" s="1"/>
  <c r="R57" i="9"/>
  <c r="S57" i="9" s="1"/>
  <c r="T57" i="9" s="1"/>
  <c r="R43" i="9"/>
  <c r="S43" i="9" s="1"/>
  <c r="T43" i="9" s="1"/>
  <c r="R153" i="9"/>
  <c r="S153" i="9" s="1"/>
  <c r="T153" i="9" s="1"/>
  <c r="R147" i="9"/>
  <c r="S147" i="9" s="1"/>
  <c r="T147" i="9" s="1"/>
  <c r="R139" i="9"/>
  <c r="S139" i="9" s="1"/>
  <c r="T139" i="9" s="1"/>
  <c r="R131" i="9"/>
  <c r="S131" i="9" s="1"/>
  <c r="T131" i="9" s="1"/>
  <c r="R122" i="9"/>
  <c r="S122" i="9" s="1"/>
  <c r="T122" i="9" s="1"/>
  <c r="R109" i="9"/>
  <c r="S109" i="9" s="1"/>
  <c r="T109" i="9" s="1"/>
  <c r="R93" i="9"/>
  <c r="S93" i="9" s="1"/>
  <c r="T93" i="9" s="1"/>
  <c r="R74" i="9"/>
  <c r="S74" i="9" s="1"/>
  <c r="T74" i="9" s="1"/>
  <c r="R58" i="9"/>
  <c r="S58" i="9" s="1"/>
  <c r="T58" i="9" s="1"/>
  <c r="R123" i="9"/>
  <c r="S123" i="9" s="1"/>
  <c r="T123" i="9" s="1"/>
  <c r="R110" i="9"/>
  <c r="S110" i="9" s="1"/>
  <c r="T110" i="9" s="1"/>
  <c r="R94" i="9"/>
  <c r="S94" i="9" s="1"/>
  <c r="T94" i="9" s="1"/>
  <c r="R75" i="9"/>
  <c r="S75" i="9" s="1"/>
  <c r="T75" i="9" s="1"/>
  <c r="R59" i="9"/>
  <c r="S59" i="9" s="1"/>
  <c r="T59" i="9" s="1"/>
  <c r="R149" i="9"/>
  <c r="S149" i="9" s="1"/>
  <c r="T149" i="9" s="1"/>
  <c r="R141" i="9"/>
  <c r="S141" i="9" s="1"/>
  <c r="T141" i="9" s="1"/>
  <c r="R133" i="9"/>
  <c r="S133" i="9" s="1"/>
  <c r="T133" i="9" s="1"/>
  <c r="R125" i="9"/>
  <c r="S125" i="9" s="1"/>
  <c r="T125" i="9" s="1"/>
  <c r="R113" i="9"/>
  <c r="S113" i="9" s="1"/>
  <c r="T113" i="9" s="1"/>
  <c r="R97" i="9"/>
  <c r="S97" i="9" s="1"/>
  <c r="T97" i="9" s="1"/>
  <c r="R78" i="9"/>
  <c r="S78" i="9" s="1"/>
  <c r="T78" i="9" s="1"/>
  <c r="R62" i="9"/>
  <c r="S62" i="9" s="1"/>
  <c r="T62" i="9" s="1"/>
  <c r="R46" i="9"/>
  <c r="S46" i="9" s="1"/>
  <c r="T46" i="9" s="1"/>
  <c r="R32" i="9"/>
  <c r="S32" i="9" s="1"/>
  <c r="T32" i="9" s="1"/>
  <c r="R126" i="9"/>
  <c r="S126" i="9" s="1"/>
  <c r="T126" i="9" s="1"/>
  <c r="R85" i="9"/>
  <c r="S85" i="9" s="1"/>
  <c r="T85" i="9" s="1"/>
  <c r="R52" i="9"/>
  <c r="S52" i="9" s="1"/>
  <c r="T52" i="9" s="1"/>
  <c r="R47" i="9"/>
  <c r="S47" i="9" s="1"/>
  <c r="T47" i="9" s="1"/>
  <c r="R9" i="9"/>
  <c r="S9" i="9" s="1"/>
  <c r="T9" i="9" s="1"/>
  <c r="R157" i="9"/>
  <c r="S157" i="9" s="1"/>
  <c r="T157" i="9" s="1"/>
  <c r="R121" i="9"/>
  <c r="S121" i="9" s="1"/>
  <c r="T121" i="9" s="1"/>
  <c r="R116" i="9"/>
  <c r="S116" i="9" s="1"/>
  <c r="T116" i="9" s="1"/>
  <c r="R102" i="9"/>
  <c r="S102" i="9" s="1"/>
  <c r="T102" i="9" s="1"/>
  <c r="R77" i="9"/>
  <c r="S77" i="9" s="1"/>
  <c r="T77" i="9" s="1"/>
  <c r="R66" i="9"/>
  <c r="S66" i="9" s="1"/>
  <c r="T66" i="9" s="1"/>
  <c r="R36" i="9"/>
  <c r="S36" i="9" s="1"/>
  <c r="T36" i="9" s="1"/>
  <c r="R30" i="9"/>
  <c r="S30" i="9" s="1"/>
  <c r="T30" i="9" s="1"/>
  <c r="R155" i="9"/>
  <c r="S155" i="9" s="1"/>
  <c r="T155" i="9" s="1"/>
  <c r="R80" i="9"/>
  <c r="S80" i="9" s="1"/>
  <c r="T80" i="9" s="1"/>
  <c r="R160" i="9"/>
  <c r="S160" i="9" s="1"/>
  <c r="T160" i="9" s="1"/>
  <c r="R136" i="9"/>
  <c r="S136" i="9" s="1"/>
  <c r="T136" i="9" s="1"/>
  <c r="R124" i="9"/>
  <c r="S124" i="9" s="1"/>
  <c r="T124" i="9" s="1"/>
  <c r="R105" i="9"/>
  <c r="S105" i="9" s="1"/>
  <c r="T105" i="9" s="1"/>
  <c r="R100" i="9"/>
  <c r="S100" i="9" s="1"/>
  <c r="T100" i="9" s="1"/>
  <c r="R61" i="9"/>
  <c r="S61" i="9" s="1"/>
  <c r="T61" i="9" s="1"/>
  <c r="R50" i="9"/>
  <c r="S50" i="9" s="1"/>
  <c r="T50" i="9" s="1"/>
  <c r="R27" i="9"/>
  <c r="S27" i="9" s="1"/>
  <c r="T27" i="9" s="1"/>
  <c r="R20" i="9"/>
  <c r="S20" i="9" s="1"/>
  <c r="T20" i="9" s="1"/>
  <c r="R16" i="9"/>
  <c r="S16" i="9" s="1"/>
  <c r="T16" i="9" s="1"/>
  <c r="R6" i="9"/>
  <c r="S6" i="9" s="1"/>
  <c r="T6" i="9" s="1"/>
  <c r="R134" i="9"/>
  <c r="S134" i="9" s="1"/>
  <c r="T134" i="9" s="1"/>
  <c r="R111" i="9"/>
  <c r="S111" i="9" s="1"/>
  <c r="T111" i="9" s="1"/>
  <c r="R69" i="9"/>
  <c r="S69" i="9" s="1"/>
  <c r="T69" i="9" s="1"/>
  <c r="R64" i="9"/>
  <c r="S64" i="9" s="1"/>
  <c r="T64" i="9" s="1"/>
  <c r="R39" i="9"/>
  <c r="S39" i="9" s="1"/>
  <c r="T39" i="9" s="1"/>
  <c r="R34" i="9"/>
  <c r="S34" i="9" s="1"/>
  <c r="T34" i="9" s="1"/>
  <c r="R24" i="9"/>
  <c r="S24" i="9" s="1"/>
  <c r="T24" i="9" s="1"/>
  <c r="R13" i="9"/>
  <c r="S13" i="9" s="1"/>
  <c r="T13" i="9" s="1"/>
  <c r="R119" i="9"/>
  <c r="S119" i="9" s="1"/>
  <c r="T119" i="9" s="1"/>
  <c r="R114" i="9"/>
  <c r="S114" i="9" s="1"/>
  <c r="T114" i="9" s="1"/>
  <c r="R89" i="9"/>
  <c r="S89" i="9" s="1"/>
  <c r="T89" i="9" s="1"/>
  <c r="R86" i="9"/>
  <c r="S86" i="9" s="1"/>
  <c r="T86" i="9" s="1"/>
  <c r="R45" i="9"/>
  <c r="S45" i="9" s="1"/>
  <c r="T45" i="9" s="1"/>
  <c r="R10" i="9"/>
  <c r="S10" i="9" s="1"/>
  <c r="T10" i="9" s="1"/>
  <c r="R151" i="9"/>
  <c r="S151" i="9" s="1"/>
  <c r="T151" i="9" s="1"/>
  <c r="R129" i="9"/>
  <c r="S129" i="9" s="1"/>
  <c r="T129" i="9" s="1"/>
  <c r="R95" i="9"/>
  <c r="S95" i="9" s="1"/>
  <c r="T95" i="9" s="1"/>
  <c r="R83" i="9"/>
  <c r="S83" i="9" s="1"/>
  <c r="T83" i="9" s="1"/>
  <c r="R53" i="9"/>
  <c r="S53" i="9" s="1"/>
  <c r="T53" i="9" s="1"/>
  <c r="R48" i="9"/>
  <c r="S48" i="9" s="1"/>
  <c r="T48" i="9" s="1"/>
  <c r="R31" i="9"/>
  <c r="S31" i="9" s="1"/>
  <c r="T31" i="9" s="1"/>
  <c r="R21" i="9"/>
  <c r="S21" i="9" s="1"/>
  <c r="T21" i="9" s="1"/>
  <c r="R7" i="9"/>
  <c r="S7" i="9" s="1"/>
  <c r="T7" i="9" s="1"/>
  <c r="R144" i="9"/>
  <c r="S144" i="9" s="1"/>
  <c r="T144" i="9" s="1"/>
  <c r="R132" i="9"/>
  <c r="S132" i="9" s="1"/>
  <c r="T132" i="9" s="1"/>
  <c r="R127" i="9"/>
  <c r="S127" i="9" s="1"/>
  <c r="T127" i="9" s="1"/>
  <c r="R103" i="9"/>
  <c r="S103" i="9" s="1"/>
  <c r="T103" i="9" s="1"/>
  <c r="R98" i="9"/>
  <c r="S98" i="9" s="1"/>
  <c r="T98" i="9" s="1"/>
  <c r="R159" i="9"/>
  <c r="S159" i="9" s="1"/>
  <c r="T159" i="9" s="1"/>
  <c r="R96" i="9"/>
  <c r="S96" i="9" s="1"/>
  <c r="T96" i="9" s="1"/>
  <c r="R79" i="9"/>
  <c r="S79" i="9" s="1"/>
  <c r="T79" i="9" s="1"/>
  <c r="R54" i="9"/>
  <c r="S54" i="9" s="1"/>
  <c r="T54" i="9" s="1"/>
  <c r="R49" i="9"/>
  <c r="S49" i="9" s="1"/>
  <c r="T49" i="9" s="1"/>
  <c r="R161" i="9"/>
  <c r="S161" i="9" s="1"/>
  <c r="T161" i="9" s="1"/>
  <c r="R150" i="9"/>
  <c r="S150" i="9" s="1"/>
  <c r="T150" i="9" s="1"/>
  <c r="R104" i="9"/>
  <c r="S104" i="9" s="1"/>
  <c r="T104" i="9" s="1"/>
  <c r="R99" i="9"/>
  <c r="S99" i="9" s="1"/>
  <c r="T99" i="9" s="1"/>
  <c r="R60" i="9"/>
  <c r="S60" i="9" s="1"/>
  <c r="T60" i="9" s="1"/>
  <c r="R37" i="9"/>
  <c r="S37" i="9" s="1"/>
  <c r="T37" i="9" s="1"/>
  <c r="R156" i="9"/>
  <c r="S156" i="9" s="1"/>
  <c r="T156" i="9" s="1"/>
  <c r="R135" i="9"/>
  <c r="S135" i="9" s="1"/>
  <c r="T135" i="9" s="1"/>
  <c r="R81" i="9"/>
  <c r="S81" i="9" s="1"/>
  <c r="T81" i="9" s="1"/>
  <c r="R65" i="9"/>
  <c r="S65" i="9" s="1"/>
  <c r="T65" i="9" s="1"/>
  <c r="R145" i="9"/>
  <c r="S145" i="9" s="1"/>
  <c r="T145" i="9" s="1"/>
  <c r="R68" i="9"/>
  <c r="S68" i="9" s="1"/>
  <c r="T68" i="9" s="1"/>
  <c r="R28" i="9"/>
  <c r="S28" i="9" s="1"/>
  <c r="T28" i="9" s="1"/>
  <c r="R25" i="9"/>
  <c r="S25" i="9" s="1"/>
  <c r="T25" i="9" s="1"/>
  <c r="R22" i="9"/>
  <c r="S22" i="9" s="1"/>
  <c r="T22" i="9" s="1"/>
  <c r="R17" i="9"/>
  <c r="S17" i="9" s="1"/>
  <c r="T17" i="9" s="1"/>
  <c r="R14" i="9"/>
  <c r="S14" i="9" s="1"/>
  <c r="T14" i="9" s="1"/>
  <c r="R11" i="9"/>
  <c r="S11" i="9" s="1"/>
  <c r="T11" i="9" s="1"/>
  <c r="R8" i="9"/>
  <c r="S8" i="9" s="1"/>
  <c r="T8" i="9" s="1"/>
  <c r="R87" i="9"/>
  <c r="S87" i="9" s="1"/>
  <c r="T87" i="9" s="1"/>
  <c r="R40" i="9"/>
  <c r="S40" i="9" s="1"/>
  <c r="T40" i="9" s="1"/>
  <c r="R115" i="9"/>
  <c r="S115" i="9" s="1"/>
  <c r="T115" i="9" s="1"/>
  <c r="R112" i="9"/>
  <c r="S112" i="9" s="1"/>
  <c r="T112" i="9" s="1"/>
  <c r="R67" i="9"/>
  <c r="S67" i="9" s="1"/>
  <c r="T67" i="9" s="1"/>
  <c r="R33" i="9"/>
  <c r="S33" i="9" s="1"/>
  <c r="T33" i="9" s="1"/>
  <c r="R19" i="9"/>
  <c r="S19" i="9" s="1"/>
  <c r="T19" i="9" s="1"/>
  <c r="R140" i="9"/>
  <c r="S140" i="9" s="1"/>
  <c r="T140" i="9" s="1"/>
  <c r="R118" i="9"/>
  <c r="S118" i="9" s="1"/>
  <c r="T118" i="9" s="1"/>
  <c r="R120" i="9"/>
  <c r="S120" i="9" s="1"/>
  <c r="T120" i="9" s="1"/>
  <c r="R101" i="9"/>
  <c r="S101" i="9" s="1"/>
  <c r="T101" i="9" s="1"/>
  <c r="R63" i="9"/>
  <c r="S63" i="9" s="1"/>
  <c r="T63" i="9" s="1"/>
  <c r="R51" i="9"/>
  <c r="S51" i="9" s="1"/>
  <c r="T51" i="9" s="1"/>
  <c r="R38" i="9"/>
  <c r="S38" i="9" s="1"/>
  <c r="T38" i="9" s="1"/>
  <c r="R18" i="9"/>
  <c r="S18" i="9" s="1"/>
  <c r="T18" i="9" s="1"/>
  <c r="R142" i="9"/>
  <c r="S142" i="9" s="1"/>
  <c r="T142" i="9" s="1"/>
  <c r="R26" i="9"/>
  <c r="S26" i="9" s="1"/>
  <c r="T26" i="9" s="1"/>
  <c r="R23" i="9"/>
  <c r="S23" i="9" s="1"/>
  <c r="T23" i="9" s="1"/>
  <c r="R12" i="9"/>
  <c r="S12" i="9" s="1"/>
  <c r="T12" i="9" s="1"/>
  <c r="R137" i="9"/>
  <c r="S137" i="9" s="1"/>
  <c r="T137" i="9" s="1"/>
  <c r="R88" i="9"/>
  <c r="S88" i="9" s="1"/>
  <c r="T88" i="9" s="1"/>
  <c r="R35" i="9"/>
  <c r="S35" i="9" s="1"/>
  <c r="T35" i="9" s="1"/>
  <c r="R117" i="9"/>
  <c r="S117" i="9" s="1"/>
  <c r="T117" i="9" s="1"/>
  <c r="R44" i="9"/>
  <c r="S44" i="9" s="1"/>
  <c r="T44" i="9" s="1"/>
  <c r="R82" i="9"/>
  <c r="S82" i="9" s="1"/>
  <c r="T82" i="9" s="1"/>
  <c r="R76" i="9"/>
  <c r="S76" i="9" s="1"/>
  <c r="T76" i="9" s="1"/>
  <c r="R15" i="9"/>
  <c r="S15" i="9" s="1"/>
  <c r="T15" i="9" s="1"/>
  <c r="R143" i="9"/>
  <c r="S143" i="9" s="1"/>
  <c r="T143" i="9" s="1"/>
  <c r="R84" i="9"/>
  <c r="S84" i="9" s="1"/>
  <c r="T84" i="9" s="1"/>
  <c r="R29" i="9"/>
  <c r="S29" i="9" s="1"/>
  <c r="T29" i="9" s="1"/>
  <c r="R128" i="9"/>
  <c r="S128" i="9" s="1"/>
  <c r="T128" i="9" s="1"/>
  <c r="R148" i="9"/>
  <c r="S148" i="9" s="1"/>
  <c r="T148" i="9" s="1"/>
  <c r="R154" i="9"/>
  <c r="S154" i="9" s="1"/>
  <c r="T154" i="9" s="1"/>
  <c r="R70" i="9"/>
  <c r="S70" i="9" s="1"/>
  <c r="T70" i="9" s="1"/>
  <c r="Q155" i="25"/>
  <c r="M156" i="25"/>
  <c r="L157" i="17"/>
  <c r="L158" i="19"/>
  <c r="L156" i="24"/>
  <c r="A160" i="23"/>
  <c r="B161" i="23"/>
  <c r="L156" i="4"/>
  <c r="L157" i="15"/>
  <c r="B155" i="17"/>
  <c r="M157" i="15"/>
  <c r="Q156" i="15"/>
  <c r="L155" i="14"/>
  <c r="C156" i="23"/>
  <c r="G155" i="23"/>
  <c r="B156" i="13"/>
  <c r="C157" i="26"/>
  <c r="G156" i="26"/>
  <c r="C158" i="20"/>
  <c r="G157" i="20"/>
  <c r="S2" i="7"/>
  <c r="T2" i="7" s="1"/>
  <c r="M162" i="21"/>
  <c r="Q161" i="21"/>
  <c r="B157" i="15"/>
  <c r="Q156" i="13"/>
  <c r="M157" i="13"/>
  <c r="L156" i="13"/>
  <c r="L157" i="26"/>
  <c r="C159" i="8"/>
  <c r="G158" i="8"/>
  <c r="L156" i="11"/>
  <c r="C156" i="24"/>
  <c r="G155" i="24"/>
  <c r="B156" i="25"/>
  <c r="C158" i="13"/>
  <c r="G157" i="13"/>
  <c r="B160" i="3" l="1"/>
  <c r="L157" i="23"/>
  <c r="L158" i="8"/>
  <c r="B157" i="25"/>
  <c r="B162" i="23"/>
  <c r="A123" i="23"/>
  <c r="A124" i="23"/>
  <c r="A125" i="23"/>
  <c r="A126" i="23"/>
  <c r="A127" i="23"/>
  <c r="A128" i="23"/>
  <c r="A129" i="23"/>
  <c r="A130" i="23"/>
  <c r="A131" i="23"/>
  <c r="A132" i="23"/>
  <c r="A133" i="23"/>
  <c r="A134" i="23"/>
  <c r="A135" i="23"/>
  <c r="A136" i="23"/>
  <c r="A137" i="23"/>
  <c r="A138" i="23"/>
  <c r="A139" i="23"/>
  <c r="A140" i="23"/>
  <c r="A141" i="23"/>
  <c r="A142" i="23"/>
  <c r="A143" i="23"/>
  <c r="A144" i="23"/>
  <c r="A145" i="23"/>
  <c r="A146" i="23"/>
  <c r="A147" i="23"/>
  <c r="A148" i="23"/>
  <c r="A149" i="23"/>
  <c r="A150" i="23"/>
  <c r="A151" i="23"/>
  <c r="A152" i="23"/>
  <c r="A153" i="23"/>
  <c r="A154" i="23"/>
  <c r="A155" i="23"/>
  <c r="A156" i="23"/>
  <c r="A157" i="23"/>
  <c r="A158" i="23"/>
  <c r="A159" i="23"/>
  <c r="M158" i="14"/>
  <c r="Q157" i="14"/>
  <c r="B157" i="19"/>
  <c r="M160" i="4"/>
  <c r="Q159" i="4"/>
  <c r="L158" i="26"/>
  <c r="C157" i="23"/>
  <c r="G156" i="23"/>
  <c r="S2" i="9"/>
  <c r="T2" i="9" s="1"/>
  <c r="Q158" i="20"/>
  <c r="M159" i="20"/>
  <c r="L158" i="25"/>
  <c r="L157" i="7"/>
  <c r="B156" i="9"/>
  <c r="C157" i="3"/>
  <c r="G156" i="3"/>
  <c r="L157" i="21"/>
  <c r="L157" i="24"/>
  <c r="C157" i="7"/>
  <c r="G156" i="7"/>
  <c r="C157" i="24"/>
  <c r="G156" i="24"/>
  <c r="G155" i="5"/>
  <c r="C156" i="5"/>
  <c r="Q162" i="21"/>
  <c r="Q2" i="21"/>
  <c r="L157" i="4"/>
  <c r="L156" i="14"/>
  <c r="L159" i="19"/>
  <c r="B158" i="20"/>
  <c r="M158" i="23"/>
  <c r="Q157" i="23"/>
  <c r="M159" i="3"/>
  <c r="Q158" i="3"/>
  <c r="M157" i="26"/>
  <c r="Q156" i="26"/>
  <c r="B159" i="27"/>
  <c r="L158" i="15"/>
  <c r="B157" i="7"/>
  <c r="B156" i="5"/>
  <c r="M157" i="19"/>
  <c r="Q156" i="19"/>
  <c r="C161" i="15"/>
  <c r="G160" i="15"/>
  <c r="B159" i="8"/>
  <c r="M160" i="8"/>
  <c r="Q159" i="8"/>
  <c r="L156" i="27"/>
  <c r="C161" i="11"/>
  <c r="G160" i="11"/>
  <c r="B159" i="24"/>
  <c r="B157" i="14"/>
  <c r="L157" i="13"/>
  <c r="M158" i="15"/>
  <c r="Q157" i="15"/>
  <c r="L158" i="17"/>
  <c r="I2" i="25"/>
  <c r="J2" i="25" s="1"/>
  <c r="L157" i="11"/>
  <c r="B156" i="17"/>
  <c r="B157" i="21"/>
  <c r="B158" i="11"/>
  <c r="G155" i="9"/>
  <c r="C156" i="9"/>
  <c r="B157" i="26"/>
  <c r="M156" i="17"/>
  <c r="Q155" i="17"/>
  <c r="L158" i="3"/>
  <c r="C158" i="21"/>
  <c r="G157" i="21"/>
  <c r="M157" i="25"/>
  <c r="Q156" i="25"/>
  <c r="C158" i="26"/>
  <c r="G157" i="26"/>
  <c r="C157" i="19"/>
  <c r="G156" i="19"/>
  <c r="L157" i="9"/>
  <c r="B16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M156" i="27"/>
  <c r="Q155" i="27"/>
  <c r="L159" i="20"/>
  <c r="G155" i="17"/>
  <c r="C156" i="17"/>
  <c r="M158" i="13"/>
  <c r="Q157" i="13"/>
  <c r="C159" i="20"/>
  <c r="G158" i="20"/>
  <c r="C159" i="13"/>
  <c r="G158" i="13"/>
  <c r="B158" i="15"/>
  <c r="C160" i="8"/>
  <c r="G159" i="8"/>
  <c r="B157" i="13"/>
  <c r="M161" i="4" l="1"/>
  <c r="Q160" i="4"/>
  <c r="Q158" i="14"/>
  <c r="M159" i="14"/>
  <c r="M159" i="13"/>
  <c r="Q158" i="13"/>
  <c r="C159" i="26"/>
  <c r="G158" i="26"/>
  <c r="M159" i="23"/>
  <c r="Q158" i="23"/>
  <c r="B157" i="9"/>
  <c r="L159" i="17"/>
  <c r="L157" i="27"/>
  <c r="C161" i="8"/>
  <c r="G160" i="8"/>
  <c r="B159" i="20"/>
  <c r="L159" i="15"/>
  <c r="M157" i="27"/>
  <c r="Q156" i="27"/>
  <c r="B160" i="8"/>
  <c r="L158" i="7"/>
  <c r="Q156" i="17"/>
  <c r="M157" i="17"/>
  <c r="M161" i="8"/>
  <c r="Q160" i="8"/>
  <c r="B158" i="26"/>
  <c r="M159" i="15"/>
  <c r="Q158" i="15"/>
  <c r="C158" i="7"/>
  <c r="G157" i="7"/>
  <c r="L159" i="25"/>
  <c r="B160" i="27"/>
  <c r="L158" i="4"/>
  <c r="M160" i="20"/>
  <c r="Q159" i="20"/>
  <c r="B158" i="25"/>
  <c r="L158" i="13"/>
  <c r="L158" i="24"/>
  <c r="G156" i="9"/>
  <c r="C157" i="9"/>
  <c r="B159" i="15"/>
  <c r="C162" i="15"/>
  <c r="G161" i="15"/>
  <c r="B159" i="11"/>
  <c r="Q157" i="19"/>
  <c r="M158" i="19"/>
  <c r="P2" i="21"/>
  <c r="R2" i="21" s="1"/>
  <c r="L158" i="21"/>
  <c r="G156" i="17"/>
  <c r="C157" i="17"/>
  <c r="L158" i="9"/>
  <c r="B157" i="5"/>
  <c r="C158" i="24"/>
  <c r="G157" i="24"/>
  <c r="L159" i="8"/>
  <c r="M158" i="25"/>
  <c r="Q157" i="25"/>
  <c r="B158" i="21"/>
  <c r="B158" i="14"/>
  <c r="Q157" i="26"/>
  <c r="M158" i="26"/>
  <c r="C158" i="23"/>
  <c r="G157" i="23"/>
  <c r="L158" i="11"/>
  <c r="B157" i="17"/>
  <c r="L160" i="19"/>
  <c r="L159" i="26"/>
  <c r="L159" i="3"/>
  <c r="C158" i="3"/>
  <c r="G157" i="3"/>
  <c r="C160" i="13"/>
  <c r="G159" i="13"/>
  <c r="C158" i="19"/>
  <c r="G157" i="19"/>
  <c r="C159" i="21"/>
  <c r="G158" i="21"/>
  <c r="B160" i="24"/>
  <c r="B158" i="7"/>
  <c r="M160" i="3"/>
  <c r="Q159" i="3"/>
  <c r="B158" i="19"/>
  <c r="L158" i="23"/>
  <c r="L160" i="20"/>
  <c r="L157" i="14"/>
  <c r="B158" i="13"/>
  <c r="C160" i="20"/>
  <c r="G159" i="20"/>
  <c r="G161" i="11"/>
  <c r="C162" i="11"/>
  <c r="C157" i="5"/>
  <c r="G156" i="5"/>
  <c r="B161" i="3"/>
  <c r="A160" i="3" s="1"/>
  <c r="L160" i="8" l="1"/>
  <c r="B159" i="25"/>
  <c r="M160" i="23"/>
  <c r="Q159" i="23"/>
  <c r="B160" i="15"/>
  <c r="L159" i="7"/>
  <c r="G157" i="5"/>
  <c r="C158" i="5"/>
  <c r="C159" i="3"/>
  <c r="G158" i="3"/>
  <c r="M160" i="15"/>
  <c r="Q159" i="15"/>
  <c r="G158" i="24"/>
  <c r="C159" i="24"/>
  <c r="G157" i="9"/>
  <c r="C158" i="9"/>
  <c r="L159" i="4"/>
  <c r="B159" i="26"/>
  <c r="L160" i="17"/>
  <c r="G159" i="26"/>
  <c r="C160" i="26"/>
  <c r="M161" i="20"/>
  <c r="Q160" i="20"/>
  <c r="Q160" i="3"/>
  <c r="M161" i="3"/>
  <c r="B158" i="5"/>
  <c r="L159" i="21"/>
  <c r="B160" i="20"/>
  <c r="B161" i="24"/>
  <c r="A160" i="24"/>
  <c r="L159" i="11"/>
  <c r="G159" i="21"/>
  <c r="C160" i="21"/>
  <c r="B159" i="14"/>
  <c r="L159" i="24"/>
  <c r="B161" i="8"/>
  <c r="A160" i="8" s="1"/>
  <c r="M160" i="13"/>
  <c r="Q159" i="13"/>
  <c r="G162" i="15"/>
  <c r="G2" i="15"/>
  <c r="G162" i="11"/>
  <c r="G2" i="11"/>
  <c r="C159" i="23"/>
  <c r="G158" i="23"/>
  <c r="B159" i="7"/>
  <c r="L160" i="3"/>
  <c r="L160" i="26"/>
  <c r="L159" i="9"/>
  <c r="R158" i="21"/>
  <c r="S158" i="21" s="1"/>
  <c r="T158" i="21" s="1"/>
  <c r="R142" i="21"/>
  <c r="S142" i="21" s="1"/>
  <c r="T142" i="21" s="1"/>
  <c r="R159" i="21"/>
  <c r="S159" i="21" s="1"/>
  <c r="T159" i="21" s="1"/>
  <c r="R143" i="21"/>
  <c r="S143" i="21" s="1"/>
  <c r="T143" i="21" s="1"/>
  <c r="R127" i="21"/>
  <c r="S127" i="21" s="1"/>
  <c r="T127" i="21" s="1"/>
  <c r="R113" i="21"/>
  <c r="S113" i="21" s="1"/>
  <c r="T113" i="21" s="1"/>
  <c r="R97" i="21"/>
  <c r="S97" i="21" s="1"/>
  <c r="T97" i="21" s="1"/>
  <c r="R160" i="21"/>
  <c r="S160" i="21" s="1"/>
  <c r="T160" i="21" s="1"/>
  <c r="R144" i="21"/>
  <c r="S144" i="21" s="1"/>
  <c r="T144" i="21" s="1"/>
  <c r="R128" i="21"/>
  <c r="S128" i="21" s="1"/>
  <c r="T128" i="21" s="1"/>
  <c r="R161" i="21"/>
  <c r="S161" i="21" s="1"/>
  <c r="T161" i="21" s="1"/>
  <c r="R147" i="21"/>
  <c r="S147" i="21" s="1"/>
  <c r="T147" i="21" s="1"/>
  <c r="R131" i="21"/>
  <c r="S131" i="21" s="1"/>
  <c r="T131" i="21" s="1"/>
  <c r="R117" i="21"/>
  <c r="S117" i="21" s="1"/>
  <c r="T117" i="21" s="1"/>
  <c r="R145" i="21"/>
  <c r="S145" i="21" s="1"/>
  <c r="T145" i="21" s="1"/>
  <c r="R137" i="21"/>
  <c r="S137" i="21" s="1"/>
  <c r="T137" i="21" s="1"/>
  <c r="R149" i="21"/>
  <c r="S149" i="21" s="1"/>
  <c r="T149" i="21" s="1"/>
  <c r="R134" i="21"/>
  <c r="S134" i="21" s="1"/>
  <c r="T134" i="21" s="1"/>
  <c r="R101" i="21"/>
  <c r="S101" i="21" s="1"/>
  <c r="T101" i="21" s="1"/>
  <c r="R92" i="21"/>
  <c r="S92" i="21" s="1"/>
  <c r="T92" i="21" s="1"/>
  <c r="R72" i="21"/>
  <c r="S72" i="21" s="1"/>
  <c r="T72" i="21" s="1"/>
  <c r="R56" i="21"/>
  <c r="S56" i="21" s="1"/>
  <c r="T56" i="21" s="1"/>
  <c r="R153" i="21"/>
  <c r="S153" i="21" s="1"/>
  <c r="T153" i="21" s="1"/>
  <c r="R138" i="21"/>
  <c r="S138" i="21" s="1"/>
  <c r="T138" i="21" s="1"/>
  <c r="R126" i="21"/>
  <c r="S126" i="21" s="1"/>
  <c r="T126" i="21" s="1"/>
  <c r="R110" i="21"/>
  <c r="S110" i="21" s="1"/>
  <c r="T110" i="21" s="1"/>
  <c r="R84" i="21"/>
  <c r="S84" i="21" s="1"/>
  <c r="T84" i="21" s="1"/>
  <c r="R73" i="21"/>
  <c r="S73" i="21" s="1"/>
  <c r="T73" i="21" s="1"/>
  <c r="R57" i="21"/>
  <c r="S57" i="21" s="1"/>
  <c r="T57" i="21" s="1"/>
  <c r="R17" i="21"/>
  <c r="S17" i="21" s="1"/>
  <c r="T17" i="21" s="1"/>
  <c r="R16" i="21"/>
  <c r="S16" i="21" s="1"/>
  <c r="T16" i="21" s="1"/>
  <c r="R15" i="21"/>
  <c r="S15" i="21" s="1"/>
  <c r="T15" i="21" s="1"/>
  <c r="R14" i="21"/>
  <c r="S14" i="21" s="1"/>
  <c r="T14" i="21" s="1"/>
  <c r="R13" i="21"/>
  <c r="S13" i="21" s="1"/>
  <c r="T13" i="21" s="1"/>
  <c r="R12" i="21"/>
  <c r="S12" i="21" s="1"/>
  <c r="T12" i="21" s="1"/>
  <c r="R11" i="21"/>
  <c r="S11" i="21" s="1"/>
  <c r="T11" i="21" s="1"/>
  <c r="R10" i="21"/>
  <c r="S10" i="21" s="1"/>
  <c r="T10" i="21" s="1"/>
  <c r="R9" i="21"/>
  <c r="S9" i="21" s="1"/>
  <c r="T9" i="21" s="1"/>
  <c r="R8" i="21"/>
  <c r="S8" i="21" s="1"/>
  <c r="T8" i="21" s="1"/>
  <c r="R7" i="21"/>
  <c r="S7" i="21" s="1"/>
  <c r="T7" i="21" s="1"/>
  <c r="R6" i="21"/>
  <c r="S6" i="21" s="1"/>
  <c r="T6" i="21" s="1"/>
  <c r="R157" i="21"/>
  <c r="S157" i="21" s="1"/>
  <c r="T157" i="21" s="1"/>
  <c r="R150" i="21"/>
  <c r="S150" i="21" s="1"/>
  <c r="T150" i="21" s="1"/>
  <c r="R112" i="21"/>
  <c r="S112" i="21" s="1"/>
  <c r="T112" i="21" s="1"/>
  <c r="R103" i="21"/>
  <c r="S103" i="21" s="1"/>
  <c r="T103" i="21" s="1"/>
  <c r="R94" i="21"/>
  <c r="S94" i="21" s="1"/>
  <c r="T94" i="21" s="1"/>
  <c r="R76" i="21"/>
  <c r="S76" i="21" s="1"/>
  <c r="T76" i="21" s="1"/>
  <c r="R152" i="21"/>
  <c r="S152" i="21" s="1"/>
  <c r="T152" i="21" s="1"/>
  <c r="R133" i="21"/>
  <c r="S133" i="21" s="1"/>
  <c r="T133" i="21" s="1"/>
  <c r="R102" i="21"/>
  <c r="S102" i="21" s="1"/>
  <c r="T102" i="21" s="1"/>
  <c r="R98" i="21"/>
  <c r="S98" i="21" s="1"/>
  <c r="T98" i="21" s="1"/>
  <c r="R90" i="21"/>
  <c r="S90" i="21" s="1"/>
  <c r="T90" i="21" s="1"/>
  <c r="R86" i="21"/>
  <c r="S86" i="21" s="1"/>
  <c r="T86" i="21" s="1"/>
  <c r="R120" i="21"/>
  <c r="S120" i="21" s="1"/>
  <c r="T120" i="21" s="1"/>
  <c r="R114" i="21"/>
  <c r="S114" i="21" s="1"/>
  <c r="T114" i="21" s="1"/>
  <c r="R106" i="21"/>
  <c r="S106" i="21" s="1"/>
  <c r="T106" i="21" s="1"/>
  <c r="R156" i="21"/>
  <c r="S156" i="21" s="1"/>
  <c r="T156" i="21" s="1"/>
  <c r="R69" i="21"/>
  <c r="S69" i="21" s="1"/>
  <c r="T69" i="21" s="1"/>
  <c r="R35" i="21"/>
  <c r="S35" i="21" s="1"/>
  <c r="T35" i="21" s="1"/>
  <c r="R31" i="21"/>
  <c r="S31" i="21" s="1"/>
  <c r="T31" i="21" s="1"/>
  <c r="R29" i="21"/>
  <c r="S29" i="21" s="1"/>
  <c r="T29" i="21" s="1"/>
  <c r="R95" i="21"/>
  <c r="S95" i="21" s="1"/>
  <c r="T95" i="21" s="1"/>
  <c r="R79" i="21"/>
  <c r="S79" i="21" s="1"/>
  <c r="T79" i="21" s="1"/>
  <c r="R52" i="21"/>
  <c r="S52" i="21" s="1"/>
  <c r="T52" i="21" s="1"/>
  <c r="R45" i="21"/>
  <c r="S45" i="21" s="1"/>
  <c r="T45" i="21" s="1"/>
  <c r="R36" i="21"/>
  <c r="S36" i="21" s="1"/>
  <c r="T36" i="21" s="1"/>
  <c r="R151" i="21"/>
  <c r="S151" i="21" s="1"/>
  <c r="T151" i="21" s="1"/>
  <c r="R140" i="21"/>
  <c r="S140" i="21" s="1"/>
  <c r="T140" i="21" s="1"/>
  <c r="R129" i="21"/>
  <c r="S129" i="21" s="1"/>
  <c r="T129" i="21" s="1"/>
  <c r="R111" i="21"/>
  <c r="S111" i="21" s="1"/>
  <c r="T111" i="21" s="1"/>
  <c r="R99" i="21"/>
  <c r="S99" i="21" s="1"/>
  <c r="T99" i="21" s="1"/>
  <c r="R75" i="21"/>
  <c r="S75" i="21" s="1"/>
  <c r="T75" i="21" s="1"/>
  <c r="R70" i="21"/>
  <c r="S70" i="21" s="1"/>
  <c r="T70" i="21" s="1"/>
  <c r="R46" i="21"/>
  <c r="S46" i="21" s="1"/>
  <c r="T46" i="21" s="1"/>
  <c r="R38" i="21"/>
  <c r="S38" i="21" s="1"/>
  <c r="T38" i="21" s="1"/>
  <c r="R136" i="21"/>
  <c r="S136" i="21" s="1"/>
  <c r="T136" i="21" s="1"/>
  <c r="R104" i="21"/>
  <c r="S104" i="21" s="1"/>
  <c r="T104" i="21" s="1"/>
  <c r="R87" i="21"/>
  <c r="S87" i="21" s="1"/>
  <c r="T87" i="21" s="1"/>
  <c r="R82" i="21"/>
  <c r="S82" i="21" s="1"/>
  <c r="T82" i="21" s="1"/>
  <c r="R61" i="21"/>
  <c r="S61" i="21" s="1"/>
  <c r="T61" i="21" s="1"/>
  <c r="R47" i="21"/>
  <c r="S47" i="21" s="1"/>
  <c r="T47" i="21" s="1"/>
  <c r="R162" i="21"/>
  <c r="S162" i="21" s="1"/>
  <c r="T162" i="21" s="1"/>
  <c r="R155" i="21"/>
  <c r="S155" i="21" s="1"/>
  <c r="T155" i="21" s="1"/>
  <c r="R135" i="21"/>
  <c r="S135" i="21" s="1"/>
  <c r="T135" i="21" s="1"/>
  <c r="R123" i="21"/>
  <c r="S123" i="21" s="1"/>
  <c r="T123" i="21" s="1"/>
  <c r="R24" i="21"/>
  <c r="S24" i="21" s="1"/>
  <c r="T24" i="21" s="1"/>
  <c r="R146" i="21"/>
  <c r="S146" i="21" s="1"/>
  <c r="T146" i="21" s="1"/>
  <c r="R130" i="21"/>
  <c r="S130" i="21" s="1"/>
  <c r="T130" i="21" s="1"/>
  <c r="R58" i="21"/>
  <c r="S58" i="21" s="1"/>
  <c r="T58" i="21" s="1"/>
  <c r="R51" i="21"/>
  <c r="S51" i="21" s="1"/>
  <c r="T51" i="21" s="1"/>
  <c r="R40" i="21"/>
  <c r="S40" i="21" s="1"/>
  <c r="T40" i="21" s="1"/>
  <c r="R132" i="21"/>
  <c r="S132" i="21" s="1"/>
  <c r="T132" i="21" s="1"/>
  <c r="R118" i="21"/>
  <c r="S118" i="21" s="1"/>
  <c r="T118" i="21" s="1"/>
  <c r="R65" i="21"/>
  <c r="S65" i="21" s="1"/>
  <c r="T65" i="21" s="1"/>
  <c r="R55" i="21"/>
  <c r="S55" i="21" s="1"/>
  <c r="T55" i="21" s="1"/>
  <c r="R19" i="21"/>
  <c r="S19" i="21" s="1"/>
  <c r="T19" i="21" s="1"/>
  <c r="R116" i="21"/>
  <c r="S116" i="21" s="1"/>
  <c r="T116" i="21" s="1"/>
  <c r="R85" i="21"/>
  <c r="S85" i="21" s="1"/>
  <c r="T85" i="21" s="1"/>
  <c r="R80" i="21"/>
  <c r="S80" i="21" s="1"/>
  <c r="T80" i="21" s="1"/>
  <c r="R30" i="21"/>
  <c r="S30" i="21" s="1"/>
  <c r="T30" i="21" s="1"/>
  <c r="R125" i="21"/>
  <c r="S125" i="21" s="1"/>
  <c r="T125" i="21" s="1"/>
  <c r="R108" i="21"/>
  <c r="S108" i="21" s="1"/>
  <c r="T108" i="21" s="1"/>
  <c r="R83" i="21"/>
  <c r="S83" i="21" s="1"/>
  <c r="T83" i="21" s="1"/>
  <c r="R77" i="21"/>
  <c r="S77" i="21" s="1"/>
  <c r="T77" i="21" s="1"/>
  <c r="R74" i="21"/>
  <c r="S74" i="21" s="1"/>
  <c r="T74" i="21" s="1"/>
  <c r="R71" i="21"/>
  <c r="S71" i="21" s="1"/>
  <c r="T71" i="21" s="1"/>
  <c r="R68" i="21"/>
  <c r="S68" i="21" s="1"/>
  <c r="T68" i="21" s="1"/>
  <c r="R48" i="21"/>
  <c r="S48" i="21" s="1"/>
  <c r="T48" i="21" s="1"/>
  <c r="R44" i="21"/>
  <c r="S44" i="21" s="1"/>
  <c r="T44" i="21" s="1"/>
  <c r="R25" i="21"/>
  <c r="S25" i="21" s="1"/>
  <c r="T25" i="21" s="1"/>
  <c r="R154" i="21"/>
  <c r="S154" i="21" s="1"/>
  <c r="T154" i="21" s="1"/>
  <c r="R100" i="21"/>
  <c r="S100" i="21" s="1"/>
  <c r="T100" i="21" s="1"/>
  <c r="R88" i="21"/>
  <c r="S88" i="21" s="1"/>
  <c r="T88" i="21" s="1"/>
  <c r="R62" i="21"/>
  <c r="S62" i="21" s="1"/>
  <c r="T62" i="21" s="1"/>
  <c r="R59" i="21"/>
  <c r="S59" i="21" s="1"/>
  <c r="T59" i="21" s="1"/>
  <c r="R20" i="21"/>
  <c r="S20" i="21" s="1"/>
  <c r="T20" i="21" s="1"/>
  <c r="R148" i="21"/>
  <c r="S148" i="21" s="1"/>
  <c r="T148" i="21" s="1"/>
  <c r="R93" i="21"/>
  <c r="S93" i="21" s="1"/>
  <c r="T93" i="21" s="1"/>
  <c r="R41" i="21"/>
  <c r="S41" i="21" s="1"/>
  <c r="T41" i="21" s="1"/>
  <c r="R37" i="21"/>
  <c r="S37" i="21" s="1"/>
  <c r="T37" i="21" s="1"/>
  <c r="R21" i="21"/>
  <c r="S21" i="21" s="1"/>
  <c r="T21" i="21" s="1"/>
  <c r="R107" i="21"/>
  <c r="S107" i="21" s="1"/>
  <c r="T107" i="21" s="1"/>
  <c r="R27" i="21"/>
  <c r="S27" i="21" s="1"/>
  <c r="T27" i="21" s="1"/>
  <c r="R89" i="21"/>
  <c r="S89" i="21" s="1"/>
  <c r="T89" i="21" s="1"/>
  <c r="R141" i="21"/>
  <c r="S141" i="21" s="1"/>
  <c r="T141" i="21" s="1"/>
  <c r="R121" i="21"/>
  <c r="S121" i="21" s="1"/>
  <c r="T121" i="21" s="1"/>
  <c r="R67" i="21"/>
  <c r="S67" i="21" s="1"/>
  <c r="T67" i="21" s="1"/>
  <c r="R64" i="21"/>
  <c r="S64" i="21" s="1"/>
  <c r="T64" i="21" s="1"/>
  <c r="R53" i="21"/>
  <c r="S53" i="21" s="1"/>
  <c r="T53" i="21" s="1"/>
  <c r="R43" i="21"/>
  <c r="S43" i="21" s="1"/>
  <c r="T43" i="21" s="1"/>
  <c r="R26" i="21"/>
  <c r="S26" i="21" s="1"/>
  <c r="T26" i="21" s="1"/>
  <c r="R124" i="21"/>
  <c r="S124" i="21" s="1"/>
  <c r="T124" i="21" s="1"/>
  <c r="R91" i="21"/>
  <c r="S91" i="21" s="1"/>
  <c r="T91" i="21" s="1"/>
  <c r="R66" i="21"/>
  <c r="S66" i="21" s="1"/>
  <c r="T66" i="21" s="1"/>
  <c r="R33" i="21"/>
  <c r="S33" i="21" s="1"/>
  <c r="T33" i="21" s="1"/>
  <c r="R39" i="21"/>
  <c r="S39" i="21" s="1"/>
  <c r="T39" i="21" s="1"/>
  <c r="R18" i="21"/>
  <c r="S18" i="21" s="1"/>
  <c r="T18" i="21" s="1"/>
  <c r="R122" i="21"/>
  <c r="S122" i="21" s="1"/>
  <c r="T122" i="21" s="1"/>
  <c r="R115" i="21"/>
  <c r="S115" i="21" s="1"/>
  <c r="T115" i="21" s="1"/>
  <c r="R34" i="21"/>
  <c r="S34" i="21" s="1"/>
  <c r="T34" i="21" s="1"/>
  <c r="R105" i="21"/>
  <c r="S105" i="21" s="1"/>
  <c r="T105" i="21" s="1"/>
  <c r="R119" i="21"/>
  <c r="S119" i="21" s="1"/>
  <c r="T119" i="21" s="1"/>
  <c r="R109" i="21"/>
  <c r="S109" i="21" s="1"/>
  <c r="T109" i="21" s="1"/>
  <c r="R60" i="21"/>
  <c r="S60" i="21" s="1"/>
  <c r="T60" i="21" s="1"/>
  <c r="R50" i="21"/>
  <c r="S50" i="21" s="1"/>
  <c r="T50" i="21" s="1"/>
  <c r="R42" i="21"/>
  <c r="S42" i="21" s="1"/>
  <c r="T42" i="21" s="1"/>
  <c r="R49" i="21"/>
  <c r="S49" i="21" s="1"/>
  <c r="T49" i="21" s="1"/>
  <c r="R139" i="21"/>
  <c r="S139" i="21" s="1"/>
  <c r="T139" i="21" s="1"/>
  <c r="R22" i="21"/>
  <c r="S22" i="21" s="1"/>
  <c r="T22" i="21" s="1"/>
  <c r="R81" i="21"/>
  <c r="S81" i="21" s="1"/>
  <c r="T81" i="21" s="1"/>
  <c r="R54" i="21"/>
  <c r="S54" i="21" s="1"/>
  <c r="T54" i="21" s="1"/>
  <c r="R32" i="21"/>
  <c r="S32" i="21" s="1"/>
  <c r="T32" i="21" s="1"/>
  <c r="R28" i="21"/>
  <c r="S28" i="21" s="1"/>
  <c r="T28" i="21" s="1"/>
  <c r="R78" i="21"/>
  <c r="S78" i="21" s="1"/>
  <c r="T78" i="21" s="1"/>
  <c r="R63" i="21"/>
  <c r="S63" i="21" s="1"/>
  <c r="T63" i="21" s="1"/>
  <c r="R96" i="21"/>
  <c r="S96" i="21" s="1"/>
  <c r="T96" i="21" s="1"/>
  <c r="R23" i="21"/>
  <c r="S23" i="21" s="1"/>
  <c r="T23" i="21" s="1"/>
  <c r="M159" i="26"/>
  <c r="Q158" i="26"/>
  <c r="G158" i="19"/>
  <c r="C159" i="19"/>
  <c r="B159" i="21"/>
  <c r="B161" i="27"/>
  <c r="B158" i="9"/>
  <c r="M160" i="14"/>
  <c r="Q159" i="14"/>
  <c r="B16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G160" i="20"/>
  <c r="C161" i="20"/>
  <c r="L161" i="20"/>
  <c r="K160" i="20"/>
  <c r="L161" i="19"/>
  <c r="K160" i="19"/>
  <c r="B159" i="13"/>
  <c r="L159" i="23"/>
  <c r="M159" i="19"/>
  <c r="Q158" i="19"/>
  <c r="M158" i="27"/>
  <c r="Q157" i="27"/>
  <c r="C162" i="8"/>
  <c r="G161" i="8"/>
  <c r="C161" i="13"/>
  <c r="G160" i="13"/>
  <c r="L160" i="25"/>
  <c r="B158" i="17"/>
  <c r="L158" i="14"/>
  <c r="B159" i="19"/>
  <c r="M159" i="25"/>
  <c r="Q158" i="25"/>
  <c r="L159" i="13"/>
  <c r="M162" i="8"/>
  <c r="Q161" i="8"/>
  <c r="Q161" i="4"/>
  <c r="M162" i="4"/>
  <c r="G157" i="17"/>
  <c r="C158" i="17"/>
  <c r="B160" i="11"/>
  <c r="C159" i="7"/>
  <c r="G158" i="7"/>
  <c r="M158" i="17"/>
  <c r="Q157" i="17"/>
  <c r="L160" i="15"/>
  <c r="L158" i="27"/>
  <c r="B162" i="27" l="1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7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Q162" i="4"/>
  <c r="Q2" i="4"/>
  <c r="B160" i="13"/>
  <c r="C160" i="19"/>
  <c r="G159" i="19"/>
  <c r="B160" i="7"/>
  <c r="G158" i="17"/>
  <c r="C159" i="17"/>
  <c r="M160" i="19"/>
  <c r="Q159" i="19"/>
  <c r="B160" i="19"/>
  <c r="M161" i="15"/>
  <c r="Q160" i="15"/>
  <c r="C162" i="13"/>
  <c r="G161" i="13"/>
  <c r="L159" i="27"/>
  <c r="L160" i="24"/>
  <c r="L162" i="19"/>
  <c r="K123" i="19"/>
  <c r="K124" i="19"/>
  <c r="K125" i="19"/>
  <c r="K126" i="19"/>
  <c r="K127" i="19"/>
  <c r="K128" i="19"/>
  <c r="K129" i="19"/>
  <c r="K130" i="19"/>
  <c r="K131" i="19"/>
  <c r="K132" i="19"/>
  <c r="K133" i="19"/>
  <c r="K134" i="19"/>
  <c r="K135" i="19"/>
  <c r="K136" i="19"/>
  <c r="K137" i="19"/>
  <c r="K138" i="19"/>
  <c r="K139" i="19"/>
  <c r="K140" i="19"/>
  <c r="K141" i="19"/>
  <c r="K142" i="19"/>
  <c r="K143" i="19"/>
  <c r="K144" i="19"/>
  <c r="K145" i="19"/>
  <c r="K146" i="19"/>
  <c r="K147" i="19"/>
  <c r="K148" i="19"/>
  <c r="K149" i="19"/>
  <c r="K150" i="19"/>
  <c r="K151" i="19"/>
  <c r="K152" i="19"/>
  <c r="K153" i="19"/>
  <c r="K154" i="19"/>
  <c r="K155" i="19"/>
  <c r="K156" i="19"/>
  <c r="K157" i="19"/>
  <c r="K158" i="19"/>
  <c r="K159" i="19"/>
  <c r="B160" i="14"/>
  <c r="B160" i="26"/>
  <c r="C160" i="23"/>
  <c r="G159" i="23"/>
  <c r="C160" i="3"/>
  <c r="G159" i="3"/>
  <c r="A160" i="27"/>
  <c r="L161" i="15"/>
  <c r="K160" i="15"/>
  <c r="M161" i="14"/>
  <c r="Q160" i="14"/>
  <c r="C161" i="21"/>
  <c r="G160" i="21"/>
  <c r="L160" i="4"/>
  <c r="C159" i="5"/>
  <c r="G158" i="5"/>
  <c r="M160" i="25"/>
  <c r="Q159" i="25"/>
  <c r="B159" i="9"/>
  <c r="F2" i="11"/>
  <c r="H2" i="11" s="1"/>
  <c r="B16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C159" i="9"/>
  <c r="G158" i="9"/>
  <c r="C162" i="20"/>
  <c r="G161" i="20"/>
  <c r="M160" i="26"/>
  <c r="Q159" i="26"/>
  <c r="M162" i="3"/>
  <c r="Q161" i="3"/>
  <c r="G162" i="8"/>
  <c r="G2" i="8"/>
  <c r="L160" i="13"/>
  <c r="M159" i="27"/>
  <c r="Q158" i="27"/>
  <c r="L160" i="9"/>
  <c r="F2" i="15"/>
  <c r="H2" i="15" s="1"/>
  <c r="A160" i="20"/>
  <c r="B161" i="20"/>
  <c r="C160" i="24"/>
  <c r="G159" i="24"/>
  <c r="B160" i="25"/>
  <c r="C161" i="26"/>
  <c r="G160" i="26"/>
  <c r="L159" i="14"/>
  <c r="Q162" i="8"/>
  <c r="Q2" i="8"/>
  <c r="B159" i="17"/>
  <c r="L162" i="20"/>
  <c r="K123" i="20"/>
  <c r="K124" i="20"/>
  <c r="K125" i="20"/>
  <c r="K126" i="20"/>
  <c r="K127" i="20"/>
  <c r="K128" i="20"/>
  <c r="K129" i="20"/>
  <c r="K130" i="20"/>
  <c r="K131" i="20"/>
  <c r="K132" i="20"/>
  <c r="K133" i="20"/>
  <c r="K134" i="20"/>
  <c r="K135" i="20"/>
  <c r="K136" i="20"/>
  <c r="K137" i="20"/>
  <c r="K138" i="20"/>
  <c r="K139" i="20"/>
  <c r="K140" i="20"/>
  <c r="K141" i="20"/>
  <c r="K142" i="20"/>
  <c r="K143" i="20"/>
  <c r="K144" i="20"/>
  <c r="K145" i="20"/>
  <c r="K146" i="20"/>
  <c r="K147" i="20"/>
  <c r="K148" i="20"/>
  <c r="K149" i="20"/>
  <c r="K150" i="20"/>
  <c r="K151" i="20"/>
  <c r="K152" i="20"/>
  <c r="K153" i="20"/>
  <c r="K154" i="20"/>
  <c r="K155" i="20"/>
  <c r="K156" i="20"/>
  <c r="K157" i="20"/>
  <c r="K158" i="20"/>
  <c r="K159" i="20"/>
  <c r="M159" i="17"/>
  <c r="Q158" i="17"/>
  <c r="C160" i="7"/>
  <c r="G159" i="7"/>
  <c r="M161" i="13"/>
  <c r="Q160" i="13"/>
  <c r="M162" i="20"/>
  <c r="Q161" i="20"/>
  <c r="L160" i="7"/>
  <c r="B161" i="15"/>
  <c r="A160" i="15" s="1"/>
  <c r="L161" i="3"/>
  <c r="K160" i="3"/>
  <c r="L161" i="8"/>
  <c r="L161" i="25"/>
  <c r="L160" i="21"/>
  <c r="L161" i="26"/>
  <c r="K160" i="26" s="1"/>
  <c r="B160" i="21"/>
  <c r="B16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L160" i="11"/>
  <c r="B159" i="5"/>
  <c r="L161" i="17"/>
  <c r="K160" i="17"/>
  <c r="B161" i="11"/>
  <c r="A160" i="11" s="1"/>
  <c r="L160" i="23"/>
  <c r="S2" i="21"/>
  <c r="T2" i="21" s="1"/>
  <c r="M161" i="23"/>
  <c r="Q160" i="23"/>
  <c r="L161" i="7" l="1"/>
  <c r="B160" i="5"/>
  <c r="L16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F2" i="8"/>
  <c r="H2" i="8" s="1"/>
  <c r="G162" i="20"/>
  <c r="G2" i="20"/>
  <c r="C162" i="21"/>
  <c r="G161" i="21"/>
  <c r="B162" i="20"/>
  <c r="A123" i="20"/>
  <c r="A124" i="20"/>
  <c r="A125" i="20"/>
  <c r="A126" i="20"/>
  <c r="A127" i="20"/>
  <c r="A128" i="20"/>
  <c r="A129" i="20"/>
  <c r="A130" i="20"/>
  <c r="A131" i="20"/>
  <c r="A132" i="20"/>
  <c r="A133" i="20"/>
  <c r="A134" i="20"/>
  <c r="A135" i="20"/>
  <c r="A136" i="20"/>
  <c r="A137" i="20"/>
  <c r="A138" i="20"/>
  <c r="A139" i="20"/>
  <c r="A140" i="20"/>
  <c r="A141" i="20"/>
  <c r="A142" i="20"/>
  <c r="A143" i="20"/>
  <c r="A144" i="20"/>
  <c r="A145" i="20"/>
  <c r="A146" i="20"/>
  <c r="A147" i="20"/>
  <c r="A148" i="20"/>
  <c r="A149" i="20"/>
  <c r="A150" i="20"/>
  <c r="A151" i="20"/>
  <c r="A152" i="20"/>
  <c r="A153" i="20"/>
  <c r="A154" i="20"/>
  <c r="A155" i="20"/>
  <c r="A156" i="20"/>
  <c r="A157" i="20"/>
  <c r="A158" i="20"/>
  <c r="A159" i="20"/>
  <c r="C161" i="23"/>
  <c r="G160" i="23"/>
  <c r="A160" i="7"/>
  <c r="B161" i="7"/>
  <c r="M162" i="23"/>
  <c r="Q161" i="23"/>
  <c r="B161" i="21"/>
  <c r="B160" i="17"/>
  <c r="B160" i="9"/>
  <c r="Q161" i="14"/>
  <c r="M162" i="14"/>
  <c r="H121" i="15"/>
  <c r="I121" i="15" s="1"/>
  <c r="J121" i="15" s="1"/>
  <c r="H120" i="15"/>
  <c r="I120" i="15" s="1"/>
  <c r="J120" i="15" s="1"/>
  <c r="H119" i="15"/>
  <c r="I119" i="15" s="1"/>
  <c r="J119" i="15" s="1"/>
  <c r="H159" i="15"/>
  <c r="I159" i="15" s="1"/>
  <c r="J159" i="15" s="1"/>
  <c r="H158" i="15"/>
  <c r="I158" i="15" s="1"/>
  <c r="J158" i="15" s="1"/>
  <c r="H157" i="15"/>
  <c r="I157" i="15" s="1"/>
  <c r="J157" i="15" s="1"/>
  <c r="H156" i="15"/>
  <c r="I156" i="15" s="1"/>
  <c r="J156" i="15" s="1"/>
  <c r="H155" i="15"/>
  <c r="I155" i="15" s="1"/>
  <c r="J155" i="15" s="1"/>
  <c r="H154" i="15"/>
  <c r="I154" i="15" s="1"/>
  <c r="J154" i="15" s="1"/>
  <c r="H153" i="15"/>
  <c r="I153" i="15" s="1"/>
  <c r="J153" i="15" s="1"/>
  <c r="H152" i="15"/>
  <c r="I152" i="15" s="1"/>
  <c r="J152" i="15" s="1"/>
  <c r="H151" i="15"/>
  <c r="I151" i="15" s="1"/>
  <c r="J151" i="15" s="1"/>
  <c r="H150" i="15"/>
  <c r="I150" i="15" s="1"/>
  <c r="J150" i="15" s="1"/>
  <c r="H149" i="15"/>
  <c r="I149" i="15" s="1"/>
  <c r="J149" i="15" s="1"/>
  <c r="H148" i="15"/>
  <c r="I148" i="15" s="1"/>
  <c r="J148" i="15" s="1"/>
  <c r="H147" i="15"/>
  <c r="I147" i="15" s="1"/>
  <c r="J147" i="15" s="1"/>
  <c r="H146" i="15"/>
  <c r="I146" i="15" s="1"/>
  <c r="J146" i="15" s="1"/>
  <c r="H145" i="15"/>
  <c r="I145" i="15" s="1"/>
  <c r="J145" i="15" s="1"/>
  <c r="H144" i="15"/>
  <c r="I144" i="15" s="1"/>
  <c r="J144" i="15" s="1"/>
  <c r="H143" i="15"/>
  <c r="I143" i="15" s="1"/>
  <c r="J143" i="15" s="1"/>
  <c r="H142" i="15"/>
  <c r="I142" i="15" s="1"/>
  <c r="J142" i="15" s="1"/>
  <c r="H141" i="15"/>
  <c r="I141" i="15" s="1"/>
  <c r="J141" i="15" s="1"/>
  <c r="H140" i="15"/>
  <c r="I140" i="15" s="1"/>
  <c r="J140" i="15" s="1"/>
  <c r="H139" i="15"/>
  <c r="I139" i="15" s="1"/>
  <c r="J139" i="15" s="1"/>
  <c r="H138" i="15"/>
  <c r="I138" i="15" s="1"/>
  <c r="J138" i="15" s="1"/>
  <c r="H137" i="15"/>
  <c r="I137" i="15" s="1"/>
  <c r="J137" i="15" s="1"/>
  <c r="H136" i="15"/>
  <c r="I136" i="15" s="1"/>
  <c r="J136" i="15" s="1"/>
  <c r="H135" i="15"/>
  <c r="I135" i="15" s="1"/>
  <c r="J135" i="15" s="1"/>
  <c r="H134" i="15"/>
  <c r="I134" i="15" s="1"/>
  <c r="J134" i="15" s="1"/>
  <c r="H133" i="15"/>
  <c r="I133" i="15" s="1"/>
  <c r="J133" i="15" s="1"/>
  <c r="H132" i="15"/>
  <c r="I132" i="15" s="1"/>
  <c r="J132" i="15" s="1"/>
  <c r="H131" i="15"/>
  <c r="I131" i="15" s="1"/>
  <c r="J131" i="15" s="1"/>
  <c r="H130" i="15"/>
  <c r="I130" i="15" s="1"/>
  <c r="J130" i="15" s="1"/>
  <c r="H129" i="15"/>
  <c r="I129" i="15" s="1"/>
  <c r="J129" i="15" s="1"/>
  <c r="H128" i="15"/>
  <c r="I128" i="15" s="1"/>
  <c r="J128" i="15" s="1"/>
  <c r="H127" i="15"/>
  <c r="I127" i="15" s="1"/>
  <c r="J127" i="15" s="1"/>
  <c r="H126" i="15"/>
  <c r="I126" i="15" s="1"/>
  <c r="J126" i="15" s="1"/>
  <c r="H125" i="15"/>
  <c r="I125" i="15" s="1"/>
  <c r="J125" i="15" s="1"/>
  <c r="H124" i="15"/>
  <c r="I124" i="15" s="1"/>
  <c r="J124" i="15" s="1"/>
  <c r="H123" i="15"/>
  <c r="I123" i="15" s="1"/>
  <c r="J123" i="15" s="1"/>
  <c r="H160" i="15"/>
  <c r="I160" i="15" s="1"/>
  <c r="J160" i="15" s="1"/>
  <c r="H115" i="15"/>
  <c r="I115" i="15" s="1"/>
  <c r="J115" i="15" s="1"/>
  <c r="H103" i="15"/>
  <c r="I103" i="15" s="1"/>
  <c r="J103" i="15" s="1"/>
  <c r="H87" i="15"/>
  <c r="I87" i="15" s="1"/>
  <c r="J87" i="15" s="1"/>
  <c r="H77" i="15"/>
  <c r="I77" i="15" s="1"/>
  <c r="J77" i="15" s="1"/>
  <c r="H61" i="15"/>
  <c r="I61" i="15" s="1"/>
  <c r="J61" i="15" s="1"/>
  <c r="H45" i="15"/>
  <c r="I45" i="15" s="1"/>
  <c r="J45" i="15" s="1"/>
  <c r="H104" i="15"/>
  <c r="I104" i="15" s="1"/>
  <c r="J104" i="15" s="1"/>
  <c r="H116" i="15"/>
  <c r="I116" i="15" s="1"/>
  <c r="J116" i="15" s="1"/>
  <c r="H106" i="15"/>
  <c r="I106" i="15" s="1"/>
  <c r="J106" i="15" s="1"/>
  <c r="H90" i="15"/>
  <c r="I90" i="15" s="1"/>
  <c r="J90" i="15" s="1"/>
  <c r="H64" i="15"/>
  <c r="I64" i="15" s="1"/>
  <c r="J64" i="15" s="1"/>
  <c r="H48" i="15"/>
  <c r="I48" i="15" s="1"/>
  <c r="J48" i="15" s="1"/>
  <c r="H107" i="15"/>
  <c r="I107" i="15" s="1"/>
  <c r="J107" i="15" s="1"/>
  <c r="H91" i="15"/>
  <c r="I91" i="15" s="1"/>
  <c r="J91" i="15" s="1"/>
  <c r="H80" i="15"/>
  <c r="I80" i="15" s="1"/>
  <c r="J80" i="15" s="1"/>
  <c r="H65" i="15"/>
  <c r="I65" i="15" s="1"/>
  <c r="J65" i="15" s="1"/>
  <c r="H49" i="15"/>
  <c r="I49" i="15" s="1"/>
  <c r="J49" i="15" s="1"/>
  <c r="H35" i="15"/>
  <c r="I35" i="15" s="1"/>
  <c r="J35" i="15" s="1"/>
  <c r="H34" i="15"/>
  <c r="I34" i="15" s="1"/>
  <c r="J34" i="15" s="1"/>
  <c r="H33" i="15"/>
  <c r="I33" i="15" s="1"/>
  <c r="J33" i="15" s="1"/>
  <c r="H32" i="15"/>
  <c r="I32" i="15" s="1"/>
  <c r="J32" i="15" s="1"/>
  <c r="H162" i="15"/>
  <c r="I162" i="15" s="1"/>
  <c r="J162" i="15" s="1"/>
  <c r="H108" i="15"/>
  <c r="I108" i="15" s="1"/>
  <c r="J108" i="15" s="1"/>
  <c r="H92" i="15"/>
  <c r="I92" i="15" s="1"/>
  <c r="J92" i="15" s="1"/>
  <c r="H112" i="15"/>
  <c r="I112" i="15" s="1"/>
  <c r="J112" i="15" s="1"/>
  <c r="H97" i="15"/>
  <c r="I97" i="15" s="1"/>
  <c r="J97" i="15" s="1"/>
  <c r="H71" i="15"/>
  <c r="I71" i="15" s="1"/>
  <c r="J71" i="15" s="1"/>
  <c r="H55" i="15"/>
  <c r="I55" i="15" s="1"/>
  <c r="J55" i="15" s="1"/>
  <c r="H41" i="15"/>
  <c r="I41" i="15" s="1"/>
  <c r="J41" i="15" s="1"/>
  <c r="H29" i="15"/>
  <c r="I29" i="15" s="1"/>
  <c r="J29" i="15" s="1"/>
  <c r="H28" i="15"/>
  <c r="I28" i="15" s="1"/>
  <c r="J28" i="15" s="1"/>
  <c r="H27" i="15"/>
  <c r="I27" i="15" s="1"/>
  <c r="J27" i="15" s="1"/>
  <c r="H26" i="15"/>
  <c r="I26" i="15" s="1"/>
  <c r="J26" i="15" s="1"/>
  <c r="H25" i="15"/>
  <c r="I25" i="15" s="1"/>
  <c r="J25" i="15" s="1"/>
  <c r="H24" i="15"/>
  <c r="I24" i="15" s="1"/>
  <c r="J24" i="15" s="1"/>
  <c r="H23" i="15"/>
  <c r="I23" i="15" s="1"/>
  <c r="J23" i="15" s="1"/>
  <c r="H22" i="15"/>
  <c r="I22" i="15" s="1"/>
  <c r="J22" i="15" s="1"/>
  <c r="H6" i="15"/>
  <c r="I6" i="15" s="1"/>
  <c r="J6" i="15" s="1"/>
  <c r="H122" i="15"/>
  <c r="I122" i="15" s="1"/>
  <c r="J122" i="15" s="1"/>
  <c r="H62" i="15"/>
  <c r="I62" i="15" s="1"/>
  <c r="J62" i="15" s="1"/>
  <c r="H58" i="15"/>
  <c r="I58" i="15" s="1"/>
  <c r="J58" i="15" s="1"/>
  <c r="H47" i="15"/>
  <c r="I47" i="15" s="1"/>
  <c r="J47" i="15" s="1"/>
  <c r="H31" i="15"/>
  <c r="I31" i="15" s="1"/>
  <c r="J31" i="15" s="1"/>
  <c r="H118" i="15"/>
  <c r="I118" i="15" s="1"/>
  <c r="J118" i="15" s="1"/>
  <c r="H111" i="15"/>
  <c r="I111" i="15" s="1"/>
  <c r="J111" i="15" s="1"/>
  <c r="H66" i="15"/>
  <c r="I66" i="15" s="1"/>
  <c r="J66" i="15" s="1"/>
  <c r="H36" i="15"/>
  <c r="I36" i="15" s="1"/>
  <c r="J36" i="15" s="1"/>
  <c r="H16" i="15"/>
  <c r="I16" i="15" s="1"/>
  <c r="J16" i="15" s="1"/>
  <c r="H100" i="15"/>
  <c r="I100" i="15" s="1"/>
  <c r="J100" i="15" s="1"/>
  <c r="H89" i="15"/>
  <c r="I89" i="15" s="1"/>
  <c r="J89" i="15" s="1"/>
  <c r="H83" i="15"/>
  <c r="I83" i="15" s="1"/>
  <c r="J83" i="15" s="1"/>
  <c r="H51" i="15"/>
  <c r="I51" i="15" s="1"/>
  <c r="J51" i="15" s="1"/>
  <c r="H11" i="15"/>
  <c r="I11" i="15" s="1"/>
  <c r="J11" i="15" s="1"/>
  <c r="H95" i="15"/>
  <c r="I95" i="15" s="1"/>
  <c r="J95" i="15" s="1"/>
  <c r="H70" i="15"/>
  <c r="I70" i="15" s="1"/>
  <c r="J70" i="15" s="1"/>
  <c r="H40" i="15"/>
  <c r="I40" i="15" s="1"/>
  <c r="J40" i="15" s="1"/>
  <c r="H86" i="15"/>
  <c r="I86" i="15" s="1"/>
  <c r="J86" i="15" s="1"/>
  <c r="H74" i="15"/>
  <c r="I74" i="15" s="1"/>
  <c r="J74" i="15" s="1"/>
  <c r="H63" i="15"/>
  <c r="I63" i="15" s="1"/>
  <c r="J63" i="15" s="1"/>
  <c r="H59" i="15"/>
  <c r="I59" i="15" s="1"/>
  <c r="J59" i="15" s="1"/>
  <c r="H44" i="15"/>
  <c r="I44" i="15" s="1"/>
  <c r="J44" i="15" s="1"/>
  <c r="H17" i="15"/>
  <c r="I17" i="15" s="1"/>
  <c r="J17" i="15" s="1"/>
  <c r="H114" i="15"/>
  <c r="I114" i="15" s="1"/>
  <c r="J114" i="15" s="1"/>
  <c r="H98" i="15"/>
  <c r="I98" i="15" s="1"/>
  <c r="J98" i="15" s="1"/>
  <c r="H109" i="15"/>
  <c r="I109" i="15" s="1"/>
  <c r="J109" i="15" s="1"/>
  <c r="H81" i="15"/>
  <c r="I81" i="15" s="1"/>
  <c r="J81" i="15" s="1"/>
  <c r="H78" i="15"/>
  <c r="I78" i="15" s="1"/>
  <c r="J78" i="15" s="1"/>
  <c r="H67" i="15"/>
  <c r="I67" i="15" s="1"/>
  <c r="J67" i="15" s="1"/>
  <c r="H56" i="15"/>
  <c r="I56" i="15" s="1"/>
  <c r="J56" i="15" s="1"/>
  <c r="H96" i="15"/>
  <c r="I96" i="15" s="1"/>
  <c r="J96" i="15" s="1"/>
  <c r="H72" i="15"/>
  <c r="I72" i="15" s="1"/>
  <c r="J72" i="15" s="1"/>
  <c r="H68" i="15"/>
  <c r="I68" i="15" s="1"/>
  <c r="J68" i="15" s="1"/>
  <c r="H53" i="15"/>
  <c r="I53" i="15" s="1"/>
  <c r="J53" i="15" s="1"/>
  <c r="H42" i="15"/>
  <c r="I42" i="15" s="1"/>
  <c r="J42" i="15" s="1"/>
  <c r="H38" i="15"/>
  <c r="I38" i="15" s="1"/>
  <c r="J38" i="15" s="1"/>
  <c r="H88" i="15"/>
  <c r="I88" i="15" s="1"/>
  <c r="J88" i="15" s="1"/>
  <c r="H76" i="15"/>
  <c r="I76" i="15" s="1"/>
  <c r="J76" i="15" s="1"/>
  <c r="H50" i="15"/>
  <c r="I50" i="15" s="1"/>
  <c r="J50" i="15" s="1"/>
  <c r="H113" i="15"/>
  <c r="I113" i="15" s="1"/>
  <c r="J113" i="15" s="1"/>
  <c r="H105" i="15"/>
  <c r="I105" i="15" s="1"/>
  <c r="J105" i="15" s="1"/>
  <c r="H102" i="15"/>
  <c r="I102" i="15" s="1"/>
  <c r="J102" i="15" s="1"/>
  <c r="H94" i="15"/>
  <c r="I94" i="15" s="1"/>
  <c r="J94" i="15" s="1"/>
  <c r="H85" i="15"/>
  <c r="I85" i="15" s="1"/>
  <c r="J85" i="15" s="1"/>
  <c r="H69" i="15"/>
  <c r="I69" i="15" s="1"/>
  <c r="J69" i="15" s="1"/>
  <c r="H39" i="15"/>
  <c r="I39" i="15" s="1"/>
  <c r="J39" i="15" s="1"/>
  <c r="H30" i="15"/>
  <c r="I30" i="15" s="1"/>
  <c r="J30" i="15" s="1"/>
  <c r="H21" i="15"/>
  <c r="I21" i="15" s="1"/>
  <c r="J21" i="15" s="1"/>
  <c r="H15" i="15"/>
  <c r="I15" i="15" s="1"/>
  <c r="J15" i="15" s="1"/>
  <c r="H52" i="15"/>
  <c r="I52" i="15" s="1"/>
  <c r="J52" i="15" s="1"/>
  <c r="H12" i="15"/>
  <c r="I12" i="15" s="1"/>
  <c r="J12" i="15" s="1"/>
  <c r="H8" i="15"/>
  <c r="I8" i="15" s="1"/>
  <c r="J8" i="15" s="1"/>
  <c r="H10" i="15"/>
  <c r="I10" i="15" s="1"/>
  <c r="J10" i="15" s="1"/>
  <c r="H101" i="15"/>
  <c r="I101" i="15" s="1"/>
  <c r="J101" i="15" s="1"/>
  <c r="H84" i="15"/>
  <c r="I84" i="15" s="1"/>
  <c r="J84" i="15" s="1"/>
  <c r="H19" i="15"/>
  <c r="I19" i="15" s="1"/>
  <c r="J19" i="15" s="1"/>
  <c r="H14" i="15"/>
  <c r="I14" i="15" s="1"/>
  <c r="J14" i="15" s="1"/>
  <c r="H46" i="15"/>
  <c r="I46" i="15" s="1"/>
  <c r="J46" i="15" s="1"/>
  <c r="H93" i="15"/>
  <c r="I93" i="15" s="1"/>
  <c r="J93" i="15" s="1"/>
  <c r="H18" i="15"/>
  <c r="I18" i="15" s="1"/>
  <c r="J18" i="15" s="1"/>
  <c r="H117" i="15"/>
  <c r="I117" i="15" s="1"/>
  <c r="J117" i="15" s="1"/>
  <c r="H110" i="15"/>
  <c r="I110" i="15" s="1"/>
  <c r="J110" i="15" s="1"/>
  <c r="H82" i="15"/>
  <c r="I82" i="15" s="1"/>
  <c r="J82" i="15" s="1"/>
  <c r="H75" i="15"/>
  <c r="I75" i="15" s="1"/>
  <c r="J75" i="15" s="1"/>
  <c r="H20" i="15"/>
  <c r="I20" i="15" s="1"/>
  <c r="J20" i="15" s="1"/>
  <c r="H9" i="15"/>
  <c r="I9" i="15" s="1"/>
  <c r="J9" i="15" s="1"/>
  <c r="H73" i="15"/>
  <c r="I73" i="15" s="1"/>
  <c r="J73" i="15" s="1"/>
  <c r="H99" i="15"/>
  <c r="I99" i="15" s="1"/>
  <c r="J99" i="15" s="1"/>
  <c r="H57" i="15"/>
  <c r="I57" i="15" s="1"/>
  <c r="J57" i="15" s="1"/>
  <c r="H43" i="15"/>
  <c r="I43" i="15" s="1"/>
  <c r="J43" i="15" s="1"/>
  <c r="H161" i="15"/>
  <c r="I161" i="15" s="1"/>
  <c r="J161" i="15" s="1"/>
  <c r="H7" i="15"/>
  <c r="I7" i="15" s="1"/>
  <c r="J7" i="15" s="1"/>
  <c r="H79" i="15"/>
  <c r="I79" i="15" s="1"/>
  <c r="J79" i="15" s="1"/>
  <c r="H37" i="15"/>
  <c r="I37" i="15" s="1"/>
  <c r="J37" i="15" s="1"/>
  <c r="H54" i="15"/>
  <c r="I54" i="15" s="1"/>
  <c r="J54" i="15" s="1"/>
  <c r="H13" i="15"/>
  <c r="I13" i="15" s="1"/>
  <c r="J13" i="15" s="1"/>
  <c r="H60" i="15"/>
  <c r="I60" i="15" s="1"/>
  <c r="J60" i="15" s="1"/>
  <c r="M162" i="15"/>
  <c r="Q161" i="15"/>
  <c r="C161" i="19"/>
  <c r="G160" i="19"/>
  <c r="L161" i="23"/>
  <c r="B16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B16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L162" i="15"/>
  <c r="K123" i="15"/>
  <c r="K124" i="15"/>
  <c r="K125" i="15"/>
  <c r="K126" i="15"/>
  <c r="K127" i="15"/>
  <c r="K128" i="15"/>
  <c r="K129" i="15"/>
  <c r="K130" i="15"/>
  <c r="K131" i="15"/>
  <c r="K132" i="15"/>
  <c r="K133" i="15"/>
  <c r="K134" i="15"/>
  <c r="K135" i="15"/>
  <c r="K136" i="15"/>
  <c r="K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51" i="15"/>
  <c r="K152" i="15"/>
  <c r="K153" i="15"/>
  <c r="K154" i="15"/>
  <c r="K155" i="15"/>
  <c r="K156" i="15"/>
  <c r="K157" i="15"/>
  <c r="K158" i="15"/>
  <c r="K159" i="15"/>
  <c r="B161" i="26"/>
  <c r="L161" i="9"/>
  <c r="L16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154" i="26"/>
  <c r="K155" i="26"/>
  <c r="K156" i="26"/>
  <c r="K157" i="26"/>
  <c r="K158" i="26"/>
  <c r="K159" i="26"/>
  <c r="B161" i="13"/>
  <c r="A160" i="13"/>
  <c r="P2" i="8"/>
  <c r="R2" i="8" s="1"/>
  <c r="K160" i="21"/>
  <c r="L161" i="21"/>
  <c r="L16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C161" i="7"/>
  <c r="G160" i="7"/>
  <c r="L160" i="14"/>
  <c r="C160" i="9"/>
  <c r="G159" i="9"/>
  <c r="M161" i="25"/>
  <c r="Q160" i="25"/>
  <c r="B161" i="19"/>
  <c r="A160" i="19" s="1"/>
  <c r="C162" i="26"/>
  <c r="G161" i="26"/>
  <c r="P2" i="4"/>
  <c r="R2" i="4" s="1"/>
  <c r="L162" i="25"/>
  <c r="K123" i="25"/>
  <c r="K124" i="25"/>
  <c r="K125" i="25"/>
  <c r="K126" i="25"/>
  <c r="K127" i="25"/>
  <c r="K128" i="25"/>
  <c r="K129" i="25"/>
  <c r="K130" i="25"/>
  <c r="K131" i="25"/>
  <c r="K132" i="25"/>
  <c r="K133" i="25"/>
  <c r="K134" i="25"/>
  <c r="K135" i="25"/>
  <c r="K136" i="25"/>
  <c r="K137" i="25"/>
  <c r="K138" i="25"/>
  <c r="K139" i="25"/>
  <c r="K140" i="25"/>
  <c r="K141" i="25"/>
  <c r="K142" i="25"/>
  <c r="K143" i="25"/>
  <c r="K144" i="25"/>
  <c r="K145" i="25"/>
  <c r="K146" i="25"/>
  <c r="K147" i="25"/>
  <c r="K148" i="25"/>
  <c r="K149" i="25"/>
  <c r="K150" i="25"/>
  <c r="K151" i="25"/>
  <c r="K152" i="25"/>
  <c r="K153" i="25"/>
  <c r="K154" i="25"/>
  <c r="K155" i="25"/>
  <c r="K156" i="25"/>
  <c r="K157" i="25"/>
  <c r="K158" i="25"/>
  <c r="K159" i="25"/>
  <c r="L161" i="11"/>
  <c r="K160" i="8"/>
  <c r="M162" i="13"/>
  <c r="Q161" i="13"/>
  <c r="M160" i="27"/>
  <c r="Q159" i="27"/>
  <c r="Q162" i="20"/>
  <c r="Q2" i="20"/>
  <c r="M160" i="17"/>
  <c r="Q159" i="17"/>
  <c r="Q162" i="3"/>
  <c r="Q2" i="3"/>
  <c r="C160" i="5"/>
  <c r="G159" i="5"/>
  <c r="K160" i="25"/>
  <c r="B161" i="25"/>
  <c r="A160" i="25" s="1"/>
  <c r="A160" i="14"/>
  <c r="B161" i="14"/>
  <c r="L16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C161" i="3"/>
  <c r="G160" i="3"/>
  <c r="L160" i="27"/>
  <c r="M161" i="19"/>
  <c r="Q160" i="19"/>
  <c r="K160" i="24"/>
  <c r="L161" i="24"/>
  <c r="L161" i="13"/>
  <c r="K160" i="13" s="1"/>
  <c r="Q160" i="26"/>
  <c r="M161" i="26"/>
  <c r="L161" i="4"/>
  <c r="K160" i="4" s="1"/>
  <c r="G159" i="17"/>
  <c r="C160" i="17"/>
  <c r="C161" i="24"/>
  <c r="G160" i="24"/>
  <c r="H82" i="11"/>
  <c r="I82" i="11" s="1"/>
  <c r="J82" i="11" s="1"/>
  <c r="H81" i="11"/>
  <c r="I81" i="11" s="1"/>
  <c r="J81" i="11" s="1"/>
  <c r="H80" i="11"/>
  <c r="I80" i="11" s="1"/>
  <c r="J80" i="11" s="1"/>
  <c r="H79" i="11"/>
  <c r="I79" i="11" s="1"/>
  <c r="J79" i="11" s="1"/>
  <c r="H78" i="11"/>
  <c r="I78" i="11" s="1"/>
  <c r="J78" i="11" s="1"/>
  <c r="H77" i="11"/>
  <c r="I77" i="11" s="1"/>
  <c r="J77" i="11" s="1"/>
  <c r="H76" i="11"/>
  <c r="I76" i="11" s="1"/>
  <c r="J76" i="11" s="1"/>
  <c r="H75" i="11"/>
  <c r="I75" i="11" s="1"/>
  <c r="J75" i="11" s="1"/>
  <c r="H74" i="11"/>
  <c r="I74" i="11" s="1"/>
  <c r="J74" i="11" s="1"/>
  <c r="H73" i="11"/>
  <c r="I73" i="11" s="1"/>
  <c r="J73" i="11" s="1"/>
  <c r="H72" i="11"/>
  <c r="I72" i="11" s="1"/>
  <c r="J72" i="11" s="1"/>
  <c r="H71" i="11"/>
  <c r="I71" i="11" s="1"/>
  <c r="J71" i="11" s="1"/>
  <c r="H70" i="11"/>
  <c r="I70" i="11" s="1"/>
  <c r="J70" i="11" s="1"/>
  <c r="H69" i="11"/>
  <c r="I69" i="11" s="1"/>
  <c r="J69" i="11" s="1"/>
  <c r="H68" i="11"/>
  <c r="I68" i="11" s="1"/>
  <c r="J68" i="11" s="1"/>
  <c r="H67" i="11"/>
  <c r="I67" i="11" s="1"/>
  <c r="J67" i="11" s="1"/>
  <c r="H66" i="11"/>
  <c r="I66" i="11" s="1"/>
  <c r="J66" i="11" s="1"/>
  <c r="H65" i="11"/>
  <c r="I65" i="11" s="1"/>
  <c r="J65" i="11" s="1"/>
  <c r="H64" i="11"/>
  <c r="I64" i="11" s="1"/>
  <c r="J64" i="11" s="1"/>
  <c r="H63" i="11"/>
  <c r="I63" i="11" s="1"/>
  <c r="J63" i="11" s="1"/>
  <c r="H62" i="11"/>
  <c r="I62" i="11" s="1"/>
  <c r="J62" i="11" s="1"/>
  <c r="H61" i="11"/>
  <c r="I61" i="11" s="1"/>
  <c r="J61" i="11" s="1"/>
  <c r="H60" i="11"/>
  <c r="I60" i="11" s="1"/>
  <c r="J60" i="11" s="1"/>
  <c r="H59" i="11"/>
  <c r="I59" i="11" s="1"/>
  <c r="J59" i="11" s="1"/>
  <c r="H58" i="11"/>
  <c r="I58" i="11" s="1"/>
  <c r="J58" i="11" s="1"/>
  <c r="H57" i="11"/>
  <c r="I57" i="11" s="1"/>
  <c r="J57" i="11" s="1"/>
  <c r="H56" i="11"/>
  <c r="I56" i="11" s="1"/>
  <c r="J56" i="11" s="1"/>
  <c r="H55" i="11"/>
  <c r="I55" i="11" s="1"/>
  <c r="J55" i="11" s="1"/>
  <c r="H54" i="11"/>
  <c r="I54" i="11" s="1"/>
  <c r="J54" i="11" s="1"/>
  <c r="H53" i="11"/>
  <c r="I53" i="11" s="1"/>
  <c r="J53" i="11" s="1"/>
  <c r="H52" i="11"/>
  <c r="I52" i="11" s="1"/>
  <c r="J52" i="11" s="1"/>
  <c r="H51" i="11"/>
  <c r="I51" i="11" s="1"/>
  <c r="J51" i="11" s="1"/>
  <c r="H50" i="11"/>
  <c r="I50" i="11" s="1"/>
  <c r="J50" i="11" s="1"/>
  <c r="H49" i="11"/>
  <c r="I49" i="11" s="1"/>
  <c r="J49" i="11" s="1"/>
  <c r="H48" i="11"/>
  <c r="I48" i="11" s="1"/>
  <c r="J48" i="11" s="1"/>
  <c r="H47" i="11"/>
  <c r="I47" i="11" s="1"/>
  <c r="J47" i="11" s="1"/>
  <c r="H46" i="11"/>
  <c r="I46" i="11" s="1"/>
  <c r="J46" i="11" s="1"/>
  <c r="H45" i="11"/>
  <c r="I45" i="11" s="1"/>
  <c r="J45" i="11" s="1"/>
  <c r="H83" i="11"/>
  <c r="I83" i="11" s="1"/>
  <c r="J83" i="11" s="1"/>
  <c r="H121" i="11"/>
  <c r="I121" i="11" s="1"/>
  <c r="J121" i="11" s="1"/>
  <c r="H120" i="11"/>
  <c r="I120" i="11" s="1"/>
  <c r="J120" i="11" s="1"/>
  <c r="H119" i="11"/>
  <c r="I119" i="11" s="1"/>
  <c r="J119" i="11" s="1"/>
  <c r="H118" i="11"/>
  <c r="I118" i="11" s="1"/>
  <c r="J118" i="11" s="1"/>
  <c r="H117" i="11"/>
  <c r="I117" i="11" s="1"/>
  <c r="J117" i="11" s="1"/>
  <c r="H116" i="11"/>
  <c r="I116" i="11" s="1"/>
  <c r="J116" i="11" s="1"/>
  <c r="H115" i="11"/>
  <c r="I115" i="11" s="1"/>
  <c r="J115" i="11" s="1"/>
  <c r="H114" i="11"/>
  <c r="I114" i="11" s="1"/>
  <c r="J114" i="11" s="1"/>
  <c r="H113" i="11"/>
  <c r="I113" i="11" s="1"/>
  <c r="J113" i="11" s="1"/>
  <c r="H112" i="11"/>
  <c r="I112" i="11" s="1"/>
  <c r="J112" i="11" s="1"/>
  <c r="H111" i="11"/>
  <c r="I111" i="11" s="1"/>
  <c r="J111" i="11" s="1"/>
  <c r="H110" i="11"/>
  <c r="I110" i="11" s="1"/>
  <c r="J110" i="11" s="1"/>
  <c r="H109" i="11"/>
  <c r="I109" i="11" s="1"/>
  <c r="J109" i="11" s="1"/>
  <c r="H108" i="11"/>
  <c r="I108" i="11" s="1"/>
  <c r="J108" i="11" s="1"/>
  <c r="H107" i="11"/>
  <c r="I107" i="11" s="1"/>
  <c r="J107" i="11" s="1"/>
  <c r="H106" i="11"/>
  <c r="I106" i="11" s="1"/>
  <c r="J106" i="11" s="1"/>
  <c r="H105" i="11"/>
  <c r="I105" i="11" s="1"/>
  <c r="J105" i="11" s="1"/>
  <c r="H104" i="11"/>
  <c r="I104" i="11" s="1"/>
  <c r="J104" i="11" s="1"/>
  <c r="H103" i="11"/>
  <c r="I103" i="11" s="1"/>
  <c r="J103" i="11" s="1"/>
  <c r="H102" i="11"/>
  <c r="I102" i="11" s="1"/>
  <c r="J102" i="11" s="1"/>
  <c r="H101" i="11"/>
  <c r="I101" i="11" s="1"/>
  <c r="J101" i="11" s="1"/>
  <c r="H100" i="11"/>
  <c r="I100" i="11" s="1"/>
  <c r="J100" i="11" s="1"/>
  <c r="H99" i="11"/>
  <c r="I99" i="11" s="1"/>
  <c r="J99" i="11" s="1"/>
  <c r="H98" i="11"/>
  <c r="I98" i="11" s="1"/>
  <c r="J98" i="11" s="1"/>
  <c r="H97" i="11"/>
  <c r="I97" i="11" s="1"/>
  <c r="J97" i="11" s="1"/>
  <c r="H96" i="11"/>
  <c r="I96" i="11" s="1"/>
  <c r="J96" i="11" s="1"/>
  <c r="H95" i="11"/>
  <c r="I95" i="11" s="1"/>
  <c r="J95" i="11" s="1"/>
  <c r="H94" i="11"/>
  <c r="I94" i="11" s="1"/>
  <c r="J94" i="11" s="1"/>
  <c r="H93" i="11"/>
  <c r="I93" i="11" s="1"/>
  <c r="J93" i="11" s="1"/>
  <c r="H92" i="11"/>
  <c r="I92" i="11" s="1"/>
  <c r="J92" i="11" s="1"/>
  <c r="H91" i="11"/>
  <c r="I91" i="11" s="1"/>
  <c r="J91" i="11" s="1"/>
  <c r="H90" i="11"/>
  <c r="I90" i="11" s="1"/>
  <c r="J90" i="11" s="1"/>
  <c r="H89" i="11"/>
  <c r="I89" i="11" s="1"/>
  <c r="J89" i="11" s="1"/>
  <c r="H88" i="11"/>
  <c r="I88" i="11" s="1"/>
  <c r="J88" i="11" s="1"/>
  <c r="H87" i="11"/>
  <c r="I87" i="11" s="1"/>
  <c r="J87" i="11" s="1"/>
  <c r="H86" i="11"/>
  <c r="I86" i="11" s="1"/>
  <c r="J86" i="11" s="1"/>
  <c r="H85" i="11"/>
  <c r="I85" i="11" s="1"/>
  <c r="J85" i="11" s="1"/>
  <c r="H84" i="11"/>
  <c r="I84" i="11" s="1"/>
  <c r="J84" i="11" s="1"/>
  <c r="H31" i="11"/>
  <c r="I31" i="11" s="1"/>
  <c r="J31" i="11" s="1"/>
  <c r="H30" i="11"/>
  <c r="I30" i="11" s="1"/>
  <c r="J30" i="11" s="1"/>
  <c r="H122" i="11"/>
  <c r="I122" i="11" s="1"/>
  <c r="J122" i="11" s="1"/>
  <c r="H160" i="11"/>
  <c r="I160" i="11" s="1"/>
  <c r="J160" i="11" s="1"/>
  <c r="H159" i="11"/>
  <c r="I159" i="11" s="1"/>
  <c r="J159" i="11" s="1"/>
  <c r="H158" i="11"/>
  <c r="I158" i="11" s="1"/>
  <c r="J158" i="11" s="1"/>
  <c r="H157" i="11"/>
  <c r="I157" i="11" s="1"/>
  <c r="J157" i="11" s="1"/>
  <c r="H156" i="11"/>
  <c r="I156" i="11" s="1"/>
  <c r="J156" i="11" s="1"/>
  <c r="H155" i="11"/>
  <c r="I155" i="11" s="1"/>
  <c r="J155" i="11" s="1"/>
  <c r="H154" i="11"/>
  <c r="I154" i="11" s="1"/>
  <c r="J154" i="11" s="1"/>
  <c r="H153" i="11"/>
  <c r="I153" i="11" s="1"/>
  <c r="J153" i="11" s="1"/>
  <c r="H152" i="11"/>
  <c r="I152" i="11" s="1"/>
  <c r="J152" i="11" s="1"/>
  <c r="H151" i="11"/>
  <c r="I151" i="11" s="1"/>
  <c r="J151" i="11" s="1"/>
  <c r="H150" i="11"/>
  <c r="I150" i="11" s="1"/>
  <c r="J150" i="11" s="1"/>
  <c r="H149" i="11"/>
  <c r="I149" i="11" s="1"/>
  <c r="J149" i="11" s="1"/>
  <c r="H148" i="11"/>
  <c r="I148" i="11" s="1"/>
  <c r="J148" i="11" s="1"/>
  <c r="H147" i="11"/>
  <c r="I147" i="11" s="1"/>
  <c r="J147" i="11" s="1"/>
  <c r="H146" i="11"/>
  <c r="I146" i="11" s="1"/>
  <c r="J146" i="11" s="1"/>
  <c r="H145" i="11"/>
  <c r="I145" i="11" s="1"/>
  <c r="J145" i="11" s="1"/>
  <c r="H144" i="11"/>
  <c r="I144" i="11" s="1"/>
  <c r="J144" i="11" s="1"/>
  <c r="H143" i="11"/>
  <c r="I143" i="11" s="1"/>
  <c r="J143" i="11" s="1"/>
  <c r="H142" i="11"/>
  <c r="I142" i="11" s="1"/>
  <c r="J142" i="11" s="1"/>
  <c r="H141" i="11"/>
  <c r="I141" i="11" s="1"/>
  <c r="J141" i="11" s="1"/>
  <c r="H140" i="11"/>
  <c r="I140" i="11" s="1"/>
  <c r="J140" i="11" s="1"/>
  <c r="H139" i="11"/>
  <c r="I139" i="11" s="1"/>
  <c r="J139" i="11" s="1"/>
  <c r="H138" i="11"/>
  <c r="I138" i="11" s="1"/>
  <c r="J138" i="11" s="1"/>
  <c r="H137" i="11"/>
  <c r="I137" i="11" s="1"/>
  <c r="J137" i="11" s="1"/>
  <c r="H136" i="11"/>
  <c r="I136" i="11" s="1"/>
  <c r="J136" i="11" s="1"/>
  <c r="H135" i="11"/>
  <c r="I135" i="11" s="1"/>
  <c r="J135" i="11" s="1"/>
  <c r="H134" i="11"/>
  <c r="I134" i="11" s="1"/>
  <c r="J134" i="11" s="1"/>
  <c r="H133" i="11"/>
  <c r="I133" i="11" s="1"/>
  <c r="J133" i="11" s="1"/>
  <c r="H132" i="11"/>
  <c r="I132" i="11" s="1"/>
  <c r="J132" i="11" s="1"/>
  <c r="H131" i="11"/>
  <c r="I131" i="11" s="1"/>
  <c r="J131" i="11" s="1"/>
  <c r="H130" i="11"/>
  <c r="I130" i="11" s="1"/>
  <c r="J130" i="11" s="1"/>
  <c r="H129" i="11"/>
  <c r="I129" i="11" s="1"/>
  <c r="J129" i="11" s="1"/>
  <c r="H128" i="11"/>
  <c r="I128" i="11" s="1"/>
  <c r="J128" i="11" s="1"/>
  <c r="H127" i="11"/>
  <c r="I127" i="11" s="1"/>
  <c r="J127" i="11" s="1"/>
  <c r="H126" i="11"/>
  <c r="I126" i="11" s="1"/>
  <c r="J126" i="11" s="1"/>
  <c r="H125" i="11"/>
  <c r="I125" i="11" s="1"/>
  <c r="J125" i="11" s="1"/>
  <c r="H124" i="11"/>
  <c r="I124" i="11" s="1"/>
  <c r="J124" i="11" s="1"/>
  <c r="H123" i="11"/>
  <c r="I123" i="11" s="1"/>
  <c r="J123" i="11" s="1"/>
  <c r="H29" i="11"/>
  <c r="I29" i="11" s="1"/>
  <c r="J29" i="11" s="1"/>
  <c r="H28" i="11"/>
  <c r="I28" i="11" s="1"/>
  <c r="J28" i="11" s="1"/>
  <c r="H27" i="11"/>
  <c r="I27" i="11" s="1"/>
  <c r="J27" i="11" s="1"/>
  <c r="H26" i="11"/>
  <c r="I26" i="11" s="1"/>
  <c r="J26" i="11" s="1"/>
  <c r="H25" i="11"/>
  <c r="I25" i="11" s="1"/>
  <c r="J25" i="11" s="1"/>
  <c r="H24" i="11"/>
  <c r="I24" i="11" s="1"/>
  <c r="J24" i="11" s="1"/>
  <c r="H23" i="11"/>
  <c r="I23" i="11" s="1"/>
  <c r="J23" i="11" s="1"/>
  <c r="H22" i="11"/>
  <c r="I22" i="11" s="1"/>
  <c r="J22" i="11" s="1"/>
  <c r="H162" i="11"/>
  <c r="I162" i="11" s="1"/>
  <c r="J162" i="11" s="1"/>
  <c r="H161" i="11"/>
  <c r="I161" i="11" s="1"/>
  <c r="J161" i="11" s="1"/>
  <c r="H18" i="11"/>
  <c r="I18" i="11" s="1"/>
  <c r="J18" i="11" s="1"/>
  <c r="H42" i="11"/>
  <c r="I42" i="11" s="1"/>
  <c r="J42" i="11" s="1"/>
  <c r="H14" i="11"/>
  <c r="I14" i="11" s="1"/>
  <c r="J14" i="11" s="1"/>
  <c r="H10" i="11"/>
  <c r="I10" i="11" s="1"/>
  <c r="J10" i="11" s="1"/>
  <c r="H6" i="11"/>
  <c r="I6" i="11" s="1"/>
  <c r="J6" i="11" s="1"/>
  <c r="H39" i="11"/>
  <c r="I39" i="11" s="1"/>
  <c r="J39" i="11" s="1"/>
  <c r="H36" i="11"/>
  <c r="I36" i="11" s="1"/>
  <c r="J36" i="11" s="1"/>
  <c r="H33" i="11"/>
  <c r="I33" i="11" s="1"/>
  <c r="J33" i="11" s="1"/>
  <c r="H19" i="11"/>
  <c r="I19" i="11" s="1"/>
  <c r="J19" i="11" s="1"/>
  <c r="H40" i="11"/>
  <c r="I40" i="11" s="1"/>
  <c r="J40" i="11" s="1"/>
  <c r="H7" i="11"/>
  <c r="I7" i="11" s="1"/>
  <c r="J7" i="11" s="1"/>
  <c r="H20" i="11"/>
  <c r="I20" i="11" s="1"/>
  <c r="J20" i="11" s="1"/>
  <c r="H16" i="11"/>
  <c r="I16" i="11" s="1"/>
  <c r="J16" i="11" s="1"/>
  <c r="H34" i="11"/>
  <c r="I34" i="11" s="1"/>
  <c r="J34" i="11" s="1"/>
  <c r="H32" i="11"/>
  <c r="I32" i="11" s="1"/>
  <c r="J32" i="11" s="1"/>
  <c r="H12" i="11"/>
  <c r="I12" i="11" s="1"/>
  <c r="J12" i="11" s="1"/>
  <c r="H8" i="11"/>
  <c r="I8" i="11" s="1"/>
  <c r="J8" i="11" s="1"/>
  <c r="H38" i="11"/>
  <c r="I38" i="11" s="1"/>
  <c r="J38" i="11" s="1"/>
  <c r="H13" i="11"/>
  <c r="I13" i="11" s="1"/>
  <c r="J13" i="11" s="1"/>
  <c r="H43" i="11"/>
  <c r="I43" i="11" s="1"/>
  <c r="J43" i="11" s="1"/>
  <c r="H9" i="11"/>
  <c r="I9" i="11" s="1"/>
  <c r="J9" i="11" s="1"/>
  <c r="H15" i="11"/>
  <c r="I15" i="11" s="1"/>
  <c r="J15" i="11" s="1"/>
  <c r="H35" i="11"/>
  <c r="I35" i="11" s="1"/>
  <c r="J35" i="11" s="1"/>
  <c r="H21" i="11"/>
  <c r="I21" i="11" s="1"/>
  <c r="J21" i="11" s="1"/>
  <c r="H44" i="11"/>
  <c r="I44" i="11" s="1"/>
  <c r="J44" i="11" s="1"/>
  <c r="H37" i="11"/>
  <c r="I37" i="11" s="1"/>
  <c r="J37" i="11" s="1"/>
  <c r="H41" i="11"/>
  <c r="I41" i="11" s="1"/>
  <c r="J41" i="11" s="1"/>
  <c r="H17" i="11"/>
  <c r="I17" i="11" s="1"/>
  <c r="J17" i="11" s="1"/>
  <c r="H11" i="11"/>
  <c r="I11" i="11" s="1"/>
  <c r="J11" i="11" s="1"/>
  <c r="G162" i="13"/>
  <c r="G2" i="13"/>
  <c r="Q162" i="14" l="1"/>
  <c r="Q2" i="14"/>
  <c r="M161" i="17"/>
  <c r="Q160" i="17"/>
  <c r="L16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B161" i="9"/>
  <c r="A160" i="9"/>
  <c r="B16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L16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C162" i="7"/>
  <c r="G161" i="7"/>
  <c r="B16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C162" i="19"/>
  <c r="G161" i="19"/>
  <c r="G162" i="21"/>
  <c r="G2" i="21"/>
  <c r="P2" i="20"/>
  <c r="R2" i="20" s="1"/>
  <c r="Q162" i="15"/>
  <c r="Q2" i="15"/>
  <c r="F2" i="20"/>
  <c r="H2" i="20" s="1"/>
  <c r="R162" i="8"/>
  <c r="S162" i="8" s="1"/>
  <c r="T162" i="8" s="1"/>
  <c r="R159" i="8"/>
  <c r="S159" i="8" s="1"/>
  <c r="T159" i="8" s="1"/>
  <c r="R143" i="8"/>
  <c r="S143" i="8" s="1"/>
  <c r="T143" i="8" s="1"/>
  <c r="R127" i="8"/>
  <c r="S127" i="8" s="1"/>
  <c r="T127" i="8" s="1"/>
  <c r="R121" i="8"/>
  <c r="S121" i="8" s="1"/>
  <c r="T121" i="8" s="1"/>
  <c r="R117" i="8"/>
  <c r="S117" i="8" s="1"/>
  <c r="T117" i="8" s="1"/>
  <c r="R102" i="8"/>
  <c r="S102" i="8" s="1"/>
  <c r="T102" i="8" s="1"/>
  <c r="R86" i="8"/>
  <c r="S86" i="8" s="1"/>
  <c r="T86" i="8" s="1"/>
  <c r="R42" i="8"/>
  <c r="S42" i="8" s="1"/>
  <c r="T42" i="8" s="1"/>
  <c r="R6" i="8"/>
  <c r="S6" i="8" s="1"/>
  <c r="T6" i="8" s="1"/>
  <c r="R156" i="8"/>
  <c r="S156" i="8" s="1"/>
  <c r="T156" i="8" s="1"/>
  <c r="R140" i="8"/>
  <c r="S140" i="8" s="1"/>
  <c r="T140" i="8" s="1"/>
  <c r="R124" i="8"/>
  <c r="S124" i="8" s="1"/>
  <c r="T124" i="8" s="1"/>
  <c r="R113" i="8"/>
  <c r="S113" i="8" s="1"/>
  <c r="T113" i="8" s="1"/>
  <c r="R97" i="8"/>
  <c r="S97" i="8" s="1"/>
  <c r="T97" i="8" s="1"/>
  <c r="R74" i="8"/>
  <c r="S74" i="8" s="1"/>
  <c r="T74" i="8" s="1"/>
  <c r="R66" i="8"/>
  <c r="S66" i="8" s="1"/>
  <c r="T66" i="8" s="1"/>
  <c r="R58" i="8"/>
  <c r="S58" i="8" s="1"/>
  <c r="T58" i="8" s="1"/>
  <c r="R50" i="8"/>
  <c r="S50" i="8" s="1"/>
  <c r="T50" i="8" s="1"/>
  <c r="R43" i="8"/>
  <c r="S43" i="8" s="1"/>
  <c r="T43" i="8" s="1"/>
  <c r="R26" i="8"/>
  <c r="S26" i="8" s="1"/>
  <c r="T26" i="8" s="1"/>
  <c r="R7" i="8"/>
  <c r="S7" i="8" s="1"/>
  <c r="T7" i="8" s="1"/>
  <c r="R153" i="8"/>
  <c r="S153" i="8" s="1"/>
  <c r="T153" i="8" s="1"/>
  <c r="R137" i="8"/>
  <c r="S137" i="8" s="1"/>
  <c r="T137" i="8" s="1"/>
  <c r="R108" i="8"/>
  <c r="S108" i="8" s="1"/>
  <c r="T108" i="8" s="1"/>
  <c r="R92" i="8"/>
  <c r="S92" i="8" s="1"/>
  <c r="T92" i="8" s="1"/>
  <c r="R82" i="8"/>
  <c r="S82" i="8" s="1"/>
  <c r="T82" i="8" s="1"/>
  <c r="R8" i="8"/>
  <c r="S8" i="8" s="1"/>
  <c r="T8" i="8" s="1"/>
  <c r="R150" i="8"/>
  <c r="S150" i="8" s="1"/>
  <c r="T150" i="8" s="1"/>
  <c r="R134" i="8"/>
  <c r="S134" i="8" s="1"/>
  <c r="T134" i="8" s="1"/>
  <c r="R103" i="8"/>
  <c r="S103" i="8" s="1"/>
  <c r="T103" i="8" s="1"/>
  <c r="R87" i="8"/>
  <c r="S87" i="8" s="1"/>
  <c r="T87" i="8" s="1"/>
  <c r="R75" i="8"/>
  <c r="S75" i="8" s="1"/>
  <c r="T75" i="8" s="1"/>
  <c r="R67" i="8"/>
  <c r="S67" i="8" s="1"/>
  <c r="T67" i="8" s="1"/>
  <c r="R59" i="8"/>
  <c r="S59" i="8" s="1"/>
  <c r="T59" i="8" s="1"/>
  <c r="R51" i="8"/>
  <c r="S51" i="8" s="1"/>
  <c r="T51" i="8" s="1"/>
  <c r="R27" i="8"/>
  <c r="S27" i="8" s="1"/>
  <c r="T27" i="8" s="1"/>
  <c r="R9" i="8"/>
  <c r="S9" i="8" s="1"/>
  <c r="T9" i="8" s="1"/>
  <c r="R147" i="8"/>
  <c r="S147" i="8" s="1"/>
  <c r="T147" i="8" s="1"/>
  <c r="R131" i="8"/>
  <c r="S131" i="8" s="1"/>
  <c r="T131" i="8" s="1"/>
  <c r="R118" i="8"/>
  <c r="S118" i="8" s="1"/>
  <c r="T118" i="8" s="1"/>
  <c r="R114" i="8"/>
  <c r="S114" i="8" s="1"/>
  <c r="T114" i="8" s="1"/>
  <c r="R98" i="8"/>
  <c r="S98" i="8" s="1"/>
  <c r="T98" i="8" s="1"/>
  <c r="R10" i="8"/>
  <c r="S10" i="8" s="1"/>
  <c r="T10" i="8" s="1"/>
  <c r="R157" i="8"/>
  <c r="S157" i="8" s="1"/>
  <c r="T157" i="8" s="1"/>
  <c r="R154" i="8"/>
  <c r="S154" i="8" s="1"/>
  <c r="T154" i="8" s="1"/>
  <c r="R138" i="8"/>
  <c r="S138" i="8" s="1"/>
  <c r="T138" i="8" s="1"/>
  <c r="R122" i="8"/>
  <c r="S122" i="8" s="1"/>
  <c r="T122" i="8" s="1"/>
  <c r="R99" i="8"/>
  <c r="S99" i="8" s="1"/>
  <c r="T99" i="8" s="1"/>
  <c r="R83" i="8"/>
  <c r="S83" i="8" s="1"/>
  <c r="T83" i="8" s="1"/>
  <c r="R77" i="8"/>
  <c r="S77" i="8" s="1"/>
  <c r="T77" i="8" s="1"/>
  <c r="R69" i="8"/>
  <c r="S69" i="8" s="1"/>
  <c r="T69" i="8" s="1"/>
  <c r="R61" i="8"/>
  <c r="S61" i="8" s="1"/>
  <c r="T61" i="8" s="1"/>
  <c r="R53" i="8"/>
  <c r="S53" i="8" s="1"/>
  <c r="T53" i="8" s="1"/>
  <c r="R45" i="8"/>
  <c r="S45" i="8" s="1"/>
  <c r="T45" i="8" s="1"/>
  <c r="R33" i="8"/>
  <c r="S33" i="8" s="1"/>
  <c r="T33" i="8" s="1"/>
  <c r="R30" i="8"/>
  <c r="S30" i="8" s="1"/>
  <c r="T30" i="8" s="1"/>
  <c r="R29" i="8"/>
  <c r="S29" i="8" s="1"/>
  <c r="T29" i="8" s="1"/>
  <c r="R13" i="8"/>
  <c r="S13" i="8" s="1"/>
  <c r="T13" i="8" s="1"/>
  <c r="R152" i="8"/>
  <c r="S152" i="8" s="1"/>
  <c r="T152" i="8" s="1"/>
  <c r="R135" i="8"/>
  <c r="S135" i="8" s="1"/>
  <c r="T135" i="8" s="1"/>
  <c r="R68" i="8"/>
  <c r="S68" i="8" s="1"/>
  <c r="T68" i="8" s="1"/>
  <c r="R18" i="8"/>
  <c r="S18" i="8" s="1"/>
  <c r="T18" i="8" s="1"/>
  <c r="R15" i="8"/>
  <c r="S15" i="8" s="1"/>
  <c r="T15" i="8" s="1"/>
  <c r="R141" i="8"/>
  <c r="S141" i="8" s="1"/>
  <c r="T141" i="8" s="1"/>
  <c r="R133" i="8"/>
  <c r="S133" i="8" s="1"/>
  <c r="T133" i="8" s="1"/>
  <c r="R107" i="8"/>
  <c r="S107" i="8" s="1"/>
  <c r="T107" i="8" s="1"/>
  <c r="R105" i="8"/>
  <c r="S105" i="8" s="1"/>
  <c r="T105" i="8" s="1"/>
  <c r="R80" i="8"/>
  <c r="S80" i="8" s="1"/>
  <c r="T80" i="8" s="1"/>
  <c r="R63" i="8"/>
  <c r="S63" i="8" s="1"/>
  <c r="T63" i="8" s="1"/>
  <c r="R48" i="8"/>
  <c r="S48" i="8" s="1"/>
  <c r="T48" i="8" s="1"/>
  <c r="R24" i="8"/>
  <c r="S24" i="8" s="1"/>
  <c r="T24" i="8" s="1"/>
  <c r="R139" i="8"/>
  <c r="S139" i="8" s="1"/>
  <c r="T139" i="8" s="1"/>
  <c r="R120" i="8"/>
  <c r="S120" i="8" s="1"/>
  <c r="T120" i="8" s="1"/>
  <c r="R116" i="8"/>
  <c r="S116" i="8" s="1"/>
  <c r="T116" i="8" s="1"/>
  <c r="R96" i="8"/>
  <c r="S96" i="8" s="1"/>
  <c r="T96" i="8" s="1"/>
  <c r="R94" i="8"/>
  <c r="S94" i="8" s="1"/>
  <c r="T94" i="8" s="1"/>
  <c r="R78" i="8"/>
  <c r="S78" i="8" s="1"/>
  <c r="T78" i="8" s="1"/>
  <c r="R46" i="8"/>
  <c r="S46" i="8" s="1"/>
  <c r="T46" i="8" s="1"/>
  <c r="R38" i="8"/>
  <c r="S38" i="8" s="1"/>
  <c r="T38" i="8" s="1"/>
  <c r="R158" i="8"/>
  <c r="S158" i="8" s="1"/>
  <c r="T158" i="8" s="1"/>
  <c r="R73" i="8"/>
  <c r="S73" i="8" s="1"/>
  <c r="T73" i="8" s="1"/>
  <c r="R22" i="8"/>
  <c r="S22" i="8" s="1"/>
  <c r="T22" i="8" s="1"/>
  <c r="R160" i="8"/>
  <c r="S160" i="8" s="1"/>
  <c r="T160" i="8" s="1"/>
  <c r="R71" i="8"/>
  <c r="S71" i="8" s="1"/>
  <c r="T71" i="8" s="1"/>
  <c r="R56" i="8"/>
  <c r="S56" i="8" s="1"/>
  <c r="T56" i="8" s="1"/>
  <c r="R36" i="8"/>
  <c r="S36" i="8" s="1"/>
  <c r="T36" i="8" s="1"/>
  <c r="R19" i="8"/>
  <c r="S19" i="8" s="1"/>
  <c r="T19" i="8" s="1"/>
  <c r="R151" i="8"/>
  <c r="S151" i="8" s="1"/>
  <c r="T151" i="8" s="1"/>
  <c r="R101" i="8"/>
  <c r="S101" i="8" s="1"/>
  <c r="T101" i="8" s="1"/>
  <c r="R54" i="8"/>
  <c r="S54" i="8" s="1"/>
  <c r="T54" i="8" s="1"/>
  <c r="R149" i="8"/>
  <c r="S149" i="8" s="1"/>
  <c r="T149" i="8" s="1"/>
  <c r="R132" i="8"/>
  <c r="S132" i="8" s="1"/>
  <c r="T132" i="8" s="1"/>
  <c r="R130" i="8"/>
  <c r="S130" i="8" s="1"/>
  <c r="T130" i="8" s="1"/>
  <c r="R90" i="8"/>
  <c r="S90" i="8" s="1"/>
  <c r="T90" i="8" s="1"/>
  <c r="R81" i="8"/>
  <c r="S81" i="8" s="1"/>
  <c r="T81" i="8" s="1"/>
  <c r="R49" i="8"/>
  <c r="S49" i="8" s="1"/>
  <c r="T49" i="8" s="1"/>
  <c r="R25" i="8"/>
  <c r="S25" i="8" s="1"/>
  <c r="T25" i="8" s="1"/>
  <c r="R123" i="8"/>
  <c r="S123" i="8" s="1"/>
  <c r="T123" i="8" s="1"/>
  <c r="R111" i="8"/>
  <c r="S111" i="8" s="1"/>
  <c r="T111" i="8" s="1"/>
  <c r="R109" i="8"/>
  <c r="S109" i="8" s="1"/>
  <c r="T109" i="8" s="1"/>
  <c r="R84" i="8"/>
  <c r="S84" i="8" s="1"/>
  <c r="T84" i="8" s="1"/>
  <c r="R60" i="8"/>
  <c r="S60" i="8" s="1"/>
  <c r="T60" i="8" s="1"/>
  <c r="R148" i="8"/>
  <c r="S148" i="8" s="1"/>
  <c r="T148" i="8" s="1"/>
  <c r="R146" i="8"/>
  <c r="S146" i="8" s="1"/>
  <c r="T146" i="8" s="1"/>
  <c r="R72" i="8"/>
  <c r="S72" i="8" s="1"/>
  <c r="T72" i="8" s="1"/>
  <c r="R55" i="8"/>
  <c r="S55" i="8" s="1"/>
  <c r="T55" i="8" s="1"/>
  <c r="R88" i="8"/>
  <c r="S88" i="8" s="1"/>
  <c r="T88" i="8" s="1"/>
  <c r="R23" i="8"/>
  <c r="S23" i="8" s="1"/>
  <c r="T23" i="8" s="1"/>
  <c r="R21" i="8"/>
  <c r="S21" i="8" s="1"/>
  <c r="T21" i="8" s="1"/>
  <c r="R104" i="8"/>
  <c r="S104" i="8" s="1"/>
  <c r="T104" i="8" s="1"/>
  <c r="R28" i="8"/>
  <c r="S28" i="8" s="1"/>
  <c r="T28" i="8" s="1"/>
  <c r="R17" i="8"/>
  <c r="S17" i="8" s="1"/>
  <c r="T17" i="8" s="1"/>
  <c r="R142" i="8"/>
  <c r="S142" i="8" s="1"/>
  <c r="T142" i="8" s="1"/>
  <c r="R110" i="8"/>
  <c r="S110" i="8" s="1"/>
  <c r="T110" i="8" s="1"/>
  <c r="R91" i="8"/>
  <c r="S91" i="8" s="1"/>
  <c r="T91" i="8" s="1"/>
  <c r="R57" i="8"/>
  <c r="S57" i="8" s="1"/>
  <c r="T57" i="8" s="1"/>
  <c r="R41" i="8"/>
  <c r="S41" i="8" s="1"/>
  <c r="T41" i="8" s="1"/>
  <c r="R44" i="8"/>
  <c r="S44" i="8" s="1"/>
  <c r="T44" i="8" s="1"/>
  <c r="R145" i="8"/>
  <c r="S145" i="8" s="1"/>
  <c r="T145" i="8" s="1"/>
  <c r="R100" i="8"/>
  <c r="S100" i="8" s="1"/>
  <c r="T100" i="8" s="1"/>
  <c r="R93" i="8"/>
  <c r="S93" i="8" s="1"/>
  <c r="T93" i="8" s="1"/>
  <c r="R65" i="8"/>
  <c r="S65" i="8" s="1"/>
  <c r="T65" i="8" s="1"/>
  <c r="R62" i="8"/>
  <c r="S62" i="8" s="1"/>
  <c r="T62" i="8" s="1"/>
  <c r="R47" i="8"/>
  <c r="S47" i="8" s="1"/>
  <c r="T47" i="8" s="1"/>
  <c r="R35" i="8"/>
  <c r="S35" i="8" s="1"/>
  <c r="T35" i="8" s="1"/>
  <c r="R126" i="8"/>
  <c r="S126" i="8" s="1"/>
  <c r="T126" i="8" s="1"/>
  <c r="R106" i="8"/>
  <c r="S106" i="8" s="1"/>
  <c r="T106" i="8" s="1"/>
  <c r="R16" i="8"/>
  <c r="S16" i="8" s="1"/>
  <c r="T16" i="8" s="1"/>
  <c r="R14" i="8"/>
  <c r="S14" i="8" s="1"/>
  <c r="T14" i="8" s="1"/>
  <c r="R89" i="8"/>
  <c r="S89" i="8" s="1"/>
  <c r="T89" i="8" s="1"/>
  <c r="R11" i="8"/>
  <c r="S11" i="8" s="1"/>
  <c r="T11" i="8" s="1"/>
  <c r="R79" i="8"/>
  <c r="S79" i="8" s="1"/>
  <c r="T79" i="8" s="1"/>
  <c r="R136" i="8"/>
  <c r="S136" i="8" s="1"/>
  <c r="T136" i="8" s="1"/>
  <c r="R70" i="8"/>
  <c r="S70" i="8" s="1"/>
  <c r="T70" i="8" s="1"/>
  <c r="R52" i="8"/>
  <c r="S52" i="8" s="1"/>
  <c r="T52" i="8" s="1"/>
  <c r="R39" i="8"/>
  <c r="S39" i="8" s="1"/>
  <c r="T39" i="8" s="1"/>
  <c r="R161" i="8"/>
  <c r="S161" i="8" s="1"/>
  <c r="T161" i="8" s="1"/>
  <c r="R115" i="8"/>
  <c r="S115" i="8" s="1"/>
  <c r="T115" i="8" s="1"/>
  <c r="R34" i="8"/>
  <c r="S34" i="8" s="1"/>
  <c r="T34" i="8" s="1"/>
  <c r="R155" i="8"/>
  <c r="S155" i="8" s="1"/>
  <c r="T155" i="8" s="1"/>
  <c r="R144" i="8"/>
  <c r="S144" i="8" s="1"/>
  <c r="T144" i="8" s="1"/>
  <c r="R129" i="8"/>
  <c r="S129" i="8" s="1"/>
  <c r="T129" i="8" s="1"/>
  <c r="R119" i="8"/>
  <c r="S119" i="8" s="1"/>
  <c r="T119" i="8" s="1"/>
  <c r="R112" i="8"/>
  <c r="S112" i="8" s="1"/>
  <c r="T112" i="8" s="1"/>
  <c r="R31" i="8"/>
  <c r="S31" i="8" s="1"/>
  <c r="T31" i="8" s="1"/>
  <c r="R76" i="8"/>
  <c r="S76" i="8" s="1"/>
  <c r="T76" i="8" s="1"/>
  <c r="R64" i="8"/>
  <c r="S64" i="8" s="1"/>
  <c r="T64" i="8" s="1"/>
  <c r="R12" i="8"/>
  <c r="S12" i="8" s="1"/>
  <c r="T12" i="8" s="1"/>
  <c r="R40" i="8"/>
  <c r="S40" i="8" s="1"/>
  <c r="T40" i="8" s="1"/>
  <c r="R20" i="8"/>
  <c r="S20" i="8" s="1"/>
  <c r="T20" i="8" s="1"/>
  <c r="R128" i="8"/>
  <c r="S128" i="8" s="1"/>
  <c r="T128" i="8" s="1"/>
  <c r="R32" i="8"/>
  <c r="S32" i="8" s="1"/>
  <c r="T32" i="8" s="1"/>
  <c r="R85" i="8"/>
  <c r="S85" i="8" s="1"/>
  <c r="T85" i="8" s="1"/>
  <c r="R125" i="8"/>
  <c r="S125" i="8" s="1"/>
  <c r="T125" i="8" s="1"/>
  <c r="R37" i="8"/>
  <c r="S37" i="8" s="1"/>
  <c r="T37" i="8" s="1"/>
  <c r="R95" i="8"/>
  <c r="S95" i="8" s="1"/>
  <c r="T95" i="8" s="1"/>
  <c r="L16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B162" i="25"/>
  <c r="A123" i="25"/>
  <c r="A124" i="25"/>
  <c r="A125" i="25"/>
  <c r="A126" i="25"/>
  <c r="A127" i="25"/>
  <c r="A128" i="25"/>
  <c r="A129" i="25"/>
  <c r="A130" i="25"/>
  <c r="A131" i="25"/>
  <c r="A132" i="25"/>
  <c r="A133" i="25"/>
  <c r="A134" i="25"/>
  <c r="A135" i="25"/>
  <c r="A136" i="25"/>
  <c r="A137" i="25"/>
  <c r="A138" i="25"/>
  <c r="A139" i="25"/>
  <c r="A140" i="25"/>
  <c r="A141" i="25"/>
  <c r="A142" i="25"/>
  <c r="A143" i="25"/>
  <c r="A144" i="25"/>
  <c r="A145" i="25"/>
  <c r="A146" i="25"/>
  <c r="A147" i="25"/>
  <c r="A148" i="25"/>
  <c r="A149" i="25"/>
  <c r="A150" i="25"/>
  <c r="A151" i="25"/>
  <c r="A152" i="25"/>
  <c r="A153" i="25"/>
  <c r="A154" i="25"/>
  <c r="A155" i="25"/>
  <c r="A156" i="25"/>
  <c r="A157" i="25"/>
  <c r="A158" i="25"/>
  <c r="A159" i="25"/>
  <c r="I2" i="11"/>
  <c r="J2" i="11" s="1"/>
  <c r="X21" i="11" s="1"/>
  <c r="L162" i="24"/>
  <c r="K123" i="24"/>
  <c r="K124" i="24"/>
  <c r="K125" i="24"/>
  <c r="K126" i="24"/>
  <c r="K127" i="24"/>
  <c r="K128" i="24"/>
  <c r="K129" i="24"/>
  <c r="K130" i="24"/>
  <c r="K131" i="24"/>
  <c r="K132" i="24"/>
  <c r="K133" i="24"/>
  <c r="K134" i="24"/>
  <c r="K135" i="24"/>
  <c r="K136" i="24"/>
  <c r="K137" i="24"/>
  <c r="K138" i="24"/>
  <c r="K139" i="24"/>
  <c r="K140" i="24"/>
  <c r="K141" i="24"/>
  <c r="K142" i="24"/>
  <c r="K143" i="24"/>
  <c r="K144" i="24"/>
  <c r="K145" i="24"/>
  <c r="K146" i="24"/>
  <c r="K147" i="24"/>
  <c r="K148" i="24"/>
  <c r="K149" i="24"/>
  <c r="K150" i="24"/>
  <c r="K151" i="24"/>
  <c r="K152" i="24"/>
  <c r="K153" i="24"/>
  <c r="K154" i="24"/>
  <c r="K155" i="24"/>
  <c r="K156" i="24"/>
  <c r="K157" i="24"/>
  <c r="K158" i="24"/>
  <c r="K159" i="24"/>
  <c r="B161" i="17"/>
  <c r="H44" i="8"/>
  <c r="I44" i="8" s="1"/>
  <c r="J44" i="8" s="1"/>
  <c r="H82" i="8"/>
  <c r="I82" i="8" s="1"/>
  <c r="J82" i="8" s="1"/>
  <c r="H81" i="8"/>
  <c r="I81" i="8" s="1"/>
  <c r="J81" i="8" s="1"/>
  <c r="H80" i="8"/>
  <c r="I80" i="8" s="1"/>
  <c r="J80" i="8" s="1"/>
  <c r="H79" i="8"/>
  <c r="I79" i="8" s="1"/>
  <c r="J79" i="8" s="1"/>
  <c r="H78" i="8"/>
  <c r="I78" i="8" s="1"/>
  <c r="J78" i="8" s="1"/>
  <c r="H77" i="8"/>
  <c r="I77" i="8" s="1"/>
  <c r="J77" i="8" s="1"/>
  <c r="H76" i="8"/>
  <c r="I76" i="8" s="1"/>
  <c r="J76" i="8" s="1"/>
  <c r="H75" i="8"/>
  <c r="I75" i="8" s="1"/>
  <c r="J75" i="8" s="1"/>
  <c r="H74" i="8"/>
  <c r="I74" i="8" s="1"/>
  <c r="J74" i="8" s="1"/>
  <c r="H73" i="8"/>
  <c r="I73" i="8" s="1"/>
  <c r="J73" i="8" s="1"/>
  <c r="H72" i="8"/>
  <c r="I72" i="8" s="1"/>
  <c r="J72" i="8" s="1"/>
  <c r="H71" i="8"/>
  <c r="I71" i="8" s="1"/>
  <c r="J71" i="8" s="1"/>
  <c r="H70" i="8"/>
  <c r="I70" i="8" s="1"/>
  <c r="J70" i="8" s="1"/>
  <c r="H69" i="8"/>
  <c r="I69" i="8" s="1"/>
  <c r="J69" i="8" s="1"/>
  <c r="H68" i="8"/>
  <c r="I68" i="8" s="1"/>
  <c r="J68" i="8" s="1"/>
  <c r="H67" i="8"/>
  <c r="I67" i="8" s="1"/>
  <c r="J67" i="8" s="1"/>
  <c r="H66" i="8"/>
  <c r="I66" i="8" s="1"/>
  <c r="J66" i="8" s="1"/>
  <c r="H65" i="8"/>
  <c r="I65" i="8" s="1"/>
  <c r="J65" i="8" s="1"/>
  <c r="H64" i="8"/>
  <c r="I64" i="8" s="1"/>
  <c r="J64" i="8" s="1"/>
  <c r="H63" i="8"/>
  <c r="I63" i="8" s="1"/>
  <c r="J63" i="8" s="1"/>
  <c r="H62" i="8"/>
  <c r="I62" i="8" s="1"/>
  <c r="J62" i="8" s="1"/>
  <c r="H61" i="8"/>
  <c r="I61" i="8" s="1"/>
  <c r="J61" i="8" s="1"/>
  <c r="H60" i="8"/>
  <c r="I60" i="8" s="1"/>
  <c r="J60" i="8" s="1"/>
  <c r="H59" i="8"/>
  <c r="I59" i="8" s="1"/>
  <c r="J59" i="8" s="1"/>
  <c r="H58" i="8"/>
  <c r="I58" i="8" s="1"/>
  <c r="J58" i="8" s="1"/>
  <c r="H57" i="8"/>
  <c r="I57" i="8" s="1"/>
  <c r="J57" i="8" s="1"/>
  <c r="H56" i="8"/>
  <c r="I56" i="8" s="1"/>
  <c r="J56" i="8" s="1"/>
  <c r="H55" i="8"/>
  <c r="I55" i="8" s="1"/>
  <c r="J55" i="8" s="1"/>
  <c r="H54" i="8"/>
  <c r="I54" i="8" s="1"/>
  <c r="J54" i="8" s="1"/>
  <c r="H53" i="8"/>
  <c r="I53" i="8" s="1"/>
  <c r="J53" i="8" s="1"/>
  <c r="H52" i="8"/>
  <c r="I52" i="8" s="1"/>
  <c r="J52" i="8" s="1"/>
  <c r="H51" i="8"/>
  <c r="I51" i="8" s="1"/>
  <c r="J51" i="8" s="1"/>
  <c r="H50" i="8"/>
  <c r="I50" i="8" s="1"/>
  <c r="J50" i="8" s="1"/>
  <c r="H49" i="8"/>
  <c r="I49" i="8" s="1"/>
  <c r="J49" i="8" s="1"/>
  <c r="H48" i="8"/>
  <c r="I48" i="8" s="1"/>
  <c r="J48" i="8" s="1"/>
  <c r="H47" i="8"/>
  <c r="I47" i="8" s="1"/>
  <c r="J47" i="8" s="1"/>
  <c r="H46" i="8"/>
  <c r="I46" i="8" s="1"/>
  <c r="J46" i="8" s="1"/>
  <c r="H45" i="8"/>
  <c r="I45" i="8" s="1"/>
  <c r="J45" i="8" s="1"/>
  <c r="H160" i="8"/>
  <c r="I160" i="8" s="1"/>
  <c r="J160" i="8" s="1"/>
  <c r="H159" i="8"/>
  <c r="I159" i="8" s="1"/>
  <c r="J159" i="8" s="1"/>
  <c r="H158" i="8"/>
  <c r="I158" i="8" s="1"/>
  <c r="J158" i="8" s="1"/>
  <c r="H157" i="8"/>
  <c r="I157" i="8" s="1"/>
  <c r="J157" i="8" s="1"/>
  <c r="H156" i="8"/>
  <c r="I156" i="8" s="1"/>
  <c r="J156" i="8" s="1"/>
  <c r="H155" i="8"/>
  <c r="I155" i="8" s="1"/>
  <c r="J155" i="8" s="1"/>
  <c r="H154" i="8"/>
  <c r="I154" i="8" s="1"/>
  <c r="J154" i="8" s="1"/>
  <c r="H153" i="8"/>
  <c r="I153" i="8" s="1"/>
  <c r="J153" i="8" s="1"/>
  <c r="H152" i="8"/>
  <c r="I152" i="8" s="1"/>
  <c r="J152" i="8" s="1"/>
  <c r="H151" i="8"/>
  <c r="I151" i="8" s="1"/>
  <c r="J151" i="8" s="1"/>
  <c r="H150" i="8"/>
  <c r="I150" i="8" s="1"/>
  <c r="J150" i="8" s="1"/>
  <c r="H149" i="8"/>
  <c r="I149" i="8" s="1"/>
  <c r="J149" i="8" s="1"/>
  <c r="H148" i="8"/>
  <c r="I148" i="8" s="1"/>
  <c r="J148" i="8" s="1"/>
  <c r="H147" i="8"/>
  <c r="I147" i="8" s="1"/>
  <c r="J147" i="8" s="1"/>
  <c r="H146" i="8"/>
  <c r="I146" i="8" s="1"/>
  <c r="J146" i="8" s="1"/>
  <c r="H145" i="8"/>
  <c r="I145" i="8" s="1"/>
  <c r="J145" i="8" s="1"/>
  <c r="H144" i="8"/>
  <c r="I144" i="8" s="1"/>
  <c r="J144" i="8" s="1"/>
  <c r="H143" i="8"/>
  <c r="I143" i="8" s="1"/>
  <c r="J143" i="8" s="1"/>
  <c r="H142" i="8"/>
  <c r="I142" i="8" s="1"/>
  <c r="J142" i="8" s="1"/>
  <c r="H141" i="8"/>
  <c r="I141" i="8" s="1"/>
  <c r="J141" i="8" s="1"/>
  <c r="H140" i="8"/>
  <c r="I140" i="8" s="1"/>
  <c r="J140" i="8" s="1"/>
  <c r="H139" i="8"/>
  <c r="I139" i="8" s="1"/>
  <c r="J139" i="8" s="1"/>
  <c r="H138" i="8"/>
  <c r="I138" i="8" s="1"/>
  <c r="J138" i="8" s="1"/>
  <c r="H137" i="8"/>
  <c r="I137" i="8" s="1"/>
  <c r="J137" i="8" s="1"/>
  <c r="H136" i="8"/>
  <c r="I136" i="8" s="1"/>
  <c r="J136" i="8" s="1"/>
  <c r="H135" i="8"/>
  <c r="I135" i="8" s="1"/>
  <c r="J135" i="8" s="1"/>
  <c r="H134" i="8"/>
  <c r="I134" i="8" s="1"/>
  <c r="J134" i="8" s="1"/>
  <c r="H133" i="8"/>
  <c r="I133" i="8" s="1"/>
  <c r="J133" i="8" s="1"/>
  <c r="H132" i="8"/>
  <c r="I132" i="8" s="1"/>
  <c r="J132" i="8" s="1"/>
  <c r="H131" i="8"/>
  <c r="I131" i="8" s="1"/>
  <c r="J131" i="8" s="1"/>
  <c r="H130" i="8"/>
  <c r="I130" i="8" s="1"/>
  <c r="J130" i="8" s="1"/>
  <c r="H129" i="8"/>
  <c r="I129" i="8" s="1"/>
  <c r="J129" i="8" s="1"/>
  <c r="H128" i="8"/>
  <c r="I128" i="8" s="1"/>
  <c r="J128" i="8" s="1"/>
  <c r="H127" i="8"/>
  <c r="I127" i="8" s="1"/>
  <c r="J127" i="8" s="1"/>
  <c r="H126" i="8"/>
  <c r="I126" i="8" s="1"/>
  <c r="J126" i="8" s="1"/>
  <c r="H125" i="8"/>
  <c r="I125" i="8" s="1"/>
  <c r="J125" i="8" s="1"/>
  <c r="H124" i="8"/>
  <c r="I124" i="8" s="1"/>
  <c r="J124" i="8" s="1"/>
  <c r="H123" i="8"/>
  <c r="I123" i="8" s="1"/>
  <c r="J123" i="8" s="1"/>
  <c r="H120" i="8"/>
  <c r="I120" i="8" s="1"/>
  <c r="J120" i="8" s="1"/>
  <c r="H116" i="8"/>
  <c r="I116" i="8" s="1"/>
  <c r="J116" i="8" s="1"/>
  <c r="H111" i="8"/>
  <c r="I111" i="8" s="1"/>
  <c r="J111" i="8" s="1"/>
  <c r="H95" i="8"/>
  <c r="I95" i="8" s="1"/>
  <c r="J95" i="8" s="1"/>
  <c r="H34" i="8"/>
  <c r="I34" i="8" s="1"/>
  <c r="J34" i="8" s="1"/>
  <c r="H15" i="8"/>
  <c r="I15" i="8" s="1"/>
  <c r="J15" i="8" s="1"/>
  <c r="H106" i="8"/>
  <c r="I106" i="8" s="1"/>
  <c r="J106" i="8" s="1"/>
  <c r="H90" i="8"/>
  <c r="I90" i="8" s="1"/>
  <c r="J90" i="8" s="1"/>
  <c r="H35" i="8"/>
  <c r="I35" i="8" s="1"/>
  <c r="J35" i="8" s="1"/>
  <c r="H22" i="8"/>
  <c r="I22" i="8" s="1"/>
  <c r="J22" i="8" s="1"/>
  <c r="H21" i="8"/>
  <c r="I21" i="8" s="1"/>
  <c r="J21" i="8" s="1"/>
  <c r="H16" i="8"/>
  <c r="I16" i="8" s="1"/>
  <c r="J16" i="8" s="1"/>
  <c r="H101" i="8"/>
  <c r="I101" i="8" s="1"/>
  <c r="J101" i="8" s="1"/>
  <c r="H85" i="8"/>
  <c r="I85" i="8" s="1"/>
  <c r="J85" i="8" s="1"/>
  <c r="H36" i="8"/>
  <c r="I36" i="8" s="1"/>
  <c r="J36" i="8" s="1"/>
  <c r="H23" i="8"/>
  <c r="I23" i="8" s="1"/>
  <c r="J23" i="8" s="1"/>
  <c r="H20" i="8"/>
  <c r="I20" i="8" s="1"/>
  <c r="J20" i="8" s="1"/>
  <c r="H19" i="8"/>
  <c r="I19" i="8" s="1"/>
  <c r="J19" i="8" s="1"/>
  <c r="H18" i="8"/>
  <c r="I18" i="8" s="1"/>
  <c r="J18" i="8" s="1"/>
  <c r="H17" i="8"/>
  <c r="I17" i="8" s="1"/>
  <c r="J17" i="8" s="1"/>
  <c r="H112" i="8"/>
  <c r="I112" i="8" s="1"/>
  <c r="J112" i="8" s="1"/>
  <c r="H96" i="8"/>
  <c r="I96" i="8" s="1"/>
  <c r="J96" i="8" s="1"/>
  <c r="H37" i="8"/>
  <c r="I37" i="8" s="1"/>
  <c r="J37" i="8" s="1"/>
  <c r="H24" i="8"/>
  <c r="I24" i="8" s="1"/>
  <c r="J24" i="8" s="1"/>
  <c r="H162" i="8"/>
  <c r="I162" i="8" s="1"/>
  <c r="J162" i="8" s="1"/>
  <c r="H121" i="8"/>
  <c r="I121" i="8" s="1"/>
  <c r="J121" i="8" s="1"/>
  <c r="H117" i="8"/>
  <c r="I117" i="8" s="1"/>
  <c r="J117" i="8" s="1"/>
  <c r="H107" i="8"/>
  <c r="I107" i="8" s="1"/>
  <c r="J107" i="8" s="1"/>
  <c r="H91" i="8"/>
  <c r="I91" i="8" s="1"/>
  <c r="J91" i="8" s="1"/>
  <c r="H38" i="8"/>
  <c r="I38" i="8" s="1"/>
  <c r="J38" i="8" s="1"/>
  <c r="H6" i="8"/>
  <c r="I6" i="8" s="1"/>
  <c r="J6" i="8" s="1"/>
  <c r="H108" i="8"/>
  <c r="I108" i="8" s="1"/>
  <c r="J108" i="8" s="1"/>
  <c r="H92" i="8"/>
  <c r="I92" i="8" s="1"/>
  <c r="J92" i="8" s="1"/>
  <c r="H41" i="8"/>
  <c r="I41" i="8" s="1"/>
  <c r="J41" i="8" s="1"/>
  <c r="H26" i="8"/>
  <c r="I26" i="8" s="1"/>
  <c r="J26" i="8" s="1"/>
  <c r="H31" i="8"/>
  <c r="I31" i="8" s="1"/>
  <c r="J31" i="8" s="1"/>
  <c r="H109" i="8"/>
  <c r="I109" i="8" s="1"/>
  <c r="J109" i="8" s="1"/>
  <c r="H84" i="8"/>
  <c r="I84" i="8" s="1"/>
  <c r="J84" i="8" s="1"/>
  <c r="H14" i="8"/>
  <c r="I14" i="8" s="1"/>
  <c r="J14" i="8" s="1"/>
  <c r="H161" i="8"/>
  <c r="I161" i="8" s="1"/>
  <c r="J161" i="8" s="1"/>
  <c r="H98" i="8"/>
  <c r="I98" i="8" s="1"/>
  <c r="J98" i="8" s="1"/>
  <c r="H40" i="8"/>
  <c r="I40" i="8" s="1"/>
  <c r="J40" i="8" s="1"/>
  <c r="H9" i="8"/>
  <c r="I9" i="8" s="1"/>
  <c r="J9" i="8" s="1"/>
  <c r="H118" i="8"/>
  <c r="I118" i="8" s="1"/>
  <c r="J118" i="8" s="1"/>
  <c r="H100" i="8"/>
  <c r="I100" i="8" s="1"/>
  <c r="J100" i="8" s="1"/>
  <c r="H87" i="8"/>
  <c r="I87" i="8" s="1"/>
  <c r="J87" i="8" s="1"/>
  <c r="H43" i="8"/>
  <c r="I43" i="8" s="1"/>
  <c r="J43" i="8" s="1"/>
  <c r="H122" i="8"/>
  <c r="I122" i="8" s="1"/>
  <c r="J122" i="8" s="1"/>
  <c r="H103" i="8"/>
  <c r="I103" i="8" s="1"/>
  <c r="J103" i="8" s="1"/>
  <c r="H32" i="8"/>
  <c r="I32" i="8" s="1"/>
  <c r="J32" i="8" s="1"/>
  <c r="H29" i="8"/>
  <c r="I29" i="8" s="1"/>
  <c r="J29" i="8" s="1"/>
  <c r="H105" i="8"/>
  <c r="I105" i="8" s="1"/>
  <c r="J105" i="8" s="1"/>
  <c r="H27" i="8"/>
  <c r="I27" i="8" s="1"/>
  <c r="J27" i="8" s="1"/>
  <c r="H94" i="8"/>
  <c r="I94" i="8" s="1"/>
  <c r="J94" i="8" s="1"/>
  <c r="H88" i="8"/>
  <c r="I88" i="8" s="1"/>
  <c r="J88" i="8" s="1"/>
  <c r="H86" i="8"/>
  <c r="I86" i="8" s="1"/>
  <c r="J86" i="8" s="1"/>
  <c r="H39" i="8"/>
  <c r="I39" i="8" s="1"/>
  <c r="J39" i="8" s="1"/>
  <c r="H119" i="8"/>
  <c r="I119" i="8" s="1"/>
  <c r="J119" i="8" s="1"/>
  <c r="H115" i="8"/>
  <c r="I115" i="8" s="1"/>
  <c r="J115" i="8" s="1"/>
  <c r="H113" i="8"/>
  <c r="I113" i="8" s="1"/>
  <c r="J113" i="8" s="1"/>
  <c r="H42" i="8"/>
  <c r="I42" i="8" s="1"/>
  <c r="J42" i="8" s="1"/>
  <c r="H114" i="8"/>
  <c r="I114" i="8" s="1"/>
  <c r="J114" i="8" s="1"/>
  <c r="H104" i="8"/>
  <c r="I104" i="8" s="1"/>
  <c r="J104" i="8" s="1"/>
  <c r="H11" i="8"/>
  <c r="I11" i="8" s="1"/>
  <c r="J11" i="8" s="1"/>
  <c r="H13" i="8"/>
  <c r="I13" i="8" s="1"/>
  <c r="J13" i="8" s="1"/>
  <c r="H28" i="8"/>
  <c r="I28" i="8" s="1"/>
  <c r="J28" i="8" s="1"/>
  <c r="H25" i="8"/>
  <c r="I25" i="8" s="1"/>
  <c r="J25" i="8" s="1"/>
  <c r="H110" i="8"/>
  <c r="I110" i="8" s="1"/>
  <c r="J110" i="8" s="1"/>
  <c r="H97" i="8"/>
  <c r="I97" i="8" s="1"/>
  <c r="J97" i="8" s="1"/>
  <c r="H33" i="8"/>
  <c r="I33" i="8" s="1"/>
  <c r="J33" i="8" s="1"/>
  <c r="H30" i="8"/>
  <c r="I30" i="8" s="1"/>
  <c r="J30" i="8" s="1"/>
  <c r="H8" i="8"/>
  <c r="I8" i="8" s="1"/>
  <c r="J8" i="8" s="1"/>
  <c r="H89" i="8"/>
  <c r="I89" i="8" s="1"/>
  <c r="J89" i="8" s="1"/>
  <c r="H102" i="8"/>
  <c r="I102" i="8" s="1"/>
  <c r="J102" i="8" s="1"/>
  <c r="H83" i="8"/>
  <c r="I83" i="8" s="1"/>
  <c r="J83" i="8" s="1"/>
  <c r="H10" i="8"/>
  <c r="I10" i="8" s="1"/>
  <c r="J10" i="8" s="1"/>
  <c r="H7" i="8"/>
  <c r="I7" i="8" s="1"/>
  <c r="J7" i="8" s="1"/>
  <c r="H99" i="8"/>
  <c r="I99" i="8" s="1"/>
  <c r="J99" i="8" s="1"/>
  <c r="H93" i="8"/>
  <c r="I93" i="8" s="1"/>
  <c r="J93" i="8" s="1"/>
  <c r="H12" i="8"/>
  <c r="I12" i="8" s="1"/>
  <c r="J12" i="8" s="1"/>
  <c r="I2" i="15"/>
  <c r="J2" i="15" s="1"/>
  <c r="Q161" i="26"/>
  <c r="M162" i="26"/>
  <c r="R121" i="4"/>
  <c r="S121" i="4" s="1"/>
  <c r="T121" i="4" s="1"/>
  <c r="R120" i="4"/>
  <c r="S120" i="4" s="1"/>
  <c r="T120" i="4" s="1"/>
  <c r="R119" i="4"/>
  <c r="S119" i="4" s="1"/>
  <c r="T119" i="4" s="1"/>
  <c r="R118" i="4"/>
  <c r="S118" i="4" s="1"/>
  <c r="T118" i="4" s="1"/>
  <c r="R117" i="4"/>
  <c r="S117" i="4" s="1"/>
  <c r="T117" i="4" s="1"/>
  <c r="R116" i="4"/>
  <c r="S116" i="4" s="1"/>
  <c r="T116" i="4" s="1"/>
  <c r="R115" i="4"/>
  <c r="S115" i="4" s="1"/>
  <c r="T115" i="4" s="1"/>
  <c r="R114" i="4"/>
  <c r="S114" i="4" s="1"/>
  <c r="T114" i="4" s="1"/>
  <c r="R113" i="4"/>
  <c r="S113" i="4" s="1"/>
  <c r="T113" i="4" s="1"/>
  <c r="R112" i="4"/>
  <c r="S112" i="4" s="1"/>
  <c r="T112" i="4" s="1"/>
  <c r="R111" i="4"/>
  <c r="S111" i="4" s="1"/>
  <c r="T111" i="4" s="1"/>
  <c r="R110" i="4"/>
  <c r="S110" i="4" s="1"/>
  <c r="T110" i="4" s="1"/>
  <c r="R109" i="4"/>
  <c r="S109" i="4" s="1"/>
  <c r="T109" i="4" s="1"/>
  <c r="R108" i="4"/>
  <c r="S108" i="4" s="1"/>
  <c r="T108" i="4" s="1"/>
  <c r="R107" i="4"/>
  <c r="S107" i="4" s="1"/>
  <c r="T107" i="4" s="1"/>
  <c r="R106" i="4"/>
  <c r="S106" i="4" s="1"/>
  <c r="T106" i="4" s="1"/>
  <c r="R105" i="4"/>
  <c r="S105" i="4" s="1"/>
  <c r="T105" i="4" s="1"/>
  <c r="R104" i="4"/>
  <c r="S104" i="4" s="1"/>
  <c r="T104" i="4" s="1"/>
  <c r="R103" i="4"/>
  <c r="S103" i="4" s="1"/>
  <c r="T103" i="4" s="1"/>
  <c r="R102" i="4"/>
  <c r="S102" i="4" s="1"/>
  <c r="T102" i="4" s="1"/>
  <c r="R101" i="4"/>
  <c r="S101" i="4" s="1"/>
  <c r="T101" i="4" s="1"/>
  <c r="R100" i="4"/>
  <c r="S100" i="4" s="1"/>
  <c r="T100" i="4" s="1"/>
  <c r="R99" i="4"/>
  <c r="S99" i="4" s="1"/>
  <c r="T99" i="4" s="1"/>
  <c r="R160" i="4"/>
  <c r="S160" i="4" s="1"/>
  <c r="T160" i="4" s="1"/>
  <c r="R159" i="4"/>
  <c r="S159" i="4" s="1"/>
  <c r="T159" i="4" s="1"/>
  <c r="R158" i="4"/>
  <c r="S158" i="4" s="1"/>
  <c r="T158" i="4" s="1"/>
  <c r="R157" i="4"/>
  <c r="S157" i="4" s="1"/>
  <c r="T157" i="4" s="1"/>
  <c r="R156" i="4"/>
  <c r="S156" i="4" s="1"/>
  <c r="T156" i="4" s="1"/>
  <c r="R155" i="4"/>
  <c r="S155" i="4" s="1"/>
  <c r="T155" i="4" s="1"/>
  <c r="R154" i="4"/>
  <c r="S154" i="4" s="1"/>
  <c r="T154" i="4" s="1"/>
  <c r="R153" i="4"/>
  <c r="S153" i="4" s="1"/>
  <c r="T153" i="4" s="1"/>
  <c r="R152" i="4"/>
  <c r="S152" i="4" s="1"/>
  <c r="T152" i="4" s="1"/>
  <c r="R151" i="4"/>
  <c r="S151" i="4" s="1"/>
  <c r="T151" i="4" s="1"/>
  <c r="R150" i="4"/>
  <c r="S150" i="4" s="1"/>
  <c r="T150" i="4" s="1"/>
  <c r="R149" i="4"/>
  <c r="S149" i="4" s="1"/>
  <c r="T149" i="4" s="1"/>
  <c r="R148" i="4"/>
  <c r="S148" i="4" s="1"/>
  <c r="T148" i="4" s="1"/>
  <c r="R147" i="4"/>
  <c r="S147" i="4" s="1"/>
  <c r="T147" i="4" s="1"/>
  <c r="R146" i="4"/>
  <c r="S146" i="4" s="1"/>
  <c r="T146" i="4" s="1"/>
  <c r="R145" i="4"/>
  <c r="S145" i="4" s="1"/>
  <c r="T145" i="4" s="1"/>
  <c r="R144" i="4"/>
  <c r="S144" i="4" s="1"/>
  <c r="T144" i="4" s="1"/>
  <c r="R143" i="4"/>
  <c r="S143" i="4" s="1"/>
  <c r="T143" i="4" s="1"/>
  <c r="R142" i="4"/>
  <c r="S142" i="4" s="1"/>
  <c r="T142" i="4" s="1"/>
  <c r="R141" i="4"/>
  <c r="S141" i="4" s="1"/>
  <c r="T141" i="4" s="1"/>
  <c r="R140" i="4"/>
  <c r="S140" i="4" s="1"/>
  <c r="T140" i="4" s="1"/>
  <c r="R139" i="4"/>
  <c r="S139" i="4" s="1"/>
  <c r="T139" i="4" s="1"/>
  <c r="R138" i="4"/>
  <c r="S138" i="4" s="1"/>
  <c r="T138" i="4" s="1"/>
  <c r="R137" i="4"/>
  <c r="S137" i="4" s="1"/>
  <c r="T137" i="4" s="1"/>
  <c r="R136" i="4"/>
  <c r="S136" i="4" s="1"/>
  <c r="T136" i="4" s="1"/>
  <c r="R135" i="4"/>
  <c r="S135" i="4" s="1"/>
  <c r="T135" i="4" s="1"/>
  <c r="R134" i="4"/>
  <c r="S134" i="4" s="1"/>
  <c r="T134" i="4" s="1"/>
  <c r="R133" i="4"/>
  <c r="S133" i="4" s="1"/>
  <c r="T133" i="4" s="1"/>
  <c r="R132" i="4"/>
  <c r="S132" i="4" s="1"/>
  <c r="T132" i="4" s="1"/>
  <c r="R131" i="4"/>
  <c r="S131" i="4" s="1"/>
  <c r="T131" i="4" s="1"/>
  <c r="R130" i="4"/>
  <c r="S130" i="4" s="1"/>
  <c r="T130" i="4" s="1"/>
  <c r="R129" i="4"/>
  <c r="S129" i="4" s="1"/>
  <c r="T129" i="4" s="1"/>
  <c r="R128" i="4"/>
  <c r="S128" i="4" s="1"/>
  <c r="T128" i="4" s="1"/>
  <c r="R127" i="4"/>
  <c r="S127" i="4" s="1"/>
  <c r="T127" i="4" s="1"/>
  <c r="R126" i="4"/>
  <c r="S126" i="4" s="1"/>
  <c r="T126" i="4" s="1"/>
  <c r="R125" i="4"/>
  <c r="S125" i="4" s="1"/>
  <c r="T125" i="4" s="1"/>
  <c r="R124" i="4"/>
  <c r="S124" i="4" s="1"/>
  <c r="T124" i="4" s="1"/>
  <c r="R123" i="4"/>
  <c r="S123" i="4" s="1"/>
  <c r="T123" i="4" s="1"/>
  <c r="R122" i="4"/>
  <c r="S122" i="4" s="1"/>
  <c r="T122" i="4" s="1"/>
  <c r="R31" i="4"/>
  <c r="S31" i="4" s="1"/>
  <c r="T31" i="4" s="1"/>
  <c r="R30" i="4"/>
  <c r="S30" i="4" s="1"/>
  <c r="T30" i="4" s="1"/>
  <c r="R29" i="4"/>
  <c r="S29" i="4" s="1"/>
  <c r="T29" i="4" s="1"/>
  <c r="R28" i="4"/>
  <c r="S28" i="4" s="1"/>
  <c r="T28" i="4" s="1"/>
  <c r="R27" i="4"/>
  <c r="S27" i="4" s="1"/>
  <c r="T27" i="4" s="1"/>
  <c r="R26" i="4"/>
  <c r="S26" i="4" s="1"/>
  <c r="T26" i="4" s="1"/>
  <c r="R25" i="4"/>
  <c r="S25" i="4" s="1"/>
  <c r="T25" i="4" s="1"/>
  <c r="R24" i="4"/>
  <c r="S24" i="4" s="1"/>
  <c r="T24" i="4" s="1"/>
  <c r="R23" i="4"/>
  <c r="S23" i="4" s="1"/>
  <c r="T23" i="4" s="1"/>
  <c r="R162" i="4"/>
  <c r="S162" i="4" s="1"/>
  <c r="T162" i="4" s="1"/>
  <c r="R17" i="4"/>
  <c r="S17" i="4" s="1"/>
  <c r="T17" i="4" s="1"/>
  <c r="R16" i="4"/>
  <c r="S16" i="4" s="1"/>
  <c r="T16" i="4" s="1"/>
  <c r="R15" i="4"/>
  <c r="S15" i="4" s="1"/>
  <c r="T15" i="4" s="1"/>
  <c r="R14" i="4"/>
  <c r="S14" i="4" s="1"/>
  <c r="T14" i="4" s="1"/>
  <c r="R13" i="4"/>
  <c r="S13" i="4" s="1"/>
  <c r="T13" i="4" s="1"/>
  <c r="R12" i="4"/>
  <c r="S12" i="4" s="1"/>
  <c r="T12" i="4" s="1"/>
  <c r="R11" i="4"/>
  <c r="S11" i="4" s="1"/>
  <c r="T11" i="4" s="1"/>
  <c r="R10" i="4"/>
  <c r="S10" i="4" s="1"/>
  <c r="T10" i="4" s="1"/>
  <c r="R9" i="4"/>
  <c r="S9" i="4" s="1"/>
  <c r="T9" i="4" s="1"/>
  <c r="R8" i="4"/>
  <c r="S8" i="4" s="1"/>
  <c r="T8" i="4" s="1"/>
  <c r="R7" i="4"/>
  <c r="S7" i="4" s="1"/>
  <c r="T7" i="4" s="1"/>
  <c r="R6" i="4"/>
  <c r="S6" i="4" s="1"/>
  <c r="T6" i="4" s="1"/>
  <c r="R161" i="4"/>
  <c r="S161" i="4" s="1"/>
  <c r="T161" i="4" s="1"/>
  <c r="R73" i="4"/>
  <c r="S73" i="4" s="1"/>
  <c r="T73" i="4" s="1"/>
  <c r="R57" i="4"/>
  <c r="S57" i="4" s="1"/>
  <c r="T57" i="4" s="1"/>
  <c r="R41" i="4"/>
  <c r="S41" i="4" s="1"/>
  <c r="T41" i="4" s="1"/>
  <c r="R37" i="4"/>
  <c r="S37" i="4" s="1"/>
  <c r="T37" i="4" s="1"/>
  <c r="R95" i="4"/>
  <c r="S95" i="4" s="1"/>
  <c r="T95" i="4" s="1"/>
  <c r="R91" i="4"/>
  <c r="S91" i="4" s="1"/>
  <c r="T91" i="4" s="1"/>
  <c r="R87" i="4"/>
  <c r="S87" i="4" s="1"/>
  <c r="T87" i="4" s="1"/>
  <c r="R83" i="4"/>
  <c r="S83" i="4" s="1"/>
  <c r="T83" i="4" s="1"/>
  <c r="R67" i="4"/>
  <c r="S67" i="4" s="1"/>
  <c r="T67" i="4" s="1"/>
  <c r="R51" i="4"/>
  <c r="S51" i="4" s="1"/>
  <c r="T51" i="4" s="1"/>
  <c r="R32" i="4"/>
  <c r="S32" i="4" s="1"/>
  <c r="T32" i="4" s="1"/>
  <c r="R96" i="4"/>
  <c r="S96" i="4" s="1"/>
  <c r="T96" i="4" s="1"/>
  <c r="R92" i="4"/>
  <c r="S92" i="4" s="1"/>
  <c r="T92" i="4" s="1"/>
  <c r="R88" i="4"/>
  <c r="S88" i="4" s="1"/>
  <c r="T88" i="4" s="1"/>
  <c r="R84" i="4"/>
  <c r="S84" i="4" s="1"/>
  <c r="T84" i="4" s="1"/>
  <c r="R71" i="4"/>
  <c r="S71" i="4" s="1"/>
  <c r="T71" i="4" s="1"/>
  <c r="R55" i="4"/>
  <c r="S55" i="4" s="1"/>
  <c r="T55" i="4" s="1"/>
  <c r="R86" i="4"/>
  <c r="S86" i="4" s="1"/>
  <c r="T86" i="4" s="1"/>
  <c r="R69" i="4"/>
  <c r="S69" i="4" s="1"/>
  <c r="T69" i="4" s="1"/>
  <c r="R50" i="4"/>
  <c r="S50" i="4" s="1"/>
  <c r="T50" i="4" s="1"/>
  <c r="R19" i="4"/>
  <c r="S19" i="4" s="1"/>
  <c r="T19" i="4" s="1"/>
  <c r="R94" i="4"/>
  <c r="S94" i="4" s="1"/>
  <c r="T94" i="4" s="1"/>
  <c r="R89" i="4"/>
  <c r="S89" i="4" s="1"/>
  <c r="T89" i="4" s="1"/>
  <c r="R79" i="4"/>
  <c r="S79" i="4" s="1"/>
  <c r="T79" i="4" s="1"/>
  <c r="R72" i="4"/>
  <c r="S72" i="4" s="1"/>
  <c r="T72" i="4" s="1"/>
  <c r="R60" i="4"/>
  <c r="S60" i="4" s="1"/>
  <c r="T60" i="4" s="1"/>
  <c r="R48" i="4"/>
  <c r="S48" i="4" s="1"/>
  <c r="T48" i="4" s="1"/>
  <c r="R77" i="4"/>
  <c r="S77" i="4" s="1"/>
  <c r="T77" i="4" s="1"/>
  <c r="R38" i="4"/>
  <c r="S38" i="4" s="1"/>
  <c r="T38" i="4" s="1"/>
  <c r="R97" i="4"/>
  <c r="S97" i="4" s="1"/>
  <c r="T97" i="4" s="1"/>
  <c r="R65" i="4"/>
  <c r="S65" i="4" s="1"/>
  <c r="T65" i="4" s="1"/>
  <c r="R58" i="4"/>
  <c r="S58" i="4" s="1"/>
  <c r="T58" i="4" s="1"/>
  <c r="R46" i="4"/>
  <c r="S46" i="4" s="1"/>
  <c r="T46" i="4" s="1"/>
  <c r="R35" i="4"/>
  <c r="S35" i="4" s="1"/>
  <c r="T35" i="4" s="1"/>
  <c r="R70" i="4"/>
  <c r="S70" i="4" s="1"/>
  <c r="T70" i="4" s="1"/>
  <c r="R53" i="4"/>
  <c r="S53" i="4" s="1"/>
  <c r="T53" i="4" s="1"/>
  <c r="R82" i="4"/>
  <c r="S82" i="4" s="1"/>
  <c r="T82" i="4" s="1"/>
  <c r="R75" i="4"/>
  <c r="S75" i="4" s="1"/>
  <c r="T75" i="4" s="1"/>
  <c r="R63" i="4"/>
  <c r="S63" i="4" s="1"/>
  <c r="T63" i="4" s="1"/>
  <c r="R56" i="4"/>
  <c r="S56" i="4" s="1"/>
  <c r="T56" i="4" s="1"/>
  <c r="R44" i="4"/>
  <c r="S44" i="4" s="1"/>
  <c r="T44" i="4" s="1"/>
  <c r="R20" i="4"/>
  <c r="S20" i="4" s="1"/>
  <c r="T20" i="4" s="1"/>
  <c r="R98" i="4"/>
  <c r="S98" i="4" s="1"/>
  <c r="T98" i="4" s="1"/>
  <c r="R76" i="4"/>
  <c r="S76" i="4" s="1"/>
  <c r="T76" i="4" s="1"/>
  <c r="R62" i="4"/>
  <c r="S62" i="4" s="1"/>
  <c r="T62" i="4" s="1"/>
  <c r="R59" i="4"/>
  <c r="S59" i="4" s="1"/>
  <c r="T59" i="4" s="1"/>
  <c r="R39" i="4"/>
  <c r="S39" i="4" s="1"/>
  <c r="T39" i="4" s="1"/>
  <c r="R22" i="4"/>
  <c r="S22" i="4" s="1"/>
  <c r="T22" i="4" s="1"/>
  <c r="R34" i="4"/>
  <c r="S34" i="4" s="1"/>
  <c r="T34" i="4" s="1"/>
  <c r="R78" i="4"/>
  <c r="S78" i="4" s="1"/>
  <c r="T78" i="4" s="1"/>
  <c r="R61" i="4"/>
  <c r="S61" i="4" s="1"/>
  <c r="T61" i="4" s="1"/>
  <c r="R43" i="4"/>
  <c r="S43" i="4" s="1"/>
  <c r="T43" i="4" s="1"/>
  <c r="R81" i="4"/>
  <c r="S81" i="4" s="1"/>
  <c r="T81" i="4" s="1"/>
  <c r="R64" i="4"/>
  <c r="S64" i="4" s="1"/>
  <c r="T64" i="4" s="1"/>
  <c r="R47" i="4"/>
  <c r="S47" i="4" s="1"/>
  <c r="T47" i="4" s="1"/>
  <c r="R36" i="4"/>
  <c r="S36" i="4" s="1"/>
  <c r="T36" i="4" s="1"/>
  <c r="R21" i="4"/>
  <c r="S21" i="4" s="1"/>
  <c r="T21" i="4" s="1"/>
  <c r="R80" i="4"/>
  <c r="S80" i="4" s="1"/>
  <c r="T80" i="4" s="1"/>
  <c r="R52" i="4"/>
  <c r="S52" i="4" s="1"/>
  <c r="T52" i="4" s="1"/>
  <c r="R49" i="4"/>
  <c r="S49" i="4" s="1"/>
  <c r="T49" i="4" s="1"/>
  <c r="R42" i="4"/>
  <c r="S42" i="4" s="1"/>
  <c r="T42" i="4" s="1"/>
  <c r="R18" i="4"/>
  <c r="S18" i="4" s="1"/>
  <c r="T18" i="4" s="1"/>
  <c r="R33" i="4"/>
  <c r="S33" i="4" s="1"/>
  <c r="T33" i="4" s="1"/>
  <c r="R85" i="4"/>
  <c r="S85" i="4" s="1"/>
  <c r="T85" i="4" s="1"/>
  <c r="R93" i="4"/>
  <c r="S93" i="4" s="1"/>
  <c r="T93" i="4" s="1"/>
  <c r="R40" i="4"/>
  <c r="S40" i="4" s="1"/>
  <c r="T40" i="4" s="1"/>
  <c r="R90" i="4"/>
  <c r="S90" i="4" s="1"/>
  <c r="T90" i="4" s="1"/>
  <c r="R66" i="4"/>
  <c r="S66" i="4" s="1"/>
  <c r="T66" i="4" s="1"/>
  <c r="R74" i="4"/>
  <c r="S74" i="4" s="1"/>
  <c r="T74" i="4" s="1"/>
  <c r="R68" i="4"/>
  <c r="S68" i="4" s="1"/>
  <c r="T68" i="4" s="1"/>
  <c r="R54" i="4"/>
  <c r="S54" i="4" s="1"/>
  <c r="T54" i="4" s="1"/>
  <c r="R45" i="4"/>
  <c r="S45" i="4" s="1"/>
  <c r="T45" i="4" s="1"/>
  <c r="M162" i="25"/>
  <c r="Q161" i="25"/>
  <c r="B16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C162" i="23"/>
  <c r="G161" i="23"/>
  <c r="L16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M162" i="19"/>
  <c r="Q161" i="19"/>
  <c r="B16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26"/>
  <c r="L162" i="23"/>
  <c r="K123" i="23"/>
  <c r="K124" i="23"/>
  <c r="K125" i="23"/>
  <c r="K126" i="23"/>
  <c r="K127" i="23"/>
  <c r="K128" i="23"/>
  <c r="K129" i="23"/>
  <c r="K130" i="23"/>
  <c r="K131" i="23"/>
  <c r="K132" i="23"/>
  <c r="K133" i="23"/>
  <c r="K134" i="23"/>
  <c r="K135" i="23"/>
  <c r="K136" i="23"/>
  <c r="K137" i="23"/>
  <c r="K138" i="23"/>
  <c r="K139" i="23"/>
  <c r="K140" i="23"/>
  <c r="K141" i="23"/>
  <c r="K142" i="23"/>
  <c r="K143" i="23"/>
  <c r="K144" i="23"/>
  <c r="K145" i="23"/>
  <c r="K146" i="23"/>
  <c r="K147" i="23"/>
  <c r="K148" i="23"/>
  <c r="K149" i="23"/>
  <c r="K150" i="23"/>
  <c r="K151" i="23"/>
  <c r="K152" i="23"/>
  <c r="K153" i="23"/>
  <c r="K154" i="23"/>
  <c r="K155" i="23"/>
  <c r="K156" i="23"/>
  <c r="K157" i="23"/>
  <c r="K158" i="23"/>
  <c r="K159" i="23"/>
  <c r="L161" i="27"/>
  <c r="K160" i="27" s="1"/>
  <c r="C161" i="5"/>
  <c r="G160" i="5"/>
  <c r="B16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C161" i="9"/>
  <c r="G160" i="9"/>
  <c r="F2" i="13"/>
  <c r="H2" i="13" s="1"/>
  <c r="M161" i="27"/>
  <c r="Q160" i="27"/>
  <c r="G162" i="26"/>
  <c r="G2" i="26"/>
  <c r="C162" i="24"/>
  <c r="G161" i="24"/>
  <c r="P2" i="3"/>
  <c r="R2" i="3" s="1"/>
  <c r="L162" i="21"/>
  <c r="K123" i="21"/>
  <c r="K124" i="21"/>
  <c r="K125" i="21"/>
  <c r="K126" i="21"/>
  <c r="K127" i="21"/>
  <c r="K128" i="21"/>
  <c r="K129" i="21"/>
  <c r="K130" i="21"/>
  <c r="K131" i="21"/>
  <c r="K132" i="21"/>
  <c r="K133" i="21"/>
  <c r="K134" i="21"/>
  <c r="K135" i="21"/>
  <c r="K136" i="21"/>
  <c r="K137" i="21"/>
  <c r="K138" i="21"/>
  <c r="K139" i="21"/>
  <c r="K140" i="21"/>
  <c r="K141" i="21"/>
  <c r="K142" i="21"/>
  <c r="K143" i="21"/>
  <c r="K144" i="21"/>
  <c r="K145" i="21"/>
  <c r="K146" i="21"/>
  <c r="K147" i="21"/>
  <c r="K148" i="21"/>
  <c r="K149" i="21"/>
  <c r="K150" i="21"/>
  <c r="K151" i="21"/>
  <c r="K152" i="21"/>
  <c r="K153" i="21"/>
  <c r="K154" i="21"/>
  <c r="K155" i="21"/>
  <c r="K156" i="21"/>
  <c r="K157" i="21"/>
  <c r="K158" i="21"/>
  <c r="K159" i="21"/>
  <c r="B162" i="21"/>
  <c r="A123" i="21"/>
  <c r="A124" i="21"/>
  <c r="A125" i="21"/>
  <c r="A126" i="21"/>
  <c r="A127" i="21"/>
  <c r="A128" i="21"/>
  <c r="A129" i="21"/>
  <c r="A130" i="21"/>
  <c r="A131" i="21"/>
  <c r="A132" i="21"/>
  <c r="A133" i="21"/>
  <c r="A134" i="21"/>
  <c r="A135" i="21"/>
  <c r="A136" i="21"/>
  <c r="A137" i="21"/>
  <c r="A138" i="21"/>
  <c r="A139" i="21"/>
  <c r="A140" i="21"/>
  <c r="A141" i="21"/>
  <c r="A142" i="21"/>
  <c r="A143" i="21"/>
  <c r="A144" i="21"/>
  <c r="A145" i="21"/>
  <c r="A146" i="21"/>
  <c r="A147" i="21"/>
  <c r="A148" i="21"/>
  <c r="A149" i="21"/>
  <c r="A150" i="21"/>
  <c r="A151" i="21"/>
  <c r="A152" i="21"/>
  <c r="A153" i="21"/>
  <c r="A154" i="21"/>
  <c r="A155" i="21"/>
  <c r="A156" i="21"/>
  <c r="A157" i="21"/>
  <c r="A158" i="21"/>
  <c r="A159" i="21"/>
  <c r="G161" i="3"/>
  <c r="C162" i="3"/>
  <c r="Q162" i="13"/>
  <c r="Q2" i="13"/>
  <c r="A160" i="21"/>
  <c r="B161" i="5"/>
  <c r="L16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L161" i="14"/>
  <c r="K160" i="14"/>
  <c r="G160" i="17"/>
  <c r="C161" i="17"/>
  <c r="K160" i="11"/>
  <c r="K160" i="9"/>
  <c r="K160" i="23"/>
  <c r="Q162" i="23"/>
  <c r="Q2" i="23"/>
  <c r="K160" i="7"/>
  <c r="C162" i="5" l="1"/>
  <c r="G161" i="5"/>
  <c r="Q162" i="26"/>
  <c r="Q2" i="26"/>
  <c r="P2" i="15"/>
  <c r="R2" i="15" s="1"/>
  <c r="G162" i="7"/>
  <c r="G2" i="7"/>
  <c r="R82" i="3"/>
  <c r="S82" i="3" s="1"/>
  <c r="T82" i="3" s="1"/>
  <c r="R81" i="3"/>
  <c r="S81" i="3" s="1"/>
  <c r="T81" i="3" s="1"/>
  <c r="R80" i="3"/>
  <c r="S80" i="3" s="1"/>
  <c r="T80" i="3" s="1"/>
  <c r="R79" i="3"/>
  <c r="S79" i="3" s="1"/>
  <c r="T79" i="3" s="1"/>
  <c r="R78" i="3"/>
  <c r="S78" i="3" s="1"/>
  <c r="T78" i="3" s="1"/>
  <c r="R77" i="3"/>
  <c r="S77" i="3" s="1"/>
  <c r="T77" i="3" s="1"/>
  <c r="R76" i="3"/>
  <c r="S76" i="3" s="1"/>
  <c r="T76" i="3" s="1"/>
  <c r="R75" i="3"/>
  <c r="S75" i="3" s="1"/>
  <c r="T75" i="3" s="1"/>
  <c r="R74" i="3"/>
  <c r="S74" i="3" s="1"/>
  <c r="T74" i="3" s="1"/>
  <c r="R73" i="3"/>
  <c r="S73" i="3" s="1"/>
  <c r="T73" i="3" s="1"/>
  <c r="R72" i="3"/>
  <c r="S72" i="3" s="1"/>
  <c r="T72" i="3" s="1"/>
  <c r="R71" i="3"/>
  <c r="S71" i="3" s="1"/>
  <c r="T71" i="3" s="1"/>
  <c r="R70" i="3"/>
  <c r="S70" i="3" s="1"/>
  <c r="T70" i="3" s="1"/>
  <c r="R69" i="3"/>
  <c r="S69" i="3" s="1"/>
  <c r="T69" i="3" s="1"/>
  <c r="R68" i="3"/>
  <c r="S68" i="3" s="1"/>
  <c r="T68" i="3" s="1"/>
  <c r="R67" i="3"/>
  <c r="S67" i="3" s="1"/>
  <c r="T67" i="3" s="1"/>
  <c r="R66" i="3"/>
  <c r="S66" i="3" s="1"/>
  <c r="T66" i="3" s="1"/>
  <c r="R65" i="3"/>
  <c r="S65" i="3" s="1"/>
  <c r="T65" i="3" s="1"/>
  <c r="R64" i="3"/>
  <c r="S64" i="3" s="1"/>
  <c r="T64" i="3" s="1"/>
  <c r="R63" i="3"/>
  <c r="S63" i="3" s="1"/>
  <c r="T63" i="3" s="1"/>
  <c r="R62" i="3"/>
  <c r="S62" i="3" s="1"/>
  <c r="T62" i="3" s="1"/>
  <c r="R61" i="3"/>
  <c r="S61" i="3" s="1"/>
  <c r="T61" i="3" s="1"/>
  <c r="R60" i="3"/>
  <c r="S60" i="3" s="1"/>
  <c r="T60" i="3" s="1"/>
  <c r="R59" i="3"/>
  <c r="S59" i="3" s="1"/>
  <c r="T59" i="3" s="1"/>
  <c r="R58" i="3"/>
  <c r="S58" i="3" s="1"/>
  <c r="T58" i="3" s="1"/>
  <c r="R57" i="3"/>
  <c r="S57" i="3" s="1"/>
  <c r="T57" i="3" s="1"/>
  <c r="R56" i="3"/>
  <c r="S56" i="3" s="1"/>
  <c r="T56" i="3" s="1"/>
  <c r="R55" i="3"/>
  <c r="S55" i="3" s="1"/>
  <c r="T55" i="3" s="1"/>
  <c r="R54" i="3"/>
  <c r="S54" i="3" s="1"/>
  <c r="T54" i="3" s="1"/>
  <c r="R53" i="3"/>
  <c r="S53" i="3" s="1"/>
  <c r="T53" i="3" s="1"/>
  <c r="R52" i="3"/>
  <c r="S52" i="3" s="1"/>
  <c r="T52" i="3" s="1"/>
  <c r="R51" i="3"/>
  <c r="S51" i="3" s="1"/>
  <c r="T51" i="3" s="1"/>
  <c r="R50" i="3"/>
  <c r="S50" i="3" s="1"/>
  <c r="T50" i="3" s="1"/>
  <c r="R49" i="3"/>
  <c r="S49" i="3" s="1"/>
  <c r="T49" i="3" s="1"/>
  <c r="R48" i="3"/>
  <c r="S48" i="3" s="1"/>
  <c r="T48" i="3" s="1"/>
  <c r="R47" i="3"/>
  <c r="S47" i="3" s="1"/>
  <c r="T47" i="3" s="1"/>
  <c r="R46" i="3"/>
  <c r="S46" i="3" s="1"/>
  <c r="T46" i="3" s="1"/>
  <c r="R45" i="3"/>
  <c r="S45" i="3" s="1"/>
  <c r="T45" i="3" s="1"/>
  <c r="R44" i="3"/>
  <c r="S44" i="3" s="1"/>
  <c r="T44" i="3" s="1"/>
  <c r="R160" i="3"/>
  <c r="S160" i="3" s="1"/>
  <c r="T160" i="3" s="1"/>
  <c r="R159" i="3"/>
  <c r="S159" i="3" s="1"/>
  <c r="T159" i="3" s="1"/>
  <c r="R158" i="3"/>
  <c r="S158" i="3" s="1"/>
  <c r="T158" i="3" s="1"/>
  <c r="R157" i="3"/>
  <c r="S157" i="3" s="1"/>
  <c r="T157" i="3" s="1"/>
  <c r="R156" i="3"/>
  <c r="S156" i="3" s="1"/>
  <c r="T156" i="3" s="1"/>
  <c r="R155" i="3"/>
  <c r="S155" i="3" s="1"/>
  <c r="T155" i="3" s="1"/>
  <c r="R154" i="3"/>
  <c r="S154" i="3" s="1"/>
  <c r="T154" i="3" s="1"/>
  <c r="R153" i="3"/>
  <c r="S153" i="3" s="1"/>
  <c r="T153" i="3" s="1"/>
  <c r="R152" i="3"/>
  <c r="S152" i="3" s="1"/>
  <c r="T152" i="3" s="1"/>
  <c r="R151" i="3"/>
  <c r="S151" i="3" s="1"/>
  <c r="T151" i="3" s="1"/>
  <c r="R150" i="3"/>
  <c r="S150" i="3" s="1"/>
  <c r="T150" i="3" s="1"/>
  <c r="R149" i="3"/>
  <c r="S149" i="3" s="1"/>
  <c r="T149" i="3" s="1"/>
  <c r="R148" i="3"/>
  <c r="S148" i="3" s="1"/>
  <c r="T148" i="3" s="1"/>
  <c r="R147" i="3"/>
  <c r="S147" i="3" s="1"/>
  <c r="T147" i="3" s="1"/>
  <c r="R146" i="3"/>
  <c r="S146" i="3" s="1"/>
  <c r="T146" i="3" s="1"/>
  <c r="R145" i="3"/>
  <c r="S145" i="3" s="1"/>
  <c r="T145" i="3" s="1"/>
  <c r="R144" i="3"/>
  <c r="S144" i="3" s="1"/>
  <c r="T144" i="3" s="1"/>
  <c r="R143" i="3"/>
  <c r="S143" i="3" s="1"/>
  <c r="T143" i="3" s="1"/>
  <c r="R142" i="3"/>
  <c r="S142" i="3" s="1"/>
  <c r="T142" i="3" s="1"/>
  <c r="R141" i="3"/>
  <c r="S141" i="3" s="1"/>
  <c r="T141" i="3" s="1"/>
  <c r="R140" i="3"/>
  <c r="S140" i="3" s="1"/>
  <c r="T140" i="3" s="1"/>
  <c r="R139" i="3"/>
  <c r="S139" i="3" s="1"/>
  <c r="T139" i="3" s="1"/>
  <c r="R138" i="3"/>
  <c r="S138" i="3" s="1"/>
  <c r="T138" i="3" s="1"/>
  <c r="R137" i="3"/>
  <c r="S137" i="3" s="1"/>
  <c r="T137" i="3" s="1"/>
  <c r="R136" i="3"/>
  <c r="S136" i="3" s="1"/>
  <c r="T136" i="3" s="1"/>
  <c r="R135" i="3"/>
  <c r="S135" i="3" s="1"/>
  <c r="T135" i="3" s="1"/>
  <c r="R134" i="3"/>
  <c r="S134" i="3" s="1"/>
  <c r="T134" i="3" s="1"/>
  <c r="R133" i="3"/>
  <c r="S133" i="3" s="1"/>
  <c r="T133" i="3" s="1"/>
  <c r="R132" i="3"/>
  <c r="S132" i="3" s="1"/>
  <c r="T132" i="3" s="1"/>
  <c r="R131" i="3"/>
  <c r="S131" i="3" s="1"/>
  <c r="T131" i="3" s="1"/>
  <c r="R130" i="3"/>
  <c r="S130" i="3" s="1"/>
  <c r="T130" i="3" s="1"/>
  <c r="R129" i="3"/>
  <c r="S129" i="3" s="1"/>
  <c r="T129" i="3" s="1"/>
  <c r="R128" i="3"/>
  <c r="S128" i="3" s="1"/>
  <c r="T128" i="3" s="1"/>
  <c r="R127" i="3"/>
  <c r="S127" i="3" s="1"/>
  <c r="T127" i="3" s="1"/>
  <c r="R126" i="3"/>
  <c r="S126" i="3" s="1"/>
  <c r="T126" i="3" s="1"/>
  <c r="R125" i="3"/>
  <c r="S125" i="3" s="1"/>
  <c r="T125" i="3" s="1"/>
  <c r="R124" i="3"/>
  <c r="S124" i="3" s="1"/>
  <c r="T124" i="3" s="1"/>
  <c r="R123" i="3"/>
  <c r="S123" i="3" s="1"/>
  <c r="T123" i="3" s="1"/>
  <c r="R122" i="3"/>
  <c r="S122" i="3" s="1"/>
  <c r="T122" i="3" s="1"/>
  <c r="R119" i="3"/>
  <c r="S119" i="3" s="1"/>
  <c r="T119" i="3" s="1"/>
  <c r="R103" i="3"/>
  <c r="S103" i="3" s="1"/>
  <c r="T103" i="3" s="1"/>
  <c r="R162" i="3"/>
  <c r="S162" i="3" s="1"/>
  <c r="T162" i="3" s="1"/>
  <c r="R121" i="3"/>
  <c r="S121" i="3" s="1"/>
  <c r="T121" i="3" s="1"/>
  <c r="R113" i="3"/>
  <c r="S113" i="3" s="1"/>
  <c r="T113" i="3" s="1"/>
  <c r="R16" i="3"/>
  <c r="S16" i="3" s="1"/>
  <c r="T16" i="3" s="1"/>
  <c r="R105" i="3"/>
  <c r="S105" i="3" s="1"/>
  <c r="T105" i="3" s="1"/>
  <c r="R96" i="3"/>
  <c r="S96" i="3" s="1"/>
  <c r="T96" i="3" s="1"/>
  <c r="R83" i="3"/>
  <c r="S83" i="3" s="1"/>
  <c r="T83" i="3" s="1"/>
  <c r="R18" i="3"/>
  <c r="S18" i="3" s="1"/>
  <c r="T18" i="3" s="1"/>
  <c r="R17" i="3"/>
  <c r="S17" i="3" s="1"/>
  <c r="T17" i="3" s="1"/>
  <c r="R114" i="3"/>
  <c r="S114" i="3" s="1"/>
  <c r="T114" i="3" s="1"/>
  <c r="R84" i="3"/>
  <c r="S84" i="3" s="1"/>
  <c r="T84" i="3" s="1"/>
  <c r="R23" i="3"/>
  <c r="S23" i="3" s="1"/>
  <c r="T23" i="3" s="1"/>
  <c r="R22" i="3"/>
  <c r="S22" i="3" s="1"/>
  <c r="T22" i="3" s="1"/>
  <c r="R21" i="3"/>
  <c r="S21" i="3" s="1"/>
  <c r="T21" i="3" s="1"/>
  <c r="R19" i="3"/>
  <c r="S19" i="3" s="1"/>
  <c r="T19" i="3" s="1"/>
  <c r="R106" i="3"/>
  <c r="S106" i="3" s="1"/>
  <c r="T106" i="3" s="1"/>
  <c r="R97" i="3"/>
  <c r="S97" i="3" s="1"/>
  <c r="T97" i="3" s="1"/>
  <c r="R85" i="3"/>
  <c r="S85" i="3" s="1"/>
  <c r="T85" i="3" s="1"/>
  <c r="R24" i="3"/>
  <c r="S24" i="3" s="1"/>
  <c r="T24" i="3" s="1"/>
  <c r="R20" i="3"/>
  <c r="S20" i="3" s="1"/>
  <c r="T20" i="3" s="1"/>
  <c r="R115" i="3"/>
  <c r="S115" i="3" s="1"/>
  <c r="T115" i="3" s="1"/>
  <c r="R86" i="3"/>
  <c r="S86" i="3" s="1"/>
  <c r="T86" i="3" s="1"/>
  <c r="R25" i="3"/>
  <c r="S25" i="3" s="1"/>
  <c r="T25" i="3" s="1"/>
  <c r="R107" i="3"/>
  <c r="S107" i="3" s="1"/>
  <c r="T107" i="3" s="1"/>
  <c r="R98" i="3"/>
  <c r="S98" i="3" s="1"/>
  <c r="T98" i="3" s="1"/>
  <c r="R87" i="3"/>
  <c r="S87" i="3" s="1"/>
  <c r="T87" i="3" s="1"/>
  <c r="R26" i="3"/>
  <c r="S26" i="3" s="1"/>
  <c r="T26" i="3" s="1"/>
  <c r="R116" i="3"/>
  <c r="S116" i="3" s="1"/>
  <c r="T116" i="3" s="1"/>
  <c r="R88" i="3"/>
  <c r="S88" i="3" s="1"/>
  <c r="T88" i="3" s="1"/>
  <c r="R43" i="3"/>
  <c r="S43" i="3" s="1"/>
  <c r="T43" i="3" s="1"/>
  <c r="R42" i="3"/>
  <c r="S42" i="3" s="1"/>
  <c r="T42" i="3" s="1"/>
  <c r="R41" i="3"/>
  <c r="S41" i="3" s="1"/>
  <c r="T41" i="3" s="1"/>
  <c r="R40" i="3"/>
  <c r="S40" i="3" s="1"/>
  <c r="T40" i="3" s="1"/>
  <c r="R39" i="3"/>
  <c r="S39" i="3" s="1"/>
  <c r="T39" i="3" s="1"/>
  <c r="R38" i="3"/>
  <c r="S38" i="3" s="1"/>
  <c r="T38" i="3" s="1"/>
  <c r="R37" i="3"/>
  <c r="S37" i="3" s="1"/>
  <c r="T37" i="3" s="1"/>
  <c r="R36" i="3"/>
  <c r="S36" i="3" s="1"/>
  <c r="T36" i="3" s="1"/>
  <c r="R35" i="3"/>
  <c r="S35" i="3" s="1"/>
  <c r="T35" i="3" s="1"/>
  <c r="R34" i="3"/>
  <c r="S34" i="3" s="1"/>
  <c r="T34" i="3" s="1"/>
  <c r="R27" i="3"/>
  <c r="S27" i="3" s="1"/>
  <c r="T27" i="3" s="1"/>
  <c r="R6" i="3"/>
  <c r="S6" i="3" s="1"/>
  <c r="T6" i="3" s="1"/>
  <c r="R117" i="3"/>
  <c r="S117" i="3" s="1"/>
  <c r="T117" i="3" s="1"/>
  <c r="R108" i="3"/>
  <c r="S108" i="3" s="1"/>
  <c r="T108" i="3" s="1"/>
  <c r="R99" i="3"/>
  <c r="S99" i="3" s="1"/>
  <c r="T99" i="3" s="1"/>
  <c r="R89" i="3"/>
  <c r="S89" i="3" s="1"/>
  <c r="T89" i="3" s="1"/>
  <c r="R28" i="3"/>
  <c r="S28" i="3" s="1"/>
  <c r="T28" i="3" s="1"/>
  <c r="R7" i="3"/>
  <c r="S7" i="3" s="1"/>
  <c r="T7" i="3" s="1"/>
  <c r="R104" i="3"/>
  <c r="S104" i="3" s="1"/>
  <c r="T104" i="3" s="1"/>
  <c r="R94" i="3"/>
  <c r="S94" i="3" s="1"/>
  <c r="T94" i="3" s="1"/>
  <c r="R33" i="3"/>
  <c r="S33" i="3" s="1"/>
  <c r="T33" i="3" s="1"/>
  <c r="R32" i="3"/>
  <c r="S32" i="3" s="1"/>
  <c r="T32" i="3" s="1"/>
  <c r="R161" i="3"/>
  <c r="S161" i="3" s="1"/>
  <c r="T161" i="3" s="1"/>
  <c r="R109" i="3"/>
  <c r="S109" i="3" s="1"/>
  <c r="T109" i="3" s="1"/>
  <c r="R14" i="3"/>
  <c r="S14" i="3" s="1"/>
  <c r="T14" i="3" s="1"/>
  <c r="R95" i="3"/>
  <c r="S95" i="3" s="1"/>
  <c r="T95" i="3" s="1"/>
  <c r="R12" i="3"/>
  <c r="S12" i="3" s="1"/>
  <c r="T12" i="3" s="1"/>
  <c r="R10" i="3"/>
  <c r="S10" i="3" s="1"/>
  <c r="T10" i="3" s="1"/>
  <c r="R111" i="3"/>
  <c r="S111" i="3" s="1"/>
  <c r="T111" i="3" s="1"/>
  <c r="R101" i="3"/>
  <c r="S101" i="3" s="1"/>
  <c r="T101" i="3" s="1"/>
  <c r="R30" i="3"/>
  <c r="S30" i="3" s="1"/>
  <c r="T30" i="3" s="1"/>
  <c r="R93" i="3"/>
  <c r="S93" i="3" s="1"/>
  <c r="T93" i="3" s="1"/>
  <c r="R91" i="3"/>
  <c r="S91" i="3" s="1"/>
  <c r="T91" i="3" s="1"/>
  <c r="R8" i="3"/>
  <c r="S8" i="3" s="1"/>
  <c r="T8" i="3" s="1"/>
  <c r="R92" i="3"/>
  <c r="S92" i="3" s="1"/>
  <c r="T92" i="3" s="1"/>
  <c r="R29" i="3"/>
  <c r="S29" i="3" s="1"/>
  <c r="T29" i="3" s="1"/>
  <c r="R13" i="3"/>
  <c r="S13" i="3" s="1"/>
  <c r="T13" i="3" s="1"/>
  <c r="R9" i="3"/>
  <c r="S9" i="3" s="1"/>
  <c r="T9" i="3" s="1"/>
  <c r="R110" i="3"/>
  <c r="S110" i="3" s="1"/>
  <c r="T110" i="3" s="1"/>
  <c r="R90" i="3"/>
  <c r="S90" i="3" s="1"/>
  <c r="T90" i="3" s="1"/>
  <c r="R112" i="3"/>
  <c r="S112" i="3" s="1"/>
  <c r="T112" i="3" s="1"/>
  <c r="R15" i="3"/>
  <c r="S15" i="3" s="1"/>
  <c r="T15" i="3" s="1"/>
  <c r="R102" i="3"/>
  <c r="S102" i="3" s="1"/>
  <c r="T102" i="3" s="1"/>
  <c r="R11" i="3"/>
  <c r="S11" i="3" s="1"/>
  <c r="T11" i="3" s="1"/>
  <c r="R31" i="3"/>
  <c r="S31" i="3" s="1"/>
  <c r="T31" i="3" s="1"/>
  <c r="R120" i="3"/>
  <c r="S120" i="3" s="1"/>
  <c r="T120" i="3" s="1"/>
  <c r="R100" i="3"/>
  <c r="S100" i="3" s="1"/>
  <c r="T100" i="3" s="1"/>
  <c r="R118" i="3"/>
  <c r="S118" i="3" s="1"/>
  <c r="T118" i="3" s="1"/>
  <c r="B16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C162" i="17"/>
  <c r="G161" i="17"/>
  <c r="Q162" i="19"/>
  <c r="Q2" i="19"/>
  <c r="R160" i="20"/>
  <c r="S160" i="20" s="1"/>
  <c r="T160" i="20" s="1"/>
  <c r="R159" i="20"/>
  <c r="S159" i="20" s="1"/>
  <c r="T159" i="20" s="1"/>
  <c r="R158" i="20"/>
  <c r="S158" i="20" s="1"/>
  <c r="T158" i="20" s="1"/>
  <c r="R157" i="20"/>
  <c r="S157" i="20" s="1"/>
  <c r="T157" i="20" s="1"/>
  <c r="R156" i="20"/>
  <c r="S156" i="20" s="1"/>
  <c r="T156" i="20" s="1"/>
  <c r="R155" i="20"/>
  <c r="S155" i="20" s="1"/>
  <c r="T155" i="20" s="1"/>
  <c r="R154" i="20"/>
  <c r="S154" i="20" s="1"/>
  <c r="T154" i="20" s="1"/>
  <c r="R153" i="20"/>
  <c r="S153" i="20" s="1"/>
  <c r="T153" i="20" s="1"/>
  <c r="R152" i="20"/>
  <c r="S152" i="20" s="1"/>
  <c r="T152" i="20" s="1"/>
  <c r="R151" i="20"/>
  <c r="S151" i="20" s="1"/>
  <c r="T151" i="20" s="1"/>
  <c r="R150" i="20"/>
  <c r="S150" i="20" s="1"/>
  <c r="T150" i="20" s="1"/>
  <c r="R149" i="20"/>
  <c r="S149" i="20" s="1"/>
  <c r="T149" i="20" s="1"/>
  <c r="R148" i="20"/>
  <c r="S148" i="20" s="1"/>
  <c r="T148" i="20" s="1"/>
  <c r="R147" i="20"/>
  <c r="S147" i="20" s="1"/>
  <c r="T147" i="20" s="1"/>
  <c r="R146" i="20"/>
  <c r="S146" i="20" s="1"/>
  <c r="T146" i="20" s="1"/>
  <c r="R145" i="20"/>
  <c r="S145" i="20" s="1"/>
  <c r="T145" i="20" s="1"/>
  <c r="R144" i="20"/>
  <c r="S144" i="20" s="1"/>
  <c r="T144" i="20" s="1"/>
  <c r="R143" i="20"/>
  <c r="S143" i="20" s="1"/>
  <c r="T143" i="20" s="1"/>
  <c r="R142" i="20"/>
  <c r="S142" i="20" s="1"/>
  <c r="T142" i="20" s="1"/>
  <c r="R141" i="20"/>
  <c r="S141" i="20" s="1"/>
  <c r="T141" i="20" s="1"/>
  <c r="R139" i="20"/>
  <c r="S139" i="20" s="1"/>
  <c r="T139" i="20" s="1"/>
  <c r="R140" i="20"/>
  <c r="S140" i="20" s="1"/>
  <c r="T140" i="20" s="1"/>
  <c r="R121" i="20"/>
  <c r="S121" i="20" s="1"/>
  <c r="T121" i="20" s="1"/>
  <c r="R120" i="20"/>
  <c r="S120" i="20" s="1"/>
  <c r="T120" i="20" s="1"/>
  <c r="R119" i="20"/>
  <c r="S119" i="20" s="1"/>
  <c r="T119" i="20" s="1"/>
  <c r="R118" i="20"/>
  <c r="S118" i="20" s="1"/>
  <c r="T118" i="20" s="1"/>
  <c r="R117" i="20"/>
  <c r="S117" i="20" s="1"/>
  <c r="T117" i="20" s="1"/>
  <c r="R116" i="20"/>
  <c r="S116" i="20" s="1"/>
  <c r="T116" i="20" s="1"/>
  <c r="R115" i="20"/>
  <c r="S115" i="20" s="1"/>
  <c r="T115" i="20" s="1"/>
  <c r="R114" i="20"/>
  <c r="S114" i="20" s="1"/>
  <c r="T114" i="20" s="1"/>
  <c r="R113" i="20"/>
  <c r="S113" i="20" s="1"/>
  <c r="T113" i="20" s="1"/>
  <c r="R112" i="20"/>
  <c r="S112" i="20" s="1"/>
  <c r="T112" i="20" s="1"/>
  <c r="R111" i="20"/>
  <c r="S111" i="20" s="1"/>
  <c r="T111" i="20" s="1"/>
  <c r="R110" i="20"/>
  <c r="S110" i="20" s="1"/>
  <c r="T110" i="20" s="1"/>
  <c r="R109" i="20"/>
  <c r="S109" i="20" s="1"/>
  <c r="T109" i="20" s="1"/>
  <c r="R108" i="20"/>
  <c r="S108" i="20" s="1"/>
  <c r="T108" i="20" s="1"/>
  <c r="R107" i="20"/>
  <c r="S107" i="20" s="1"/>
  <c r="T107" i="20" s="1"/>
  <c r="R106" i="20"/>
  <c r="S106" i="20" s="1"/>
  <c r="T106" i="20" s="1"/>
  <c r="R105" i="20"/>
  <c r="S105" i="20" s="1"/>
  <c r="T105" i="20" s="1"/>
  <c r="R104" i="20"/>
  <c r="S104" i="20" s="1"/>
  <c r="T104" i="20" s="1"/>
  <c r="R103" i="20"/>
  <c r="S103" i="20" s="1"/>
  <c r="T103" i="20" s="1"/>
  <c r="R102" i="20"/>
  <c r="S102" i="20" s="1"/>
  <c r="T102" i="20" s="1"/>
  <c r="R162" i="20"/>
  <c r="S162" i="20" s="1"/>
  <c r="T162" i="20" s="1"/>
  <c r="R126" i="20"/>
  <c r="S126" i="20" s="1"/>
  <c r="T126" i="20" s="1"/>
  <c r="R125" i="20"/>
  <c r="S125" i="20" s="1"/>
  <c r="T125" i="20" s="1"/>
  <c r="R124" i="20"/>
  <c r="S124" i="20" s="1"/>
  <c r="T124" i="20" s="1"/>
  <c r="R123" i="20"/>
  <c r="S123" i="20" s="1"/>
  <c r="T123" i="20" s="1"/>
  <c r="R122" i="20"/>
  <c r="S122" i="20" s="1"/>
  <c r="T122" i="20" s="1"/>
  <c r="R29" i="20"/>
  <c r="S29" i="20" s="1"/>
  <c r="T29" i="20" s="1"/>
  <c r="R28" i="20"/>
  <c r="S28" i="20" s="1"/>
  <c r="T28" i="20" s="1"/>
  <c r="R27" i="20"/>
  <c r="S27" i="20" s="1"/>
  <c r="T27" i="20" s="1"/>
  <c r="R26" i="20"/>
  <c r="S26" i="20" s="1"/>
  <c r="T26" i="20" s="1"/>
  <c r="R25" i="20"/>
  <c r="S25" i="20" s="1"/>
  <c r="T25" i="20" s="1"/>
  <c r="R24" i="20"/>
  <c r="S24" i="20" s="1"/>
  <c r="T24" i="20" s="1"/>
  <c r="R23" i="20"/>
  <c r="S23" i="20" s="1"/>
  <c r="T23" i="20" s="1"/>
  <c r="R22" i="20"/>
  <c r="S22" i="20" s="1"/>
  <c r="T22" i="20" s="1"/>
  <c r="R127" i="20"/>
  <c r="S127" i="20" s="1"/>
  <c r="T127" i="20" s="1"/>
  <c r="R130" i="20"/>
  <c r="S130" i="20" s="1"/>
  <c r="T130" i="20" s="1"/>
  <c r="R70" i="20"/>
  <c r="S70" i="20" s="1"/>
  <c r="T70" i="20" s="1"/>
  <c r="R40" i="20"/>
  <c r="S40" i="20" s="1"/>
  <c r="T40" i="20" s="1"/>
  <c r="R16" i="20"/>
  <c r="S16" i="20" s="1"/>
  <c r="T16" i="20" s="1"/>
  <c r="R135" i="20"/>
  <c r="S135" i="20" s="1"/>
  <c r="T135" i="20" s="1"/>
  <c r="R99" i="20"/>
  <c r="S99" i="20" s="1"/>
  <c r="T99" i="20" s="1"/>
  <c r="R95" i="20"/>
  <c r="S95" i="20" s="1"/>
  <c r="T95" i="20" s="1"/>
  <c r="R91" i="20"/>
  <c r="S91" i="20" s="1"/>
  <c r="T91" i="20" s="1"/>
  <c r="R87" i="20"/>
  <c r="S87" i="20" s="1"/>
  <c r="T87" i="20" s="1"/>
  <c r="R83" i="20"/>
  <c r="S83" i="20" s="1"/>
  <c r="T83" i="20" s="1"/>
  <c r="R67" i="20"/>
  <c r="S67" i="20" s="1"/>
  <c r="T67" i="20" s="1"/>
  <c r="R80" i="20"/>
  <c r="S80" i="20" s="1"/>
  <c r="T80" i="20" s="1"/>
  <c r="R64" i="20"/>
  <c r="S64" i="20" s="1"/>
  <c r="T64" i="20" s="1"/>
  <c r="R18" i="20"/>
  <c r="S18" i="20" s="1"/>
  <c r="T18" i="20" s="1"/>
  <c r="R17" i="20"/>
  <c r="S17" i="20" s="1"/>
  <c r="T17" i="20" s="1"/>
  <c r="R138" i="20"/>
  <c r="S138" i="20" s="1"/>
  <c r="T138" i="20" s="1"/>
  <c r="R133" i="20"/>
  <c r="S133" i="20" s="1"/>
  <c r="T133" i="20" s="1"/>
  <c r="R77" i="20"/>
  <c r="S77" i="20" s="1"/>
  <c r="T77" i="20" s="1"/>
  <c r="R61" i="20"/>
  <c r="S61" i="20" s="1"/>
  <c r="T61" i="20" s="1"/>
  <c r="R57" i="20"/>
  <c r="S57" i="20" s="1"/>
  <c r="T57" i="20" s="1"/>
  <c r="R53" i="20"/>
  <c r="S53" i="20" s="1"/>
  <c r="T53" i="20" s="1"/>
  <c r="R49" i="20"/>
  <c r="S49" i="20" s="1"/>
  <c r="T49" i="20" s="1"/>
  <c r="R45" i="20"/>
  <c r="S45" i="20" s="1"/>
  <c r="T45" i="20" s="1"/>
  <c r="R41" i="20"/>
  <c r="S41" i="20" s="1"/>
  <c r="T41" i="20" s="1"/>
  <c r="R74" i="20"/>
  <c r="S74" i="20" s="1"/>
  <c r="T74" i="20" s="1"/>
  <c r="R36" i="20"/>
  <c r="S36" i="20" s="1"/>
  <c r="T36" i="20" s="1"/>
  <c r="R19" i="20"/>
  <c r="S19" i="20" s="1"/>
  <c r="T19" i="20" s="1"/>
  <c r="R100" i="20"/>
  <c r="S100" i="20" s="1"/>
  <c r="T100" i="20" s="1"/>
  <c r="R96" i="20"/>
  <c r="S96" i="20" s="1"/>
  <c r="T96" i="20" s="1"/>
  <c r="R92" i="20"/>
  <c r="S92" i="20" s="1"/>
  <c r="T92" i="20" s="1"/>
  <c r="R88" i="20"/>
  <c r="S88" i="20" s="1"/>
  <c r="T88" i="20" s="1"/>
  <c r="R84" i="20"/>
  <c r="S84" i="20" s="1"/>
  <c r="T84" i="20" s="1"/>
  <c r="R71" i="20"/>
  <c r="S71" i="20" s="1"/>
  <c r="T71" i="20" s="1"/>
  <c r="R128" i="20"/>
  <c r="S128" i="20" s="1"/>
  <c r="T128" i="20" s="1"/>
  <c r="R68" i="20"/>
  <c r="S68" i="20" s="1"/>
  <c r="T68" i="20" s="1"/>
  <c r="R136" i="20"/>
  <c r="S136" i="20" s="1"/>
  <c r="T136" i="20" s="1"/>
  <c r="R131" i="20"/>
  <c r="S131" i="20" s="1"/>
  <c r="T131" i="20" s="1"/>
  <c r="R81" i="20"/>
  <c r="S81" i="20" s="1"/>
  <c r="T81" i="20" s="1"/>
  <c r="R65" i="20"/>
  <c r="S65" i="20" s="1"/>
  <c r="T65" i="20" s="1"/>
  <c r="R58" i="20"/>
  <c r="S58" i="20" s="1"/>
  <c r="T58" i="20" s="1"/>
  <c r="R54" i="20"/>
  <c r="S54" i="20" s="1"/>
  <c r="T54" i="20" s="1"/>
  <c r="R50" i="20"/>
  <c r="S50" i="20" s="1"/>
  <c r="T50" i="20" s="1"/>
  <c r="R46" i="20"/>
  <c r="S46" i="20" s="1"/>
  <c r="T46" i="20" s="1"/>
  <c r="R37" i="20"/>
  <c r="S37" i="20" s="1"/>
  <c r="T37" i="20" s="1"/>
  <c r="R7" i="20"/>
  <c r="S7" i="20" s="1"/>
  <c r="T7" i="20" s="1"/>
  <c r="R129" i="20"/>
  <c r="S129" i="20" s="1"/>
  <c r="T129" i="20" s="1"/>
  <c r="R137" i="20"/>
  <c r="S137" i="20" s="1"/>
  <c r="T137" i="20" s="1"/>
  <c r="R132" i="20"/>
  <c r="S132" i="20" s="1"/>
  <c r="T132" i="20" s="1"/>
  <c r="R98" i="20"/>
  <c r="S98" i="20" s="1"/>
  <c r="T98" i="20" s="1"/>
  <c r="R73" i="20"/>
  <c r="S73" i="20" s="1"/>
  <c r="T73" i="20" s="1"/>
  <c r="R15" i="20"/>
  <c r="S15" i="20" s="1"/>
  <c r="T15" i="20" s="1"/>
  <c r="R12" i="20"/>
  <c r="S12" i="20" s="1"/>
  <c r="T12" i="20" s="1"/>
  <c r="R75" i="20"/>
  <c r="S75" i="20" s="1"/>
  <c r="T75" i="20" s="1"/>
  <c r="R94" i="20"/>
  <c r="S94" i="20" s="1"/>
  <c r="T94" i="20" s="1"/>
  <c r="R63" i="20"/>
  <c r="S63" i="20" s="1"/>
  <c r="T63" i="20" s="1"/>
  <c r="R56" i="20"/>
  <c r="S56" i="20" s="1"/>
  <c r="T56" i="20" s="1"/>
  <c r="R47" i="20"/>
  <c r="S47" i="20" s="1"/>
  <c r="T47" i="20" s="1"/>
  <c r="R31" i="20"/>
  <c r="S31" i="20" s="1"/>
  <c r="T31" i="20" s="1"/>
  <c r="R89" i="20"/>
  <c r="S89" i="20" s="1"/>
  <c r="T89" i="20" s="1"/>
  <c r="R6" i="20"/>
  <c r="S6" i="20" s="1"/>
  <c r="T6" i="20" s="1"/>
  <c r="R101" i="20"/>
  <c r="S101" i="20" s="1"/>
  <c r="T101" i="20" s="1"/>
  <c r="R51" i="20"/>
  <c r="S51" i="20" s="1"/>
  <c r="T51" i="20" s="1"/>
  <c r="R10" i="20"/>
  <c r="S10" i="20" s="1"/>
  <c r="T10" i="20" s="1"/>
  <c r="R161" i="20"/>
  <c r="S161" i="20" s="1"/>
  <c r="T161" i="20" s="1"/>
  <c r="R72" i="20"/>
  <c r="S72" i="20" s="1"/>
  <c r="T72" i="20" s="1"/>
  <c r="R34" i="20"/>
  <c r="S34" i="20" s="1"/>
  <c r="T34" i="20" s="1"/>
  <c r="R13" i="20"/>
  <c r="S13" i="20" s="1"/>
  <c r="T13" i="20" s="1"/>
  <c r="R82" i="20"/>
  <c r="S82" i="20" s="1"/>
  <c r="T82" i="20" s="1"/>
  <c r="R62" i="20"/>
  <c r="S62" i="20" s="1"/>
  <c r="T62" i="20" s="1"/>
  <c r="R60" i="20"/>
  <c r="S60" i="20" s="1"/>
  <c r="T60" i="20" s="1"/>
  <c r="R39" i="20"/>
  <c r="S39" i="20" s="1"/>
  <c r="T39" i="20" s="1"/>
  <c r="R86" i="20"/>
  <c r="S86" i="20" s="1"/>
  <c r="T86" i="20" s="1"/>
  <c r="R79" i="20"/>
  <c r="S79" i="20" s="1"/>
  <c r="T79" i="20" s="1"/>
  <c r="R44" i="20"/>
  <c r="S44" i="20" s="1"/>
  <c r="T44" i="20" s="1"/>
  <c r="R14" i="20"/>
  <c r="S14" i="20" s="1"/>
  <c r="T14" i="20" s="1"/>
  <c r="R11" i="20"/>
  <c r="S11" i="20" s="1"/>
  <c r="T11" i="20" s="1"/>
  <c r="R8" i="20"/>
  <c r="S8" i="20" s="1"/>
  <c r="T8" i="20" s="1"/>
  <c r="R97" i="20"/>
  <c r="S97" i="20" s="1"/>
  <c r="T97" i="20" s="1"/>
  <c r="R76" i="20"/>
  <c r="S76" i="20" s="1"/>
  <c r="T76" i="20" s="1"/>
  <c r="R90" i="20"/>
  <c r="S90" i="20" s="1"/>
  <c r="T90" i="20" s="1"/>
  <c r="R78" i="20"/>
  <c r="S78" i="20" s="1"/>
  <c r="T78" i="20" s="1"/>
  <c r="R66" i="20"/>
  <c r="S66" i="20" s="1"/>
  <c r="T66" i="20" s="1"/>
  <c r="R52" i="20"/>
  <c r="S52" i="20" s="1"/>
  <c r="T52" i="20" s="1"/>
  <c r="R33" i="20"/>
  <c r="S33" i="20" s="1"/>
  <c r="T33" i="20" s="1"/>
  <c r="R20" i="20"/>
  <c r="S20" i="20" s="1"/>
  <c r="T20" i="20" s="1"/>
  <c r="R9" i="20"/>
  <c r="S9" i="20" s="1"/>
  <c r="T9" i="20" s="1"/>
  <c r="R35" i="20"/>
  <c r="S35" i="20" s="1"/>
  <c r="T35" i="20" s="1"/>
  <c r="R38" i="20"/>
  <c r="S38" i="20" s="1"/>
  <c r="T38" i="20" s="1"/>
  <c r="R69" i="20"/>
  <c r="S69" i="20" s="1"/>
  <c r="T69" i="20" s="1"/>
  <c r="R48" i="20"/>
  <c r="S48" i="20" s="1"/>
  <c r="T48" i="20" s="1"/>
  <c r="R93" i="20"/>
  <c r="S93" i="20" s="1"/>
  <c r="T93" i="20" s="1"/>
  <c r="R85" i="20"/>
  <c r="S85" i="20" s="1"/>
  <c r="T85" i="20" s="1"/>
  <c r="R30" i="20"/>
  <c r="S30" i="20" s="1"/>
  <c r="T30" i="20" s="1"/>
  <c r="R21" i="20"/>
  <c r="S21" i="20" s="1"/>
  <c r="T21" i="20" s="1"/>
  <c r="R42" i="20"/>
  <c r="S42" i="20" s="1"/>
  <c r="T42" i="20" s="1"/>
  <c r="R32" i="20"/>
  <c r="S32" i="20" s="1"/>
  <c r="T32" i="20" s="1"/>
  <c r="R134" i="20"/>
  <c r="S134" i="20" s="1"/>
  <c r="T134" i="20" s="1"/>
  <c r="R55" i="20"/>
  <c r="S55" i="20" s="1"/>
  <c r="T55" i="20" s="1"/>
  <c r="R59" i="20"/>
  <c r="S59" i="20" s="1"/>
  <c r="T59" i="20" s="1"/>
  <c r="R43" i="20"/>
  <c r="S43" i="20" s="1"/>
  <c r="T43" i="20" s="1"/>
  <c r="B16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Q162" i="25"/>
  <c r="Q2" i="25"/>
  <c r="G162" i="23"/>
  <c r="G2" i="23"/>
  <c r="M162" i="27"/>
  <c r="Q161" i="27"/>
  <c r="C162" i="9"/>
  <c r="G161" i="9"/>
  <c r="L162" i="27"/>
  <c r="K123" i="27"/>
  <c r="K124" i="27"/>
  <c r="K125" i="27"/>
  <c r="K126" i="27"/>
  <c r="K127" i="27"/>
  <c r="K128" i="27"/>
  <c r="K129" i="27"/>
  <c r="K130" i="27"/>
  <c r="K131" i="27"/>
  <c r="K132" i="27"/>
  <c r="K133" i="27"/>
  <c r="K134" i="27"/>
  <c r="K135" i="27"/>
  <c r="K136" i="27"/>
  <c r="K137" i="27"/>
  <c r="K138" i="27"/>
  <c r="K139" i="27"/>
  <c r="K140" i="27"/>
  <c r="K141" i="27"/>
  <c r="K142" i="27"/>
  <c r="K143" i="27"/>
  <c r="K144" i="27"/>
  <c r="K145" i="27"/>
  <c r="K146" i="27"/>
  <c r="K147" i="27"/>
  <c r="K148" i="27"/>
  <c r="K149" i="27"/>
  <c r="K150" i="27"/>
  <c r="K151" i="27"/>
  <c r="K152" i="27"/>
  <c r="K153" i="27"/>
  <c r="K154" i="27"/>
  <c r="K155" i="27"/>
  <c r="K156" i="27"/>
  <c r="K157" i="27"/>
  <c r="K158" i="27"/>
  <c r="K159" i="27"/>
  <c r="P2" i="23"/>
  <c r="R2" i="23" s="1"/>
  <c r="L16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G162" i="24"/>
  <c r="G2" i="24"/>
  <c r="I2" i="8"/>
  <c r="J2" i="8" s="1"/>
  <c r="F2" i="21"/>
  <c r="H2" i="21" s="1"/>
  <c r="S2" i="4"/>
  <c r="T2" i="4" s="1"/>
  <c r="X21" i="4" s="1"/>
  <c r="H160" i="20"/>
  <c r="I160" i="20" s="1"/>
  <c r="J160" i="20" s="1"/>
  <c r="H161" i="20"/>
  <c r="I161" i="20" s="1"/>
  <c r="J161" i="20" s="1"/>
  <c r="H146" i="20"/>
  <c r="I146" i="20" s="1"/>
  <c r="J146" i="20" s="1"/>
  <c r="H159" i="20"/>
  <c r="I159" i="20" s="1"/>
  <c r="J159" i="20" s="1"/>
  <c r="H131" i="20"/>
  <c r="I131" i="20" s="1"/>
  <c r="J131" i="20" s="1"/>
  <c r="H145" i="20"/>
  <c r="I145" i="20" s="1"/>
  <c r="J145" i="20" s="1"/>
  <c r="H132" i="20"/>
  <c r="I132" i="20" s="1"/>
  <c r="J132" i="20" s="1"/>
  <c r="H154" i="20"/>
  <c r="I154" i="20" s="1"/>
  <c r="J154" i="20" s="1"/>
  <c r="H133" i="20"/>
  <c r="I133" i="20" s="1"/>
  <c r="J133" i="20" s="1"/>
  <c r="H134" i="20"/>
  <c r="I134" i="20" s="1"/>
  <c r="J134" i="20" s="1"/>
  <c r="H147" i="20"/>
  <c r="I147" i="20" s="1"/>
  <c r="J147" i="20" s="1"/>
  <c r="H135" i="20"/>
  <c r="I135" i="20" s="1"/>
  <c r="J135" i="20" s="1"/>
  <c r="H155" i="20"/>
  <c r="I155" i="20" s="1"/>
  <c r="J155" i="20" s="1"/>
  <c r="H138" i="20"/>
  <c r="I138" i="20" s="1"/>
  <c r="J138" i="20" s="1"/>
  <c r="H82" i="20"/>
  <c r="I82" i="20" s="1"/>
  <c r="J82" i="20" s="1"/>
  <c r="H81" i="20"/>
  <c r="I81" i="20" s="1"/>
  <c r="J81" i="20" s="1"/>
  <c r="H80" i="20"/>
  <c r="I80" i="20" s="1"/>
  <c r="J80" i="20" s="1"/>
  <c r="H79" i="20"/>
  <c r="I79" i="20" s="1"/>
  <c r="J79" i="20" s="1"/>
  <c r="H78" i="20"/>
  <c r="I78" i="20" s="1"/>
  <c r="J78" i="20" s="1"/>
  <c r="H77" i="20"/>
  <c r="I77" i="20" s="1"/>
  <c r="J77" i="20" s="1"/>
  <c r="H76" i="20"/>
  <c r="I76" i="20" s="1"/>
  <c r="J76" i="20" s="1"/>
  <c r="H75" i="20"/>
  <c r="I75" i="20" s="1"/>
  <c r="J75" i="20" s="1"/>
  <c r="H74" i="20"/>
  <c r="I74" i="20" s="1"/>
  <c r="J74" i="20" s="1"/>
  <c r="H73" i="20"/>
  <c r="I73" i="20" s="1"/>
  <c r="J73" i="20" s="1"/>
  <c r="H72" i="20"/>
  <c r="I72" i="20" s="1"/>
  <c r="J72" i="20" s="1"/>
  <c r="H71" i="20"/>
  <c r="I71" i="20" s="1"/>
  <c r="J71" i="20" s="1"/>
  <c r="H70" i="20"/>
  <c r="I70" i="20" s="1"/>
  <c r="J70" i="20" s="1"/>
  <c r="H69" i="20"/>
  <c r="I69" i="20" s="1"/>
  <c r="J69" i="20" s="1"/>
  <c r="H68" i="20"/>
  <c r="I68" i="20" s="1"/>
  <c r="J68" i="20" s="1"/>
  <c r="H67" i="20"/>
  <c r="I67" i="20" s="1"/>
  <c r="J67" i="20" s="1"/>
  <c r="H66" i="20"/>
  <c r="I66" i="20" s="1"/>
  <c r="J66" i="20" s="1"/>
  <c r="H65" i="20"/>
  <c r="I65" i="20" s="1"/>
  <c r="J65" i="20" s="1"/>
  <c r="H64" i="20"/>
  <c r="I64" i="20" s="1"/>
  <c r="J64" i="20" s="1"/>
  <c r="H63" i="20"/>
  <c r="I63" i="20" s="1"/>
  <c r="J63" i="20" s="1"/>
  <c r="H62" i="20"/>
  <c r="I62" i="20" s="1"/>
  <c r="J62" i="20" s="1"/>
  <c r="H61" i="20"/>
  <c r="I61" i="20" s="1"/>
  <c r="J61" i="20" s="1"/>
  <c r="H60" i="20"/>
  <c r="I60" i="20" s="1"/>
  <c r="J60" i="20" s="1"/>
  <c r="H59" i="20"/>
  <c r="I59" i="20" s="1"/>
  <c r="J59" i="20" s="1"/>
  <c r="H58" i="20"/>
  <c r="I58" i="20" s="1"/>
  <c r="J58" i="20" s="1"/>
  <c r="H57" i="20"/>
  <c r="I57" i="20" s="1"/>
  <c r="J57" i="20" s="1"/>
  <c r="H56" i="20"/>
  <c r="I56" i="20" s="1"/>
  <c r="J56" i="20" s="1"/>
  <c r="H55" i="20"/>
  <c r="I55" i="20" s="1"/>
  <c r="J55" i="20" s="1"/>
  <c r="H54" i="20"/>
  <c r="I54" i="20" s="1"/>
  <c r="J54" i="20" s="1"/>
  <c r="H53" i="20"/>
  <c r="I53" i="20" s="1"/>
  <c r="J53" i="20" s="1"/>
  <c r="H52" i="20"/>
  <c r="I52" i="20" s="1"/>
  <c r="J52" i="20" s="1"/>
  <c r="H51" i="20"/>
  <c r="I51" i="20" s="1"/>
  <c r="J51" i="20" s="1"/>
  <c r="H50" i="20"/>
  <c r="I50" i="20" s="1"/>
  <c r="J50" i="20" s="1"/>
  <c r="H49" i="20"/>
  <c r="I49" i="20" s="1"/>
  <c r="J49" i="20" s="1"/>
  <c r="H48" i="20"/>
  <c r="I48" i="20" s="1"/>
  <c r="J48" i="20" s="1"/>
  <c r="H47" i="20"/>
  <c r="I47" i="20" s="1"/>
  <c r="J47" i="20" s="1"/>
  <c r="H46" i="20"/>
  <c r="I46" i="20" s="1"/>
  <c r="J46" i="20" s="1"/>
  <c r="H45" i="20"/>
  <c r="I45" i="20" s="1"/>
  <c r="J45" i="20" s="1"/>
  <c r="H153" i="20"/>
  <c r="I153" i="20" s="1"/>
  <c r="J153" i="20" s="1"/>
  <c r="H151" i="20"/>
  <c r="I151" i="20" s="1"/>
  <c r="J151" i="20" s="1"/>
  <c r="H126" i="20"/>
  <c r="I126" i="20" s="1"/>
  <c r="J126" i="20" s="1"/>
  <c r="H108" i="20"/>
  <c r="I108" i="20" s="1"/>
  <c r="J108" i="20" s="1"/>
  <c r="H33" i="20"/>
  <c r="I33" i="20" s="1"/>
  <c r="J33" i="20" s="1"/>
  <c r="H8" i="20"/>
  <c r="I8" i="20" s="1"/>
  <c r="J8" i="20" s="1"/>
  <c r="H157" i="20"/>
  <c r="I157" i="20" s="1"/>
  <c r="J157" i="20" s="1"/>
  <c r="H137" i="20"/>
  <c r="I137" i="20" s="1"/>
  <c r="J137" i="20" s="1"/>
  <c r="H121" i="20"/>
  <c r="I121" i="20" s="1"/>
  <c r="J121" i="20" s="1"/>
  <c r="H105" i="20"/>
  <c r="I105" i="20" s="1"/>
  <c r="J105" i="20" s="1"/>
  <c r="H140" i="20"/>
  <c r="I140" i="20" s="1"/>
  <c r="J140" i="20" s="1"/>
  <c r="H118" i="20"/>
  <c r="I118" i="20" s="1"/>
  <c r="J118" i="20" s="1"/>
  <c r="H102" i="20"/>
  <c r="I102" i="20" s="1"/>
  <c r="J102" i="20" s="1"/>
  <c r="H98" i="20"/>
  <c r="I98" i="20" s="1"/>
  <c r="J98" i="20" s="1"/>
  <c r="H94" i="20"/>
  <c r="I94" i="20" s="1"/>
  <c r="J94" i="20" s="1"/>
  <c r="H90" i="20"/>
  <c r="I90" i="20" s="1"/>
  <c r="J90" i="20" s="1"/>
  <c r="H86" i="20"/>
  <c r="I86" i="20" s="1"/>
  <c r="J86" i="20" s="1"/>
  <c r="H39" i="20"/>
  <c r="I39" i="20" s="1"/>
  <c r="J39" i="20" s="1"/>
  <c r="H10" i="20"/>
  <c r="I10" i="20" s="1"/>
  <c r="J10" i="20" s="1"/>
  <c r="H129" i="20"/>
  <c r="I129" i="20" s="1"/>
  <c r="J129" i="20" s="1"/>
  <c r="H115" i="20"/>
  <c r="I115" i="20" s="1"/>
  <c r="J115" i="20" s="1"/>
  <c r="H44" i="20"/>
  <c r="I44" i="20" s="1"/>
  <c r="J44" i="20" s="1"/>
  <c r="H34" i="20"/>
  <c r="I34" i="20" s="1"/>
  <c r="J34" i="20" s="1"/>
  <c r="H24" i="20"/>
  <c r="I24" i="20" s="1"/>
  <c r="J24" i="20" s="1"/>
  <c r="H11" i="20"/>
  <c r="I11" i="20" s="1"/>
  <c r="J11" i="20" s="1"/>
  <c r="H124" i="20"/>
  <c r="I124" i="20" s="1"/>
  <c r="J124" i="20" s="1"/>
  <c r="H112" i="20"/>
  <c r="I112" i="20" s="1"/>
  <c r="J112" i="20" s="1"/>
  <c r="H12" i="20"/>
  <c r="I12" i="20" s="1"/>
  <c r="J12" i="20" s="1"/>
  <c r="H109" i="20"/>
  <c r="I109" i="20" s="1"/>
  <c r="J109" i="20" s="1"/>
  <c r="H83" i="20"/>
  <c r="I83" i="20" s="1"/>
  <c r="J83" i="20" s="1"/>
  <c r="H143" i="20"/>
  <c r="I143" i="20" s="1"/>
  <c r="J143" i="20" s="1"/>
  <c r="H106" i="20"/>
  <c r="I106" i="20" s="1"/>
  <c r="J106" i="20" s="1"/>
  <c r="H99" i="20"/>
  <c r="I99" i="20" s="1"/>
  <c r="J99" i="20" s="1"/>
  <c r="H95" i="20"/>
  <c r="I95" i="20" s="1"/>
  <c r="J95" i="20" s="1"/>
  <c r="H91" i="20"/>
  <c r="I91" i="20" s="1"/>
  <c r="J91" i="20" s="1"/>
  <c r="H87" i="20"/>
  <c r="I87" i="20" s="1"/>
  <c r="J87" i="20" s="1"/>
  <c r="H156" i="20"/>
  <c r="I156" i="20" s="1"/>
  <c r="J156" i="20" s="1"/>
  <c r="H150" i="20"/>
  <c r="I150" i="20" s="1"/>
  <c r="J150" i="20" s="1"/>
  <c r="H148" i="20"/>
  <c r="I148" i="20" s="1"/>
  <c r="J148" i="20" s="1"/>
  <c r="H127" i="20"/>
  <c r="I127" i="20" s="1"/>
  <c r="J127" i="20" s="1"/>
  <c r="H122" i="20"/>
  <c r="I122" i="20" s="1"/>
  <c r="J122" i="20" s="1"/>
  <c r="H119" i="20"/>
  <c r="I119" i="20" s="1"/>
  <c r="J119" i="20" s="1"/>
  <c r="H103" i="20"/>
  <c r="I103" i="20" s="1"/>
  <c r="J103" i="20" s="1"/>
  <c r="H26" i="20"/>
  <c r="I26" i="20" s="1"/>
  <c r="J26" i="20" s="1"/>
  <c r="H15" i="20"/>
  <c r="I15" i="20" s="1"/>
  <c r="J15" i="20" s="1"/>
  <c r="H144" i="20"/>
  <c r="I144" i="20" s="1"/>
  <c r="J144" i="20" s="1"/>
  <c r="H139" i="20"/>
  <c r="I139" i="20" s="1"/>
  <c r="J139" i="20" s="1"/>
  <c r="H117" i="20"/>
  <c r="I117" i="20" s="1"/>
  <c r="J117" i="20" s="1"/>
  <c r="H162" i="20"/>
  <c r="I162" i="20" s="1"/>
  <c r="J162" i="20" s="1"/>
  <c r="H130" i="20"/>
  <c r="I130" i="20" s="1"/>
  <c r="J130" i="20" s="1"/>
  <c r="H110" i="20"/>
  <c r="I110" i="20" s="1"/>
  <c r="J110" i="20" s="1"/>
  <c r="H97" i="20"/>
  <c r="I97" i="20" s="1"/>
  <c r="J97" i="20" s="1"/>
  <c r="H29" i="20"/>
  <c r="I29" i="20" s="1"/>
  <c r="J29" i="20" s="1"/>
  <c r="H92" i="20"/>
  <c r="I92" i="20" s="1"/>
  <c r="J92" i="20" s="1"/>
  <c r="H21" i="20"/>
  <c r="I21" i="20" s="1"/>
  <c r="J21" i="20" s="1"/>
  <c r="H136" i="20"/>
  <c r="I136" i="20" s="1"/>
  <c r="J136" i="20" s="1"/>
  <c r="H30" i="20"/>
  <c r="I30" i="20" s="1"/>
  <c r="J30" i="20" s="1"/>
  <c r="H18" i="20"/>
  <c r="I18" i="20" s="1"/>
  <c r="J18" i="20" s="1"/>
  <c r="H158" i="20"/>
  <c r="I158" i="20" s="1"/>
  <c r="J158" i="20" s="1"/>
  <c r="H107" i="20"/>
  <c r="I107" i="20" s="1"/>
  <c r="J107" i="20" s="1"/>
  <c r="H85" i="20"/>
  <c r="I85" i="20" s="1"/>
  <c r="J85" i="20" s="1"/>
  <c r="H43" i="20"/>
  <c r="I43" i="20" s="1"/>
  <c r="J43" i="20" s="1"/>
  <c r="H41" i="20"/>
  <c r="I41" i="20" s="1"/>
  <c r="J41" i="20" s="1"/>
  <c r="H38" i="20"/>
  <c r="I38" i="20" s="1"/>
  <c r="J38" i="20" s="1"/>
  <c r="H36" i="20"/>
  <c r="I36" i="20" s="1"/>
  <c r="J36" i="20" s="1"/>
  <c r="H27" i="20"/>
  <c r="I27" i="20" s="1"/>
  <c r="J27" i="20" s="1"/>
  <c r="H84" i="20"/>
  <c r="I84" i="20" s="1"/>
  <c r="J84" i="20" s="1"/>
  <c r="H28" i="20"/>
  <c r="I28" i="20" s="1"/>
  <c r="J28" i="20" s="1"/>
  <c r="H128" i="20"/>
  <c r="I128" i="20" s="1"/>
  <c r="J128" i="20" s="1"/>
  <c r="H23" i="20"/>
  <c r="I23" i="20" s="1"/>
  <c r="J23" i="20" s="1"/>
  <c r="H113" i="20"/>
  <c r="I113" i="20" s="1"/>
  <c r="J113" i="20" s="1"/>
  <c r="H100" i="20"/>
  <c r="I100" i="20" s="1"/>
  <c r="J100" i="20" s="1"/>
  <c r="H88" i="20"/>
  <c r="I88" i="20" s="1"/>
  <c r="J88" i="20" s="1"/>
  <c r="H40" i="20"/>
  <c r="I40" i="20" s="1"/>
  <c r="J40" i="20" s="1"/>
  <c r="H35" i="20"/>
  <c r="I35" i="20" s="1"/>
  <c r="J35" i="20" s="1"/>
  <c r="H7" i="20"/>
  <c r="I7" i="20" s="1"/>
  <c r="J7" i="20" s="1"/>
  <c r="H149" i="20"/>
  <c r="I149" i="20" s="1"/>
  <c r="J149" i="20" s="1"/>
  <c r="H42" i="20"/>
  <c r="I42" i="20" s="1"/>
  <c r="J42" i="20" s="1"/>
  <c r="H123" i="20"/>
  <c r="I123" i="20" s="1"/>
  <c r="J123" i="20" s="1"/>
  <c r="H96" i="20"/>
  <c r="I96" i="20" s="1"/>
  <c r="J96" i="20" s="1"/>
  <c r="H32" i="20"/>
  <c r="I32" i="20" s="1"/>
  <c r="J32" i="20" s="1"/>
  <c r="H114" i="20"/>
  <c r="I114" i="20" s="1"/>
  <c r="J114" i="20" s="1"/>
  <c r="H9" i="20"/>
  <c r="I9" i="20" s="1"/>
  <c r="J9" i="20" s="1"/>
  <c r="H104" i="20"/>
  <c r="I104" i="20" s="1"/>
  <c r="J104" i="20" s="1"/>
  <c r="H20" i="20"/>
  <c r="I20" i="20" s="1"/>
  <c r="J20" i="20" s="1"/>
  <c r="H25" i="20"/>
  <c r="I25" i="20" s="1"/>
  <c r="J25" i="20" s="1"/>
  <c r="H141" i="20"/>
  <c r="I141" i="20" s="1"/>
  <c r="J141" i="20" s="1"/>
  <c r="H116" i="20"/>
  <c r="I116" i="20" s="1"/>
  <c r="J116" i="20" s="1"/>
  <c r="H37" i="20"/>
  <c r="I37" i="20" s="1"/>
  <c r="J37" i="20" s="1"/>
  <c r="H19" i="20"/>
  <c r="I19" i="20" s="1"/>
  <c r="J19" i="20" s="1"/>
  <c r="H111" i="20"/>
  <c r="I111" i="20" s="1"/>
  <c r="J111" i="20" s="1"/>
  <c r="H13" i="20"/>
  <c r="I13" i="20" s="1"/>
  <c r="J13" i="20" s="1"/>
  <c r="H93" i="20"/>
  <c r="I93" i="20" s="1"/>
  <c r="J93" i="20" s="1"/>
  <c r="H14" i="20"/>
  <c r="I14" i="20" s="1"/>
  <c r="J14" i="20" s="1"/>
  <c r="H6" i="20"/>
  <c r="I6" i="20" s="1"/>
  <c r="J6" i="20" s="1"/>
  <c r="H142" i="20"/>
  <c r="I142" i="20" s="1"/>
  <c r="J142" i="20" s="1"/>
  <c r="H22" i="20"/>
  <c r="I22" i="20" s="1"/>
  <c r="J22" i="20" s="1"/>
  <c r="H31" i="20"/>
  <c r="I31" i="20" s="1"/>
  <c r="J31" i="20" s="1"/>
  <c r="H89" i="20"/>
  <c r="I89" i="20" s="1"/>
  <c r="J89" i="20" s="1"/>
  <c r="H152" i="20"/>
  <c r="I152" i="20" s="1"/>
  <c r="J152" i="20" s="1"/>
  <c r="H125" i="20"/>
  <c r="I125" i="20" s="1"/>
  <c r="J125" i="20" s="1"/>
  <c r="H16" i="20"/>
  <c r="I16" i="20" s="1"/>
  <c r="J16" i="20" s="1"/>
  <c r="H17" i="20"/>
  <c r="I17" i="20" s="1"/>
  <c r="J17" i="20" s="1"/>
  <c r="H101" i="20"/>
  <c r="I101" i="20" s="1"/>
  <c r="J101" i="20" s="1"/>
  <c r="H120" i="20"/>
  <c r="I120" i="20" s="1"/>
  <c r="J120" i="20" s="1"/>
  <c r="P2" i="13"/>
  <c r="R2" i="13" s="1"/>
  <c r="F2" i="26"/>
  <c r="H2" i="26" s="1"/>
  <c r="B16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A141" i="17"/>
  <c r="A142" i="17"/>
  <c r="A143" i="17"/>
  <c r="A144" i="17"/>
  <c r="A145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G162" i="19"/>
  <c r="G2" i="19"/>
  <c r="G162" i="3"/>
  <c r="G2" i="3"/>
  <c r="A160" i="17"/>
  <c r="M162" i="17"/>
  <c r="Q161" i="17"/>
  <c r="A160" i="5"/>
  <c r="H121" i="13"/>
  <c r="I121" i="13" s="1"/>
  <c r="J121" i="13" s="1"/>
  <c r="H120" i="13"/>
  <c r="I120" i="13" s="1"/>
  <c r="J120" i="13" s="1"/>
  <c r="H119" i="13"/>
  <c r="I119" i="13" s="1"/>
  <c r="J119" i="13" s="1"/>
  <c r="H118" i="13"/>
  <c r="I118" i="13" s="1"/>
  <c r="J118" i="13" s="1"/>
  <c r="H117" i="13"/>
  <c r="I117" i="13" s="1"/>
  <c r="J117" i="13" s="1"/>
  <c r="H116" i="13"/>
  <c r="I116" i="13" s="1"/>
  <c r="J116" i="13" s="1"/>
  <c r="H115" i="13"/>
  <c r="I115" i="13" s="1"/>
  <c r="J115" i="13" s="1"/>
  <c r="H114" i="13"/>
  <c r="I114" i="13" s="1"/>
  <c r="J114" i="13" s="1"/>
  <c r="H113" i="13"/>
  <c r="I113" i="13" s="1"/>
  <c r="J113" i="13" s="1"/>
  <c r="H112" i="13"/>
  <c r="I112" i="13" s="1"/>
  <c r="J112" i="13" s="1"/>
  <c r="H111" i="13"/>
  <c r="I111" i="13" s="1"/>
  <c r="J111" i="13" s="1"/>
  <c r="H110" i="13"/>
  <c r="I110" i="13" s="1"/>
  <c r="J110" i="13" s="1"/>
  <c r="H160" i="13"/>
  <c r="I160" i="13" s="1"/>
  <c r="J160" i="13" s="1"/>
  <c r="H159" i="13"/>
  <c r="I159" i="13" s="1"/>
  <c r="J159" i="13" s="1"/>
  <c r="H158" i="13"/>
  <c r="I158" i="13" s="1"/>
  <c r="J158" i="13" s="1"/>
  <c r="H157" i="13"/>
  <c r="I157" i="13" s="1"/>
  <c r="J157" i="13" s="1"/>
  <c r="H156" i="13"/>
  <c r="I156" i="13" s="1"/>
  <c r="J156" i="13" s="1"/>
  <c r="H155" i="13"/>
  <c r="I155" i="13" s="1"/>
  <c r="J155" i="13" s="1"/>
  <c r="H154" i="13"/>
  <c r="I154" i="13" s="1"/>
  <c r="J154" i="13" s="1"/>
  <c r="H153" i="13"/>
  <c r="I153" i="13" s="1"/>
  <c r="J153" i="13" s="1"/>
  <c r="H152" i="13"/>
  <c r="I152" i="13" s="1"/>
  <c r="J152" i="13" s="1"/>
  <c r="H151" i="13"/>
  <c r="I151" i="13" s="1"/>
  <c r="J151" i="13" s="1"/>
  <c r="H150" i="13"/>
  <c r="I150" i="13" s="1"/>
  <c r="J150" i="13" s="1"/>
  <c r="H149" i="13"/>
  <c r="I149" i="13" s="1"/>
  <c r="J149" i="13" s="1"/>
  <c r="H148" i="13"/>
  <c r="I148" i="13" s="1"/>
  <c r="J148" i="13" s="1"/>
  <c r="H147" i="13"/>
  <c r="I147" i="13" s="1"/>
  <c r="J147" i="13" s="1"/>
  <c r="H146" i="13"/>
  <c r="I146" i="13" s="1"/>
  <c r="J146" i="13" s="1"/>
  <c r="H145" i="13"/>
  <c r="I145" i="13" s="1"/>
  <c r="J145" i="13" s="1"/>
  <c r="H144" i="13"/>
  <c r="I144" i="13" s="1"/>
  <c r="J144" i="13" s="1"/>
  <c r="H143" i="13"/>
  <c r="I143" i="13" s="1"/>
  <c r="J143" i="13" s="1"/>
  <c r="H142" i="13"/>
  <c r="I142" i="13" s="1"/>
  <c r="J142" i="13" s="1"/>
  <c r="H141" i="13"/>
  <c r="I141" i="13" s="1"/>
  <c r="J141" i="13" s="1"/>
  <c r="H140" i="13"/>
  <c r="I140" i="13" s="1"/>
  <c r="J140" i="13" s="1"/>
  <c r="H139" i="13"/>
  <c r="I139" i="13" s="1"/>
  <c r="J139" i="13" s="1"/>
  <c r="H138" i="13"/>
  <c r="I138" i="13" s="1"/>
  <c r="J138" i="13" s="1"/>
  <c r="H137" i="13"/>
  <c r="I137" i="13" s="1"/>
  <c r="J137" i="13" s="1"/>
  <c r="H136" i="13"/>
  <c r="I136" i="13" s="1"/>
  <c r="J136" i="13" s="1"/>
  <c r="H135" i="13"/>
  <c r="I135" i="13" s="1"/>
  <c r="J135" i="13" s="1"/>
  <c r="H134" i="13"/>
  <c r="I134" i="13" s="1"/>
  <c r="J134" i="13" s="1"/>
  <c r="H133" i="13"/>
  <c r="I133" i="13" s="1"/>
  <c r="J133" i="13" s="1"/>
  <c r="H132" i="13"/>
  <c r="I132" i="13" s="1"/>
  <c r="J132" i="13" s="1"/>
  <c r="H131" i="13"/>
  <c r="I131" i="13" s="1"/>
  <c r="J131" i="13" s="1"/>
  <c r="H130" i="13"/>
  <c r="I130" i="13" s="1"/>
  <c r="J130" i="13" s="1"/>
  <c r="H129" i="13"/>
  <c r="I129" i="13" s="1"/>
  <c r="J129" i="13" s="1"/>
  <c r="H128" i="13"/>
  <c r="I128" i="13" s="1"/>
  <c r="J128" i="13" s="1"/>
  <c r="H127" i="13"/>
  <c r="I127" i="13" s="1"/>
  <c r="J127" i="13" s="1"/>
  <c r="H126" i="13"/>
  <c r="I126" i="13" s="1"/>
  <c r="J126" i="13" s="1"/>
  <c r="H125" i="13"/>
  <c r="I125" i="13" s="1"/>
  <c r="J125" i="13" s="1"/>
  <c r="H124" i="13"/>
  <c r="I124" i="13" s="1"/>
  <c r="J124" i="13" s="1"/>
  <c r="H123" i="13"/>
  <c r="I123" i="13" s="1"/>
  <c r="J123" i="13" s="1"/>
  <c r="H29" i="13"/>
  <c r="I29" i="13" s="1"/>
  <c r="J29" i="13" s="1"/>
  <c r="H28" i="13"/>
  <c r="I28" i="13" s="1"/>
  <c r="J28" i="13" s="1"/>
  <c r="H27" i="13"/>
  <c r="I27" i="13" s="1"/>
  <c r="J27" i="13" s="1"/>
  <c r="H26" i="13"/>
  <c r="I26" i="13" s="1"/>
  <c r="J26" i="13" s="1"/>
  <c r="H25" i="13"/>
  <c r="I25" i="13" s="1"/>
  <c r="J25" i="13" s="1"/>
  <c r="H24" i="13"/>
  <c r="I24" i="13" s="1"/>
  <c r="J24" i="13" s="1"/>
  <c r="H23" i="13"/>
  <c r="I23" i="13" s="1"/>
  <c r="J23" i="13" s="1"/>
  <c r="H22" i="13"/>
  <c r="I22" i="13" s="1"/>
  <c r="J22" i="13" s="1"/>
  <c r="H6" i="13"/>
  <c r="I6" i="13" s="1"/>
  <c r="J6" i="13" s="1"/>
  <c r="H161" i="13"/>
  <c r="I161" i="13" s="1"/>
  <c r="J161" i="13" s="1"/>
  <c r="H109" i="13"/>
  <c r="I109" i="13" s="1"/>
  <c r="J109" i="13" s="1"/>
  <c r="H101" i="13"/>
  <c r="I101" i="13" s="1"/>
  <c r="J101" i="13" s="1"/>
  <c r="H85" i="13"/>
  <c r="I85" i="13" s="1"/>
  <c r="J85" i="13" s="1"/>
  <c r="H79" i="13"/>
  <c r="I79" i="13" s="1"/>
  <c r="J79" i="13" s="1"/>
  <c r="H46" i="13"/>
  <c r="I46" i="13" s="1"/>
  <c r="J46" i="13" s="1"/>
  <c r="H32" i="13"/>
  <c r="I32" i="13" s="1"/>
  <c r="J32" i="13" s="1"/>
  <c r="H103" i="13"/>
  <c r="I103" i="13" s="1"/>
  <c r="J103" i="13" s="1"/>
  <c r="H89" i="13"/>
  <c r="I89" i="13" s="1"/>
  <c r="J89" i="13" s="1"/>
  <c r="H75" i="13"/>
  <c r="I75" i="13" s="1"/>
  <c r="J75" i="13" s="1"/>
  <c r="H50" i="13"/>
  <c r="I50" i="13" s="1"/>
  <c r="J50" i="13" s="1"/>
  <c r="H36" i="13"/>
  <c r="I36" i="13" s="1"/>
  <c r="J36" i="13" s="1"/>
  <c r="H10" i="13"/>
  <c r="I10" i="13" s="1"/>
  <c r="J10" i="13" s="1"/>
  <c r="H90" i="13"/>
  <c r="I90" i="13" s="1"/>
  <c r="J90" i="13" s="1"/>
  <c r="H106" i="13"/>
  <c r="I106" i="13" s="1"/>
  <c r="J106" i="13" s="1"/>
  <c r="H95" i="13"/>
  <c r="I95" i="13" s="1"/>
  <c r="J95" i="13" s="1"/>
  <c r="H77" i="13"/>
  <c r="I77" i="13" s="1"/>
  <c r="J77" i="13" s="1"/>
  <c r="H42" i="13"/>
  <c r="I42" i="13" s="1"/>
  <c r="J42" i="13" s="1"/>
  <c r="H16" i="13"/>
  <c r="I16" i="13" s="1"/>
  <c r="J16" i="13" s="1"/>
  <c r="H104" i="13"/>
  <c r="I104" i="13" s="1"/>
  <c r="J104" i="13" s="1"/>
  <c r="H68" i="13"/>
  <c r="I68" i="13" s="1"/>
  <c r="J68" i="13" s="1"/>
  <c r="H54" i="13"/>
  <c r="I54" i="13" s="1"/>
  <c r="J54" i="13" s="1"/>
  <c r="H30" i="13"/>
  <c r="I30" i="13" s="1"/>
  <c r="J30" i="13" s="1"/>
  <c r="H107" i="13"/>
  <c r="I107" i="13" s="1"/>
  <c r="J107" i="13" s="1"/>
  <c r="H98" i="13"/>
  <c r="I98" i="13" s="1"/>
  <c r="J98" i="13" s="1"/>
  <c r="H88" i="13"/>
  <c r="I88" i="13" s="1"/>
  <c r="J88" i="13" s="1"/>
  <c r="H17" i="13"/>
  <c r="I17" i="13" s="1"/>
  <c r="J17" i="13" s="1"/>
  <c r="H92" i="13"/>
  <c r="I92" i="13" s="1"/>
  <c r="J92" i="13" s="1"/>
  <c r="H84" i="13"/>
  <c r="I84" i="13" s="1"/>
  <c r="J84" i="13" s="1"/>
  <c r="H81" i="13"/>
  <c r="I81" i="13" s="1"/>
  <c r="J81" i="13" s="1"/>
  <c r="H78" i="13"/>
  <c r="I78" i="13" s="1"/>
  <c r="J78" i="13" s="1"/>
  <c r="H72" i="13"/>
  <c r="I72" i="13" s="1"/>
  <c r="J72" i="13" s="1"/>
  <c r="H65" i="13"/>
  <c r="I65" i="13" s="1"/>
  <c r="J65" i="13" s="1"/>
  <c r="H58" i="13"/>
  <c r="I58" i="13" s="1"/>
  <c r="J58" i="13" s="1"/>
  <c r="H45" i="13"/>
  <c r="I45" i="13" s="1"/>
  <c r="J45" i="13" s="1"/>
  <c r="H41" i="13"/>
  <c r="I41" i="13" s="1"/>
  <c r="J41" i="13" s="1"/>
  <c r="H11" i="13"/>
  <c r="I11" i="13" s="1"/>
  <c r="J11" i="13" s="1"/>
  <c r="H162" i="13"/>
  <c r="I162" i="13" s="1"/>
  <c r="J162" i="13" s="1"/>
  <c r="H31" i="13"/>
  <c r="I31" i="13" s="1"/>
  <c r="J31" i="13" s="1"/>
  <c r="H18" i="13"/>
  <c r="I18" i="13" s="1"/>
  <c r="J18" i="13" s="1"/>
  <c r="H102" i="13"/>
  <c r="I102" i="13" s="1"/>
  <c r="J102" i="13" s="1"/>
  <c r="H69" i="13"/>
  <c r="I69" i="13" s="1"/>
  <c r="J69" i="13" s="1"/>
  <c r="H62" i="13"/>
  <c r="I62" i="13" s="1"/>
  <c r="J62" i="13" s="1"/>
  <c r="H55" i="13"/>
  <c r="I55" i="13" s="1"/>
  <c r="J55" i="13" s="1"/>
  <c r="H37" i="13"/>
  <c r="I37" i="13" s="1"/>
  <c r="J37" i="13" s="1"/>
  <c r="H105" i="13"/>
  <c r="I105" i="13" s="1"/>
  <c r="J105" i="13" s="1"/>
  <c r="H12" i="13"/>
  <c r="I12" i="13" s="1"/>
  <c r="J12" i="13" s="1"/>
  <c r="H122" i="13"/>
  <c r="I122" i="13" s="1"/>
  <c r="J122" i="13" s="1"/>
  <c r="H99" i="13"/>
  <c r="I99" i="13" s="1"/>
  <c r="J99" i="13" s="1"/>
  <c r="H96" i="13"/>
  <c r="I96" i="13" s="1"/>
  <c r="J96" i="13" s="1"/>
  <c r="H93" i="13"/>
  <c r="I93" i="13" s="1"/>
  <c r="J93" i="13" s="1"/>
  <c r="H59" i="13"/>
  <c r="I59" i="13" s="1"/>
  <c r="J59" i="13" s="1"/>
  <c r="H51" i="13"/>
  <c r="I51" i="13" s="1"/>
  <c r="J51" i="13" s="1"/>
  <c r="H33" i="13"/>
  <c r="I33" i="13" s="1"/>
  <c r="J33" i="13" s="1"/>
  <c r="H19" i="13"/>
  <c r="I19" i="13" s="1"/>
  <c r="J19" i="13" s="1"/>
  <c r="H52" i="13"/>
  <c r="I52" i="13" s="1"/>
  <c r="J52" i="13" s="1"/>
  <c r="H14" i="13"/>
  <c r="I14" i="13" s="1"/>
  <c r="J14" i="13" s="1"/>
  <c r="H8" i="13"/>
  <c r="I8" i="13" s="1"/>
  <c r="J8" i="13" s="1"/>
  <c r="H94" i="13"/>
  <c r="I94" i="13" s="1"/>
  <c r="J94" i="13" s="1"/>
  <c r="H74" i="13"/>
  <c r="I74" i="13" s="1"/>
  <c r="J74" i="13" s="1"/>
  <c r="H87" i="13"/>
  <c r="I87" i="13" s="1"/>
  <c r="J87" i="13" s="1"/>
  <c r="H83" i="13"/>
  <c r="I83" i="13" s="1"/>
  <c r="J83" i="13" s="1"/>
  <c r="H80" i="13"/>
  <c r="I80" i="13" s="1"/>
  <c r="J80" i="13" s="1"/>
  <c r="H64" i="13"/>
  <c r="I64" i="13" s="1"/>
  <c r="J64" i="13" s="1"/>
  <c r="H57" i="13"/>
  <c r="I57" i="13" s="1"/>
  <c r="J57" i="13" s="1"/>
  <c r="H53" i="13"/>
  <c r="I53" i="13" s="1"/>
  <c r="J53" i="13" s="1"/>
  <c r="H44" i="13"/>
  <c r="I44" i="13" s="1"/>
  <c r="J44" i="13" s="1"/>
  <c r="H35" i="13"/>
  <c r="I35" i="13" s="1"/>
  <c r="J35" i="13" s="1"/>
  <c r="H15" i="13"/>
  <c r="I15" i="13" s="1"/>
  <c r="J15" i="13" s="1"/>
  <c r="H100" i="13"/>
  <c r="I100" i="13" s="1"/>
  <c r="J100" i="13" s="1"/>
  <c r="H47" i="13"/>
  <c r="I47" i="13" s="1"/>
  <c r="J47" i="13" s="1"/>
  <c r="H34" i="13"/>
  <c r="I34" i="13" s="1"/>
  <c r="J34" i="13" s="1"/>
  <c r="H97" i="13"/>
  <c r="I97" i="13" s="1"/>
  <c r="J97" i="13" s="1"/>
  <c r="H39" i="13"/>
  <c r="I39" i="13" s="1"/>
  <c r="J39" i="13" s="1"/>
  <c r="H9" i="13"/>
  <c r="I9" i="13" s="1"/>
  <c r="J9" i="13" s="1"/>
  <c r="H91" i="13"/>
  <c r="I91" i="13" s="1"/>
  <c r="J91" i="13" s="1"/>
  <c r="H21" i="13"/>
  <c r="I21" i="13" s="1"/>
  <c r="J21" i="13" s="1"/>
  <c r="H7" i="13"/>
  <c r="I7" i="13" s="1"/>
  <c r="J7" i="13" s="1"/>
  <c r="H66" i="13"/>
  <c r="I66" i="13" s="1"/>
  <c r="J66" i="13" s="1"/>
  <c r="H82" i="13"/>
  <c r="I82" i="13" s="1"/>
  <c r="J82" i="13" s="1"/>
  <c r="H63" i="13"/>
  <c r="I63" i="13" s="1"/>
  <c r="J63" i="13" s="1"/>
  <c r="H49" i="13"/>
  <c r="I49" i="13" s="1"/>
  <c r="J49" i="13" s="1"/>
  <c r="H13" i="13"/>
  <c r="I13" i="13" s="1"/>
  <c r="J13" i="13" s="1"/>
  <c r="H43" i="13"/>
  <c r="I43" i="13" s="1"/>
  <c r="J43" i="13" s="1"/>
  <c r="H38" i="13"/>
  <c r="I38" i="13" s="1"/>
  <c r="J38" i="13" s="1"/>
  <c r="H73" i="13"/>
  <c r="I73" i="13" s="1"/>
  <c r="J73" i="13" s="1"/>
  <c r="H70" i="13"/>
  <c r="I70" i="13" s="1"/>
  <c r="J70" i="13" s="1"/>
  <c r="H67" i="13"/>
  <c r="I67" i="13" s="1"/>
  <c r="J67" i="13" s="1"/>
  <c r="H86" i="13"/>
  <c r="I86" i="13" s="1"/>
  <c r="J86" i="13" s="1"/>
  <c r="H71" i="13"/>
  <c r="I71" i="13" s="1"/>
  <c r="J71" i="13" s="1"/>
  <c r="H76" i="13"/>
  <c r="I76" i="13" s="1"/>
  <c r="J76" i="13" s="1"/>
  <c r="H108" i="13"/>
  <c r="I108" i="13" s="1"/>
  <c r="J108" i="13" s="1"/>
  <c r="H61" i="13"/>
  <c r="I61" i="13" s="1"/>
  <c r="J61" i="13" s="1"/>
  <c r="H40" i="13"/>
  <c r="I40" i="13" s="1"/>
  <c r="J40" i="13" s="1"/>
  <c r="H20" i="13"/>
  <c r="I20" i="13" s="1"/>
  <c r="J20" i="13" s="1"/>
  <c r="H48" i="13"/>
  <c r="I48" i="13" s="1"/>
  <c r="J48" i="13" s="1"/>
  <c r="H56" i="13"/>
  <c r="I56" i="13" s="1"/>
  <c r="J56" i="13" s="1"/>
  <c r="H60" i="13"/>
  <c r="I60" i="13" s="1"/>
  <c r="J60" i="13" s="1"/>
  <c r="S2" i="8"/>
  <c r="T2" i="8" s="1"/>
  <c r="P2" i="14"/>
  <c r="R2" i="14" s="1"/>
  <c r="P2" i="25" l="1"/>
  <c r="R2" i="25" s="1"/>
  <c r="Q162" i="17"/>
  <c r="Q2" i="17"/>
  <c r="I2" i="13"/>
  <c r="J2" i="13" s="1"/>
  <c r="H160" i="26"/>
  <c r="I160" i="26" s="1"/>
  <c r="J160" i="26" s="1"/>
  <c r="H159" i="26"/>
  <c r="I159" i="26" s="1"/>
  <c r="J159" i="26" s="1"/>
  <c r="H158" i="26"/>
  <c r="I158" i="26" s="1"/>
  <c r="J158" i="26" s="1"/>
  <c r="H157" i="26"/>
  <c r="I157" i="26" s="1"/>
  <c r="J157" i="26" s="1"/>
  <c r="H156" i="26"/>
  <c r="I156" i="26" s="1"/>
  <c r="J156" i="26" s="1"/>
  <c r="H155" i="26"/>
  <c r="I155" i="26" s="1"/>
  <c r="J155" i="26" s="1"/>
  <c r="H154" i="26"/>
  <c r="I154" i="26" s="1"/>
  <c r="J154" i="26" s="1"/>
  <c r="H153" i="26"/>
  <c r="I153" i="26" s="1"/>
  <c r="J153" i="26" s="1"/>
  <c r="H152" i="26"/>
  <c r="I152" i="26" s="1"/>
  <c r="J152" i="26" s="1"/>
  <c r="H151" i="26"/>
  <c r="I151" i="26" s="1"/>
  <c r="J151" i="26" s="1"/>
  <c r="H150" i="26"/>
  <c r="I150" i="26" s="1"/>
  <c r="J150" i="26" s="1"/>
  <c r="H149" i="26"/>
  <c r="I149" i="26" s="1"/>
  <c r="J149" i="26" s="1"/>
  <c r="H148" i="26"/>
  <c r="I148" i="26" s="1"/>
  <c r="J148" i="26" s="1"/>
  <c r="H147" i="26"/>
  <c r="I147" i="26" s="1"/>
  <c r="J147" i="26" s="1"/>
  <c r="H146" i="26"/>
  <c r="I146" i="26" s="1"/>
  <c r="J146" i="26" s="1"/>
  <c r="H145" i="26"/>
  <c r="I145" i="26" s="1"/>
  <c r="J145" i="26" s="1"/>
  <c r="H144" i="26"/>
  <c r="I144" i="26" s="1"/>
  <c r="J144" i="26" s="1"/>
  <c r="H143" i="26"/>
  <c r="I143" i="26" s="1"/>
  <c r="J143" i="26" s="1"/>
  <c r="H142" i="26"/>
  <c r="I142" i="26" s="1"/>
  <c r="J142" i="26" s="1"/>
  <c r="H141" i="26"/>
  <c r="I141" i="26" s="1"/>
  <c r="J141" i="26" s="1"/>
  <c r="H140" i="26"/>
  <c r="I140" i="26" s="1"/>
  <c r="J140" i="26" s="1"/>
  <c r="H139" i="26"/>
  <c r="I139" i="26" s="1"/>
  <c r="J139" i="26" s="1"/>
  <c r="H138" i="26"/>
  <c r="I138" i="26" s="1"/>
  <c r="J138" i="26" s="1"/>
  <c r="H137" i="26"/>
  <c r="I137" i="26" s="1"/>
  <c r="J137" i="26" s="1"/>
  <c r="H136" i="26"/>
  <c r="I136" i="26" s="1"/>
  <c r="J136" i="26" s="1"/>
  <c r="H135" i="26"/>
  <c r="I135" i="26" s="1"/>
  <c r="J135" i="26" s="1"/>
  <c r="H134" i="26"/>
  <c r="I134" i="26" s="1"/>
  <c r="J134" i="26" s="1"/>
  <c r="H133" i="26"/>
  <c r="I133" i="26" s="1"/>
  <c r="J133" i="26" s="1"/>
  <c r="H132" i="26"/>
  <c r="I132" i="26" s="1"/>
  <c r="J132" i="26" s="1"/>
  <c r="H131" i="26"/>
  <c r="I131" i="26" s="1"/>
  <c r="J131" i="26" s="1"/>
  <c r="H130" i="26"/>
  <c r="I130" i="26" s="1"/>
  <c r="J130" i="26" s="1"/>
  <c r="H129" i="26"/>
  <c r="I129" i="26" s="1"/>
  <c r="J129" i="26" s="1"/>
  <c r="H128" i="26"/>
  <c r="I128" i="26" s="1"/>
  <c r="J128" i="26" s="1"/>
  <c r="H127" i="26"/>
  <c r="I127" i="26" s="1"/>
  <c r="J127" i="26" s="1"/>
  <c r="H126" i="26"/>
  <c r="I126" i="26" s="1"/>
  <c r="J126" i="26" s="1"/>
  <c r="H161" i="26"/>
  <c r="I161" i="26" s="1"/>
  <c r="J161" i="26" s="1"/>
  <c r="H116" i="26"/>
  <c r="I116" i="26" s="1"/>
  <c r="J116" i="26" s="1"/>
  <c r="H98" i="26"/>
  <c r="I98" i="26" s="1"/>
  <c r="J98" i="26" s="1"/>
  <c r="H90" i="26"/>
  <c r="I90" i="26" s="1"/>
  <c r="J90" i="26" s="1"/>
  <c r="H76" i="26"/>
  <c r="I76" i="26" s="1"/>
  <c r="J76" i="26" s="1"/>
  <c r="H60" i="26"/>
  <c r="I60" i="26" s="1"/>
  <c r="J60" i="26" s="1"/>
  <c r="H111" i="26"/>
  <c r="I111" i="26" s="1"/>
  <c r="J111" i="26" s="1"/>
  <c r="H77" i="26"/>
  <c r="I77" i="26" s="1"/>
  <c r="J77" i="26" s="1"/>
  <c r="H61" i="26"/>
  <c r="I61" i="26" s="1"/>
  <c r="J61" i="26" s="1"/>
  <c r="H108" i="26"/>
  <c r="I108" i="26" s="1"/>
  <c r="J108" i="26" s="1"/>
  <c r="H102" i="26"/>
  <c r="I102" i="26" s="1"/>
  <c r="J102" i="26" s="1"/>
  <c r="H94" i="26"/>
  <c r="I94" i="26" s="1"/>
  <c r="J94" i="26" s="1"/>
  <c r="H83" i="26"/>
  <c r="I83" i="26" s="1"/>
  <c r="J83" i="26" s="1"/>
  <c r="H125" i="26"/>
  <c r="I125" i="26" s="1"/>
  <c r="J125" i="26" s="1"/>
  <c r="H121" i="26"/>
  <c r="I121" i="26" s="1"/>
  <c r="J121" i="26" s="1"/>
  <c r="H81" i="26"/>
  <c r="I81" i="26" s="1"/>
  <c r="J81" i="26" s="1"/>
  <c r="H70" i="26"/>
  <c r="I70" i="26" s="1"/>
  <c r="J70" i="26" s="1"/>
  <c r="H112" i="26"/>
  <c r="I112" i="26" s="1"/>
  <c r="J112" i="26" s="1"/>
  <c r="H43" i="26"/>
  <c r="I43" i="26" s="1"/>
  <c r="J43" i="26" s="1"/>
  <c r="H35" i="26"/>
  <c r="I35" i="26" s="1"/>
  <c r="J35" i="26" s="1"/>
  <c r="H115" i="26"/>
  <c r="I115" i="26" s="1"/>
  <c r="J115" i="26" s="1"/>
  <c r="H109" i="26"/>
  <c r="I109" i="26" s="1"/>
  <c r="J109" i="26" s="1"/>
  <c r="H106" i="26"/>
  <c r="I106" i="26" s="1"/>
  <c r="J106" i="26" s="1"/>
  <c r="H91" i="26"/>
  <c r="I91" i="26" s="1"/>
  <c r="J91" i="26" s="1"/>
  <c r="H86" i="26"/>
  <c r="I86" i="26" s="1"/>
  <c r="J86" i="26" s="1"/>
  <c r="H82" i="26"/>
  <c r="I82" i="26" s="1"/>
  <c r="J82" i="26" s="1"/>
  <c r="H71" i="26"/>
  <c r="I71" i="26" s="1"/>
  <c r="J71" i="26" s="1"/>
  <c r="H65" i="26"/>
  <c r="I65" i="26" s="1"/>
  <c r="J65" i="26" s="1"/>
  <c r="H59" i="26"/>
  <c r="I59" i="26" s="1"/>
  <c r="J59" i="26" s="1"/>
  <c r="H53" i="26"/>
  <c r="I53" i="26" s="1"/>
  <c r="J53" i="26" s="1"/>
  <c r="H7" i="26"/>
  <c r="I7" i="26" s="1"/>
  <c r="J7" i="26" s="1"/>
  <c r="H99" i="26"/>
  <c r="I99" i="26" s="1"/>
  <c r="J99" i="26" s="1"/>
  <c r="H95" i="26"/>
  <c r="I95" i="26" s="1"/>
  <c r="J95" i="26" s="1"/>
  <c r="H78" i="26"/>
  <c r="I78" i="26" s="1"/>
  <c r="J78" i="26" s="1"/>
  <c r="H122" i="26"/>
  <c r="I122" i="26" s="1"/>
  <c r="J122" i="26" s="1"/>
  <c r="H119" i="26"/>
  <c r="I119" i="26" s="1"/>
  <c r="J119" i="26" s="1"/>
  <c r="H123" i="26"/>
  <c r="I123" i="26" s="1"/>
  <c r="J123" i="26" s="1"/>
  <c r="H104" i="26"/>
  <c r="I104" i="26" s="1"/>
  <c r="J104" i="26" s="1"/>
  <c r="H88" i="26"/>
  <c r="I88" i="26" s="1"/>
  <c r="J88" i="26" s="1"/>
  <c r="H68" i="26"/>
  <c r="I68" i="26" s="1"/>
  <c r="J68" i="26" s="1"/>
  <c r="H62" i="26"/>
  <c r="I62" i="26" s="1"/>
  <c r="J62" i="26" s="1"/>
  <c r="H48" i="26"/>
  <c r="I48" i="26" s="1"/>
  <c r="J48" i="26" s="1"/>
  <c r="H39" i="26"/>
  <c r="I39" i="26" s="1"/>
  <c r="J39" i="26" s="1"/>
  <c r="H28" i="26"/>
  <c r="I28" i="26" s="1"/>
  <c r="J28" i="26" s="1"/>
  <c r="H14" i="26"/>
  <c r="I14" i="26" s="1"/>
  <c r="J14" i="26" s="1"/>
  <c r="H124" i="26"/>
  <c r="I124" i="26" s="1"/>
  <c r="J124" i="26" s="1"/>
  <c r="H114" i="26"/>
  <c r="I114" i="26" s="1"/>
  <c r="J114" i="26" s="1"/>
  <c r="H117" i="26"/>
  <c r="I117" i="26" s="1"/>
  <c r="J117" i="26" s="1"/>
  <c r="H110" i="26"/>
  <c r="I110" i="26" s="1"/>
  <c r="J110" i="26" s="1"/>
  <c r="H84" i="26"/>
  <c r="I84" i="26" s="1"/>
  <c r="J84" i="26" s="1"/>
  <c r="H74" i="26"/>
  <c r="I74" i="26" s="1"/>
  <c r="J74" i="26" s="1"/>
  <c r="H44" i="26"/>
  <c r="I44" i="26" s="1"/>
  <c r="J44" i="26" s="1"/>
  <c r="H22" i="26"/>
  <c r="I22" i="26" s="1"/>
  <c r="J22" i="26" s="1"/>
  <c r="H9" i="26"/>
  <c r="I9" i="26" s="1"/>
  <c r="J9" i="26" s="1"/>
  <c r="H100" i="26"/>
  <c r="I100" i="26" s="1"/>
  <c r="J100" i="26" s="1"/>
  <c r="H56" i="26"/>
  <c r="I56" i="26" s="1"/>
  <c r="J56" i="26" s="1"/>
  <c r="H49" i="26"/>
  <c r="I49" i="26" s="1"/>
  <c r="J49" i="26" s="1"/>
  <c r="H27" i="26"/>
  <c r="I27" i="26" s="1"/>
  <c r="J27" i="26" s="1"/>
  <c r="H107" i="26"/>
  <c r="I107" i="26" s="1"/>
  <c r="J107" i="26" s="1"/>
  <c r="H50" i="26"/>
  <c r="I50" i="26" s="1"/>
  <c r="J50" i="26" s="1"/>
  <c r="H45" i="26"/>
  <c r="I45" i="26" s="1"/>
  <c r="J45" i="26" s="1"/>
  <c r="H17" i="26"/>
  <c r="I17" i="26" s="1"/>
  <c r="J17" i="26" s="1"/>
  <c r="H105" i="26"/>
  <c r="I105" i="26" s="1"/>
  <c r="J105" i="26" s="1"/>
  <c r="H37" i="26"/>
  <c r="I37" i="26" s="1"/>
  <c r="J37" i="26" s="1"/>
  <c r="H113" i="26"/>
  <c r="I113" i="26" s="1"/>
  <c r="J113" i="26" s="1"/>
  <c r="H72" i="26"/>
  <c r="I72" i="26" s="1"/>
  <c r="J72" i="26" s="1"/>
  <c r="H54" i="26"/>
  <c r="I54" i="26" s="1"/>
  <c r="J54" i="26" s="1"/>
  <c r="H40" i="26"/>
  <c r="I40" i="26" s="1"/>
  <c r="J40" i="26" s="1"/>
  <c r="H25" i="26"/>
  <c r="I25" i="26" s="1"/>
  <c r="J25" i="26" s="1"/>
  <c r="H15" i="26"/>
  <c r="I15" i="26" s="1"/>
  <c r="J15" i="26" s="1"/>
  <c r="H93" i="26"/>
  <c r="I93" i="26" s="1"/>
  <c r="J93" i="26" s="1"/>
  <c r="H66" i="26"/>
  <c r="I66" i="26" s="1"/>
  <c r="J66" i="26" s="1"/>
  <c r="H46" i="26"/>
  <c r="I46" i="26" s="1"/>
  <c r="J46" i="26" s="1"/>
  <c r="H38" i="26"/>
  <c r="I38" i="26" s="1"/>
  <c r="J38" i="26" s="1"/>
  <c r="H32" i="26"/>
  <c r="I32" i="26" s="1"/>
  <c r="J32" i="26" s="1"/>
  <c r="H11" i="26"/>
  <c r="I11" i="26" s="1"/>
  <c r="J11" i="26" s="1"/>
  <c r="H118" i="26"/>
  <c r="I118" i="26" s="1"/>
  <c r="J118" i="26" s="1"/>
  <c r="H64" i="26"/>
  <c r="I64" i="26" s="1"/>
  <c r="J64" i="26" s="1"/>
  <c r="H67" i="26"/>
  <c r="I67" i="26" s="1"/>
  <c r="J67" i="26" s="1"/>
  <c r="H47" i="26"/>
  <c r="I47" i="26" s="1"/>
  <c r="J47" i="26" s="1"/>
  <c r="H30" i="26"/>
  <c r="I30" i="26" s="1"/>
  <c r="J30" i="26" s="1"/>
  <c r="H101" i="26"/>
  <c r="I101" i="26" s="1"/>
  <c r="J101" i="26" s="1"/>
  <c r="H96" i="26"/>
  <c r="I96" i="26" s="1"/>
  <c r="J96" i="26" s="1"/>
  <c r="H85" i="26"/>
  <c r="I85" i="26" s="1"/>
  <c r="J85" i="26" s="1"/>
  <c r="H63" i="26"/>
  <c r="I63" i="26" s="1"/>
  <c r="J63" i="26" s="1"/>
  <c r="H34" i="26"/>
  <c r="I34" i="26" s="1"/>
  <c r="J34" i="26" s="1"/>
  <c r="H21" i="26"/>
  <c r="I21" i="26" s="1"/>
  <c r="J21" i="26" s="1"/>
  <c r="H42" i="26"/>
  <c r="I42" i="26" s="1"/>
  <c r="J42" i="26" s="1"/>
  <c r="H92" i="26"/>
  <c r="I92" i="26" s="1"/>
  <c r="J92" i="26" s="1"/>
  <c r="H29" i="26"/>
  <c r="I29" i="26" s="1"/>
  <c r="J29" i="26" s="1"/>
  <c r="H18" i="26"/>
  <c r="I18" i="26" s="1"/>
  <c r="J18" i="26" s="1"/>
  <c r="H103" i="26"/>
  <c r="I103" i="26" s="1"/>
  <c r="J103" i="26" s="1"/>
  <c r="H52" i="26"/>
  <c r="I52" i="26" s="1"/>
  <c r="J52" i="26" s="1"/>
  <c r="H16" i="26"/>
  <c r="I16" i="26" s="1"/>
  <c r="J16" i="26" s="1"/>
  <c r="H58" i="26"/>
  <c r="I58" i="26" s="1"/>
  <c r="J58" i="26" s="1"/>
  <c r="H31" i="26"/>
  <c r="I31" i="26" s="1"/>
  <c r="J31" i="26" s="1"/>
  <c r="H162" i="26"/>
  <c r="I162" i="26" s="1"/>
  <c r="J162" i="26" s="1"/>
  <c r="H120" i="26"/>
  <c r="I120" i="26" s="1"/>
  <c r="J120" i="26" s="1"/>
  <c r="H36" i="26"/>
  <c r="I36" i="26" s="1"/>
  <c r="J36" i="26" s="1"/>
  <c r="H20" i="26"/>
  <c r="I20" i="26" s="1"/>
  <c r="J20" i="26" s="1"/>
  <c r="H12" i="26"/>
  <c r="I12" i="26" s="1"/>
  <c r="J12" i="26" s="1"/>
  <c r="H10" i="26"/>
  <c r="I10" i="26" s="1"/>
  <c r="J10" i="26" s="1"/>
  <c r="H51" i="26"/>
  <c r="I51" i="26" s="1"/>
  <c r="J51" i="26" s="1"/>
  <c r="H19" i="26"/>
  <c r="I19" i="26" s="1"/>
  <c r="J19" i="26" s="1"/>
  <c r="H97" i="26"/>
  <c r="I97" i="26" s="1"/>
  <c r="J97" i="26" s="1"/>
  <c r="H23" i="26"/>
  <c r="I23" i="26" s="1"/>
  <c r="J23" i="26" s="1"/>
  <c r="H89" i="26"/>
  <c r="I89" i="26" s="1"/>
  <c r="J89" i="26" s="1"/>
  <c r="H75" i="26"/>
  <c r="I75" i="26" s="1"/>
  <c r="J75" i="26" s="1"/>
  <c r="H13" i="26"/>
  <c r="I13" i="26" s="1"/>
  <c r="J13" i="26" s="1"/>
  <c r="H55" i="26"/>
  <c r="I55" i="26" s="1"/>
  <c r="J55" i="26" s="1"/>
  <c r="H26" i="26"/>
  <c r="I26" i="26" s="1"/>
  <c r="J26" i="26" s="1"/>
  <c r="H6" i="26"/>
  <c r="I6" i="26" s="1"/>
  <c r="J6" i="26" s="1"/>
  <c r="H69" i="26"/>
  <c r="I69" i="26" s="1"/>
  <c r="J69" i="26" s="1"/>
  <c r="H79" i="26"/>
  <c r="I79" i="26" s="1"/>
  <c r="J79" i="26" s="1"/>
  <c r="H33" i="26"/>
  <c r="I33" i="26" s="1"/>
  <c r="J33" i="26" s="1"/>
  <c r="H8" i="26"/>
  <c r="I8" i="26" s="1"/>
  <c r="J8" i="26" s="1"/>
  <c r="H41" i="26"/>
  <c r="I41" i="26" s="1"/>
  <c r="J41" i="26" s="1"/>
  <c r="H73" i="26"/>
  <c r="I73" i="26" s="1"/>
  <c r="J73" i="26" s="1"/>
  <c r="H87" i="26"/>
  <c r="I87" i="26" s="1"/>
  <c r="J87" i="26" s="1"/>
  <c r="H80" i="26"/>
  <c r="I80" i="26" s="1"/>
  <c r="J80" i="26" s="1"/>
  <c r="H24" i="26"/>
  <c r="I24" i="26" s="1"/>
  <c r="J24" i="26" s="1"/>
  <c r="H57" i="26"/>
  <c r="I57" i="26" s="1"/>
  <c r="J57" i="26" s="1"/>
  <c r="I2" i="20"/>
  <c r="J2" i="20" s="1"/>
  <c r="F2" i="7"/>
  <c r="H2" i="7" s="1"/>
  <c r="R161" i="15"/>
  <c r="S161" i="15" s="1"/>
  <c r="T161" i="15" s="1"/>
  <c r="R162" i="15"/>
  <c r="S162" i="15" s="1"/>
  <c r="T162" i="15" s="1"/>
  <c r="R150" i="15"/>
  <c r="S150" i="15" s="1"/>
  <c r="T150" i="15" s="1"/>
  <c r="R134" i="15"/>
  <c r="S134" i="15" s="1"/>
  <c r="T134" i="15" s="1"/>
  <c r="R95" i="15"/>
  <c r="S95" i="15" s="1"/>
  <c r="T95" i="15" s="1"/>
  <c r="R82" i="15"/>
  <c r="S82" i="15" s="1"/>
  <c r="T82" i="15" s="1"/>
  <c r="R69" i="15"/>
  <c r="S69" i="15" s="1"/>
  <c r="T69" i="15" s="1"/>
  <c r="R53" i="15"/>
  <c r="S53" i="15" s="1"/>
  <c r="T53" i="15" s="1"/>
  <c r="R39" i="15"/>
  <c r="S39" i="15" s="1"/>
  <c r="T39" i="15" s="1"/>
  <c r="R31" i="15"/>
  <c r="S31" i="15" s="1"/>
  <c r="T31" i="15" s="1"/>
  <c r="R147" i="15"/>
  <c r="S147" i="15" s="1"/>
  <c r="T147" i="15" s="1"/>
  <c r="R131" i="15"/>
  <c r="S131" i="15" s="1"/>
  <c r="T131" i="15" s="1"/>
  <c r="R111" i="15"/>
  <c r="S111" i="15" s="1"/>
  <c r="T111" i="15" s="1"/>
  <c r="R96" i="15"/>
  <c r="S96" i="15" s="1"/>
  <c r="T96" i="15" s="1"/>
  <c r="R157" i="15"/>
  <c r="S157" i="15" s="1"/>
  <c r="T157" i="15" s="1"/>
  <c r="R141" i="15"/>
  <c r="S141" i="15" s="1"/>
  <c r="T141" i="15" s="1"/>
  <c r="R125" i="15"/>
  <c r="S125" i="15" s="1"/>
  <c r="T125" i="15" s="1"/>
  <c r="R112" i="15"/>
  <c r="S112" i="15" s="1"/>
  <c r="T112" i="15" s="1"/>
  <c r="R98" i="15"/>
  <c r="S98" i="15" s="1"/>
  <c r="T98" i="15" s="1"/>
  <c r="R72" i="15"/>
  <c r="S72" i="15" s="1"/>
  <c r="T72" i="15" s="1"/>
  <c r="R56" i="15"/>
  <c r="S56" i="15" s="1"/>
  <c r="T56" i="15" s="1"/>
  <c r="R42" i="15"/>
  <c r="S42" i="15" s="1"/>
  <c r="T42" i="15" s="1"/>
  <c r="R21" i="15"/>
  <c r="S21" i="15" s="1"/>
  <c r="T21" i="15" s="1"/>
  <c r="R160" i="15"/>
  <c r="S160" i="15" s="1"/>
  <c r="T160" i="15" s="1"/>
  <c r="R154" i="15"/>
  <c r="S154" i="15" s="1"/>
  <c r="T154" i="15" s="1"/>
  <c r="R138" i="15"/>
  <c r="S138" i="15" s="1"/>
  <c r="T138" i="15" s="1"/>
  <c r="R122" i="15"/>
  <c r="S122" i="15" s="1"/>
  <c r="T122" i="15" s="1"/>
  <c r="R99" i="15"/>
  <c r="S99" i="15" s="1"/>
  <c r="T99" i="15" s="1"/>
  <c r="R83" i="15"/>
  <c r="S83" i="15" s="1"/>
  <c r="T83" i="15" s="1"/>
  <c r="R73" i="15"/>
  <c r="S73" i="15" s="1"/>
  <c r="T73" i="15" s="1"/>
  <c r="R57" i="15"/>
  <c r="S57" i="15" s="1"/>
  <c r="T57" i="15" s="1"/>
  <c r="R43" i="15"/>
  <c r="S43" i="15" s="1"/>
  <c r="T43" i="15" s="1"/>
  <c r="R20" i="15"/>
  <c r="S20" i="15" s="1"/>
  <c r="T20" i="15" s="1"/>
  <c r="R19" i="15"/>
  <c r="S19" i="15" s="1"/>
  <c r="T19" i="15" s="1"/>
  <c r="R18" i="15"/>
  <c r="S18" i="15" s="1"/>
  <c r="T18" i="15" s="1"/>
  <c r="R151" i="15"/>
  <c r="S151" i="15" s="1"/>
  <c r="T151" i="15" s="1"/>
  <c r="R135" i="15"/>
  <c r="S135" i="15" s="1"/>
  <c r="T135" i="15" s="1"/>
  <c r="R113" i="15"/>
  <c r="S113" i="15" s="1"/>
  <c r="T113" i="15" s="1"/>
  <c r="R100" i="15"/>
  <c r="S100" i="15" s="1"/>
  <c r="T100" i="15" s="1"/>
  <c r="R84" i="15"/>
  <c r="S84" i="15" s="1"/>
  <c r="T84" i="15" s="1"/>
  <c r="R152" i="15"/>
  <c r="S152" i="15" s="1"/>
  <c r="T152" i="15" s="1"/>
  <c r="R136" i="15"/>
  <c r="S136" i="15" s="1"/>
  <c r="T136" i="15" s="1"/>
  <c r="R120" i="15"/>
  <c r="S120" i="15" s="1"/>
  <c r="T120" i="15" s="1"/>
  <c r="R105" i="15"/>
  <c r="S105" i="15" s="1"/>
  <c r="T105" i="15" s="1"/>
  <c r="R89" i="15"/>
  <c r="S89" i="15" s="1"/>
  <c r="T89" i="15" s="1"/>
  <c r="R79" i="15"/>
  <c r="S79" i="15" s="1"/>
  <c r="T79" i="15" s="1"/>
  <c r="R63" i="15"/>
  <c r="S63" i="15" s="1"/>
  <c r="T63" i="15" s="1"/>
  <c r="R47" i="15"/>
  <c r="S47" i="15" s="1"/>
  <c r="T47" i="15" s="1"/>
  <c r="R132" i="15"/>
  <c r="S132" i="15" s="1"/>
  <c r="T132" i="15" s="1"/>
  <c r="R130" i="15"/>
  <c r="S130" i="15" s="1"/>
  <c r="T130" i="15" s="1"/>
  <c r="R90" i="15"/>
  <c r="S90" i="15" s="1"/>
  <c r="T90" i="15" s="1"/>
  <c r="R78" i="15"/>
  <c r="S78" i="15" s="1"/>
  <c r="T78" i="15" s="1"/>
  <c r="R71" i="15"/>
  <c r="S71" i="15" s="1"/>
  <c r="T71" i="15" s="1"/>
  <c r="R67" i="15"/>
  <c r="S67" i="15" s="1"/>
  <c r="T67" i="15" s="1"/>
  <c r="R41" i="15"/>
  <c r="S41" i="15" s="1"/>
  <c r="T41" i="15" s="1"/>
  <c r="R37" i="15"/>
  <c r="S37" i="15" s="1"/>
  <c r="T37" i="15" s="1"/>
  <c r="R25" i="15"/>
  <c r="S25" i="15" s="1"/>
  <c r="T25" i="15" s="1"/>
  <c r="R101" i="15"/>
  <c r="S101" i="15" s="1"/>
  <c r="T101" i="15" s="1"/>
  <c r="R81" i="15"/>
  <c r="S81" i="15" s="1"/>
  <c r="T81" i="15" s="1"/>
  <c r="R75" i="15"/>
  <c r="S75" i="15" s="1"/>
  <c r="T75" i="15" s="1"/>
  <c r="R52" i="15"/>
  <c r="S52" i="15" s="1"/>
  <c r="T52" i="15" s="1"/>
  <c r="R13" i="15"/>
  <c r="S13" i="15" s="1"/>
  <c r="T13" i="15" s="1"/>
  <c r="R159" i="15"/>
  <c r="S159" i="15" s="1"/>
  <c r="T159" i="15" s="1"/>
  <c r="R155" i="15"/>
  <c r="S155" i="15" s="1"/>
  <c r="T155" i="15" s="1"/>
  <c r="R153" i="15"/>
  <c r="S153" i="15" s="1"/>
  <c r="T153" i="15" s="1"/>
  <c r="R109" i="15"/>
  <c r="S109" i="15" s="1"/>
  <c r="T109" i="15" s="1"/>
  <c r="R87" i="15"/>
  <c r="S87" i="15" s="1"/>
  <c r="T87" i="15" s="1"/>
  <c r="R64" i="15"/>
  <c r="S64" i="15" s="1"/>
  <c r="T64" i="15" s="1"/>
  <c r="R60" i="15"/>
  <c r="S60" i="15" s="1"/>
  <c r="T60" i="15" s="1"/>
  <c r="R45" i="15"/>
  <c r="S45" i="15" s="1"/>
  <c r="T45" i="15" s="1"/>
  <c r="R26" i="15"/>
  <c r="S26" i="15" s="1"/>
  <c r="T26" i="15" s="1"/>
  <c r="R8" i="15"/>
  <c r="S8" i="15" s="1"/>
  <c r="T8" i="15" s="1"/>
  <c r="R142" i="15"/>
  <c r="S142" i="15" s="1"/>
  <c r="T142" i="15" s="1"/>
  <c r="R119" i="15"/>
  <c r="S119" i="15" s="1"/>
  <c r="T119" i="15" s="1"/>
  <c r="R104" i="15"/>
  <c r="S104" i="15" s="1"/>
  <c r="T104" i="15" s="1"/>
  <c r="R49" i="15"/>
  <c r="S49" i="15" s="1"/>
  <c r="T49" i="15" s="1"/>
  <c r="R34" i="15"/>
  <c r="S34" i="15" s="1"/>
  <c r="T34" i="15" s="1"/>
  <c r="R144" i="15"/>
  <c r="S144" i="15" s="1"/>
  <c r="T144" i="15" s="1"/>
  <c r="R140" i="15"/>
  <c r="S140" i="15" s="1"/>
  <c r="T140" i="15" s="1"/>
  <c r="R93" i="15"/>
  <c r="S93" i="15" s="1"/>
  <c r="T93" i="15" s="1"/>
  <c r="R27" i="15"/>
  <c r="S27" i="15" s="1"/>
  <c r="T27" i="15" s="1"/>
  <c r="R14" i="15"/>
  <c r="S14" i="15" s="1"/>
  <c r="T14" i="15" s="1"/>
  <c r="R121" i="15"/>
  <c r="S121" i="15" s="1"/>
  <c r="T121" i="15" s="1"/>
  <c r="R107" i="15"/>
  <c r="S107" i="15" s="1"/>
  <c r="T107" i="15" s="1"/>
  <c r="R68" i="15"/>
  <c r="S68" i="15" s="1"/>
  <c r="T68" i="15" s="1"/>
  <c r="R38" i="15"/>
  <c r="S38" i="15" s="1"/>
  <c r="T38" i="15" s="1"/>
  <c r="R148" i="15"/>
  <c r="S148" i="15" s="1"/>
  <c r="T148" i="15" s="1"/>
  <c r="R146" i="15"/>
  <c r="S146" i="15" s="1"/>
  <c r="T146" i="15" s="1"/>
  <c r="R129" i="15"/>
  <c r="S129" i="15" s="1"/>
  <c r="T129" i="15" s="1"/>
  <c r="R127" i="15"/>
  <c r="S127" i="15" s="1"/>
  <c r="T127" i="15" s="1"/>
  <c r="R123" i="15"/>
  <c r="S123" i="15" s="1"/>
  <c r="T123" i="15" s="1"/>
  <c r="R117" i="15"/>
  <c r="S117" i="15" s="1"/>
  <c r="T117" i="15" s="1"/>
  <c r="R76" i="15"/>
  <c r="S76" i="15" s="1"/>
  <c r="T76" i="15" s="1"/>
  <c r="R61" i="15"/>
  <c r="S61" i="15" s="1"/>
  <c r="T61" i="15" s="1"/>
  <c r="R115" i="15"/>
  <c r="S115" i="15" s="1"/>
  <c r="T115" i="15" s="1"/>
  <c r="R102" i="15"/>
  <c r="S102" i="15" s="1"/>
  <c r="T102" i="15" s="1"/>
  <c r="R91" i="15"/>
  <c r="S91" i="15" s="1"/>
  <c r="T91" i="15" s="1"/>
  <c r="R88" i="15"/>
  <c r="S88" i="15" s="1"/>
  <c r="T88" i="15" s="1"/>
  <c r="R85" i="15"/>
  <c r="S85" i="15" s="1"/>
  <c r="T85" i="15" s="1"/>
  <c r="R65" i="15"/>
  <c r="S65" i="15" s="1"/>
  <c r="T65" i="15" s="1"/>
  <c r="R35" i="15"/>
  <c r="S35" i="15" s="1"/>
  <c r="T35" i="15" s="1"/>
  <c r="R15" i="15"/>
  <c r="S15" i="15" s="1"/>
  <c r="T15" i="15" s="1"/>
  <c r="R156" i="15"/>
  <c r="S156" i="15" s="1"/>
  <c r="T156" i="15" s="1"/>
  <c r="R97" i="15"/>
  <c r="S97" i="15" s="1"/>
  <c r="T97" i="15" s="1"/>
  <c r="R94" i="15"/>
  <c r="S94" i="15" s="1"/>
  <c r="T94" i="15" s="1"/>
  <c r="R62" i="15"/>
  <c r="S62" i="15" s="1"/>
  <c r="T62" i="15" s="1"/>
  <c r="R22" i="15"/>
  <c r="S22" i="15" s="1"/>
  <c r="T22" i="15" s="1"/>
  <c r="R16" i="15"/>
  <c r="S16" i="15" s="1"/>
  <c r="T16" i="15" s="1"/>
  <c r="R126" i="15"/>
  <c r="S126" i="15" s="1"/>
  <c r="T126" i="15" s="1"/>
  <c r="R103" i="15"/>
  <c r="S103" i="15" s="1"/>
  <c r="T103" i="15" s="1"/>
  <c r="R86" i="15"/>
  <c r="S86" i="15" s="1"/>
  <c r="T86" i="15" s="1"/>
  <c r="R74" i="15"/>
  <c r="S74" i="15" s="1"/>
  <c r="T74" i="15" s="1"/>
  <c r="R59" i="15"/>
  <c r="S59" i="15" s="1"/>
  <c r="T59" i="15" s="1"/>
  <c r="R17" i="15"/>
  <c r="S17" i="15" s="1"/>
  <c r="T17" i="15" s="1"/>
  <c r="R128" i="15"/>
  <c r="S128" i="15" s="1"/>
  <c r="T128" i="15" s="1"/>
  <c r="R124" i="15"/>
  <c r="S124" i="15" s="1"/>
  <c r="T124" i="15" s="1"/>
  <c r="R116" i="15"/>
  <c r="S116" i="15" s="1"/>
  <c r="T116" i="15" s="1"/>
  <c r="R106" i="15"/>
  <c r="S106" i="15" s="1"/>
  <c r="T106" i="15" s="1"/>
  <c r="R92" i="15"/>
  <c r="S92" i="15" s="1"/>
  <c r="T92" i="15" s="1"/>
  <c r="R48" i="15"/>
  <c r="S48" i="15" s="1"/>
  <c r="T48" i="15" s="1"/>
  <c r="R44" i="15"/>
  <c r="S44" i="15" s="1"/>
  <c r="T44" i="15" s="1"/>
  <c r="R24" i="15"/>
  <c r="S24" i="15" s="1"/>
  <c r="T24" i="15" s="1"/>
  <c r="R12" i="15"/>
  <c r="S12" i="15" s="1"/>
  <c r="T12" i="15" s="1"/>
  <c r="R158" i="15"/>
  <c r="S158" i="15" s="1"/>
  <c r="T158" i="15" s="1"/>
  <c r="R145" i="15"/>
  <c r="S145" i="15" s="1"/>
  <c r="T145" i="15" s="1"/>
  <c r="R137" i="15"/>
  <c r="S137" i="15" s="1"/>
  <c r="T137" i="15" s="1"/>
  <c r="R30" i="15"/>
  <c r="S30" i="15" s="1"/>
  <c r="T30" i="15" s="1"/>
  <c r="R28" i="15"/>
  <c r="S28" i="15" s="1"/>
  <c r="T28" i="15" s="1"/>
  <c r="R6" i="15"/>
  <c r="S6" i="15" s="1"/>
  <c r="T6" i="15" s="1"/>
  <c r="R77" i="15"/>
  <c r="S77" i="15" s="1"/>
  <c r="T77" i="15" s="1"/>
  <c r="R46" i="15"/>
  <c r="S46" i="15" s="1"/>
  <c r="T46" i="15" s="1"/>
  <c r="R149" i="15"/>
  <c r="S149" i="15" s="1"/>
  <c r="T149" i="15" s="1"/>
  <c r="R23" i="15"/>
  <c r="S23" i="15" s="1"/>
  <c r="T23" i="15" s="1"/>
  <c r="R108" i="15"/>
  <c r="S108" i="15" s="1"/>
  <c r="T108" i="15" s="1"/>
  <c r="R80" i="15"/>
  <c r="S80" i="15" s="1"/>
  <c r="T80" i="15" s="1"/>
  <c r="R54" i="15"/>
  <c r="S54" i="15" s="1"/>
  <c r="T54" i="15" s="1"/>
  <c r="R32" i="15"/>
  <c r="S32" i="15" s="1"/>
  <c r="T32" i="15" s="1"/>
  <c r="R70" i="15"/>
  <c r="S70" i="15" s="1"/>
  <c r="T70" i="15" s="1"/>
  <c r="R51" i="15"/>
  <c r="S51" i="15" s="1"/>
  <c r="T51" i="15" s="1"/>
  <c r="R40" i="15"/>
  <c r="S40" i="15" s="1"/>
  <c r="T40" i="15" s="1"/>
  <c r="R9" i="15"/>
  <c r="S9" i="15" s="1"/>
  <c r="T9" i="15" s="1"/>
  <c r="R118" i="15"/>
  <c r="S118" i="15" s="1"/>
  <c r="T118" i="15" s="1"/>
  <c r="R7" i="15"/>
  <c r="S7" i="15" s="1"/>
  <c r="T7" i="15" s="1"/>
  <c r="R66" i="15"/>
  <c r="S66" i="15" s="1"/>
  <c r="T66" i="15" s="1"/>
  <c r="R50" i="15"/>
  <c r="S50" i="15" s="1"/>
  <c r="T50" i="15" s="1"/>
  <c r="R29" i="15"/>
  <c r="S29" i="15" s="1"/>
  <c r="T29" i="15" s="1"/>
  <c r="R133" i="15"/>
  <c r="S133" i="15" s="1"/>
  <c r="T133" i="15" s="1"/>
  <c r="R36" i="15"/>
  <c r="S36" i="15" s="1"/>
  <c r="T36" i="15" s="1"/>
  <c r="R114" i="15"/>
  <c r="S114" i="15" s="1"/>
  <c r="T114" i="15" s="1"/>
  <c r="R33" i="15"/>
  <c r="S33" i="15" s="1"/>
  <c r="T33" i="15" s="1"/>
  <c r="R143" i="15"/>
  <c r="S143" i="15" s="1"/>
  <c r="T143" i="15" s="1"/>
  <c r="R11" i="15"/>
  <c r="S11" i="15" s="1"/>
  <c r="T11" i="15" s="1"/>
  <c r="R10" i="15"/>
  <c r="S10" i="15" s="1"/>
  <c r="T10" i="15" s="1"/>
  <c r="R58" i="15"/>
  <c r="S58" i="15" s="1"/>
  <c r="T58" i="15" s="1"/>
  <c r="R139" i="15"/>
  <c r="S139" i="15" s="1"/>
  <c r="T139" i="15" s="1"/>
  <c r="R110" i="15"/>
  <c r="S110" i="15" s="1"/>
  <c r="T110" i="15" s="1"/>
  <c r="R55" i="15"/>
  <c r="S55" i="15" s="1"/>
  <c r="T55" i="15" s="1"/>
  <c r="Q162" i="27"/>
  <c r="Q2" i="27"/>
  <c r="G162" i="17"/>
  <c r="G2" i="17"/>
  <c r="F2" i="3"/>
  <c r="H2" i="3" s="1"/>
  <c r="R160" i="13"/>
  <c r="S160" i="13" s="1"/>
  <c r="T160" i="13" s="1"/>
  <c r="R159" i="13"/>
  <c r="S159" i="13" s="1"/>
  <c r="T159" i="13" s="1"/>
  <c r="R158" i="13"/>
  <c r="S158" i="13" s="1"/>
  <c r="T158" i="13" s="1"/>
  <c r="R157" i="13"/>
  <c r="S157" i="13" s="1"/>
  <c r="T157" i="13" s="1"/>
  <c r="R156" i="13"/>
  <c r="S156" i="13" s="1"/>
  <c r="T156" i="13" s="1"/>
  <c r="R155" i="13"/>
  <c r="S155" i="13" s="1"/>
  <c r="T155" i="13" s="1"/>
  <c r="R154" i="13"/>
  <c r="S154" i="13" s="1"/>
  <c r="T154" i="13" s="1"/>
  <c r="R153" i="13"/>
  <c r="S153" i="13" s="1"/>
  <c r="T153" i="13" s="1"/>
  <c r="R152" i="13"/>
  <c r="S152" i="13" s="1"/>
  <c r="T152" i="13" s="1"/>
  <c r="R151" i="13"/>
  <c r="S151" i="13" s="1"/>
  <c r="T151" i="13" s="1"/>
  <c r="R150" i="13"/>
  <c r="S150" i="13" s="1"/>
  <c r="T150" i="13" s="1"/>
  <c r="R149" i="13"/>
  <c r="S149" i="13" s="1"/>
  <c r="T149" i="13" s="1"/>
  <c r="R148" i="13"/>
  <c r="S148" i="13" s="1"/>
  <c r="T148" i="13" s="1"/>
  <c r="R147" i="13"/>
  <c r="S147" i="13" s="1"/>
  <c r="T147" i="13" s="1"/>
  <c r="R146" i="13"/>
  <c r="S146" i="13" s="1"/>
  <c r="T146" i="13" s="1"/>
  <c r="R145" i="13"/>
  <c r="S145" i="13" s="1"/>
  <c r="T145" i="13" s="1"/>
  <c r="R144" i="13"/>
  <c r="S144" i="13" s="1"/>
  <c r="T144" i="13" s="1"/>
  <c r="R143" i="13"/>
  <c r="S143" i="13" s="1"/>
  <c r="T143" i="13" s="1"/>
  <c r="R142" i="13"/>
  <c r="S142" i="13" s="1"/>
  <c r="T142" i="13" s="1"/>
  <c r="R141" i="13"/>
  <c r="S141" i="13" s="1"/>
  <c r="T141" i="13" s="1"/>
  <c r="R140" i="13"/>
  <c r="S140" i="13" s="1"/>
  <c r="T140" i="13" s="1"/>
  <c r="R139" i="13"/>
  <c r="S139" i="13" s="1"/>
  <c r="T139" i="13" s="1"/>
  <c r="R138" i="13"/>
  <c r="S138" i="13" s="1"/>
  <c r="T138" i="13" s="1"/>
  <c r="R137" i="13"/>
  <c r="S137" i="13" s="1"/>
  <c r="T137" i="13" s="1"/>
  <c r="R136" i="13"/>
  <c r="S136" i="13" s="1"/>
  <c r="T136" i="13" s="1"/>
  <c r="R135" i="13"/>
  <c r="S135" i="13" s="1"/>
  <c r="T135" i="13" s="1"/>
  <c r="R134" i="13"/>
  <c r="S134" i="13" s="1"/>
  <c r="T134" i="13" s="1"/>
  <c r="R133" i="13"/>
  <c r="S133" i="13" s="1"/>
  <c r="T133" i="13" s="1"/>
  <c r="R132" i="13"/>
  <c r="S132" i="13" s="1"/>
  <c r="T132" i="13" s="1"/>
  <c r="R131" i="13"/>
  <c r="S131" i="13" s="1"/>
  <c r="T131" i="13" s="1"/>
  <c r="R130" i="13"/>
  <c r="S130" i="13" s="1"/>
  <c r="T130" i="13" s="1"/>
  <c r="R129" i="13"/>
  <c r="S129" i="13" s="1"/>
  <c r="T129" i="13" s="1"/>
  <c r="R128" i="13"/>
  <c r="S128" i="13" s="1"/>
  <c r="T128" i="13" s="1"/>
  <c r="R127" i="13"/>
  <c r="S127" i="13" s="1"/>
  <c r="T127" i="13" s="1"/>
  <c r="R126" i="13"/>
  <c r="S126" i="13" s="1"/>
  <c r="T126" i="13" s="1"/>
  <c r="R125" i="13"/>
  <c r="S125" i="13" s="1"/>
  <c r="T125" i="13" s="1"/>
  <c r="R124" i="13"/>
  <c r="S124" i="13" s="1"/>
  <c r="T124" i="13" s="1"/>
  <c r="R123" i="13"/>
  <c r="S123" i="13" s="1"/>
  <c r="T123" i="13" s="1"/>
  <c r="R122" i="13"/>
  <c r="S122" i="13" s="1"/>
  <c r="T122" i="13" s="1"/>
  <c r="R105" i="13"/>
  <c r="S105" i="13" s="1"/>
  <c r="T105" i="13" s="1"/>
  <c r="R93" i="13"/>
  <c r="S93" i="13" s="1"/>
  <c r="T93" i="13" s="1"/>
  <c r="R76" i="13"/>
  <c r="S76" i="13" s="1"/>
  <c r="T76" i="13" s="1"/>
  <c r="R54" i="13"/>
  <c r="S54" i="13" s="1"/>
  <c r="T54" i="13" s="1"/>
  <c r="R40" i="13"/>
  <c r="S40" i="13" s="1"/>
  <c r="T40" i="13" s="1"/>
  <c r="R112" i="13"/>
  <c r="S112" i="13" s="1"/>
  <c r="T112" i="13" s="1"/>
  <c r="R94" i="13"/>
  <c r="S94" i="13" s="1"/>
  <c r="T94" i="13" s="1"/>
  <c r="R162" i="13"/>
  <c r="S162" i="13" s="1"/>
  <c r="T162" i="13" s="1"/>
  <c r="R113" i="13"/>
  <c r="S113" i="13" s="1"/>
  <c r="T113" i="13" s="1"/>
  <c r="R107" i="13"/>
  <c r="S107" i="13" s="1"/>
  <c r="T107" i="13" s="1"/>
  <c r="R97" i="13"/>
  <c r="S97" i="13" s="1"/>
  <c r="T97" i="13" s="1"/>
  <c r="R72" i="13"/>
  <c r="S72" i="13" s="1"/>
  <c r="T72" i="13" s="1"/>
  <c r="R18" i="13"/>
  <c r="S18" i="13" s="1"/>
  <c r="T18" i="13" s="1"/>
  <c r="R17" i="13"/>
  <c r="S17" i="13" s="1"/>
  <c r="T17" i="13" s="1"/>
  <c r="R98" i="13"/>
  <c r="S98" i="13" s="1"/>
  <c r="T98" i="13" s="1"/>
  <c r="R119" i="13"/>
  <c r="S119" i="13" s="1"/>
  <c r="T119" i="13" s="1"/>
  <c r="R115" i="13"/>
  <c r="S115" i="13" s="1"/>
  <c r="T115" i="13" s="1"/>
  <c r="R102" i="13"/>
  <c r="S102" i="13" s="1"/>
  <c r="T102" i="13" s="1"/>
  <c r="R87" i="13"/>
  <c r="S87" i="13" s="1"/>
  <c r="T87" i="13" s="1"/>
  <c r="R74" i="13"/>
  <c r="S74" i="13" s="1"/>
  <c r="T74" i="13" s="1"/>
  <c r="R48" i="13"/>
  <c r="S48" i="13" s="1"/>
  <c r="T48" i="13" s="1"/>
  <c r="R34" i="13"/>
  <c r="S34" i="13" s="1"/>
  <c r="T34" i="13" s="1"/>
  <c r="R26" i="13"/>
  <c r="S26" i="13" s="1"/>
  <c r="T26" i="13" s="1"/>
  <c r="R7" i="13"/>
  <c r="S7" i="13" s="1"/>
  <c r="T7" i="13" s="1"/>
  <c r="R108" i="13"/>
  <c r="S108" i="13" s="1"/>
  <c r="T108" i="13" s="1"/>
  <c r="R96" i="13"/>
  <c r="S96" i="13" s="1"/>
  <c r="T96" i="13" s="1"/>
  <c r="R66" i="13"/>
  <c r="S66" i="13" s="1"/>
  <c r="T66" i="13" s="1"/>
  <c r="R59" i="13"/>
  <c r="S59" i="13" s="1"/>
  <c r="T59" i="13" s="1"/>
  <c r="R51" i="13"/>
  <c r="S51" i="13" s="1"/>
  <c r="T51" i="13" s="1"/>
  <c r="R33" i="13"/>
  <c r="S33" i="13" s="1"/>
  <c r="T33" i="13" s="1"/>
  <c r="R19" i="13"/>
  <c r="S19" i="13" s="1"/>
  <c r="T19" i="13" s="1"/>
  <c r="R6" i="13"/>
  <c r="S6" i="13" s="1"/>
  <c r="T6" i="13" s="1"/>
  <c r="R120" i="13"/>
  <c r="S120" i="13" s="1"/>
  <c r="T120" i="13" s="1"/>
  <c r="R118" i="13"/>
  <c r="S118" i="13" s="1"/>
  <c r="T118" i="13" s="1"/>
  <c r="R82" i="13"/>
  <c r="S82" i="13" s="1"/>
  <c r="T82" i="13" s="1"/>
  <c r="R73" i="13"/>
  <c r="S73" i="13" s="1"/>
  <c r="T73" i="13" s="1"/>
  <c r="R38" i="13"/>
  <c r="S38" i="13" s="1"/>
  <c r="T38" i="13" s="1"/>
  <c r="R79" i="13"/>
  <c r="S79" i="13" s="1"/>
  <c r="T79" i="13" s="1"/>
  <c r="R63" i="13"/>
  <c r="S63" i="13" s="1"/>
  <c r="T63" i="13" s="1"/>
  <c r="R56" i="13"/>
  <c r="S56" i="13" s="1"/>
  <c r="T56" i="13" s="1"/>
  <c r="R47" i="13"/>
  <c r="S47" i="13" s="1"/>
  <c r="T47" i="13" s="1"/>
  <c r="R43" i="13"/>
  <c r="S43" i="13" s="1"/>
  <c r="T43" i="13" s="1"/>
  <c r="R13" i="13"/>
  <c r="S13" i="13" s="1"/>
  <c r="T13" i="13" s="1"/>
  <c r="R111" i="13"/>
  <c r="S111" i="13" s="1"/>
  <c r="T111" i="13" s="1"/>
  <c r="R86" i="13"/>
  <c r="S86" i="13" s="1"/>
  <c r="T86" i="13" s="1"/>
  <c r="R70" i="13"/>
  <c r="S70" i="13" s="1"/>
  <c r="T70" i="13" s="1"/>
  <c r="R52" i="13"/>
  <c r="S52" i="13" s="1"/>
  <c r="T52" i="13" s="1"/>
  <c r="R27" i="13"/>
  <c r="S27" i="13" s="1"/>
  <c r="T27" i="13" s="1"/>
  <c r="R20" i="13"/>
  <c r="S20" i="13" s="1"/>
  <c r="T20" i="13" s="1"/>
  <c r="R8" i="13"/>
  <c r="S8" i="13" s="1"/>
  <c r="T8" i="13" s="1"/>
  <c r="R116" i="13"/>
  <c r="S116" i="13" s="1"/>
  <c r="T116" i="13" s="1"/>
  <c r="R100" i="13"/>
  <c r="S100" i="13" s="1"/>
  <c r="T100" i="13" s="1"/>
  <c r="R90" i="13"/>
  <c r="S90" i="13" s="1"/>
  <c r="T90" i="13" s="1"/>
  <c r="R60" i="13"/>
  <c r="S60" i="13" s="1"/>
  <c r="T60" i="13" s="1"/>
  <c r="R14" i="13"/>
  <c r="S14" i="13" s="1"/>
  <c r="T14" i="13" s="1"/>
  <c r="R114" i="13"/>
  <c r="S114" i="13" s="1"/>
  <c r="T114" i="13" s="1"/>
  <c r="R106" i="13"/>
  <c r="S106" i="13" s="1"/>
  <c r="T106" i="13" s="1"/>
  <c r="R103" i="13"/>
  <c r="S103" i="13" s="1"/>
  <c r="T103" i="13" s="1"/>
  <c r="R67" i="13"/>
  <c r="S67" i="13" s="1"/>
  <c r="T67" i="13" s="1"/>
  <c r="R39" i="13"/>
  <c r="S39" i="13" s="1"/>
  <c r="T39" i="13" s="1"/>
  <c r="R21" i="13"/>
  <c r="S21" i="13" s="1"/>
  <c r="T21" i="13" s="1"/>
  <c r="R109" i="13"/>
  <c r="S109" i="13" s="1"/>
  <c r="T109" i="13" s="1"/>
  <c r="R57" i="13"/>
  <c r="S57" i="13" s="1"/>
  <c r="T57" i="13" s="1"/>
  <c r="R35" i="13"/>
  <c r="S35" i="13" s="1"/>
  <c r="T35" i="13" s="1"/>
  <c r="R28" i="13"/>
  <c r="S28" i="13" s="1"/>
  <c r="T28" i="13" s="1"/>
  <c r="R15" i="13"/>
  <c r="S15" i="13" s="1"/>
  <c r="T15" i="13" s="1"/>
  <c r="R9" i="13"/>
  <c r="S9" i="13" s="1"/>
  <c r="T9" i="13" s="1"/>
  <c r="R117" i="13"/>
  <c r="S117" i="13" s="1"/>
  <c r="T117" i="13" s="1"/>
  <c r="R88" i="13"/>
  <c r="S88" i="13" s="1"/>
  <c r="T88" i="13" s="1"/>
  <c r="R36" i="13"/>
  <c r="S36" i="13" s="1"/>
  <c r="T36" i="13" s="1"/>
  <c r="R23" i="13"/>
  <c r="S23" i="13" s="1"/>
  <c r="T23" i="13" s="1"/>
  <c r="R110" i="13"/>
  <c r="S110" i="13" s="1"/>
  <c r="T110" i="13" s="1"/>
  <c r="R78" i="13"/>
  <c r="S78" i="13" s="1"/>
  <c r="T78" i="13" s="1"/>
  <c r="R75" i="13"/>
  <c r="S75" i="13" s="1"/>
  <c r="T75" i="13" s="1"/>
  <c r="R50" i="13"/>
  <c r="S50" i="13" s="1"/>
  <c r="T50" i="13" s="1"/>
  <c r="R32" i="13"/>
  <c r="S32" i="13" s="1"/>
  <c r="T32" i="13" s="1"/>
  <c r="R31" i="13"/>
  <c r="S31" i="13" s="1"/>
  <c r="T31" i="13" s="1"/>
  <c r="R24" i="13"/>
  <c r="S24" i="13" s="1"/>
  <c r="T24" i="13" s="1"/>
  <c r="R11" i="13"/>
  <c r="S11" i="13" s="1"/>
  <c r="T11" i="13" s="1"/>
  <c r="R92" i="13"/>
  <c r="S92" i="13" s="1"/>
  <c r="T92" i="13" s="1"/>
  <c r="R81" i="13"/>
  <c r="S81" i="13" s="1"/>
  <c r="T81" i="13" s="1"/>
  <c r="R55" i="13"/>
  <c r="S55" i="13" s="1"/>
  <c r="T55" i="13" s="1"/>
  <c r="R16" i="13"/>
  <c r="S16" i="13" s="1"/>
  <c r="T16" i="13" s="1"/>
  <c r="R85" i="13"/>
  <c r="S85" i="13" s="1"/>
  <c r="T85" i="13" s="1"/>
  <c r="R41" i="13"/>
  <c r="S41" i="13" s="1"/>
  <c r="T41" i="13" s="1"/>
  <c r="R99" i="13"/>
  <c r="S99" i="13" s="1"/>
  <c r="T99" i="13" s="1"/>
  <c r="R71" i="13"/>
  <c r="S71" i="13" s="1"/>
  <c r="T71" i="13" s="1"/>
  <c r="R46" i="13"/>
  <c r="S46" i="13" s="1"/>
  <c r="T46" i="13" s="1"/>
  <c r="R65" i="13"/>
  <c r="S65" i="13" s="1"/>
  <c r="T65" i="13" s="1"/>
  <c r="R121" i="13"/>
  <c r="S121" i="13" s="1"/>
  <c r="T121" i="13" s="1"/>
  <c r="R101" i="13"/>
  <c r="S101" i="13" s="1"/>
  <c r="T101" i="13" s="1"/>
  <c r="R84" i="13"/>
  <c r="S84" i="13" s="1"/>
  <c r="T84" i="13" s="1"/>
  <c r="R62" i="13"/>
  <c r="S62" i="13" s="1"/>
  <c r="T62" i="13" s="1"/>
  <c r="R10" i="13"/>
  <c r="S10" i="13" s="1"/>
  <c r="T10" i="13" s="1"/>
  <c r="R58" i="13"/>
  <c r="S58" i="13" s="1"/>
  <c r="T58" i="13" s="1"/>
  <c r="R91" i="13"/>
  <c r="S91" i="13" s="1"/>
  <c r="T91" i="13" s="1"/>
  <c r="R29" i="13"/>
  <c r="S29" i="13" s="1"/>
  <c r="T29" i="13" s="1"/>
  <c r="R45" i="13"/>
  <c r="S45" i="13" s="1"/>
  <c r="T45" i="13" s="1"/>
  <c r="R80" i="13"/>
  <c r="S80" i="13" s="1"/>
  <c r="T80" i="13" s="1"/>
  <c r="R61" i="13"/>
  <c r="S61" i="13" s="1"/>
  <c r="T61" i="13" s="1"/>
  <c r="R12" i="13"/>
  <c r="S12" i="13" s="1"/>
  <c r="T12" i="13" s="1"/>
  <c r="R161" i="13"/>
  <c r="S161" i="13" s="1"/>
  <c r="T161" i="13" s="1"/>
  <c r="R89" i="13"/>
  <c r="S89" i="13" s="1"/>
  <c r="T89" i="13" s="1"/>
  <c r="R44" i="13"/>
  <c r="S44" i="13" s="1"/>
  <c r="T44" i="13" s="1"/>
  <c r="R69" i="13"/>
  <c r="S69" i="13" s="1"/>
  <c r="T69" i="13" s="1"/>
  <c r="R37" i="13"/>
  <c r="S37" i="13" s="1"/>
  <c r="T37" i="13" s="1"/>
  <c r="R53" i="13"/>
  <c r="S53" i="13" s="1"/>
  <c r="T53" i="13" s="1"/>
  <c r="R42" i="13"/>
  <c r="S42" i="13" s="1"/>
  <c r="T42" i="13" s="1"/>
  <c r="R77" i="13"/>
  <c r="S77" i="13" s="1"/>
  <c r="T77" i="13" s="1"/>
  <c r="R30" i="13"/>
  <c r="S30" i="13" s="1"/>
  <c r="T30" i="13" s="1"/>
  <c r="R83" i="13"/>
  <c r="S83" i="13" s="1"/>
  <c r="T83" i="13" s="1"/>
  <c r="R64" i="13"/>
  <c r="S64" i="13" s="1"/>
  <c r="T64" i="13" s="1"/>
  <c r="R25" i="13"/>
  <c r="S25" i="13" s="1"/>
  <c r="T25" i="13" s="1"/>
  <c r="R49" i="13"/>
  <c r="S49" i="13" s="1"/>
  <c r="T49" i="13" s="1"/>
  <c r="R22" i="13"/>
  <c r="S22" i="13" s="1"/>
  <c r="T22" i="13" s="1"/>
  <c r="R104" i="13"/>
  <c r="S104" i="13" s="1"/>
  <c r="T104" i="13" s="1"/>
  <c r="R68" i="13"/>
  <c r="S68" i="13" s="1"/>
  <c r="T68" i="13" s="1"/>
  <c r="R95" i="13"/>
  <c r="S95" i="13" s="1"/>
  <c r="T95" i="13" s="1"/>
  <c r="F2" i="24"/>
  <c r="H2" i="24" s="1"/>
  <c r="P2" i="26"/>
  <c r="R2" i="26" s="1"/>
  <c r="P2" i="19"/>
  <c r="R2" i="19" s="1"/>
  <c r="H83" i="21"/>
  <c r="I83" i="21" s="1"/>
  <c r="J83" i="21" s="1"/>
  <c r="H162" i="21"/>
  <c r="I162" i="21" s="1"/>
  <c r="J162" i="21" s="1"/>
  <c r="H151" i="21"/>
  <c r="I151" i="21" s="1"/>
  <c r="J151" i="21" s="1"/>
  <c r="H135" i="21"/>
  <c r="I135" i="21" s="1"/>
  <c r="J135" i="21" s="1"/>
  <c r="H152" i="21"/>
  <c r="I152" i="21" s="1"/>
  <c r="J152" i="21" s="1"/>
  <c r="H136" i="21"/>
  <c r="I136" i="21" s="1"/>
  <c r="J136" i="21" s="1"/>
  <c r="H106" i="21"/>
  <c r="I106" i="21" s="1"/>
  <c r="J106" i="21" s="1"/>
  <c r="H90" i="21"/>
  <c r="I90" i="21" s="1"/>
  <c r="J90" i="21" s="1"/>
  <c r="H153" i="21"/>
  <c r="I153" i="21" s="1"/>
  <c r="J153" i="21" s="1"/>
  <c r="H137" i="21"/>
  <c r="I137" i="21" s="1"/>
  <c r="J137" i="21" s="1"/>
  <c r="H122" i="21"/>
  <c r="I122" i="21" s="1"/>
  <c r="J122" i="21" s="1"/>
  <c r="H156" i="21"/>
  <c r="I156" i="21" s="1"/>
  <c r="J156" i="21" s="1"/>
  <c r="H140" i="21"/>
  <c r="I140" i="21" s="1"/>
  <c r="J140" i="21" s="1"/>
  <c r="H124" i="21"/>
  <c r="I124" i="21" s="1"/>
  <c r="J124" i="21" s="1"/>
  <c r="H147" i="21"/>
  <c r="I147" i="21" s="1"/>
  <c r="J147" i="21" s="1"/>
  <c r="H159" i="21"/>
  <c r="I159" i="21" s="1"/>
  <c r="J159" i="21" s="1"/>
  <c r="H144" i="21"/>
  <c r="I144" i="21" s="1"/>
  <c r="J144" i="21" s="1"/>
  <c r="H115" i="21"/>
  <c r="I115" i="21" s="1"/>
  <c r="J115" i="21" s="1"/>
  <c r="H80" i="21"/>
  <c r="I80" i="21" s="1"/>
  <c r="J80" i="21" s="1"/>
  <c r="H64" i="21"/>
  <c r="I64" i="21" s="1"/>
  <c r="J64" i="21" s="1"/>
  <c r="H43" i="21"/>
  <c r="I43" i="21" s="1"/>
  <c r="J43" i="21" s="1"/>
  <c r="H42" i="21"/>
  <c r="I42" i="21" s="1"/>
  <c r="J42" i="21" s="1"/>
  <c r="H41" i="21"/>
  <c r="I41" i="21" s="1"/>
  <c r="J41" i="21" s="1"/>
  <c r="H129" i="21"/>
  <c r="I129" i="21" s="1"/>
  <c r="J129" i="21" s="1"/>
  <c r="H120" i="21"/>
  <c r="I120" i="21" s="1"/>
  <c r="J120" i="21" s="1"/>
  <c r="H107" i="21"/>
  <c r="I107" i="21" s="1"/>
  <c r="J107" i="21" s="1"/>
  <c r="H98" i="21"/>
  <c r="I98" i="21" s="1"/>
  <c r="J98" i="21" s="1"/>
  <c r="H89" i="21"/>
  <c r="I89" i="21" s="1"/>
  <c r="J89" i="21" s="1"/>
  <c r="H65" i="21"/>
  <c r="I65" i="21" s="1"/>
  <c r="J65" i="21" s="1"/>
  <c r="H44" i="21"/>
  <c r="I44" i="21" s="1"/>
  <c r="J44" i="21" s="1"/>
  <c r="H160" i="21"/>
  <c r="I160" i="21" s="1"/>
  <c r="J160" i="21" s="1"/>
  <c r="H145" i="21"/>
  <c r="I145" i="21" s="1"/>
  <c r="J145" i="21" s="1"/>
  <c r="H130" i="21"/>
  <c r="I130" i="21" s="1"/>
  <c r="J130" i="21" s="1"/>
  <c r="H121" i="21"/>
  <c r="I121" i="21" s="1"/>
  <c r="J121" i="21" s="1"/>
  <c r="H91" i="21"/>
  <c r="I91" i="21" s="1"/>
  <c r="J91" i="21" s="1"/>
  <c r="H68" i="21"/>
  <c r="I68" i="21" s="1"/>
  <c r="J68" i="21" s="1"/>
  <c r="H139" i="21"/>
  <c r="I139" i="21" s="1"/>
  <c r="J139" i="21" s="1"/>
  <c r="H116" i="21"/>
  <c r="I116" i="21" s="1"/>
  <c r="J116" i="21" s="1"/>
  <c r="H150" i="21"/>
  <c r="I150" i="21" s="1"/>
  <c r="J150" i="21" s="1"/>
  <c r="H148" i="21"/>
  <c r="I148" i="21" s="1"/>
  <c r="J148" i="21" s="1"/>
  <c r="H119" i="21"/>
  <c r="I119" i="21" s="1"/>
  <c r="J119" i="21" s="1"/>
  <c r="H101" i="21"/>
  <c r="I101" i="21" s="1"/>
  <c r="J101" i="21" s="1"/>
  <c r="H97" i="21"/>
  <c r="I97" i="21" s="1"/>
  <c r="J97" i="21" s="1"/>
  <c r="H85" i="21"/>
  <c r="I85" i="21" s="1"/>
  <c r="J85" i="21" s="1"/>
  <c r="H61" i="21"/>
  <c r="I61" i="21" s="1"/>
  <c r="J61" i="21" s="1"/>
  <c r="H22" i="21"/>
  <c r="I22" i="21" s="1"/>
  <c r="J22" i="21" s="1"/>
  <c r="H19" i="21"/>
  <c r="I19" i="21" s="1"/>
  <c r="J19" i="21" s="1"/>
  <c r="H161" i="21"/>
  <c r="I161" i="21" s="1"/>
  <c r="J161" i="21" s="1"/>
  <c r="H154" i="21"/>
  <c r="I154" i="21" s="1"/>
  <c r="J154" i="21" s="1"/>
  <c r="H146" i="21"/>
  <c r="I146" i="21" s="1"/>
  <c r="J146" i="21" s="1"/>
  <c r="H125" i="21"/>
  <c r="I125" i="21" s="1"/>
  <c r="J125" i="21" s="1"/>
  <c r="H109" i="21"/>
  <c r="I109" i="21" s="1"/>
  <c r="J109" i="21" s="1"/>
  <c r="H56" i="21"/>
  <c r="I56" i="21" s="1"/>
  <c r="J56" i="21" s="1"/>
  <c r="H50" i="21"/>
  <c r="I50" i="21" s="1"/>
  <c r="J50" i="21" s="1"/>
  <c r="H23" i="21"/>
  <c r="I23" i="21" s="1"/>
  <c r="J23" i="21" s="1"/>
  <c r="H21" i="21"/>
  <c r="I21" i="21" s="1"/>
  <c r="J21" i="21" s="1"/>
  <c r="H20" i="21"/>
  <c r="I20" i="21" s="1"/>
  <c r="J20" i="21" s="1"/>
  <c r="H6" i="21"/>
  <c r="I6" i="21" s="1"/>
  <c r="J6" i="21" s="1"/>
  <c r="H158" i="21"/>
  <c r="I158" i="21" s="1"/>
  <c r="J158" i="21" s="1"/>
  <c r="H94" i="21"/>
  <c r="I94" i="21" s="1"/>
  <c r="J94" i="21" s="1"/>
  <c r="H73" i="21"/>
  <c r="I73" i="21" s="1"/>
  <c r="J73" i="21" s="1"/>
  <c r="H62" i="21"/>
  <c r="I62" i="21" s="1"/>
  <c r="J62" i="21" s="1"/>
  <c r="H25" i="21"/>
  <c r="I25" i="21" s="1"/>
  <c r="J25" i="21" s="1"/>
  <c r="H131" i="21"/>
  <c r="I131" i="21" s="1"/>
  <c r="J131" i="21" s="1"/>
  <c r="H114" i="21"/>
  <c r="I114" i="21" s="1"/>
  <c r="J114" i="21" s="1"/>
  <c r="H138" i="21"/>
  <c r="I138" i="21" s="1"/>
  <c r="J138" i="21" s="1"/>
  <c r="H133" i="21"/>
  <c r="I133" i="21" s="1"/>
  <c r="J133" i="21" s="1"/>
  <c r="H111" i="21"/>
  <c r="I111" i="21" s="1"/>
  <c r="J111" i="21" s="1"/>
  <c r="H96" i="21"/>
  <c r="I96" i="21" s="1"/>
  <c r="J96" i="21" s="1"/>
  <c r="H81" i="21"/>
  <c r="I81" i="21" s="1"/>
  <c r="J81" i="21" s="1"/>
  <c r="H75" i="21"/>
  <c r="I75" i="21" s="1"/>
  <c r="J75" i="21" s="1"/>
  <c r="H72" i="21"/>
  <c r="I72" i="21" s="1"/>
  <c r="J72" i="21" s="1"/>
  <c r="H63" i="21"/>
  <c r="I63" i="21" s="1"/>
  <c r="J63" i="21" s="1"/>
  <c r="H53" i="21"/>
  <c r="I53" i="21" s="1"/>
  <c r="J53" i="21" s="1"/>
  <c r="H141" i="21"/>
  <c r="I141" i="21" s="1"/>
  <c r="J141" i="21" s="1"/>
  <c r="H84" i="21"/>
  <c r="I84" i="21" s="1"/>
  <c r="J84" i="21" s="1"/>
  <c r="H78" i="21"/>
  <c r="I78" i="21" s="1"/>
  <c r="J78" i="21" s="1"/>
  <c r="H46" i="21"/>
  <c r="I46" i="21" s="1"/>
  <c r="J46" i="21" s="1"/>
  <c r="H33" i="21"/>
  <c r="I33" i="21" s="1"/>
  <c r="J33" i="21" s="1"/>
  <c r="H27" i="21"/>
  <c r="I27" i="21" s="1"/>
  <c r="J27" i="21" s="1"/>
  <c r="H10" i="21"/>
  <c r="I10" i="21" s="1"/>
  <c r="J10" i="21" s="1"/>
  <c r="H149" i="21"/>
  <c r="I149" i="21" s="1"/>
  <c r="J149" i="21" s="1"/>
  <c r="H128" i="21"/>
  <c r="I128" i="21" s="1"/>
  <c r="J128" i="21" s="1"/>
  <c r="H105" i="21"/>
  <c r="I105" i="21" s="1"/>
  <c r="J105" i="21" s="1"/>
  <c r="H57" i="21"/>
  <c r="I57" i="21" s="1"/>
  <c r="J57" i="21" s="1"/>
  <c r="H38" i="21"/>
  <c r="I38" i="21" s="1"/>
  <c r="J38" i="21" s="1"/>
  <c r="H16" i="21"/>
  <c r="I16" i="21" s="1"/>
  <c r="J16" i="21" s="1"/>
  <c r="H103" i="21"/>
  <c r="I103" i="21" s="1"/>
  <c r="J103" i="21" s="1"/>
  <c r="H99" i="21"/>
  <c r="I99" i="21" s="1"/>
  <c r="J99" i="21" s="1"/>
  <c r="H82" i="21"/>
  <c r="I82" i="21" s="1"/>
  <c r="J82" i="21" s="1"/>
  <c r="H60" i="21"/>
  <c r="I60" i="21" s="1"/>
  <c r="J60" i="21" s="1"/>
  <c r="H155" i="21"/>
  <c r="I155" i="21" s="1"/>
  <c r="J155" i="21" s="1"/>
  <c r="H123" i="21"/>
  <c r="I123" i="21" s="1"/>
  <c r="J123" i="21" s="1"/>
  <c r="H67" i="21"/>
  <c r="I67" i="21" s="1"/>
  <c r="J67" i="21" s="1"/>
  <c r="H34" i="21"/>
  <c r="I34" i="21" s="1"/>
  <c r="J34" i="21" s="1"/>
  <c r="H28" i="21"/>
  <c r="I28" i="21" s="1"/>
  <c r="J28" i="21" s="1"/>
  <c r="H17" i="21"/>
  <c r="I17" i="21" s="1"/>
  <c r="J17" i="21" s="1"/>
  <c r="H11" i="21"/>
  <c r="I11" i="21" s="1"/>
  <c r="J11" i="21" s="1"/>
  <c r="H92" i="21"/>
  <c r="I92" i="21" s="1"/>
  <c r="J92" i="21" s="1"/>
  <c r="H70" i="21"/>
  <c r="I70" i="21" s="1"/>
  <c r="J70" i="21" s="1"/>
  <c r="H143" i="21"/>
  <c r="I143" i="21" s="1"/>
  <c r="J143" i="21" s="1"/>
  <c r="H110" i="21"/>
  <c r="I110" i="21" s="1"/>
  <c r="J110" i="21" s="1"/>
  <c r="H87" i="21"/>
  <c r="I87" i="21" s="1"/>
  <c r="J87" i="21" s="1"/>
  <c r="H79" i="21"/>
  <c r="I79" i="21" s="1"/>
  <c r="J79" i="21" s="1"/>
  <c r="H54" i="21"/>
  <c r="I54" i="21" s="1"/>
  <c r="J54" i="21" s="1"/>
  <c r="H51" i="21"/>
  <c r="I51" i="21" s="1"/>
  <c r="J51" i="21" s="1"/>
  <c r="H47" i="21"/>
  <c r="I47" i="21" s="1"/>
  <c r="J47" i="21" s="1"/>
  <c r="H39" i="21"/>
  <c r="I39" i="21" s="1"/>
  <c r="J39" i="21" s="1"/>
  <c r="H24" i="21"/>
  <c r="I24" i="21" s="1"/>
  <c r="J24" i="21" s="1"/>
  <c r="H18" i="21"/>
  <c r="I18" i="21" s="1"/>
  <c r="J18" i="21" s="1"/>
  <c r="H12" i="21"/>
  <c r="I12" i="21" s="1"/>
  <c r="J12" i="21" s="1"/>
  <c r="H76" i="21"/>
  <c r="I76" i="21" s="1"/>
  <c r="J76" i="21" s="1"/>
  <c r="H35" i="21"/>
  <c r="I35" i="21" s="1"/>
  <c r="J35" i="21" s="1"/>
  <c r="H29" i="21"/>
  <c r="I29" i="21" s="1"/>
  <c r="J29" i="21" s="1"/>
  <c r="H104" i="21"/>
  <c r="I104" i="21" s="1"/>
  <c r="J104" i="21" s="1"/>
  <c r="H93" i="21"/>
  <c r="I93" i="21" s="1"/>
  <c r="J93" i="21" s="1"/>
  <c r="H31" i="21"/>
  <c r="I31" i="21" s="1"/>
  <c r="J31" i="21" s="1"/>
  <c r="H108" i="21"/>
  <c r="I108" i="21" s="1"/>
  <c r="J108" i="21" s="1"/>
  <c r="H95" i="21"/>
  <c r="I95" i="21" s="1"/>
  <c r="J95" i="21" s="1"/>
  <c r="H86" i="21"/>
  <c r="I86" i="21" s="1"/>
  <c r="J86" i="21" s="1"/>
  <c r="H49" i="21"/>
  <c r="I49" i="21" s="1"/>
  <c r="J49" i="21" s="1"/>
  <c r="H132" i="21"/>
  <c r="I132" i="21" s="1"/>
  <c r="J132" i="21" s="1"/>
  <c r="H117" i="21"/>
  <c r="I117" i="21" s="1"/>
  <c r="J117" i="21" s="1"/>
  <c r="H59" i="21"/>
  <c r="I59" i="21" s="1"/>
  <c r="J59" i="21" s="1"/>
  <c r="H36" i="21"/>
  <c r="I36" i="21" s="1"/>
  <c r="J36" i="21" s="1"/>
  <c r="H13" i="21"/>
  <c r="I13" i="21" s="1"/>
  <c r="J13" i="21" s="1"/>
  <c r="H7" i="21"/>
  <c r="I7" i="21" s="1"/>
  <c r="J7" i="21" s="1"/>
  <c r="H9" i="21"/>
  <c r="I9" i="21" s="1"/>
  <c r="J9" i="21" s="1"/>
  <c r="H100" i="21"/>
  <c r="I100" i="21" s="1"/>
  <c r="J100" i="21" s="1"/>
  <c r="H77" i="21"/>
  <c r="I77" i="21" s="1"/>
  <c r="J77" i="21" s="1"/>
  <c r="H26" i="21"/>
  <c r="I26" i="21" s="1"/>
  <c r="J26" i="21" s="1"/>
  <c r="H134" i="21"/>
  <c r="I134" i="21" s="1"/>
  <c r="J134" i="21" s="1"/>
  <c r="H71" i="21"/>
  <c r="I71" i="21" s="1"/>
  <c r="J71" i="21" s="1"/>
  <c r="H8" i="21"/>
  <c r="I8" i="21" s="1"/>
  <c r="J8" i="21" s="1"/>
  <c r="H142" i="21"/>
  <c r="I142" i="21" s="1"/>
  <c r="J142" i="21" s="1"/>
  <c r="H102" i="21"/>
  <c r="I102" i="21" s="1"/>
  <c r="J102" i="21" s="1"/>
  <c r="H127" i="21"/>
  <c r="I127" i="21" s="1"/>
  <c r="J127" i="21" s="1"/>
  <c r="H48" i="21"/>
  <c r="I48" i="21" s="1"/>
  <c r="J48" i="21" s="1"/>
  <c r="H30" i="21"/>
  <c r="I30" i="21" s="1"/>
  <c r="J30" i="21" s="1"/>
  <c r="H157" i="21"/>
  <c r="I157" i="21" s="1"/>
  <c r="J157" i="21" s="1"/>
  <c r="H52" i="21"/>
  <c r="I52" i="21" s="1"/>
  <c r="J52" i="21" s="1"/>
  <c r="H66" i="21"/>
  <c r="I66" i="21" s="1"/>
  <c r="J66" i="21" s="1"/>
  <c r="H126" i="21"/>
  <c r="I126" i="21" s="1"/>
  <c r="J126" i="21" s="1"/>
  <c r="H88" i="21"/>
  <c r="I88" i="21" s="1"/>
  <c r="J88" i="21" s="1"/>
  <c r="H14" i="21"/>
  <c r="I14" i="21" s="1"/>
  <c r="J14" i="21" s="1"/>
  <c r="H74" i="21"/>
  <c r="I74" i="21" s="1"/>
  <c r="J74" i="21" s="1"/>
  <c r="H113" i="21"/>
  <c r="I113" i="21" s="1"/>
  <c r="J113" i="21" s="1"/>
  <c r="H32" i="21"/>
  <c r="I32" i="21" s="1"/>
  <c r="J32" i="21" s="1"/>
  <c r="H112" i="21"/>
  <c r="I112" i="21" s="1"/>
  <c r="J112" i="21" s="1"/>
  <c r="H40" i="21"/>
  <c r="I40" i="21" s="1"/>
  <c r="J40" i="21" s="1"/>
  <c r="H69" i="21"/>
  <c r="I69" i="21" s="1"/>
  <c r="J69" i="21" s="1"/>
  <c r="H37" i="21"/>
  <c r="I37" i="21" s="1"/>
  <c r="J37" i="21" s="1"/>
  <c r="H55" i="21"/>
  <c r="I55" i="21" s="1"/>
  <c r="J55" i="21" s="1"/>
  <c r="H15" i="21"/>
  <c r="I15" i="21" s="1"/>
  <c r="J15" i="21" s="1"/>
  <c r="H118" i="21"/>
  <c r="I118" i="21" s="1"/>
  <c r="J118" i="21" s="1"/>
  <c r="H45" i="21"/>
  <c r="I45" i="21" s="1"/>
  <c r="J45" i="21" s="1"/>
  <c r="H58" i="21"/>
  <c r="I58" i="21" s="1"/>
  <c r="J58" i="21" s="1"/>
  <c r="S2" i="3"/>
  <c r="T2" i="3" s="1"/>
  <c r="F2" i="23"/>
  <c r="H2" i="23" s="1"/>
  <c r="G162" i="9"/>
  <c r="G2" i="9"/>
  <c r="G162" i="5"/>
  <c r="G2" i="5"/>
  <c r="R158" i="14"/>
  <c r="S158" i="14" s="1"/>
  <c r="T158" i="14" s="1"/>
  <c r="R148" i="14"/>
  <c r="S148" i="14" s="1"/>
  <c r="T148" i="14" s="1"/>
  <c r="R149" i="14"/>
  <c r="S149" i="14" s="1"/>
  <c r="T149" i="14" s="1"/>
  <c r="R43" i="14"/>
  <c r="S43" i="14" s="1"/>
  <c r="T43" i="14" s="1"/>
  <c r="R42" i="14"/>
  <c r="S42" i="14" s="1"/>
  <c r="T42" i="14" s="1"/>
  <c r="R41" i="14"/>
  <c r="S41" i="14" s="1"/>
  <c r="T41" i="14" s="1"/>
  <c r="R40" i="14"/>
  <c r="S40" i="14" s="1"/>
  <c r="T40" i="14" s="1"/>
  <c r="R39" i="14"/>
  <c r="S39" i="14" s="1"/>
  <c r="T39" i="14" s="1"/>
  <c r="R38" i="14"/>
  <c r="S38" i="14" s="1"/>
  <c r="T38" i="14" s="1"/>
  <c r="R37" i="14"/>
  <c r="S37" i="14" s="1"/>
  <c r="T37" i="14" s="1"/>
  <c r="R36" i="14"/>
  <c r="S36" i="14" s="1"/>
  <c r="T36" i="14" s="1"/>
  <c r="R35" i="14"/>
  <c r="S35" i="14" s="1"/>
  <c r="T35" i="14" s="1"/>
  <c r="R34" i="14"/>
  <c r="S34" i="14" s="1"/>
  <c r="T34" i="14" s="1"/>
  <c r="R33" i="14"/>
  <c r="S33" i="14" s="1"/>
  <c r="T33" i="14" s="1"/>
  <c r="R32" i="14"/>
  <c r="S32" i="14" s="1"/>
  <c r="T32" i="14" s="1"/>
  <c r="R159" i="14"/>
  <c r="S159" i="14" s="1"/>
  <c r="T159" i="14" s="1"/>
  <c r="R150" i="14"/>
  <c r="S150" i="14" s="1"/>
  <c r="T150" i="14" s="1"/>
  <c r="R151" i="14"/>
  <c r="S151" i="14" s="1"/>
  <c r="T151" i="14" s="1"/>
  <c r="R82" i="14"/>
  <c r="S82" i="14" s="1"/>
  <c r="T82" i="14" s="1"/>
  <c r="R81" i="14"/>
  <c r="S81" i="14" s="1"/>
  <c r="T81" i="14" s="1"/>
  <c r="R80" i="14"/>
  <c r="S80" i="14" s="1"/>
  <c r="T80" i="14" s="1"/>
  <c r="R79" i="14"/>
  <c r="S79" i="14" s="1"/>
  <c r="T79" i="14" s="1"/>
  <c r="R78" i="14"/>
  <c r="S78" i="14" s="1"/>
  <c r="T78" i="14" s="1"/>
  <c r="R77" i="14"/>
  <c r="S77" i="14" s="1"/>
  <c r="T77" i="14" s="1"/>
  <c r="R76" i="14"/>
  <c r="S76" i="14" s="1"/>
  <c r="T76" i="14" s="1"/>
  <c r="R75" i="14"/>
  <c r="S75" i="14" s="1"/>
  <c r="T75" i="14" s="1"/>
  <c r="R74" i="14"/>
  <c r="S74" i="14" s="1"/>
  <c r="T74" i="14" s="1"/>
  <c r="R73" i="14"/>
  <c r="S73" i="14" s="1"/>
  <c r="T73" i="14" s="1"/>
  <c r="R72" i="14"/>
  <c r="S72" i="14" s="1"/>
  <c r="T72" i="14" s="1"/>
  <c r="R71" i="14"/>
  <c r="S71" i="14" s="1"/>
  <c r="T71" i="14" s="1"/>
  <c r="R70" i="14"/>
  <c r="S70" i="14" s="1"/>
  <c r="T70" i="14" s="1"/>
  <c r="R69" i="14"/>
  <c r="S69" i="14" s="1"/>
  <c r="T69" i="14" s="1"/>
  <c r="R68" i="14"/>
  <c r="S68" i="14" s="1"/>
  <c r="T68" i="14" s="1"/>
  <c r="R67" i="14"/>
  <c r="S67" i="14" s="1"/>
  <c r="T67" i="14" s="1"/>
  <c r="R66" i="14"/>
  <c r="S66" i="14" s="1"/>
  <c r="T66" i="14" s="1"/>
  <c r="R65" i="14"/>
  <c r="S65" i="14" s="1"/>
  <c r="T65" i="14" s="1"/>
  <c r="R64" i="14"/>
  <c r="S64" i="14" s="1"/>
  <c r="T64" i="14" s="1"/>
  <c r="R63" i="14"/>
  <c r="S63" i="14" s="1"/>
  <c r="T63" i="14" s="1"/>
  <c r="R62" i="14"/>
  <c r="S62" i="14" s="1"/>
  <c r="T62" i="14" s="1"/>
  <c r="R61" i="14"/>
  <c r="S61" i="14" s="1"/>
  <c r="T61" i="14" s="1"/>
  <c r="R60" i="14"/>
  <c r="S60" i="14" s="1"/>
  <c r="T60" i="14" s="1"/>
  <c r="R59" i="14"/>
  <c r="S59" i="14" s="1"/>
  <c r="T59" i="14" s="1"/>
  <c r="R58" i="14"/>
  <c r="S58" i="14" s="1"/>
  <c r="T58" i="14" s="1"/>
  <c r="R57" i="14"/>
  <c r="S57" i="14" s="1"/>
  <c r="T57" i="14" s="1"/>
  <c r="R56" i="14"/>
  <c r="S56" i="14" s="1"/>
  <c r="T56" i="14" s="1"/>
  <c r="R55" i="14"/>
  <c r="S55" i="14" s="1"/>
  <c r="T55" i="14" s="1"/>
  <c r="R54" i="14"/>
  <c r="S54" i="14" s="1"/>
  <c r="T54" i="14" s="1"/>
  <c r="R53" i="14"/>
  <c r="S53" i="14" s="1"/>
  <c r="T53" i="14" s="1"/>
  <c r="R52" i="14"/>
  <c r="S52" i="14" s="1"/>
  <c r="T52" i="14" s="1"/>
  <c r="R51" i="14"/>
  <c r="S51" i="14" s="1"/>
  <c r="T51" i="14" s="1"/>
  <c r="R50" i="14"/>
  <c r="S50" i="14" s="1"/>
  <c r="T50" i="14" s="1"/>
  <c r="R49" i="14"/>
  <c r="S49" i="14" s="1"/>
  <c r="T49" i="14" s="1"/>
  <c r="R48" i="14"/>
  <c r="S48" i="14" s="1"/>
  <c r="T48" i="14" s="1"/>
  <c r="R47" i="14"/>
  <c r="S47" i="14" s="1"/>
  <c r="T47" i="14" s="1"/>
  <c r="R46" i="14"/>
  <c r="S46" i="14" s="1"/>
  <c r="T46" i="14" s="1"/>
  <c r="R45" i="14"/>
  <c r="S45" i="14" s="1"/>
  <c r="T45" i="14" s="1"/>
  <c r="R44" i="14"/>
  <c r="S44" i="14" s="1"/>
  <c r="T44" i="14" s="1"/>
  <c r="R160" i="14"/>
  <c r="S160" i="14" s="1"/>
  <c r="T160" i="14" s="1"/>
  <c r="R152" i="14"/>
  <c r="S152" i="14" s="1"/>
  <c r="T152" i="14" s="1"/>
  <c r="R139" i="14"/>
  <c r="S139" i="14" s="1"/>
  <c r="T139" i="14" s="1"/>
  <c r="R138" i="14"/>
  <c r="S138" i="14" s="1"/>
  <c r="T138" i="14" s="1"/>
  <c r="R137" i="14"/>
  <c r="S137" i="14" s="1"/>
  <c r="T137" i="14" s="1"/>
  <c r="R136" i="14"/>
  <c r="S136" i="14" s="1"/>
  <c r="T136" i="14" s="1"/>
  <c r="R135" i="14"/>
  <c r="S135" i="14" s="1"/>
  <c r="T135" i="14" s="1"/>
  <c r="R134" i="14"/>
  <c r="S134" i="14" s="1"/>
  <c r="T134" i="14" s="1"/>
  <c r="R133" i="14"/>
  <c r="S133" i="14" s="1"/>
  <c r="T133" i="14" s="1"/>
  <c r="R132" i="14"/>
  <c r="S132" i="14" s="1"/>
  <c r="T132" i="14" s="1"/>
  <c r="R131" i="14"/>
  <c r="S131" i="14" s="1"/>
  <c r="T131" i="14" s="1"/>
  <c r="R130" i="14"/>
  <c r="S130" i="14" s="1"/>
  <c r="T130" i="14" s="1"/>
  <c r="R129" i="14"/>
  <c r="S129" i="14" s="1"/>
  <c r="T129" i="14" s="1"/>
  <c r="R128" i="14"/>
  <c r="S128" i="14" s="1"/>
  <c r="T128" i="14" s="1"/>
  <c r="R127" i="14"/>
  <c r="S127" i="14" s="1"/>
  <c r="T127" i="14" s="1"/>
  <c r="R126" i="14"/>
  <c r="S126" i="14" s="1"/>
  <c r="T126" i="14" s="1"/>
  <c r="R125" i="14"/>
  <c r="S125" i="14" s="1"/>
  <c r="T125" i="14" s="1"/>
  <c r="R124" i="14"/>
  <c r="S124" i="14" s="1"/>
  <c r="T124" i="14" s="1"/>
  <c r="R123" i="14"/>
  <c r="S123" i="14" s="1"/>
  <c r="T123" i="14" s="1"/>
  <c r="R122" i="14"/>
  <c r="S122" i="14" s="1"/>
  <c r="T122" i="14" s="1"/>
  <c r="R29" i="14"/>
  <c r="S29" i="14" s="1"/>
  <c r="T29" i="14" s="1"/>
  <c r="R28" i="14"/>
  <c r="S28" i="14" s="1"/>
  <c r="T28" i="14" s="1"/>
  <c r="R27" i="14"/>
  <c r="S27" i="14" s="1"/>
  <c r="T27" i="14" s="1"/>
  <c r="R26" i="14"/>
  <c r="S26" i="14" s="1"/>
  <c r="T26" i="14" s="1"/>
  <c r="R25" i="14"/>
  <c r="S25" i="14" s="1"/>
  <c r="T25" i="14" s="1"/>
  <c r="R24" i="14"/>
  <c r="S24" i="14" s="1"/>
  <c r="T24" i="14" s="1"/>
  <c r="R23" i="14"/>
  <c r="S23" i="14" s="1"/>
  <c r="T23" i="14" s="1"/>
  <c r="R22" i="14"/>
  <c r="S22" i="14" s="1"/>
  <c r="T22" i="14" s="1"/>
  <c r="R155" i="14"/>
  <c r="S155" i="14" s="1"/>
  <c r="T155" i="14" s="1"/>
  <c r="R142" i="14"/>
  <c r="S142" i="14" s="1"/>
  <c r="T142" i="14" s="1"/>
  <c r="R17" i="14"/>
  <c r="S17" i="14" s="1"/>
  <c r="T17" i="14" s="1"/>
  <c r="R16" i="14"/>
  <c r="S16" i="14" s="1"/>
  <c r="T16" i="14" s="1"/>
  <c r="R15" i="14"/>
  <c r="S15" i="14" s="1"/>
  <c r="T15" i="14" s="1"/>
  <c r="R14" i="14"/>
  <c r="S14" i="14" s="1"/>
  <c r="T14" i="14" s="1"/>
  <c r="R13" i="14"/>
  <c r="S13" i="14" s="1"/>
  <c r="T13" i="14" s="1"/>
  <c r="R12" i="14"/>
  <c r="S12" i="14" s="1"/>
  <c r="T12" i="14" s="1"/>
  <c r="R11" i="14"/>
  <c r="S11" i="14" s="1"/>
  <c r="T11" i="14" s="1"/>
  <c r="R10" i="14"/>
  <c r="S10" i="14" s="1"/>
  <c r="T10" i="14" s="1"/>
  <c r="R9" i="14"/>
  <c r="S9" i="14" s="1"/>
  <c r="T9" i="14" s="1"/>
  <c r="R8" i="14"/>
  <c r="S8" i="14" s="1"/>
  <c r="T8" i="14" s="1"/>
  <c r="R7" i="14"/>
  <c r="S7" i="14" s="1"/>
  <c r="T7" i="14" s="1"/>
  <c r="R6" i="14"/>
  <c r="S6" i="14" s="1"/>
  <c r="T6" i="14" s="1"/>
  <c r="R162" i="14"/>
  <c r="S162" i="14" s="1"/>
  <c r="T162" i="14" s="1"/>
  <c r="R157" i="14"/>
  <c r="S157" i="14" s="1"/>
  <c r="T157" i="14" s="1"/>
  <c r="R141" i="14"/>
  <c r="S141" i="14" s="1"/>
  <c r="T141" i="14" s="1"/>
  <c r="R120" i="14"/>
  <c r="S120" i="14" s="1"/>
  <c r="T120" i="14" s="1"/>
  <c r="R112" i="14"/>
  <c r="S112" i="14" s="1"/>
  <c r="T112" i="14" s="1"/>
  <c r="R104" i="14"/>
  <c r="S104" i="14" s="1"/>
  <c r="T104" i="14" s="1"/>
  <c r="R96" i="14"/>
  <c r="S96" i="14" s="1"/>
  <c r="T96" i="14" s="1"/>
  <c r="R88" i="14"/>
  <c r="S88" i="14" s="1"/>
  <c r="T88" i="14" s="1"/>
  <c r="R18" i="14"/>
  <c r="S18" i="14" s="1"/>
  <c r="T18" i="14" s="1"/>
  <c r="R154" i="14"/>
  <c r="S154" i="14" s="1"/>
  <c r="T154" i="14" s="1"/>
  <c r="R115" i="14"/>
  <c r="S115" i="14" s="1"/>
  <c r="T115" i="14" s="1"/>
  <c r="R107" i="14"/>
  <c r="S107" i="14" s="1"/>
  <c r="T107" i="14" s="1"/>
  <c r="R99" i="14"/>
  <c r="S99" i="14" s="1"/>
  <c r="T99" i="14" s="1"/>
  <c r="R91" i="14"/>
  <c r="S91" i="14" s="1"/>
  <c r="T91" i="14" s="1"/>
  <c r="R83" i="14"/>
  <c r="S83" i="14" s="1"/>
  <c r="T83" i="14" s="1"/>
  <c r="R31" i="14"/>
  <c r="S31" i="14" s="1"/>
  <c r="T31" i="14" s="1"/>
  <c r="R156" i="14"/>
  <c r="S156" i="14" s="1"/>
  <c r="T156" i="14" s="1"/>
  <c r="R146" i="14"/>
  <c r="S146" i="14" s="1"/>
  <c r="T146" i="14" s="1"/>
  <c r="R118" i="14"/>
  <c r="S118" i="14" s="1"/>
  <c r="T118" i="14" s="1"/>
  <c r="R110" i="14"/>
  <c r="S110" i="14" s="1"/>
  <c r="T110" i="14" s="1"/>
  <c r="R102" i="14"/>
  <c r="S102" i="14" s="1"/>
  <c r="T102" i="14" s="1"/>
  <c r="R94" i="14"/>
  <c r="S94" i="14" s="1"/>
  <c r="T94" i="14" s="1"/>
  <c r="R86" i="14"/>
  <c r="S86" i="14" s="1"/>
  <c r="T86" i="14" s="1"/>
  <c r="R153" i="14"/>
  <c r="S153" i="14" s="1"/>
  <c r="T153" i="14" s="1"/>
  <c r="R140" i="14"/>
  <c r="S140" i="14" s="1"/>
  <c r="T140" i="14" s="1"/>
  <c r="R147" i="14"/>
  <c r="S147" i="14" s="1"/>
  <c r="T147" i="14" s="1"/>
  <c r="R114" i="14"/>
  <c r="S114" i="14" s="1"/>
  <c r="T114" i="14" s="1"/>
  <c r="R106" i="14"/>
  <c r="S106" i="14" s="1"/>
  <c r="T106" i="14" s="1"/>
  <c r="R98" i="14"/>
  <c r="S98" i="14" s="1"/>
  <c r="T98" i="14" s="1"/>
  <c r="R90" i="14"/>
  <c r="S90" i="14" s="1"/>
  <c r="T90" i="14" s="1"/>
  <c r="R109" i="14"/>
  <c r="S109" i="14" s="1"/>
  <c r="T109" i="14" s="1"/>
  <c r="R101" i="14"/>
  <c r="S101" i="14" s="1"/>
  <c r="T101" i="14" s="1"/>
  <c r="R93" i="14"/>
  <c r="S93" i="14" s="1"/>
  <c r="T93" i="14" s="1"/>
  <c r="R85" i="14"/>
  <c r="S85" i="14" s="1"/>
  <c r="T85" i="14" s="1"/>
  <c r="R143" i="14"/>
  <c r="S143" i="14" s="1"/>
  <c r="T143" i="14" s="1"/>
  <c r="R121" i="14"/>
  <c r="S121" i="14" s="1"/>
  <c r="T121" i="14" s="1"/>
  <c r="R19" i="14"/>
  <c r="S19" i="14" s="1"/>
  <c r="T19" i="14" s="1"/>
  <c r="R103" i="14"/>
  <c r="S103" i="14" s="1"/>
  <c r="T103" i="14" s="1"/>
  <c r="R95" i="14"/>
  <c r="S95" i="14" s="1"/>
  <c r="T95" i="14" s="1"/>
  <c r="R87" i="14"/>
  <c r="S87" i="14" s="1"/>
  <c r="T87" i="14" s="1"/>
  <c r="R108" i="14"/>
  <c r="S108" i="14" s="1"/>
  <c r="T108" i="14" s="1"/>
  <c r="R105" i="14"/>
  <c r="S105" i="14" s="1"/>
  <c r="T105" i="14" s="1"/>
  <c r="R100" i="14"/>
  <c r="S100" i="14" s="1"/>
  <c r="T100" i="14" s="1"/>
  <c r="R97" i="14"/>
  <c r="S97" i="14" s="1"/>
  <c r="T97" i="14" s="1"/>
  <c r="R92" i="14"/>
  <c r="S92" i="14" s="1"/>
  <c r="T92" i="14" s="1"/>
  <c r="R89" i="14"/>
  <c r="S89" i="14" s="1"/>
  <c r="T89" i="14" s="1"/>
  <c r="R84" i="14"/>
  <c r="S84" i="14" s="1"/>
  <c r="T84" i="14" s="1"/>
  <c r="R21" i="14"/>
  <c r="S21" i="14" s="1"/>
  <c r="T21" i="14" s="1"/>
  <c r="R111" i="14"/>
  <c r="S111" i="14" s="1"/>
  <c r="T111" i="14" s="1"/>
  <c r="R113" i="14"/>
  <c r="S113" i="14" s="1"/>
  <c r="T113" i="14" s="1"/>
  <c r="R116" i="14"/>
  <c r="S116" i="14" s="1"/>
  <c r="T116" i="14" s="1"/>
  <c r="R20" i="14"/>
  <c r="S20" i="14" s="1"/>
  <c r="T20" i="14" s="1"/>
  <c r="R145" i="14"/>
  <c r="S145" i="14" s="1"/>
  <c r="T145" i="14" s="1"/>
  <c r="R144" i="14"/>
  <c r="S144" i="14" s="1"/>
  <c r="T144" i="14" s="1"/>
  <c r="R30" i="14"/>
  <c r="S30" i="14" s="1"/>
  <c r="T30" i="14" s="1"/>
  <c r="R119" i="14"/>
  <c r="S119" i="14" s="1"/>
  <c r="T119" i="14" s="1"/>
  <c r="R161" i="14"/>
  <c r="S161" i="14" s="1"/>
  <c r="T161" i="14" s="1"/>
  <c r="R117" i="14"/>
  <c r="S117" i="14" s="1"/>
  <c r="T117" i="14" s="1"/>
  <c r="R150" i="23"/>
  <c r="S150" i="23" s="1"/>
  <c r="T150" i="23" s="1"/>
  <c r="R134" i="23"/>
  <c r="S134" i="23" s="1"/>
  <c r="T134" i="23" s="1"/>
  <c r="R120" i="23"/>
  <c r="S120" i="23" s="1"/>
  <c r="T120" i="23" s="1"/>
  <c r="R151" i="23"/>
  <c r="S151" i="23" s="1"/>
  <c r="T151" i="23" s="1"/>
  <c r="R160" i="23"/>
  <c r="S160" i="23" s="1"/>
  <c r="T160" i="23" s="1"/>
  <c r="R156" i="23"/>
  <c r="S156" i="23" s="1"/>
  <c r="T156" i="23" s="1"/>
  <c r="R111" i="23"/>
  <c r="S111" i="23" s="1"/>
  <c r="T111" i="23" s="1"/>
  <c r="R96" i="23"/>
  <c r="S96" i="23" s="1"/>
  <c r="T96" i="23" s="1"/>
  <c r="R82" i="23"/>
  <c r="S82" i="23" s="1"/>
  <c r="T82" i="23" s="1"/>
  <c r="R66" i="23"/>
  <c r="S66" i="23" s="1"/>
  <c r="T66" i="23" s="1"/>
  <c r="R137" i="23"/>
  <c r="S137" i="23" s="1"/>
  <c r="T137" i="23" s="1"/>
  <c r="R128" i="23"/>
  <c r="S128" i="23" s="1"/>
  <c r="T128" i="23" s="1"/>
  <c r="R97" i="23"/>
  <c r="S97" i="23" s="1"/>
  <c r="T97" i="23" s="1"/>
  <c r="R67" i="23"/>
  <c r="S67" i="23" s="1"/>
  <c r="T67" i="23" s="1"/>
  <c r="R31" i="23"/>
  <c r="S31" i="23" s="1"/>
  <c r="T31" i="23" s="1"/>
  <c r="R30" i="23"/>
  <c r="S30" i="23" s="1"/>
  <c r="T30" i="23" s="1"/>
  <c r="R145" i="23"/>
  <c r="S145" i="23" s="1"/>
  <c r="T145" i="23" s="1"/>
  <c r="R121" i="23"/>
  <c r="S121" i="23" s="1"/>
  <c r="T121" i="23" s="1"/>
  <c r="R112" i="23"/>
  <c r="S112" i="23" s="1"/>
  <c r="T112" i="23" s="1"/>
  <c r="R147" i="23"/>
  <c r="S147" i="23" s="1"/>
  <c r="T147" i="23" s="1"/>
  <c r="R141" i="23"/>
  <c r="S141" i="23" s="1"/>
  <c r="T141" i="23" s="1"/>
  <c r="R132" i="23"/>
  <c r="S132" i="23" s="1"/>
  <c r="T132" i="23" s="1"/>
  <c r="R123" i="23"/>
  <c r="S123" i="23" s="1"/>
  <c r="T123" i="23" s="1"/>
  <c r="R115" i="23"/>
  <c r="S115" i="23" s="1"/>
  <c r="T115" i="23" s="1"/>
  <c r="R104" i="23"/>
  <c r="S104" i="23" s="1"/>
  <c r="T104" i="23" s="1"/>
  <c r="R88" i="23"/>
  <c r="S88" i="23" s="1"/>
  <c r="T88" i="23" s="1"/>
  <c r="R74" i="23"/>
  <c r="S74" i="23" s="1"/>
  <c r="T74" i="23" s="1"/>
  <c r="R136" i="23"/>
  <c r="S136" i="23" s="1"/>
  <c r="T136" i="23" s="1"/>
  <c r="R125" i="23"/>
  <c r="S125" i="23" s="1"/>
  <c r="T125" i="23" s="1"/>
  <c r="R100" i="23"/>
  <c r="S100" i="23" s="1"/>
  <c r="T100" i="23" s="1"/>
  <c r="R87" i="23"/>
  <c r="S87" i="23" s="1"/>
  <c r="T87" i="23" s="1"/>
  <c r="R55" i="23"/>
  <c r="S55" i="23" s="1"/>
  <c r="T55" i="23" s="1"/>
  <c r="R42" i="23"/>
  <c r="S42" i="23" s="1"/>
  <c r="T42" i="23" s="1"/>
  <c r="R34" i="23"/>
  <c r="S34" i="23" s="1"/>
  <c r="T34" i="23" s="1"/>
  <c r="R142" i="23"/>
  <c r="S142" i="23" s="1"/>
  <c r="T142" i="23" s="1"/>
  <c r="R139" i="23"/>
  <c r="S139" i="23" s="1"/>
  <c r="T139" i="23" s="1"/>
  <c r="R114" i="23"/>
  <c r="S114" i="23" s="1"/>
  <c r="T114" i="23" s="1"/>
  <c r="R78" i="23"/>
  <c r="S78" i="23" s="1"/>
  <c r="T78" i="23" s="1"/>
  <c r="R57" i="23"/>
  <c r="S57" i="23" s="1"/>
  <c r="T57" i="23" s="1"/>
  <c r="R43" i="23"/>
  <c r="S43" i="23" s="1"/>
  <c r="T43" i="23" s="1"/>
  <c r="R35" i="23"/>
  <c r="S35" i="23" s="1"/>
  <c r="T35" i="23" s="1"/>
  <c r="R13" i="23"/>
  <c r="S13" i="23" s="1"/>
  <c r="T13" i="23" s="1"/>
  <c r="R155" i="23"/>
  <c r="S155" i="23" s="1"/>
  <c r="T155" i="23" s="1"/>
  <c r="R117" i="23"/>
  <c r="S117" i="23" s="1"/>
  <c r="T117" i="23" s="1"/>
  <c r="R108" i="23"/>
  <c r="S108" i="23" s="1"/>
  <c r="T108" i="23" s="1"/>
  <c r="R92" i="23"/>
  <c r="S92" i="23" s="1"/>
  <c r="T92" i="23" s="1"/>
  <c r="R83" i="23"/>
  <c r="S83" i="23" s="1"/>
  <c r="T83" i="23" s="1"/>
  <c r="R58" i="23"/>
  <c r="S58" i="23" s="1"/>
  <c r="T58" i="23" s="1"/>
  <c r="R25" i="23"/>
  <c r="S25" i="23" s="1"/>
  <c r="T25" i="23" s="1"/>
  <c r="R14" i="23"/>
  <c r="S14" i="23" s="1"/>
  <c r="T14" i="23" s="1"/>
  <c r="R69" i="23"/>
  <c r="S69" i="23" s="1"/>
  <c r="T69" i="23" s="1"/>
  <c r="R59" i="23"/>
  <c r="S59" i="23" s="1"/>
  <c r="T59" i="23" s="1"/>
  <c r="R36" i="23"/>
  <c r="S36" i="23" s="1"/>
  <c r="T36" i="23" s="1"/>
  <c r="R15" i="23"/>
  <c r="S15" i="23" s="1"/>
  <c r="T15" i="23" s="1"/>
  <c r="R162" i="23"/>
  <c r="S162" i="23" s="1"/>
  <c r="T162" i="23" s="1"/>
  <c r="R131" i="23"/>
  <c r="S131" i="23" s="1"/>
  <c r="T131" i="23" s="1"/>
  <c r="R153" i="23"/>
  <c r="S153" i="23" s="1"/>
  <c r="T153" i="23" s="1"/>
  <c r="R146" i="23"/>
  <c r="S146" i="23" s="1"/>
  <c r="T146" i="23" s="1"/>
  <c r="R124" i="23"/>
  <c r="S124" i="23" s="1"/>
  <c r="T124" i="23" s="1"/>
  <c r="R106" i="23"/>
  <c r="S106" i="23" s="1"/>
  <c r="T106" i="23" s="1"/>
  <c r="R76" i="23"/>
  <c r="S76" i="23" s="1"/>
  <c r="T76" i="23" s="1"/>
  <c r="R71" i="23"/>
  <c r="S71" i="23" s="1"/>
  <c r="T71" i="23" s="1"/>
  <c r="R65" i="23"/>
  <c r="S65" i="23" s="1"/>
  <c r="T65" i="23" s="1"/>
  <c r="R49" i="23"/>
  <c r="S49" i="23" s="1"/>
  <c r="T49" i="23" s="1"/>
  <c r="R39" i="23"/>
  <c r="S39" i="23" s="1"/>
  <c r="T39" i="23" s="1"/>
  <c r="R138" i="23"/>
  <c r="S138" i="23" s="1"/>
  <c r="T138" i="23" s="1"/>
  <c r="R90" i="23"/>
  <c r="S90" i="23" s="1"/>
  <c r="T90" i="23" s="1"/>
  <c r="R144" i="23"/>
  <c r="S144" i="23" s="1"/>
  <c r="T144" i="23" s="1"/>
  <c r="R116" i="23"/>
  <c r="S116" i="23" s="1"/>
  <c r="T116" i="23" s="1"/>
  <c r="R161" i="23"/>
  <c r="S161" i="23" s="1"/>
  <c r="T161" i="23" s="1"/>
  <c r="R159" i="23"/>
  <c r="S159" i="23" s="1"/>
  <c r="T159" i="23" s="1"/>
  <c r="R149" i="23"/>
  <c r="S149" i="23" s="1"/>
  <c r="T149" i="23" s="1"/>
  <c r="R130" i="23"/>
  <c r="S130" i="23" s="1"/>
  <c r="T130" i="23" s="1"/>
  <c r="R107" i="23"/>
  <c r="S107" i="23" s="1"/>
  <c r="T107" i="23" s="1"/>
  <c r="R98" i="23"/>
  <c r="S98" i="23" s="1"/>
  <c r="T98" i="23" s="1"/>
  <c r="R81" i="23"/>
  <c r="S81" i="23" s="1"/>
  <c r="T81" i="23" s="1"/>
  <c r="R53" i="23"/>
  <c r="S53" i="23" s="1"/>
  <c r="T53" i="23" s="1"/>
  <c r="R44" i="23"/>
  <c r="S44" i="23" s="1"/>
  <c r="T44" i="23" s="1"/>
  <c r="R38" i="23"/>
  <c r="S38" i="23" s="1"/>
  <c r="T38" i="23" s="1"/>
  <c r="R32" i="23"/>
  <c r="S32" i="23" s="1"/>
  <c r="T32" i="23" s="1"/>
  <c r="R28" i="23"/>
  <c r="S28" i="23" s="1"/>
  <c r="T28" i="23" s="1"/>
  <c r="R10" i="23"/>
  <c r="S10" i="23" s="1"/>
  <c r="T10" i="23" s="1"/>
  <c r="R109" i="23"/>
  <c r="S109" i="23" s="1"/>
  <c r="T109" i="23" s="1"/>
  <c r="R60" i="23"/>
  <c r="S60" i="23" s="1"/>
  <c r="T60" i="23" s="1"/>
  <c r="R47" i="23"/>
  <c r="S47" i="23" s="1"/>
  <c r="T47" i="23" s="1"/>
  <c r="R41" i="23"/>
  <c r="S41" i="23" s="1"/>
  <c r="T41" i="23" s="1"/>
  <c r="R22" i="23"/>
  <c r="S22" i="23" s="1"/>
  <c r="T22" i="23" s="1"/>
  <c r="R158" i="23"/>
  <c r="S158" i="23" s="1"/>
  <c r="T158" i="23" s="1"/>
  <c r="R140" i="23"/>
  <c r="S140" i="23" s="1"/>
  <c r="T140" i="23" s="1"/>
  <c r="R122" i="23"/>
  <c r="S122" i="23" s="1"/>
  <c r="T122" i="23" s="1"/>
  <c r="R119" i="23"/>
  <c r="S119" i="23" s="1"/>
  <c r="T119" i="23" s="1"/>
  <c r="R94" i="23"/>
  <c r="S94" i="23" s="1"/>
  <c r="T94" i="23" s="1"/>
  <c r="R63" i="23"/>
  <c r="S63" i="23" s="1"/>
  <c r="T63" i="23" s="1"/>
  <c r="R19" i="23"/>
  <c r="S19" i="23" s="1"/>
  <c r="T19" i="23" s="1"/>
  <c r="R11" i="23"/>
  <c r="S11" i="23" s="1"/>
  <c r="T11" i="23" s="1"/>
  <c r="R143" i="23"/>
  <c r="S143" i="23" s="1"/>
  <c r="T143" i="23" s="1"/>
  <c r="R102" i="23"/>
  <c r="S102" i="23" s="1"/>
  <c r="T102" i="23" s="1"/>
  <c r="R154" i="23"/>
  <c r="S154" i="23" s="1"/>
  <c r="T154" i="23" s="1"/>
  <c r="R86" i="23"/>
  <c r="S86" i="23" s="1"/>
  <c r="T86" i="23" s="1"/>
  <c r="R79" i="23"/>
  <c r="S79" i="23" s="1"/>
  <c r="T79" i="23" s="1"/>
  <c r="R51" i="23"/>
  <c r="S51" i="23" s="1"/>
  <c r="T51" i="23" s="1"/>
  <c r="R16" i="23"/>
  <c r="S16" i="23" s="1"/>
  <c r="T16" i="23" s="1"/>
  <c r="R113" i="23"/>
  <c r="S113" i="23" s="1"/>
  <c r="T113" i="23" s="1"/>
  <c r="R54" i="23"/>
  <c r="S54" i="23" s="1"/>
  <c r="T54" i="23" s="1"/>
  <c r="R48" i="23"/>
  <c r="S48" i="23" s="1"/>
  <c r="T48" i="23" s="1"/>
  <c r="R29" i="23"/>
  <c r="S29" i="23" s="1"/>
  <c r="T29" i="23" s="1"/>
  <c r="R26" i="23"/>
  <c r="S26" i="23" s="1"/>
  <c r="T26" i="23" s="1"/>
  <c r="R12" i="23"/>
  <c r="S12" i="23" s="1"/>
  <c r="T12" i="23" s="1"/>
  <c r="R6" i="23"/>
  <c r="S6" i="23" s="1"/>
  <c r="T6" i="23" s="1"/>
  <c r="R133" i="23"/>
  <c r="S133" i="23" s="1"/>
  <c r="T133" i="23" s="1"/>
  <c r="R127" i="23"/>
  <c r="S127" i="23" s="1"/>
  <c r="T127" i="23" s="1"/>
  <c r="R84" i="23"/>
  <c r="S84" i="23" s="1"/>
  <c r="T84" i="23" s="1"/>
  <c r="R64" i="23"/>
  <c r="S64" i="23" s="1"/>
  <c r="T64" i="23" s="1"/>
  <c r="R45" i="23"/>
  <c r="S45" i="23" s="1"/>
  <c r="T45" i="23" s="1"/>
  <c r="R33" i="23"/>
  <c r="S33" i="23" s="1"/>
  <c r="T33" i="23" s="1"/>
  <c r="R99" i="23"/>
  <c r="S99" i="23" s="1"/>
  <c r="T99" i="23" s="1"/>
  <c r="R89" i="23"/>
  <c r="S89" i="23" s="1"/>
  <c r="T89" i="23" s="1"/>
  <c r="R80" i="23"/>
  <c r="S80" i="23" s="1"/>
  <c r="T80" i="23" s="1"/>
  <c r="R70" i="23"/>
  <c r="S70" i="23" s="1"/>
  <c r="T70" i="23" s="1"/>
  <c r="R52" i="23"/>
  <c r="S52" i="23" s="1"/>
  <c r="T52" i="23" s="1"/>
  <c r="R129" i="23"/>
  <c r="S129" i="23" s="1"/>
  <c r="T129" i="23" s="1"/>
  <c r="R126" i="23"/>
  <c r="S126" i="23" s="1"/>
  <c r="T126" i="23" s="1"/>
  <c r="R103" i="23"/>
  <c r="S103" i="23" s="1"/>
  <c r="T103" i="23" s="1"/>
  <c r="R101" i="23"/>
  <c r="S101" i="23" s="1"/>
  <c r="T101" i="23" s="1"/>
  <c r="R93" i="23"/>
  <c r="S93" i="23" s="1"/>
  <c r="T93" i="23" s="1"/>
  <c r="R91" i="23"/>
  <c r="S91" i="23" s="1"/>
  <c r="T91" i="23" s="1"/>
  <c r="R46" i="23"/>
  <c r="S46" i="23" s="1"/>
  <c r="T46" i="23" s="1"/>
  <c r="R40" i="23"/>
  <c r="S40" i="23" s="1"/>
  <c r="T40" i="23" s="1"/>
  <c r="R37" i="23"/>
  <c r="S37" i="23" s="1"/>
  <c r="T37" i="23" s="1"/>
  <c r="R27" i="23"/>
  <c r="S27" i="23" s="1"/>
  <c r="T27" i="23" s="1"/>
  <c r="R135" i="23"/>
  <c r="S135" i="23" s="1"/>
  <c r="T135" i="23" s="1"/>
  <c r="R105" i="23"/>
  <c r="S105" i="23" s="1"/>
  <c r="T105" i="23" s="1"/>
  <c r="R62" i="23"/>
  <c r="S62" i="23" s="1"/>
  <c r="T62" i="23" s="1"/>
  <c r="R24" i="23"/>
  <c r="S24" i="23" s="1"/>
  <c r="T24" i="23" s="1"/>
  <c r="R21" i="23"/>
  <c r="S21" i="23" s="1"/>
  <c r="T21" i="23" s="1"/>
  <c r="R152" i="23"/>
  <c r="S152" i="23" s="1"/>
  <c r="T152" i="23" s="1"/>
  <c r="R148" i="23"/>
  <c r="S148" i="23" s="1"/>
  <c r="T148" i="23" s="1"/>
  <c r="R85" i="23"/>
  <c r="S85" i="23" s="1"/>
  <c r="T85" i="23" s="1"/>
  <c r="R68" i="23"/>
  <c r="S68" i="23" s="1"/>
  <c r="T68" i="23" s="1"/>
  <c r="R18" i="23"/>
  <c r="S18" i="23" s="1"/>
  <c r="T18" i="23" s="1"/>
  <c r="R73" i="23"/>
  <c r="S73" i="23" s="1"/>
  <c r="T73" i="23" s="1"/>
  <c r="R118" i="23"/>
  <c r="S118" i="23" s="1"/>
  <c r="T118" i="23" s="1"/>
  <c r="R95" i="23"/>
  <c r="S95" i="23" s="1"/>
  <c r="T95" i="23" s="1"/>
  <c r="R72" i="23"/>
  <c r="S72" i="23" s="1"/>
  <c r="T72" i="23" s="1"/>
  <c r="R61" i="23"/>
  <c r="S61" i="23" s="1"/>
  <c r="T61" i="23" s="1"/>
  <c r="R7" i="23"/>
  <c r="S7" i="23" s="1"/>
  <c r="T7" i="23" s="1"/>
  <c r="R157" i="23"/>
  <c r="S157" i="23" s="1"/>
  <c r="T157" i="23" s="1"/>
  <c r="R17" i="23"/>
  <c r="S17" i="23" s="1"/>
  <c r="T17" i="23" s="1"/>
  <c r="R75" i="23"/>
  <c r="S75" i="23" s="1"/>
  <c r="T75" i="23" s="1"/>
  <c r="R50" i="23"/>
  <c r="S50" i="23" s="1"/>
  <c r="T50" i="23" s="1"/>
  <c r="R20" i="23"/>
  <c r="S20" i="23" s="1"/>
  <c r="T20" i="23" s="1"/>
  <c r="R9" i="23"/>
  <c r="S9" i="23" s="1"/>
  <c r="T9" i="23" s="1"/>
  <c r="R110" i="23"/>
  <c r="S110" i="23" s="1"/>
  <c r="T110" i="23" s="1"/>
  <c r="R77" i="23"/>
  <c r="S77" i="23" s="1"/>
  <c r="T77" i="23" s="1"/>
  <c r="R8" i="23"/>
  <c r="S8" i="23" s="1"/>
  <c r="T8" i="23" s="1"/>
  <c r="R23" i="23"/>
  <c r="S23" i="23" s="1"/>
  <c r="T23" i="23" s="1"/>
  <c r="R56" i="23"/>
  <c r="S56" i="23" s="1"/>
  <c r="T56" i="23" s="1"/>
  <c r="F2" i="19"/>
  <c r="H2" i="19" s="1"/>
  <c r="X21" i="8"/>
  <c r="S2" i="20"/>
  <c r="T2" i="20" s="1"/>
  <c r="F2" i="17" l="1"/>
  <c r="H2" i="17" s="1"/>
  <c r="S2" i="14"/>
  <c r="T2" i="14" s="1"/>
  <c r="X21" i="14" s="1"/>
  <c r="I2" i="26"/>
  <c r="J2" i="26" s="1"/>
  <c r="R156" i="19"/>
  <c r="S156" i="19" s="1"/>
  <c r="T156" i="19" s="1"/>
  <c r="R158" i="19"/>
  <c r="S158" i="19" s="1"/>
  <c r="T158" i="19" s="1"/>
  <c r="R142" i="19"/>
  <c r="S142" i="19" s="1"/>
  <c r="T142" i="19" s="1"/>
  <c r="R126" i="19"/>
  <c r="S126" i="19" s="1"/>
  <c r="T126" i="19" s="1"/>
  <c r="R112" i="19"/>
  <c r="S112" i="19" s="1"/>
  <c r="T112" i="19" s="1"/>
  <c r="R96" i="19"/>
  <c r="S96" i="19" s="1"/>
  <c r="T96" i="19" s="1"/>
  <c r="R159" i="19"/>
  <c r="S159" i="19" s="1"/>
  <c r="T159" i="19" s="1"/>
  <c r="R143" i="19"/>
  <c r="S143" i="19" s="1"/>
  <c r="T143" i="19" s="1"/>
  <c r="R127" i="19"/>
  <c r="S127" i="19" s="1"/>
  <c r="T127" i="19" s="1"/>
  <c r="R113" i="19"/>
  <c r="S113" i="19" s="1"/>
  <c r="T113" i="19" s="1"/>
  <c r="R97" i="19"/>
  <c r="S97" i="19" s="1"/>
  <c r="T97" i="19" s="1"/>
  <c r="R82" i="19"/>
  <c r="S82" i="19" s="1"/>
  <c r="T82" i="19" s="1"/>
  <c r="R160" i="19"/>
  <c r="S160" i="19" s="1"/>
  <c r="T160" i="19" s="1"/>
  <c r="R161" i="19"/>
  <c r="S161" i="19" s="1"/>
  <c r="T161" i="19" s="1"/>
  <c r="R147" i="19"/>
  <c r="S147" i="19" s="1"/>
  <c r="T147" i="19" s="1"/>
  <c r="R131" i="19"/>
  <c r="S131" i="19" s="1"/>
  <c r="T131" i="19" s="1"/>
  <c r="R117" i="19"/>
  <c r="S117" i="19" s="1"/>
  <c r="T117" i="19" s="1"/>
  <c r="R101" i="19"/>
  <c r="S101" i="19" s="1"/>
  <c r="T101" i="19" s="1"/>
  <c r="R85" i="19"/>
  <c r="S85" i="19" s="1"/>
  <c r="T85" i="19" s="1"/>
  <c r="R162" i="19"/>
  <c r="S162" i="19" s="1"/>
  <c r="T162" i="19" s="1"/>
  <c r="R108" i="19"/>
  <c r="S108" i="19" s="1"/>
  <c r="T108" i="19" s="1"/>
  <c r="R99" i="19"/>
  <c r="S99" i="19" s="1"/>
  <c r="T99" i="19" s="1"/>
  <c r="R94" i="19"/>
  <c r="S94" i="19" s="1"/>
  <c r="T94" i="19" s="1"/>
  <c r="R136" i="19"/>
  <c r="S136" i="19" s="1"/>
  <c r="T136" i="19" s="1"/>
  <c r="R122" i="19"/>
  <c r="S122" i="19" s="1"/>
  <c r="T122" i="19" s="1"/>
  <c r="R118" i="19"/>
  <c r="S118" i="19" s="1"/>
  <c r="T118" i="19" s="1"/>
  <c r="R104" i="19"/>
  <c r="S104" i="19" s="1"/>
  <c r="T104" i="19" s="1"/>
  <c r="R153" i="19"/>
  <c r="S153" i="19" s="1"/>
  <c r="T153" i="19" s="1"/>
  <c r="R141" i="19"/>
  <c r="S141" i="19" s="1"/>
  <c r="T141" i="19" s="1"/>
  <c r="R132" i="19"/>
  <c r="S132" i="19" s="1"/>
  <c r="T132" i="19" s="1"/>
  <c r="R90" i="19"/>
  <c r="S90" i="19" s="1"/>
  <c r="T90" i="19" s="1"/>
  <c r="R79" i="19"/>
  <c r="S79" i="19" s="1"/>
  <c r="T79" i="19" s="1"/>
  <c r="R72" i="19"/>
  <c r="S72" i="19" s="1"/>
  <c r="T72" i="19" s="1"/>
  <c r="R71" i="19"/>
  <c r="S71" i="19" s="1"/>
  <c r="T71" i="19" s="1"/>
  <c r="R70" i="19"/>
  <c r="S70" i="19" s="1"/>
  <c r="T70" i="19" s="1"/>
  <c r="R69" i="19"/>
  <c r="S69" i="19" s="1"/>
  <c r="T69" i="19" s="1"/>
  <c r="R68" i="19"/>
  <c r="S68" i="19" s="1"/>
  <c r="T68" i="19" s="1"/>
  <c r="R67" i="19"/>
  <c r="S67" i="19" s="1"/>
  <c r="T67" i="19" s="1"/>
  <c r="R66" i="19"/>
  <c r="S66" i="19" s="1"/>
  <c r="T66" i="19" s="1"/>
  <c r="R65" i="19"/>
  <c r="S65" i="19" s="1"/>
  <c r="T65" i="19" s="1"/>
  <c r="R64" i="19"/>
  <c r="S64" i="19" s="1"/>
  <c r="T64" i="19" s="1"/>
  <c r="R63" i="19"/>
  <c r="S63" i="19" s="1"/>
  <c r="T63" i="19" s="1"/>
  <c r="R62" i="19"/>
  <c r="S62" i="19" s="1"/>
  <c r="T62" i="19" s="1"/>
  <c r="R61" i="19"/>
  <c r="S61" i="19" s="1"/>
  <c r="T61" i="19" s="1"/>
  <c r="R60" i="19"/>
  <c r="S60" i="19" s="1"/>
  <c r="T60" i="19" s="1"/>
  <c r="R59" i="19"/>
  <c r="S59" i="19" s="1"/>
  <c r="T59" i="19" s="1"/>
  <c r="R58" i="19"/>
  <c r="S58" i="19" s="1"/>
  <c r="T58" i="19" s="1"/>
  <c r="R57" i="19"/>
  <c r="S57" i="19" s="1"/>
  <c r="T57" i="19" s="1"/>
  <c r="R56" i="19"/>
  <c r="S56" i="19" s="1"/>
  <c r="T56" i="19" s="1"/>
  <c r="R55" i="19"/>
  <c r="S55" i="19" s="1"/>
  <c r="T55" i="19" s="1"/>
  <c r="R54" i="19"/>
  <c r="S54" i="19" s="1"/>
  <c r="T54" i="19" s="1"/>
  <c r="R53" i="19"/>
  <c r="S53" i="19" s="1"/>
  <c r="T53" i="19" s="1"/>
  <c r="R52" i="19"/>
  <c r="S52" i="19" s="1"/>
  <c r="T52" i="19" s="1"/>
  <c r="R51" i="19"/>
  <c r="S51" i="19" s="1"/>
  <c r="T51" i="19" s="1"/>
  <c r="R50" i="19"/>
  <c r="S50" i="19" s="1"/>
  <c r="T50" i="19" s="1"/>
  <c r="R49" i="19"/>
  <c r="S49" i="19" s="1"/>
  <c r="T49" i="19" s="1"/>
  <c r="R48" i="19"/>
  <c r="S48" i="19" s="1"/>
  <c r="T48" i="19" s="1"/>
  <c r="R47" i="19"/>
  <c r="S47" i="19" s="1"/>
  <c r="T47" i="19" s="1"/>
  <c r="R46" i="19"/>
  <c r="S46" i="19" s="1"/>
  <c r="T46" i="19" s="1"/>
  <c r="R45" i="19"/>
  <c r="S45" i="19" s="1"/>
  <c r="T45" i="19" s="1"/>
  <c r="R44" i="19"/>
  <c r="S44" i="19" s="1"/>
  <c r="T44" i="19" s="1"/>
  <c r="R150" i="19"/>
  <c r="S150" i="19" s="1"/>
  <c r="T150" i="19" s="1"/>
  <c r="R146" i="19"/>
  <c r="S146" i="19" s="1"/>
  <c r="T146" i="19" s="1"/>
  <c r="R95" i="19"/>
  <c r="S95" i="19" s="1"/>
  <c r="T95" i="19" s="1"/>
  <c r="R73" i="19"/>
  <c r="S73" i="19" s="1"/>
  <c r="T73" i="19" s="1"/>
  <c r="R137" i="19"/>
  <c r="S137" i="19" s="1"/>
  <c r="T137" i="19" s="1"/>
  <c r="R119" i="19"/>
  <c r="S119" i="19" s="1"/>
  <c r="T119" i="19" s="1"/>
  <c r="R114" i="19"/>
  <c r="S114" i="19" s="1"/>
  <c r="T114" i="19" s="1"/>
  <c r="R109" i="19"/>
  <c r="S109" i="19" s="1"/>
  <c r="T109" i="19" s="1"/>
  <c r="R100" i="19"/>
  <c r="S100" i="19" s="1"/>
  <c r="T100" i="19" s="1"/>
  <c r="R86" i="19"/>
  <c r="S86" i="19" s="1"/>
  <c r="T86" i="19" s="1"/>
  <c r="R32" i="19"/>
  <c r="S32" i="19" s="1"/>
  <c r="T32" i="19" s="1"/>
  <c r="R133" i="19"/>
  <c r="S133" i="19" s="1"/>
  <c r="T133" i="19" s="1"/>
  <c r="R148" i="19"/>
  <c r="S148" i="19" s="1"/>
  <c r="T148" i="19" s="1"/>
  <c r="R111" i="19"/>
  <c r="S111" i="19" s="1"/>
  <c r="T111" i="19" s="1"/>
  <c r="R102" i="19"/>
  <c r="S102" i="19" s="1"/>
  <c r="T102" i="19" s="1"/>
  <c r="R88" i="19"/>
  <c r="S88" i="19" s="1"/>
  <c r="T88" i="19" s="1"/>
  <c r="R76" i="19"/>
  <c r="S76" i="19" s="1"/>
  <c r="T76" i="19" s="1"/>
  <c r="R38" i="19"/>
  <c r="S38" i="19" s="1"/>
  <c r="T38" i="19" s="1"/>
  <c r="R155" i="19"/>
  <c r="S155" i="19" s="1"/>
  <c r="T155" i="19" s="1"/>
  <c r="R152" i="19"/>
  <c r="S152" i="19" s="1"/>
  <c r="T152" i="19" s="1"/>
  <c r="R135" i="19"/>
  <c r="S135" i="19" s="1"/>
  <c r="T135" i="19" s="1"/>
  <c r="R149" i="19"/>
  <c r="S149" i="19" s="1"/>
  <c r="T149" i="19" s="1"/>
  <c r="R139" i="19"/>
  <c r="S139" i="19" s="1"/>
  <c r="T139" i="19" s="1"/>
  <c r="R129" i="19"/>
  <c r="S129" i="19" s="1"/>
  <c r="T129" i="19" s="1"/>
  <c r="R92" i="19"/>
  <c r="S92" i="19" s="1"/>
  <c r="T92" i="19" s="1"/>
  <c r="R83" i="19"/>
  <c r="S83" i="19" s="1"/>
  <c r="T83" i="19" s="1"/>
  <c r="R74" i="19"/>
  <c r="S74" i="19" s="1"/>
  <c r="T74" i="19" s="1"/>
  <c r="R40" i="19"/>
  <c r="S40" i="19" s="1"/>
  <c r="T40" i="19" s="1"/>
  <c r="R12" i="19"/>
  <c r="S12" i="19" s="1"/>
  <c r="T12" i="19" s="1"/>
  <c r="R6" i="19"/>
  <c r="S6" i="19" s="1"/>
  <c r="T6" i="19" s="1"/>
  <c r="R103" i="19"/>
  <c r="S103" i="19" s="1"/>
  <c r="T103" i="19" s="1"/>
  <c r="R7" i="19"/>
  <c r="S7" i="19" s="1"/>
  <c r="T7" i="19" s="1"/>
  <c r="R81" i="19"/>
  <c r="S81" i="19" s="1"/>
  <c r="T81" i="19" s="1"/>
  <c r="R35" i="19"/>
  <c r="S35" i="19" s="1"/>
  <c r="T35" i="19" s="1"/>
  <c r="R28" i="19"/>
  <c r="S28" i="19" s="1"/>
  <c r="T28" i="19" s="1"/>
  <c r="R25" i="19"/>
  <c r="S25" i="19" s="1"/>
  <c r="T25" i="19" s="1"/>
  <c r="R116" i="19"/>
  <c r="S116" i="19" s="1"/>
  <c r="T116" i="19" s="1"/>
  <c r="R43" i="19"/>
  <c r="S43" i="19" s="1"/>
  <c r="T43" i="19" s="1"/>
  <c r="R22" i="19"/>
  <c r="S22" i="19" s="1"/>
  <c r="T22" i="19" s="1"/>
  <c r="R18" i="19"/>
  <c r="S18" i="19" s="1"/>
  <c r="T18" i="19" s="1"/>
  <c r="R13" i="19"/>
  <c r="S13" i="19" s="1"/>
  <c r="T13" i="19" s="1"/>
  <c r="R125" i="19"/>
  <c r="S125" i="19" s="1"/>
  <c r="T125" i="19" s="1"/>
  <c r="R8" i="19"/>
  <c r="S8" i="19" s="1"/>
  <c r="T8" i="19" s="1"/>
  <c r="R145" i="19"/>
  <c r="S145" i="19" s="1"/>
  <c r="T145" i="19" s="1"/>
  <c r="R138" i="19"/>
  <c r="S138" i="19" s="1"/>
  <c r="T138" i="19" s="1"/>
  <c r="R123" i="19"/>
  <c r="S123" i="19" s="1"/>
  <c r="T123" i="19" s="1"/>
  <c r="R110" i="19"/>
  <c r="S110" i="19" s="1"/>
  <c r="T110" i="19" s="1"/>
  <c r="R77" i="19"/>
  <c r="S77" i="19" s="1"/>
  <c r="T77" i="19" s="1"/>
  <c r="R33" i="19"/>
  <c r="S33" i="19" s="1"/>
  <c r="T33" i="19" s="1"/>
  <c r="R14" i="19"/>
  <c r="S14" i="19" s="1"/>
  <c r="T14" i="19" s="1"/>
  <c r="R130" i="19"/>
  <c r="S130" i="19" s="1"/>
  <c r="T130" i="19" s="1"/>
  <c r="R87" i="19"/>
  <c r="S87" i="19" s="1"/>
  <c r="T87" i="19" s="1"/>
  <c r="R80" i="19"/>
  <c r="S80" i="19" s="1"/>
  <c r="T80" i="19" s="1"/>
  <c r="R10" i="19"/>
  <c r="S10" i="19" s="1"/>
  <c r="T10" i="19" s="1"/>
  <c r="R124" i="19"/>
  <c r="S124" i="19" s="1"/>
  <c r="T124" i="19" s="1"/>
  <c r="R98" i="19"/>
  <c r="S98" i="19" s="1"/>
  <c r="T98" i="19" s="1"/>
  <c r="R42" i="19"/>
  <c r="S42" i="19" s="1"/>
  <c r="T42" i="19" s="1"/>
  <c r="R37" i="19"/>
  <c r="S37" i="19" s="1"/>
  <c r="T37" i="19" s="1"/>
  <c r="R24" i="19"/>
  <c r="S24" i="19" s="1"/>
  <c r="T24" i="19" s="1"/>
  <c r="R20" i="19"/>
  <c r="S20" i="19" s="1"/>
  <c r="T20" i="19" s="1"/>
  <c r="R11" i="19"/>
  <c r="S11" i="19" s="1"/>
  <c r="T11" i="19" s="1"/>
  <c r="R151" i="19"/>
  <c r="S151" i="19" s="1"/>
  <c r="T151" i="19" s="1"/>
  <c r="R78" i="19"/>
  <c r="S78" i="19" s="1"/>
  <c r="T78" i="19" s="1"/>
  <c r="R31" i="19"/>
  <c r="S31" i="19" s="1"/>
  <c r="T31" i="19" s="1"/>
  <c r="R27" i="19"/>
  <c r="S27" i="19" s="1"/>
  <c r="T27" i="19" s="1"/>
  <c r="R154" i="19"/>
  <c r="S154" i="19" s="1"/>
  <c r="T154" i="19" s="1"/>
  <c r="R21" i="19"/>
  <c r="S21" i="19" s="1"/>
  <c r="T21" i="19" s="1"/>
  <c r="R121" i="19"/>
  <c r="S121" i="19" s="1"/>
  <c r="T121" i="19" s="1"/>
  <c r="R93" i="19"/>
  <c r="S93" i="19" s="1"/>
  <c r="T93" i="19" s="1"/>
  <c r="R106" i="19"/>
  <c r="S106" i="19" s="1"/>
  <c r="T106" i="19" s="1"/>
  <c r="R75" i="19"/>
  <c r="S75" i="19" s="1"/>
  <c r="T75" i="19" s="1"/>
  <c r="R128" i="19"/>
  <c r="S128" i="19" s="1"/>
  <c r="T128" i="19" s="1"/>
  <c r="R41" i="19"/>
  <c r="S41" i="19" s="1"/>
  <c r="T41" i="19" s="1"/>
  <c r="R29" i="19"/>
  <c r="S29" i="19" s="1"/>
  <c r="T29" i="19" s="1"/>
  <c r="R26" i="19"/>
  <c r="S26" i="19" s="1"/>
  <c r="T26" i="19" s="1"/>
  <c r="R23" i="19"/>
  <c r="S23" i="19" s="1"/>
  <c r="T23" i="19" s="1"/>
  <c r="R157" i="19"/>
  <c r="S157" i="19" s="1"/>
  <c r="T157" i="19" s="1"/>
  <c r="R89" i="19"/>
  <c r="S89" i="19" s="1"/>
  <c r="T89" i="19" s="1"/>
  <c r="R15" i="19"/>
  <c r="S15" i="19" s="1"/>
  <c r="T15" i="19" s="1"/>
  <c r="R9" i="19"/>
  <c r="S9" i="19" s="1"/>
  <c r="T9" i="19" s="1"/>
  <c r="R120" i="19"/>
  <c r="S120" i="19" s="1"/>
  <c r="T120" i="19" s="1"/>
  <c r="R115" i="19"/>
  <c r="S115" i="19" s="1"/>
  <c r="T115" i="19" s="1"/>
  <c r="R36" i="19"/>
  <c r="S36" i="19" s="1"/>
  <c r="T36" i="19" s="1"/>
  <c r="R107" i="19"/>
  <c r="S107" i="19" s="1"/>
  <c r="T107" i="19" s="1"/>
  <c r="R19" i="19"/>
  <c r="S19" i="19" s="1"/>
  <c r="T19" i="19" s="1"/>
  <c r="R140" i="19"/>
  <c r="S140" i="19" s="1"/>
  <c r="T140" i="19" s="1"/>
  <c r="R91" i="19"/>
  <c r="S91" i="19" s="1"/>
  <c r="T91" i="19" s="1"/>
  <c r="R34" i="19"/>
  <c r="S34" i="19" s="1"/>
  <c r="T34" i="19" s="1"/>
  <c r="R30" i="19"/>
  <c r="S30" i="19" s="1"/>
  <c r="T30" i="19" s="1"/>
  <c r="R134" i="19"/>
  <c r="S134" i="19" s="1"/>
  <c r="T134" i="19" s="1"/>
  <c r="R39" i="19"/>
  <c r="S39" i="19" s="1"/>
  <c r="T39" i="19" s="1"/>
  <c r="R105" i="19"/>
  <c r="S105" i="19" s="1"/>
  <c r="T105" i="19" s="1"/>
  <c r="R84" i="19"/>
  <c r="S84" i="19" s="1"/>
  <c r="T84" i="19" s="1"/>
  <c r="R17" i="19"/>
  <c r="S17" i="19" s="1"/>
  <c r="T17" i="19" s="1"/>
  <c r="R16" i="19"/>
  <c r="S16" i="19" s="1"/>
  <c r="T16" i="19" s="1"/>
  <c r="R144" i="19"/>
  <c r="S144" i="19" s="1"/>
  <c r="T144" i="19" s="1"/>
  <c r="H162" i="19"/>
  <c r="I162" i="19" s="1"/>
  <c r="J162" i="19" s="1"/>
  <c r="H148" i="19"/>
  <c r="I148" i="19" s="1"/>
  <c r="J148" i="19" s="1"/>
  <c r="H150" i="19"/>
  <c r="I150" i="19" s="1"/>
  <c r="J150" i="19" s="1"/>
  <c r="H134" i="19"/>
  <c r="I134" i="19" s="1"/>
  <c r="J134" i="19" s="1"/>
  <c r="H120" i="19"/>
  <c r="I120" i="19" s="1"/>
  <c r="J120" i="19" s="1"/>
  <c r="H104" i="19"/>
  <c r="I104" i="19" s="1"/>
  <c r="J104" i="19" s="1"/>
  <c r="H88" i="19"/>
  <c r="I88" i="19" s="1"/>
  <c r="J88" i="19" s="1"/>
  <c r="H151" i="19"/>
  <c r="I151" i="19" s="1"/>
  <c r="J151" i="19" s="1"/>
  <c r="H135" i="19"/>
  <c r="I135" i="19" s="1"/>
  <c r="J135" i="19" s="1"/>
  <c r="H121" i="19"/>
  <c r="I121" i="19" s="1"/>
  <c r="J121" i="19" s="1"/>
  <c r="H105" i="19"/>
  <c r="I105" i="19" s="1"/>
  <c r="J105" i="19" s="1"/>
  <c r="H89" i="19"/>
  <c r="I89" i="19" s="1"/>
  <c r="J89" i="19" s="1"/>
  <c r="H75" i="19"/>
  <c r="I75" i="19" s="1"/>
  <c r="J75" i="19" s="1"/>
  <c r="H31" i="19"/>
  <c r="I31" i="19" s="1"/>
  <c r="J31" i="19" s="1"/>
  <c r="H30" i="19"/>
  <c r="I30" i="19" s="1"/>
  <c r="J30" i="19" s="1"/>
  <c r="H155" i="19"/>
  <c r="I155" i="19" s="1"/>
  <c r="J155" i="19" s="1"/>
  <c r="H139" i="19"/>
  <c r="I139" i="19" s="1"/>
  <c r="J139" i="19" s="1"/>
  <c r="H123" i="19"/>
  <c r="I123" i="19" s="1"/>
  <c r="J123" i="19" s="1"/>
  <c r="H109" i="19"/>
  <c r="I109" i="19" s="1"/>
  <c r="J109" i="19" s="1"/>
  <c r="H93" i="19"/>
  <c r="I93" i="19" s="1"/>
  <c r="J93" i="19" s="1"/>
  <c r="H79" i="19"/>
  <c r="I79" i="19" s="1"/>
  <c r="J79" i="19" s="1"/>
  <c r="H158" i="19"/>
  <c r="I158" i="19" s="1"/>
  <c r="J158" i="19" s="1"/>
  <c r="H129" i="19"/>
  <c r="I129" i="19" s="1"/>
  <c r="J129" i="19" s="1"/>
  <c r="H111" i="19"/>
  <c r="I111" i="19" s="1"/>
  <c r="J111" i="19" s="1"/>
  <c r="H97" i="19"/>
  <c r="I97" i="19" s="1"/>
  <c r="J97" i="19" s="1"/>
  <c r="H76" i="19"/>
  <c r="I76" i="19" s="1"/>
  <c r="J76" i="19" s="1"/>
  <c r="H36" i="19"/>
  <c r="I36" i="19" s="1"/>
  <c r="J36" i="19" s="1"/>
  <c r="H17" i="19"/>
  <c r="I17" i="19" s="1"/>
  <c r="J17" i="19" s="1"/>
  <c r="H16" i="19"/>
  <c r="I16" i="19" s="1"/>
  <c r="J16" i="19" s="1"/>
  <c r="H15" i="19"/>
  <c r="I15" i="19" s="1"/>
  <c r="J15" i="19" s="1"/>
  <c r="H14" i="19"/>
  <c r="I14" i="19" s="1"/>
  <c r="J14" i="19" s="1"/>
  <c r="H13" i="19"/>
  <c r="I13" i="19" s="1"/>
  <c r="J13" i="19" s="1"/>
  <c r="H12" i="19"/>
  <c r="I12" i="19" s="1"/>
  <c r="J12" i="19" s="1"/>
  <c r="H11" i="19"/>
  <c r="I11" i="19" s="1"/>
  <c r="J11" i="19" s="1"/>
  <c r="H10" i="19"/>
  <c r="I10" i="19" s="1"/>
  <c r="J10" i="19" s="1"/>
  <c r="H9" i="19"/>
  <c r="I9" i="19" s="1"/>
  <c r="J9" i="19" s="1"/>
  <c r="H8" i="19"/>
  <c r="I8" i="19" s="1"/>
  <c r="J8" i="19" s="1"/>
  <c r="H7" i="19"/>
  <c r="I7" i="19" s="1"/>
  <c r="J7" i="19" s="1"/>
  <c r="H161" i="19"/>
  <c r="I161" i="19" s="1"/>
  <c r="J161" i="19" s="1"/>
  <c r="H125" i="19"/>
  <c r="I125" i="19" s="1"/>
  <c r="J125" i="19" s="1"/>
  <c r="H37" i="19"/>
  <c r="I37" i="19" s="1"/>
  <c r="J37" i="19" s="1"/>
  <c r="H152" i="19"/>
  <c r="I152" i="19" s="1"/>
  <c r="J152" i="19" s="1"/>
  <c r="H116" i="19"/>
  <c r="I116" i="19" s="1"/>
  <c r="J116" i="19" s="1"/>
  <c r="H107" i="19"/>
  <c r="I107" i="19" s="1"/>
  <c r="J107" i="19" s="1"/>
  <c r="H102" i="19"/>
  <c r="I102" i="19" s="1"/>
  <c r="J102" i="19" s="1"/>
  <c r="H77" i="19"/>
  <c r="I77" i="19" s="1"/>
  <c r="J77" i="19" s="1"/>
  <c r="H38" i="19"/>
  <c r="I38" i="19" s="1"/>
  <c r="J38" i="19" s="1"/>
  <c r="H144" i="19"/>
  <c r="I144" i="19" s="1"/>
  <c r="J144" i="19" s="1"/>
  <c r="H130" i="19"/>
  <c r="I130" i="19" s="1"/>
  <c r="J130" i="19" s="1"/>
  <c r="H112" i="19"/>
  <c r="I112" i="19" s="1"/>
  <c r="J112" i="19" s="1"/>
  <c r="H83" i="19"/>
  <c r="I83" i="19" s="1"/>
  <c r="J83" i="19" s="1"/>
  <c r="H39" i="19"/>
  <c r="I39" i="19" s="1"/>
  <c r="J39" i="19" s="1"/>
  <c r="H126" i="19"/>
  <c r="I126" i="19" s="1"/>
  <c r="J126" i="19" s="1"/>
  <c r="H98" i="19"/>
  <c r="I98" i="19" s="1"/>
  <c r="J98" i="19" s="1"/>
  <c r="H40" i="19"/>
  <c r="I40" i="19" s="1"/>
  <c r="J40" i="19" s="1"/>
  <c r="H159" i="19"/>
  <c r="I159" i="19" s="1"/>
  <c r="J159" i="19" s="1"/>
  <c r="H149" i="19"/>
  <c r="I149" i="19" s="1"/>
  <c r="J149" i="19" s="1"/>
  <c r="H140" i="19"/>
  <c r="I140" i="19" s="1"/>
  <c r="J140" i="19" s="1"/>
  <c r="H146" i="19"/>
  <c r="I146" i="19" s="1"/>
  <c r="J146" i="19" s="1"/>
  <c r="H137" i="19"/>
  <c r="I137" i="19" s="1"/>
  <c r="J137" i="19" s="1"/>
  <c r="H132" i="19"/>
  <c r="I132" i="19" s="1"/>
  <c r="J132" i="19" s="1"/>
  <c r="H80" i="19"/>
  <c r="I80" i="19" s="1"/>
  <c r="J80" i="19" s="1"/>
  <c r="H73" i="19"/>
  <c r="I73" i="19" s="1"/>
  <c r="J73" i="19" s="1"/>
  <c r="H72" i="19"/>
  <c r="I72" i="19" s="1"/>
  <c r="J72" i="19" s="1"/>
  <c r="H71" i="19"/>
  <c r="I71" i="19" s="1"/>
  <c r="J71" i="19" s="1"/>
  <c r="H70" i="19"/>
  <c r="I70" i="19" s="1"/>
  <c r="J70" i="19" s="1"/>
  <c r="H69" i="19"/>
  <c r="I69" i="19" s="1"/>
  <c r="J69" i="19" s="1"/>
  <c r="H68" i="19"/>
  <c r="I68" i="19" s="1"/>
  <c r="J68" i="19" s="1"/>
  <c r="H67" i="19"/>
  <c r="I67" i="19" s="1"/>
  <c r="J67" i="19" s="1"/>
  <c r="H66" i="19"/>
  <c r="I66" i="19" s="1"/>
  <c r="J66" i="19" s="1"/>
  <c r="H65" i="19"/>
  <c r="I65" i="19" s="1"/>
  <c r="J65" i="19" s="1"/>
  <c r="H64" i="19"/>
  <c r="I64" i="19" s="1"/>
  <c r="J64" i="19" s="1"/>
  <c r="H63" i="19"/>
  <c r="I63" i="19" s="1"/>
  <c r="J63" i="19" s="1"/>
  <c r="H62" i="19"/>
  <c r="I62" i="19" s="1"/>
  <c r="J62" i="19" s="1"/>
  <c r="H61" i="19"/>
  <c r="I61" i="19" s="1"/>
  <c r="J61" i="19" s="1"/>
  <c r="H60" i="19"/>
  <c r="I60" i="19" s="1"/>
  <c r="J60" i="19" s="1"/>
  <c r="H59" i="19"/>
  <c r="I59" i="19" s="1"/>
  <c r="J59" i="19" s="1"/>
  <c r="H58" i="19"/>
  <c r="I58" i="19" s="1"/>
  <c r="J58" i="19" s="1"/>
  <c r="H57" i="19"/>
  <c r="I57" i="19" s="1"/>
  <c r="J57" i="19" s="1"/>
  <c r="H56" i="19"/>
  <c r="I56" i="19" s="1"/>
  <c r="J56" i="19" s="1"/>
  <c r="H55" i="19"/>
  <c r="I55" i="19" s="1"/>
  <c r="J55" i="19" s="1"/>
  <c r="H54" i="19"/>
  <c r="I54" i="19" s="1"/>
  <c r="J54" i="19" s="1"/>
  <c r="H53" i="19"/>
  <c r="I53" i="19" s="1"/>
  <c r="J53" i="19" s="1"/>
  <c r="H52" i="19"/>
  <c r="I52" i="19" s="1"/>
  <c r="J52" i="19" s="1"/>
  <c r="H51" i="19"/>
  <c r="I51" i="19" s="1"/>
  <c r="J51" i="19" s="1"/>
  <c r="H50" i="19"/>
  <c r="I50" i="19" s="1"/>
  <c r="J50" i="19" s="1"/>
  <c r="H49" i="19"/>
  <c r="I49" i="19" s="1"/>
  <c r="J49" i="19" s="1"/>
  <c r="H48" i="19"/>
  <c r="I48" i="19" s="1"/>
  <c r="J48" i="19" s="1"/>
  <c r="H47" i="19"/>
  <c r="I47" i="19" s="1"/>
  <c r="J47" i="19" s="1"/>
  <c r="H46" i="19"/>
  <c r="I46" i="19" s="1"/>
  <c r="J46" i="19" s="1"/>
  <c r="H45" i="19"/>
  <c r="I45" i="19" s="1"/>
  <c r="J45" i="19" s="1"/>
  <c r="H133" i="19"/>
  <c r="I133" i="19" s="1"/>
  <c r="J133" i="19" s="1"/>
  <c r="H147" i="19"/>
  <c r="I147" i="19" s="1"/>
  <c r="J147" i="19" s="1"/>
  <c r="H138" i="19"/>
  <c r="I138" i="19" s="1"/>
  <c r="J138" i="19" s="1"/>
  <c r="H154" i="19"/>
  <c r="I154" i="19" s="1"/>
  <c r="J154" i="19" s="1"/>
  <c r="H78" i="19"/>
  <c r="I78" i="19" s="1"/>
  <c r="J78" i="19" s="1"/>
  <c r="H113" i="19"/>
  <c r="I113" i="19" s="1"/>
  <c r="J113" i="19" s="1"/>
  <c r="H96" i="19"/>
  <c r="I96" i="19" s="1"/>
  <c r="J96" i="19" s="1"/>
  <c r="H87" i="19"/>
  <c r="I87" i="19" s="1"/>
  <c r="J87" i="19" s="1"/>
  <c r="H42" i="19"/>
  <c r="I42" i="19" s="1"/>
  <c r="J42" i="19" s="1"/>
  <c r="H156" i="19"/>
  <c r="I156" i="19" s="1"/>
  <c r="J156" i="19" s="1"/>
  <c r="H122" i="19"/>
  <c r="I122" i="19" s="1"/>
  <c r="J122" i="19" s="1"/>
  <c r="H115" i="19"/>
  <c r="I115" i="19" s="1"/>
  <c r="J115" i="19" s="1"/>
  <c r="H94" i="19"/>
  <c r="I94" i="19" s="1"/>
  <c r="J94" i="19" s="1"/>
  <c r="H124" i="19"/>
  <c r="I124" i="19" s="1"/>
  <c r="J124" i="19" s="1"/>
  <c r="H85" i="19"/>
  <c r="I85" i="19" s="1"/>
  <c r="J85" i="19" s="1"/>
  <c r="H34" i="19"/>
  <c r="I34" i="19" s="1"/>
  <c r="J34" i="19" s="1"/>
  <c r="H27" i="19"/>
  <c r="I27" i="19" s="1"/>
  <c r="J27" i="19" s="1"/>
  <c r="H153" i="19"/>
  <c r="I153" i="19" s="1"/>
  <c r="J153" i="19" s="1"/>
  <c r="H141" i="19"/>
  <c r="I141" i="19" s="1"/>
  <c r="J141" i="19" s="1"/>
  <c r="H103" i="19"/>
  <c r="I103" i="19" s="1"/>
  <c r="J103" i="19" s="1"/>
  <c r="H24" i="19"/>
  <c r="I24" i="19" s="1"/>
  <c r="J24" i="19" s="1"/>
  <c r="H20" i="19"/>
  <c r="I20" i="19" s="1"/>
  <c r="J20" i="19" s="1"/>
  <c r="H136" i="19"/>
  <c r="I136" i="19" s="1"/>
  <c r="J136" i="19" s="1"/>
  <c r="H92" i="19"/>
  <c r="I92" i="19" s="1"/>
  <c r="J92" i="19" s="1"/>
  <c r="H90" i="19"/>
  <c r="I90" i="19" s="1"/>
  <c r="J90" i="19" s="1"/>
  <c r="H6" i="19"/>
  <c r="I6" i="19" s="1"/>
  <c r="J6" i="19" s="1"/>
  <c r="H131" i="19"/>
  <c r="I131" i="19" s="1"/>
  <c r="J131" i="19" s="1"/>
  <c r="H74" i="19"/>
  <c r="I74" i="19" s="1"/>
  <c r="J74" i="19" s="1"/>
  <c r="H21" i="19"/>
  <c r="I21" i="19" s="1"/>
  <c r="J21" i="19" s="1"/>
  <c r="H108" i="19"/>
  <c r="I108" i="19" s="1"/>
  <c r="J108" i="19" s="1"/>
  <c r="H95" i="19"/>
  <c r="I95" i="19" s="1"/>
  <c r="J95" i="19" s="1"/>
  <c r="H86" i="19"/>
  <c r="I86" i="19" s="1"/>
  <c r="J86" i="19" s="1"/>
  <c r="H41" i="19"/>
  <c r="I41" i="19" s="1"/>
  <c r="J41" i="19" s="1"/>
  <c r="H22" i="19"/>
  <c r="I22" i="19" s="1"/>
  <c r="J22" i="19" s="1"/>
  <c r="H18" i="19"/>
  <c r="I18" i="19" s="1"/>
  <c r="J18" i="19" s="1"/>
  <c r="H157" i="19"/>
  <c r="I157" i="19" s="1"/>
  <c r="J157" i="19" s="1"/>
  <c r="H142" i="19"/>
  <c r="I142" i="19" s="1"/>
  <c r="J142" i="19" s="1"/>
  <c r="H106" i="19"/>
  <c r="I106" i="19" s="1"/>
  <c r="J106" i="19" s="1"/>
  <c r="H33" i="19"/>
  <c r="I33" i="19" s="1"/>
  <c r="J33" i="19" s="1"/>
  <c r="H29" i="19"/>
  <c r="I29" i="19" s="1"/>
  <c r="J29" i="19" s="1"/>
  <c r="H119" i="19"/>
  <c r="I119" i="19" s="1"/>
  <c r="J119" i="19" s="1"/>
  <c r="H82" i="19"/>
  <c r="I82" i="19" s="1"/>
  <c r="J82" i="19" s="1"/>
  <c r="H44" i="19"/>
  <c r="I44" i="19" s="1"/>
  <c r="J44" i="19" s="1"/>
  <c r="H26" i="19"/>
  <c r="I26" i="19" s="1"/>
  <c r="J26" i="19" s="1"/>
  <c r="H118" i="19"/>
  <c r="I118" i="19" s="1"/>
  <c r="J118" i="19" s="1"/>
  <c r="H19" i="19"/>
  <c r="I19" i="19" s="1"/>
  <c r="J19" i="19" s="1"/>
  <c r="H100" i="19"/>
  <c r="I100" i="19" s="1"/>
  <c r="J100" i="19" s="1"/>
  <c r="H32" i="19"/>
  <c r="I32" i="19" s="1"/>
  <c r="J32" i="19" s="1"/>
  <c r="H114" i="19"/>
  <c r="I114" i="19" s="1"/>
  <c r="J114" i="19" s="1"/>
  <c r="H110" i="19"/>
  <c r="I110" i="19" s="1"/>
  <c r="J110" i="19" s="1"/>
  <c r="H35" i="19"/>
  <c r="I35" i="19" s="1"/>
  <c r="J35" i="19" s="1"/>
  <c r="H145" i="19"/>
  <c r="I145" i="19" s="1"/>
  <c r="J145" i="19" s="1"/>
  <c r="H117" i="19"/>
  <c r="I117" i="19" s="1"/>
  <c r="J117" i="19" s="1"/>
  <c r="H128" i="19"/>
  <c r="I128" i="19" s="1"/>
  <c r="J128" i="19" s="1"/>
  <c r="H99" i="19"/>
  <c r="I99" i="19" s="1"/>
  <c r="J99" i="19" s="1"/>
  <c r="H23" i="19"/>
  <c r="I23" i="19" s="1"/>
  <c r="J23" i="19" s="1"/>
  <c r="H81" i="19"/>
  <c r="I81" i="19" s="1"/>
  <c r="J81" i="19" s="1"/>
  <c r="H127" i="19"/>
  <c r="I127" i="19" s="1"/>
  <c r="J127" i="19" s="1"/>
  <c r="H101" i="19"/>
  <c r="I101" i="19" s="1"/>
  <c r="J101" i="19" s="1"/>
  <c r="H91" i="19"/>
  <c r="I91" i="19" s="1"/>
  <c r="J91" i="19" s="1"/>
  <c r="H160" i="19"/>
  <c r="I160" i="19" s="1"/>
  <c r="J160" i="19" s="1"/>
  <c r="H143" i="19"/>
  <c r="I143" i="19" s="1"/>
  <c r="J143" i="19" s="1"/>
  <c r="H28" i="19"/>
  <c r="I28" i="19" s="1"/>
  <c r="J28" i="19" s="1"/>
  <c r="H84" i="19"/>
  <c r="I84" i="19" s="1"/>
  <c r="J84" i="19" s="1"/>
  <c r="H25" i="19"/>
  <c r="I25" i="19" s="1"/>
  <c r="J25" i="19" s="1"/>
  <c r="H43" i="19"/>
  <c r="I43" i="19" s="1"/>
  <c r="J43" i="19" s="1"/>
  <c r="S2" i="15"/>
  <c r="T2" i="15" s="1"/>
  <c r="X21" i="15" s="1"/>
  <c r="H82" i="7"/>
  <c r="I82" i="7" s="1"/>
  <c r="J82" i="7" s="1"/>
  <c r="H81" i="7"/>
  <c r="I81" i="7" s="1"/>
  <c r="J81" i="7" s="1"/>
  <c r="H80" i="7"/>
  <c r="I80" i="7" s="1"/>
  <c r="J80" i="7" s="1"/>
  <c r="H79" i="7"/>
  <c r="I79" i="7" s="1"/>
  <c r="J79" i="7" s="1"/>
  <c r="H78" i="7"/>
  <c r="I78" i="7" s="1"/>
  <c r="J78" i="7" s="1"/>
  <c r="H77" i="7"/>
  <c r="I77" i="7" s="1"/>
  <c r="J77" i="7" s="1"/>
  <c r="H76" i="7"/>
  <c r="I76" i="7" s="1"/>
  <c r="J76" i="7" s="1"/>
  <c r="H75" i="7"/>
  <c r="I75" i="7" s="1"/>
  <c r="J75" i="7" s="1"/>
  <c r="H74" i="7"/>
  <c r="I74" i="7" s="1"/>
  <c r="J74" i="7" s="1"/>
  <c r="H73" i="7"/>
  <c r="I73" i="7" s="1"/>
  <c r="J73" i="7" s="1"/>
  <c r="H72" i="7"/>
  <c r="I72" i="7" s="1"/>
  <c r="J72" i="7" s="1"/>
  <c r="H71" i="7"/>
  <c r="I71" i="7" s="1"/>
  <c r="J71" i="7" s="1"/>
  <c r="H70" i="7"/>
  <c r="I70" i="7" s="1"/>
  <c r="J70" i="7" s="1"/>
  <c r="H69" i="7"/>
  <c r="I69" i="7" s="1"/>
  <c r="J69" i="7" s="1"/>
  <c r="H68" i="7"/>
  <c r="I68" i="7" s="1"/>
  <c r="J68" i="7" s="1"/>
  <c r="H67" i="7"/>
  <c r="I67" i="7" s="1"/>
  <c r="J67" i="7" s="1"/>
  <c r="H66" i="7"/>
  <c r="I66" i="7" s="1"/>
  <c r="J66" i="7" s="1"/>
  <c r="H65" i="7"/>
  <c r="I65" i="7" s="1"/>
  <c r="J65" i="7" s="1"/>
  <c r="H64" i="7"/>
  <c r="I64" i="7" s="1"/>
  <c r="J64" i="7" s="1"/>
  <c r="H63" i="7"/>
  <c r="I63" i="7" s="1"/>
  <c r="J63" i="7" s="1"/>
  <c r="H62" i="7"/>
  <c r="I62" i="7" s="1"/>
  <c r="J62" i="7" s="1"/>
  <c r="H61" i="7"/>
  <c r="I61" i="7" s="1"/>
  <c r="J61" i="7" s="1"/>
  <c r="H60" i="7"/>
  <c r="I60" i="7" s="1"/>
  <c r="J60" i="7" s="1"/>
  <c r="H59" i="7"/>
  <c r="I59" i="7" s="1"/>
  <c r="J59" i="7" s="1"/>
  <c r="H58" i="7"/>
  <c r="I58" i="7" s="1"/>
  <c r="J58" i="7" s="1"/>
  <c r="H57" i="7"/>
  <c r="I57" i="7" s="1"/>
  <c r="J57" i="7" s="1"/>
  <c r="H56" i="7"/>
  <c r="I56" i="7" s="1"/>
  <c r="J56" i="7" s="1"/>
  <c r="H55" i="7"/>
  <c r="I55" i="7" s="1"/>
  <c r="J55" i="7" s="1"/>
  <c r="H54" i="7"/>
  <c r="I54" i="7" s="1"/>
  <c r="J54" i="7" s="1"/>
  <c r="H53" i="7"/>
  <c r="I53" i="7" s="1"/>
  <c r="J53" i="7" s="1"/>
  <c r="H52" i="7"/>
  <c r="I52" i="7" s="1"/>
  <c r="J52" i="7" s="1"/>
  <c r="H51" i="7"/>
  <c r="I51" i="7" s="1"/>
  <c r="J51" i="7" s="1"/>
  <c r="H50" i="7"/>
  <c r="I50" i="7" s="1"/>
  <c r="J50" i="7" s="1"/>
  <c r="H49" i="7"/>
  <c r="I49" i="7" s="1"/>
  <c r="J49" i="7" s="1"/>
  <c r="H48" i="7"/>
  <c r="I48" i="7" s="1"/>
  <c r="J48" i="7" s="1"/>
  <c r="H47" i="7"/>
  <c r="I47" i="7" s="1"/>
  <c r="J47" i="7" s="1"/>
  <c r="H46" i="7"/>
  <c r="I46" i="7" s="1"/>
  <c r="J46" i="7" s="1"/>
  <c r="H45" i="7"/>
  <c r="I45" i="7" s="1"/>
  <c r="J45" i="7" s="1"/>
  <c r="H121" i="7"/>
  <c r="I121" i="7" s="1"/>
  <c r="J121" i="7" s="1"/>
  <c r="H120" i="7"/>
  <c r="I120" i="7" s="1"/>
  <c r="J120" i="7" s="1"/>
  <c r="H119" i="7"/>
  <c r="I119" i="7" s="1"/>
  <c r="J119" i="7" s="1"/>
  <c r="H118" i="7"/>
  <c r="I118" i="7" s="1"/>
  <c r="J118" i="7" s="1"/>
  <c r="H117" i="7"/>
  <c r="I117" i="7" s="1"/>
  <c r="J117" i="7" s="1"/>
  <c r="H116" i="7"/>
  <c r="I116" i="7" s="1"/>
  <c r="J116" i="7" s="1"/>
  <c r="H115" i="7"/>
  <c r="I115" i="7" s="1"/>
  <c r="J115" i="7" s="1"/>
  <c r="H114" i="7"/>
  <c r="I114" i="7" s="1"/>
  <c r="J114" i="7" s="1"/>
  <c r="H113" i="7"/>
  <c r="I113" i="7" s="1"/>
  <c r="J113" i="7" s="1"/>
  <c r="H112" i="7"/>
  <c r="I112" i="7" s="1"/>
  <c r="J112" i="7" s="1"/>
  <c r="H111" i="7"/>
  <c r="I111" i="7" s="1"/>
  <c r="J111" i="7" s="1"/>
  <c r="H110" i="7"/>
  <c r="I110" i="7" s="1"/>
  <c r="J110" i="7" s="1"/>
  <c r="H109" i="7"/>
  <c r="I109" i="7" s="1"/>
  <c r="J109" i="7" s="1"/>
  <c r="H108" i="7"/>
  <c r="I108" i="7" s="1"/>
  <c r="J108" i="7" s="1"/>
  <c r="H107" i="7"/>
  <c r="I107" i="7" s="1"/>
  <c r="J107" i="7" s="1"/>
  <c r="H106" i="7"/>
  <c r="I106" i="7" s="1"/>
  <c r="J106" i="7" s="1"/>
  <c r="H105" i="7"/>
  <c r="I105" i="7" s="1"/>
  <c r="J105" i="7" s="1"/>
  <c r="H104" i="7"/>
  <c r="I104" i="7" s="1"/>
  <c r="J104" i="7" s="1"/>
  <c r="H103" i="7"/>
  <c r="I103" i="7" s="1"/>
  <c r="J103" i="7" s="1"/>
  <c r="H102" i="7"/>
  <c r="I102" i="7" s="1"/>
  <c r="J102" i="7" s="1"/>
  <c r="H101" i="7"/>
  <c r="I101" i="7" s="1"/>
  <c r="J101" i="7" s="1"/>
  <c r="H100" i="7"/>
  <c r="I100" i="7" s="1"/>
  <c r="J100" i="7" s="1"/>
  <c r="H99" i="7"/>
  <c r="I99" i="7" s="1"/>
  <c r="J99" i="7" s="1"/>
  <c r="H98" i="7"/>
  <c r="I98" i="7" s="1"/>
  <c r="J98" i="7" s="1"/>
  <c r="H97" i="7"/>
  <c r="I97" i="7" s="1"/>
  <c r="J97" i="7" s="1"/>
  <c r="H96" i="7"/>
  <c r="I96" i="7" s="1"/>
  <c r="J96" i="7" s="1"/>
  <c r="H95" i="7"/>
  <c r="I95" i="7" s="1"/>
  <c r="J95" i="7" s="1"/>
  <c r="H94" i="7"/>
  <c r="I94" i="7" s="1"/>
  <c r="J94" i="7" s="1"/>
  <c r="H93" i="7"/>
  <c r="I93" i="7" s="1"/>
  <c r="J93" i="7" s="1"/>
  <c r="H92" i="7"/>
  <c r="I92" i="7" s="1"/>
  <c r="J92" i="7" s="1"/>
  <c r="H91" i="7"/>
  <c r="I91" i="7" s="1"/>
  <c r="J91" i="7" s="1"/>
  <c r="H90" i="7"/>
  <c r="I90" i="7" s="1"/>
  <c r="J90" i="7" s="1"/>
  <c r="H89" i="7"/>
  <c r="I89" i="7" s="1"/>
  <c r="J89" i="7" s="1"/>
  <c r="H88" i="7"/>
  <c r="I88" i="7" s="1"/>
  <c r="J88" i="7" s="1"/>
  <c r="H87" i="7"/>
  <c r="I87" i="7" s="1"/>
  <c r="J87" i="7" s="1"/>
  <c r="H86" i="7"/>
  <c r="I86" i="7" s="1"/>
  <c r="J86" i="7" s="1"/>
  <c r="H85" i="7"/>
  <c r="I85" i="7" s="1"/>
  <c r="J85" i="7" s="1"/>
  <c r="H84" i="7"/>
  <c r="I84" i="7" s="1"/>
  <c r="J84" i="7" s="1"/>
  <c r="H31" i="7"/>
  <c r="I31" i="7" s="1"/>
  <c r="J31" i="7" s="1"/>
  <c r="H30" i="7"/>
  <c r="I30" i="7" s="1"/>
  <c r="J30" i="7" s="1"/>
  <c r="H122" i="7"/>
  <c r="I122" i="7" s="1"/>
  <c r="J122" i="7" s="1"/>
  <c r="H160" i="7"/>
  <c r="I160" i="7" s="1"/>
  <c r="J160" i="7" s="1"/>
  <c r="H159" i="7"/>
  <c r="I159" i="7" s="1"/>
  <c r="J159" i="7" s="1"/>
  <c r="H158" i="7"/>
  <c r="I158" i="7" s="1"/>
  <c r="J158" i="7" s="1"/>
  <c r="H157" i="7"/>
  <c r="I157" i="7" s="1"/>
  <c r="J157" i="7" s="1"/>
  <c r="H156" i="7"/>
  <c r="I156" i="7" s="1"/>
  <c r="J156" i="7" s="1"/>
  <c r="H155" i="7"/>
  <c r="I155" i="7" s="1"/>
  <c r="J155" i="7" s="1"/>
  <c r="H154" i="7"/>
  <c r="I154" i="7" s="1"/>
  <c r="J154" i="7" s="1"/>
  <c r="H153" i="7"/>
  <c r="I153" i="7" s="1"/>
  <c r="J153" i="7" s="1"/>
  <c r="H152" i="7"/>
  <c r="I152" i="7" s="1"/>
  <c r="J152" i="7" s="1"/>
  <c r="H151" i="7"/>
  <c r="I151" i="7" s="1"/>
  <c r="J151" i="7" s="1"/>
  <c r="H150" i="7"/>
  <c r="I150" i="7" s="1"/>
  <c r="J150" i="7" s="1"/>
  <c r="H149" i="7"/>
  <c r="I149" i="7" s="1"/>
  <c r="J149" i="7" s="1"/>
  <c r="H148" i="7"/>
  <c r="I148" i="7" s="1"/>
  <c r="J148" i="7" s="1"/>
  <c r="H147" i="7"/>
  <c r="I147" i="7" s="1"/>
  <c r="J147" i="7" s="1"/>
  <c r="H146" i="7"/>
  <c r="I146" i="7" s="1"/>
  <c r="J146" i="7" s="1"/>
  <c r="H145" i="7"/>
  <c r="I145" i="7" s="1"/>
  <c r="J145" i="7" s="1"/>
  <c r="H144" i="7"/>
  <c r="I144" i="7" s="1"/>
  <c r="J144" i="7" s="1"/>
  <c r="H143" i="7"/>
  <c r="I143" i="7" s="1"/>
  <c r="J143" i="7" s="1"/>
  <c r="H142" i="7"/>
  <c r="I142" i="7" s="1"/>
  <c r="J142" i="7" s="1"/>
  <c r="H141" i="7"/>
  <c r="I141" i="7" s="1"/>
  <c r="J141" i="7" s="1"/>
  <c r="H140" i="7"/>
  <c r="I140" i="7" s="1"/>
  <c r="J140" i="7" s="1"/>
  <c r="H139" i="7"/>
  <c r="I139" i="7" s="1"/>
  <c r="J139" i="7" s="1"/>
  <c r="H138" i="7"/>
  <c r="I138" i="7" s="1"/>
  <c r="J138" i="7" s="1"/>
  <c r="H137" i="7"/>
  <c r="I137" i="7" s="1"/>
  <c r="J137" i="7" s="1"/>
  <c r="H136" i="7"/>
  <c r="I136" i="7" s="1"/>
  <c r="J136" i="7" s="1"/>
  <c r="H135" i="7"/>
  <c r="I135" i="7" s="1"/>
  <c r="J135" i="7" s="1"/>
  <c r="H134" i="7"/>
  <c r="I134" i="7" s="1"/>
  <c r="J134" i="7" s="1"/>
  <c r="H133" i="7"/>
  <c r="I133" i="7" s="1"/>
  <c r="J133" i="7" s="1"/>
  <c r="H132" i="7"/>
  <c r="I132" i="7" s="1"/>
  <c r="J132" i="7" s="1"/>
  <c r="H131" i="7"/>
  <c r="I131" i="7" s="1"/>
  <c r="J131" i="7" s="1"/>
  <c r="H130" i="7"/>
  <c r="I130" i="7" s="1"/>
  <c r="J130" i="7" s="1"/>
  <c r="H129" i="7"/>
  <c r="I129" i="7" s="1"/>
  <c r="J129" i="7" s="1"/>
  <c r="H128" i="7"/>
  <c r="I128" i="7" s="1"/>
  <c r="J128" i="7" s="1"/>
  <c r="H127" i="7"/>
  <c r="I127" i="7" s="1"/>
  <c r="J127" i="7" s="1"/>
  <c r="H126" i="7"/>
  <c r="I126" i="7" s="1"/>
  <c r="J126" i="7" s="1"/>
  <c r="H125" i="7"/>
  <c r="I125" i="7" s="1"/>
  <c r="J125" i="7" s="1"/>
  <c r="H124" i="7"/>
  <c r="I124" i="7" s="1"/>
  <c r="J124" i="7" s="1"/>
  <c r="H123" i="7"/>
  <c r="I123" i="7" s="1"/>
  <c r="J123" i="7" s="1"/>
  <c r="H17" i="7"/>
  <c r="I17" i="7" s="1"/>
  <c r="J17" i="7" s="1"/>
  <c r="H16" i="7"/>
  <c r="I16" i="7" s="1"/>
  <c r="J16" i="7" s="1"/>
  <c r="H15" i="7"/>
  <c r="I15" i="7" s="1"/>
  <c r="J15" i="7" s="1"/>
  <c r="H14" i="7"/>
  <c r="I14" i="7" s="1"/>
  <c r="J14" i="7" s="1"/>
  <c r="H13" i="7"/>
  <c r="I13" i="7" s="1"/>
  <c r="J13" i="7" s="1"/>
  <c r="H12" i="7"/>
  <c r="I12" i="7" s="1"/>
  <c r="J12" i="7" s="1"/>
  <c r="H11" i="7"/>
  <c r="I11" i="7" s="1"/>
  <c r="J11" i="7" s="1"/>
  <c r="H10" i="7"/>
  <c r="I10" i="7" s="1"/>
  <c r="J10" i="7" s="1"/>
  <c r="H9" i="7"/>
  <c r="I9" i="7" s="1"/>
  <c r="J9" i="7" s="1"/>
  <c r="H8" i="7"/>
  <c r="I8" i="7" s="1"/>
  <c r="J8" i="7" s="1"/>
  <c r="H7" i="7"/>
  <c r="I7" i="7" s="1"/>
  <c r="J7" i="7" s="1"/>
  <c r="H162" i="7"/>
  <c r="I162" i="7" s="1"/>
  <c r="J162" i="7" s="1"/>
  <c r="H29" i="7"/>
  <c r="I29" i="7" s="1"/>
  <c r="J29" i="7" s="1"/>
  <c r="H25" i="7"/>
  <c r="I25" i="7" s="1"/>
  <c r="J25" i="7" s="1"/>
  <c r="H20" i="7"/>
  <c r="I20" i="7" s="1"/>
  <c r="J20" i="7" s="1"/>
  <c r="H42" i="7"/>
  <c r="I42" i="7" s="1"/>
  <c r="J42" i="7" s="1"/>
  <c r="H38" i="7"/>
  <c r="I38" i="7" s="1"/>
  <c r="J38" i="7" s="1"/>
  <c r="H34" i="7"/>
  <c r="I34" i="7" s="1"/>
  <c r="J34" i="7" s="1"/>
  <c r="H21" i="7"/>
  <c r="I21" i="7" s="1"/>
  <c r="J21" i="7" s="1"/>
  <c r="H6" i="7"/>
  <c r="I6" i="7" s="1"/>
  <c r="J6" i="7" s="1"/>
  <c r="H26" i="7"/>
  <c r="I26" i="7" s="1"/>
  <c r="J26" i="7" s="1"/>
  <c r="H22" i="7"/>
  <c r="I22" i="7" s="1"/>
  <c r="J22" i="7" s="1"/>
  <c r="H41" i="7"/>
  <c r="I41" i="7" s="1"/>
  <c r="J41" i="7" s="1"/>
  <c r="H37" i="7"/>
  <c r="I37" i="7" s="1"/>
  <c r="J37" i="7" s="1"/>
  <c r="H33" i="7"/>
  <c r="I33" i="7" s="1"/>
  <c r="J33" i="7" s="1"/>
  <c r="H18" i="7"/>
  <c r="I18" i="7" s="1"/>
  <c r="J18" i="7" s="1"/>
  <c r="H27" i="7"/>
  <c r="I27" i="7" s="1"/>
  <c r="J27" i="7" s="1"/>
  <c r="H23" i="7"/>
  <c r="I23" i="7" s="1"/>
  <c r="J23" i="7" s="1"/>
  <c r="H161" i="7"/>
  <c r="I161" i="7" s="1"/>
  <c r="J161" i="7" s="1"/>
  <c r="H83" i="7"/>
  <c r="I83" i="7" s="1"/>
  <c r="J83" i="7" s="1"/>
  <c r="H40" i="7"/>
  <c r="I40" i="7" s="1"/>
  <c r="J40" i="7" s="1"/>
  <c r="H36" i="7"/>
  <c r="I36" i="7" s="1"/>
  <c r="J36" i="7" s="1"/>
  <c r="H32" i="7"/>
  <c r="I32" i="7" s="1"/>
  <c r="J32" i="7" s="1"/>
  <c r="H28" i="7"/>
  <c r="I28" i="7" s="1"/>
  <c r="J28" i="7" s="1"/>
  <c r="H43" i="7"/>
  <c r="I43" i="7" s="1"/>
  <c r="J43" i="7" s="1"/>
  <c r="H24" i="7"/>
  <c r="I24" i="7" s="1"/>
  <c r="J24" i="7" s="1"/>
  <c r="H35" i="7"/>
  <c r="I35" i="7" s="1"/>
  <c r="J35" i="7" s="1"/>
  <c r="H39" i="7"/>
  <c r="I39" i="7" s="1"/>
  <c r="J39" i="7" s="1"/>
  <c r="H44" i="7"/>
  <c r="I44" i="7" s="1"/>
  <c r="J44" i="7" s="1"/>
  <c r="H19" i="7"/>
  <c r="I19" i="7" s="1"/>
  <c r="J19" i="7" s="1"/>
  <c r="F2" i="5"/>
  <c r="H2" i="5" s="1"/>
  <c r="I2" i="21"/>
  <c r="J2" i="21" s="1"/>
  <c r="X21" i="21" s="1"/>
  <c r="R151" i="26"/>
  <c r="S151" i="26" s="1"/>
  <c r="T151" i="26" s="1"/>
  <c r="R135" i="26"/>
  <c r="S135" i="26" s="1"/>
  <c r="T135" i="26" s="1"/>
  <c r="R152" i="26"/>
  <c r="S152" i="26" s="1"/>
  <c r="T152" i="26" s="1"/>
  <c r="R136" i="26"/>
  <c r="S136" i="26" s="1"/>
  <c r="T136" i="26" s="1"/>
  <c r="R159" i="26"/>
  <c r="S159" i="26" s="1"/>
  <c r="T159" i="26" s="1"/>
  <c r="R143" i="26"/>
  <c r="S143" i="26" s="1"/>
  <c r="T143" i="26" s="1"/>
  <c r="R127" i="26"/>
  <c r="S127" i="26" s="1"/>
  <c r="T127" i="26" s="1"/>
  <c r="R158" i="26"/>
  <c r="S158" i="26" s="1"/>
  <c r="T158" i="26" s="1"/>
  <c r="R130" i="26"/>
  <c r="S130" i="26" s="1"/>
  <c r="T130" i="26" s="1"/>
  <c r="R113" i="26"/>
  <c r="S113" i="26" s="1"/>
  <c r="T113" i="26" s="1"/>
  <c r="R102" i="26"/>
  <c r="S102" i="26" s="1"/>
  <c r="T102" i="26" s="1"/>
  <c r="R94" i="26"/>
  <c r="S94" i="26" s="1"/>
  <c r="T94" i="26" s="1"/>
  <c r="R68" i="26"/>
  <c r="S68" i="26" s="1"/>
  <c r="T68" i="26" s="1"/>
  <c r="R52" i="26"/>
  <c r="S52" i="26" s="1"/>
  <c r="T52" i="26" s="1"/>
  <c r="R31" i="26"/>
  <c r="S31" i="26" s="1"/>
  <c r="T31" i="26" s="1"/>
  <c r="R30" i="26"/>
  <c r="S30" i="26" s="1"/>
  <c r="T30" i="26" s="1"/>
  <c r="R162" i="26"/>
  <c r="S162" i="26" s="1"/>
  <c r="T162" i="26" s="1"/>
  <c r="R108" i="26"/>
  <c r="S108" i="26" s="1"/>
  <c r="T108" i="26" s="1"/>
  <c r="R83" i="26"/>
  <c r="S83" i="26" s="1"/>
  <c r="T83" i="26" s="1"/>
  <c r="R69" i="26"/>
  <c r="S69" i="26" s="1"/>
  <c r="T69" i="26" s="1"/>
  <c r="R53" i="26"/>
  <c r="S53" i="26" s="1"/>
  <c r="T53" i="26" s="1"/>
  <c r="R132" i="26"/>
  <c r="S132" i="26" s="1"/>
  <c r="T132" i="26" s="1"/>
  <c r="R128" i="26"/>
  <c r="S128" i="26" s="1"/>
  <c r="T128" i="26" s="1"/>
  <c r="R121" i="26"/>
  <c r="S121" i="26" s="1"/>
  <c r="T121" i="26" s="1"/>
  <c r="R105" i="26"/>
  <c r="S105" i="26" s="1"/>
  <c r="T105" i="26" s="1"/>
  <c r="R98" i="26"/>
  <c r="S98" i="26" s="1"/>
  <c r="T98" i="26" s="1"/>
  <c r="R90" i="26"/>
  <c r="S90" i="26" s="1"/>
  <c r="T90" i="26" s="1"/>
  <c r="R122" i="26"/>
  <c r="S122" i="26" s="1"/>
  <c r="T122" i="26" s="1"/>
  <c r="R87" i="26"/>
  <c r="S87" i="26" s="1"/>
  <c r="T87" i="26" s="1"/>
  <c r="R153" i="26"/>
  <c r="S153" i="26" s="1"/>
  <c r="T153" i="26" s="1"/>
  <c r="R150" i="26"/>
  <c r="S150" i="26" s="1"/>
  <c r="T150" i="26" s="1"/>
  <c r="R141" i="26"/>
  <c r="S141" i="26" s="1"/>
  <c r="T141" i="26" s="1"/>
  <c r="R138" i="26"/>
  <c r="S138" i="26" s="1"/>
  <c r="T138" i="26" s="1"/>
  <c r="R110" i="26"/>
  <c r="S110" i="26" s="1"/>
  <c r="T110" i="26" s="1"/>
  <c r="R96" i="26"/>
  <c r="S96" i="26" s="1"/>
  <c r="T96" i="26" s="1"/>
  <c r="R92" i="26"/>
  <c r="S92" i="26" s="1"/>
  <c r="T92" i="26" s="1"/>
  <c r="R88" i="26"/>
  <c r="S88" i="26" s="1"/>
  <c r="T88" i="26" s="1"/>
  <c r="R79" i="26"/>
  <c r="S79" i="26" s="1"/>
  <c r="T79" i="26" s="1"/>
  <c r="R47" i="26"/>
  <c r="S47" i="26" s="1"/>
  <c r="T47" i="26" s="1"/>
  <c r="R38" i="26"/>
  <c r="S38" i="26" s="1"/>
  <c r="T38" i="26" s="1"/>
  <c r="R147" i="26"/>
  <c r="S147" i="26" s="1"/>
  <c r="T147" i="26" s="1"/>
  <c r="R107" i="26"/>
  <c r="S107" i="26" s="1"/>
  <c r="T107" i="26" s="1"/>
  <c r="R100" i="26"/>
  <c r="S100" i="26" s="1"/>
  <c r="T100" i="26" s="1"/>
  <c r="R74" i="26"/>
  <c r="S74" i="26" s="1"/>
  <c r="T74" i="26" s="1"/>
  <c r="R48" i="26"/>
  <c r="S48" i="26" s="1"/>
  <c r="T48" i="26" s="1"/>
  <c r="R15" i="26"/>
  <c r="S15" i="26" s="1"/>
  <c r="T15" i="26" s="1"/>
  <c r="R156" i="26"/>
  <c r="S156" i="26" s="1"/>
  <c r="T156" i="26" s="1"/>
  <c r="R123" i="26"/>
  <c r="S123" i="26" s="1"/>
  <c r="T123" i="26" s="1"/>
  <c r="R104" i="26"/>
  <c r="S104" i="26" s="1"/>
  <c r="T104" i="26" s="1"/>
  <c r="R84" i="26"/>
  <c r="S84" i="26" s="1"/>
  <c r="T84" i="26" s="1"/>
  <c r="R161" i="26"/>
  <c r="S161" i="26" s="1"/>
  <c r="T161" i="26" s="1"/>
  <c r="R120" i="26"/>
  <c r="S120" i="26" s="1"/>
  <c r="T120" i="26" s="1"/>
  <c r="R81" i="26"/>
  <c r="S81" i="26" s="1"/>
  <c r="T81" i="26" s="1"/>
  <c r="R64" i="26"/>
  <c r="S64" i="26" s="1"/>
  <c r="T64" i="26" s="1"/>
  <c r="R42" i="26"/>
  <c r="S42" i="26" s="1"/>
  <c r="T42" i="26" s="1"/>
  <c r="R34" i="26"/>
  <c r="S34" i="26" s="1"/>
  <c r="T34" i="26" s="1"/>
  <c r="R24" i="26"/>
  <c r="S24" i="26" s="1"/>
  <c r="T24" i="26" s="1"/>
  <c r="R160" i="26"/>
  <c r="S160" i="26" s="1"/>
  <c r="T160" i="26" s="1"/>
  <c r="R155" i="26"/>
  <c r="S155" i="26" s="1"/>
  <c r="T155" i="26" s="1"/>
  <c r="R149" i="26"/>
  <c r="S149" i="26" s="1"/>
  <c r="T149" i="26" s="1"/>
  <c r="R146" i="26"/>
  <c r="S146" i="26" s="1"/>
  <c r="T146" i="26" s="1"/>
  <c r="R140" i="26"/>
  <c r="S140" i="26" s="1"/>
  <c r="T140" i="26" s="1"/>
  <c r="R126" i="26"/>
  <c r="S126" i="26" s="1"/>
  <c r="T126" i="26" s="1"/>
  <c r="R112" i="26"/>
  <c r="S112" i="26" s="1"/>
  <c r="T112" i="26" s="1"/>
  <c r="R109" i="26"/>
  <c r="S109" i="26" s="1"/>
  <c r="T109" i="26" s="1"/>
  <c r="R137" i="26"/>
  <c r="S137" i="26" s="1"/>
  <c r="T137" i="26" s="1"/>
  <c r="R129" i="26"/>
  <c r="S129" i="26" s="1"/>
  <c r="T129" i="26" s="1"/>
  <c r="R124" i="26"/>
  <c r="S124" i="26" s="1"/>
  <c r="T124" i="26" s="1"/>
  <c r="R119" i="26"/>
  <c r="S119" i="26" s="1"/>
  <c r="T119" i="26" s="1"/>
  <c r="R114" i="26"/>
  <c r="S114" i="26" s="1"/>
  <c r="T114" i="26" s="1"/>
  <c r="R75" i="26"/>
  <c r="S75" i="26" s="1"/>
  <c r="T75" i="26" s="1"/>
  <c r="R57" i="26"/>
  <c r="S57" i="26" s="1"/>
  <c r="T57" i="26" s="1"/>
  <c r="R18" i="26"/>
  <c r="S18" i="26" s="1"/>
  <c r="T18" i="26" s="1"/>
  <c r="R70" i="26"/>
  <c r="S70" i="26" s="1"/>
  <c r="T70" i="26" s="1"/>
  <c r="R54" i="26"/>
  <c r="S54" i="26" s="1"/>
  <c r="T54" i="26" s="1"/>
  <c r="R46" i="26"/>
  <c r="S46" i="26" s="1"/>
  <c r="T46" i="26" s="1"/>
  <c r="R29" i="26"/>
  <c r="S29" i="26" s="1"/>
  <c r="T29" i="26" s="1"/>
  <c r="R12" i="26"/>
  <c r="S12" i="26" s="1"/>
  <c r="T12" i="26" s="1"/>
  <c r="R6" i="26"/>
  <c r="S6" i="26" s="1"/>
  <c r="T6" i="26" s="1"/>
  <c r="R154" i="26"/>
  <c r="S154" i="26" s="1"/>
  <c r="T154" i="26" s="1"/>
  <c r="R116" i="26"/>
  <c r="S116" i="26" s="1"/>
  <c r="T116" i="26" s="1"/>
  <c r="R101" i="26"/>
  <c r="S101" i="26" s="1"/>
  <c r="T101" i="26" s="1"/>
  <c r="R78" i="26"/>
  <c r="S78" i="26" s="1"/>
  <c r="T78" i="26" s="1"/>
  <c r="R157" i="26"/>
  <c r="S157" i="26" s="1"/>
  <c r="T157" i="26" s="1"/>
  <c r="R131" i="26"/>
  <c r="S131" i="26" s="1"/>
  <c r="T131" i="26" s="1"/>
  <c r="R99" i="26"/>
  <c r="S99" i="26" s="1"/>
  <c r="T99" i="26" s="1"/>
  <c r="R73" i="26"/>
  <c r="S73" i="26" s="1"/>
  <c r="T73" i="26" s="1"/>
  <c r="R39" i="26"/>
  <c r="S39" i="26" s="1"/>
  <c r="T39" i="26" s="1"/>
  <c r="R35" i="26"/>
  <c r="S35" i="26" s="1"/>
  <c r="T35" i="26" s="1"/>
  <c r="R148" i="26"/>
  <c r="S148" i="26" s="1"/>
  <c r="T148" i="26" s="1"/>
  <c r="R49" i="26"/>
  <c r="S49" i="26" s="1"/>
  <c r="T49" i="26" s="1"/>
  <c r="R26" i="26"/>
  <c r="S26" i="26" s="1"/>
  <c r="T26" i="26" s="1"/>
  <c r="R95" i="26"/>
  <c r="S95" i="26" s="1"/>
  <c r="T95" i="26" s="1"/>
  <c r="R66" i="26"/>
  <c r="S66" i="26" s="1"/>
  <c r="T66" i="26" s="1"/>
  <c r="R118" i="26"/>
  <c r="S118" i="26" s="1"/>
  <c r="T118" i="26" s="1"/>
  <c r="R97" i="26"/>
  <c r="S97" i="26" s="1"/>
  <c r="T97" i="26" s="1"/>
  <c r="R62" i="26"/>
  <c r="S62" i="26" s="1"/>
  <c r="T62" i="26" s="1"/>
  <c r="R23" i="26"/>
  <c r="S23" i="26" s="1"/>
  <c r="T23" i="26" s="1"/>
  <c r="R16" i="26"/>
  <c r="S16" i="26" s="1"/>
  <c r="T16" i="26" s="1"/>
  <c r="R133" i="26"/>
  <c r="S133" i="26" s="1"/>
  <c r="T133" i="26" s="1"/>
  <c r="R115" i="26"/>
  <c r="S115" i="26" s="1"/>
  <c r="T115" i="26" s="1"/>
  <c r="R86" i="26"/>
  <c r="S86" i="26" s="1"/>
  <c r="T86" i="26" s="1"/>
  <c r="R77" i="26"/>
  <c r="S77" i="26" s="1"/>
  <c r="T77" i="26" s="1"/>
  <c r="R41" i="26"/>
  <c r="S41" i="26" s="1"/>
  <c r="T41" i="26" s="1"/>
  <c r="R142" i="26"/>
  <c r="S142" i="26" s="1"/>
  <c r="T142" i="26" s="1"/>
  <c r="R71" i="26"/>
  <c r="S71" i="26" s="1"/>
  <c r="T71" i="26" s="1"/>
  <c r="R55" i="26"/>
  <c r="S55" i="26" s="1"/>
  <c r="T55" i="26" s="1"/>
  <c r="R20" i="26"/>
  <c r="S20" i="26" s="1"/>
  <c r="T20" i="26" s="1"/>
  <c r="R13" i="26"/>
  <c r="S13" i="26" s="1"/>
  <c r="T13" i="26" s="1"/>
  <c r="R145" i="26"/>
  <c r="S145" i="26" s="1"/>
  <c r="T145" i="26" s="1"/>
  <c r="R139" i="26"/>
  <c r="S139" i="26" s="1"/>
  <c r="T139" i="26" s="1"/>
  <c r="R33" i="26"/>
  <c r="S33" i="26" s="1"/>
  <c r="T33" i="26" s="1"/>
  <c r="R9" i="26"/>
  <c r="S9" i="26" s="1"/>
  <c r="T9" i="26" s="1"/>
  <c r="R103" i="26"/>
  <c r="S103" i="26" s="1"/>
  <c r="T103" i="26" s="1"/>
  <c r="R76" i="26"/>
  <c r="S76" i="26" s="1"/>
  <c r="T76" i="26" s="1"/>
  <c r="R10" i="26"/>
  <c r="S10" i="26" s="1"/>
  <c r="T10" i="26" s="1"/>
  <c r="R72" i="26"/>
  <c r="S72" i="26" s="1"/>
  <c r="T72" i="26" s="1"/>
  <c r="R40" i="26"/>
  <c r="S40" i="26" s="1"/>
  <c r="T40" i="26" s="1"/>
  <c r="R134" i="26"/>
  <c r="S134" i="26" s="1"/>
  <c r="T134" i="26" s="1"/>
  <c r="R125" i="26"/>
  <c r="S125" i="26" s="1"/>
  <c r="T125" i="26" s="1"/>
  <c r="R93" i="26"/>
  <c r="S93" i="26" s="1"/>
  <c r="T93" i="26" s="1"/>
  <c r="R91" i="26"/>
  <c r="S91" i="26" s="1"/>
  <c r="T91" i="26" s="1"/>
  <c r="R82" i="26"/>
  <c r="S82" i="26" s="1"/>
  <c r="T82" i="26" s="1"/>
  <c r="R59" i="26"/>
  <c r="S59" i="26" s="1"/>
  <c r="T59" i="26" s="1"/>
  <c r="R43" i="26"/>
  <c r="S43" i="26" s="1"/>
  <c r="T43" i="26" s="1"/>
  <c r="R11" i="26"/>
  <c r="S11" i="26" s="1"/>
  <c r="T11" i="26" s="1"/>
  <c r="R58" i="26"/>
  <c r="S58" i="26" s="1"/>
  <c r="T58" i="26" s="1"/>
  <c r="R22" i="26"/>
  <c r="S22" i="26" s="1"/>
  <c r="T22" i="26" s="1"/>
  <c r="R67" i="26"/>
  <c r="S67" i="26" s="1"/>
  <c r="T67" i="26" s="1"/>
  <c r="R61" i="26"/>
  <c r="S61" i="26" s="1"/>
  <c r="T61" i="26" s="1"/>
  <c r="R14" i="26"/>
  <c r="S14" i="26" s="1"/>
  <c r="T14" i="26" s="1"/>
  <c r="R8" i="26"/>
  <c r="S8" i="26" s="1"/>
  <c r="T8" i="26" s="1"/>
  <c r="R44" i="26"/>
  <c r="S44" i="26" s="1"/>
  <c r="T44" i="26" s="1"/>
  <c r="R36" i="26"/>
  <c r="S36" i="26" s="1"/>
  <c r="T36" i="26" s="1"/>
  <c r="R111" i="26"/>
  <c r="S111" i="26" s="1"/>
  <c r="T111" i="26" s="1"/>
  <c r="R106" i="26"/>
  <c r="S106" i="26" s="1"/>
  <c r="T106" i="26" s="1"/>
  <c r="R60" i="26"/>
  <c r="S60" i="26" s="1"/>
  <c r="T60" i="26" s="1"/>
  <c r="R80" i="26"/>
  <c r="S80" i="26" s="1"/>
  <c r="T80" i="26" s="1"/>
  <c r="R32" i="26"/>
  <c r="S32" i="26" s="1"/>
  <c r="T32" i="26" s="1"/>
  <c r="R25" i="26"/>
  <c r="S25" i="26" s="1"/>
  <c r="T25" i="26" s="1"/>
  <c r="R117" i="26"/>
  <c r="S117" i="26" s="1"/>
  <c r="T117" i="26" s="1"/>
  <c r="R63" i="26"/>
  <c r="S63" i="26" s="1"/>
  <c r="T63" i="26" s="1"/>
  <c r="R89" i="26"/>
  <c r="S89" i="26" s="1"/>
  <c r="T89" i="26" s="1"/>
  <c r="R45" i="26"/>
  <c r="S45" i="26" s="1"/>
  <c r="T45" i="26" s="1"/>
  <c r="R37" i="26"/>
  <c r="S37" i="26" s="1"/>
  <c r="T37" i="26" s="1"/>
  <c r="R21" i="26"/>
  <c r="S21" i="26" s="1"/>
  <c r="T21" i="26" s="1"/>
  <c r="R51" i="26"/>
  <c r="S51" i="26" s="1"/>
  <c r="T51" i="26" s="1"/>
  <c r="R27" i="26"/>
  <c r="S27" i="26" s="1"/>
  <c r="T27" i="26" s="1"/>
  <c r="R65" i="26"/>
  <c r="S65" i="26" s="1"/>
  <c r="T65" i="26" s="1"/>
  <c r="R144" i="26"/>
  <c r="S144" i="26" s="1"/>
  <c r="T144" i="26" s="1"/>
  <c r="R50" i="26"/>
  <c r="S50" i="26" s="1"/>
  <c r="T50" i="26" s="1"/>
  <c r="R19" i="26"/>
  <c r="S19" i="26" s="1"/>
  <c r="T19" i="26" s="1"/>
  <c r="R7" i="26"/>
  <c r="S7" i="26" s="1"/>
  <c r="T7" i="26" s="1"/>
  <c r="R17" i="26"/>
  <c r="S17" i="26" s="1"/>
  <c r="T17" i="26" s="1"/>
  <c r="R56" i="26"/>
  <c r="S56" i="26" s="1"/>
  <c r="T56" i="26" s="1"/>
  <c r="R85" i="26"/>
  <c r="S85" i="26" s="1"/>
  <c r="T85" i="26" s="1"/>
  <c r="R28" i="26"/>
  <c r="S28" i="26" s="1"/>
  <c r="T28" i="26" s="1"/>
  <c r="S2" i="13"/>
  <c r="T2" i="13" s="1"/>
  <c r="X21" i="13" s="1"/>
  <c r="X21" i="20"/>
  <c r="F2" i="9"/>
  <c r="H2" i="9" s="1"/>
  <c r="P2" i="27"/>
  <c r="R2" i="27" s="1"/>
  <c r="S2" i="23"/>
  <c r="T2" i="23" s="1"/>
  <c r="H159" i="23"/>
  <c r="I159" i="23" s="1"/>
  <c r="J159" i="23" s="1"/>
  <c r="H143" i="23"/>
  <c r="I143" i="23" s="1"/>
  <c r="J143" i="23" s="1"/>
  <c r="H127" i="23"/>
  <c r="I127" i="23" s="1"/>
  <c r="J127" i="23" s="1"/>
  <c r="H113" i="23"/>
  <c r="I113" i="23" s="1"/>
  <c r="J113" i="23" s="1"/>
  <c r="H160" i="23"/>
  <c r="I160" i="23" s="1"/>
  <c r="J160" i="23" s="1"/>
  <c r="H144" i="23"/>
  <c r="I144" i="23" s="1"/>
  <c r="J144" i="23" s="1"/>
  <c r="H140" i="23"/>
  <c r="I140" i="23" s="1"/>
  <c r="J140" i="23" s="1"/>
  <c r="H115" i="23"/>
  <c r="I115" i="23" s="1"/>
  <c r="J115" i="23" s="1"/>
  <c r="H102" i="23"/>
  <c r="I102" i="23" s="1"/>
  <c r="J102" i="23" s="1"/>
  <c r="H154" i="23"/>
  <c r="I154" i="23" s="1"/>
  <c r="J154" i="23" s="1"/>
  <c r="H148" i="23"/>
  <c r="I148" i="23" s="1"/>
  <c r="J148" i="23" s="1"/>
  <c r="H133" i="23"/>
  <c r="I133" i="23" s="1"/>
  <c r="J133" i="23" s="1"/>
  <c r="H116" i="23"/>
  <c r="I116" i="23" s="1"/>
  <c r="J116" i="23" s="1"/>
  <c r="H104" i="23"/>
  <c r="I104" i="23" s="1"/>
  <c r="J104" i="23" s="1"/>
  <c r="H88" i="23"/>
  <c r="I88" i="23" s="1"/>
  <c r="J88" i="23" s="1"/>
  <c r="H74" i="23"/>
  <c r="I74" i="23" s="1"/>
  <c r="J74" i="23" s="1"/>
  <c r="H142" i="23"/>
  <c r="I142" i="23" s="1"/>
  <c r="J142" i="23" s="1"/>
  <c r="H124" i="23"/>
  <c r="I124" i="23" s="1"/>
  <c r="J124" i="23" s="1"/>
  <c r="H105" i="23"/>
  <c r="I105" i="23" s="1"/>
  <c r="J105" i="23" s="1"/>
  <c r="H89" i="23"/>
  <c r="I89" i="23" s="1"/>
  <c r="J89" i="23" s="1"/>
  <c r="H75" i="23"/>
  <c r="I75" i="23" s="1"/>
  <c r="J75" i="23" s="1"/>
  <c r="H149" i="23"/>
  <c r="I149" i="23" s="1"/>
  <c r="J149" i="23" s="1"/>
  <c r="H134" i="23"/>
  <c r="I134" i="23" s="1"/>
  <c r="J134" i="23" s="1"/>
  <c r="H125" i="23"/>
  <c r="I125" i="23" s="1"/>
  <c r="J125" i="23" s="1"/>
  <c r="H117" i="23"/>
  <c r="I117" i="23" s="1"/>
  <c r="J117" i="23" s="1"/>
  <c r="H137" i="23"/>
  <c r="I137" i="23" s="1"/>
  <c r="J137" i="23" s="1"/>
  <c r="H96" i="23"/>
  <c r="I96" i="23" s="1"/>
  <c r="J96" i="23" s="1"/>
  <c r="H82" i="23"/>
  <c r="I82" i="23" s="1"/>
  <c r="J82" i="23" s="1"/>
  <c r="H161" i="23"/>
  <c r="I161" i="23" s="1"/>
  <c r="J161" i="23" s="1"/>
  <c r="H94" i="23"/>
  <c r="I94" i="23" s="1"/>
  <c r="J94" i="23" s="1"/>
  <c r="H76" i="23"/>
  <c r="I76" i="23" s="1"/>
  <c r="J76" i="23" s="1"/>
  <c r="H64" i="23"/>
  <c r="I64" i="23" s="1"/>
  <c r="J64" i="23" s="1"/>
  <c r="H48" i="23"/>
  <c r="I48" i="23" s="1"/>
  <c r="J48" i="23" s="1"/>
  <c r="H39" i="23"/>
  <c r="I39" i="23" s="1"/>
  <c r="J39" i="23" s="1"/>
  <c r="H141" i="23"/>
  <c r="I141" i="23" s="1"/>
  <c r="J141" i="23" s="1"/>
  <c r="H138" i="23"/>
  <c r="I138" i="23" s="1"/>
  <c r="J138" i="23" s="1"/>
  <c r="H119" i="23"/>
  <c r="I119" i="23" s="1"/>
  <c r="J119" i="23" s="1"/>
  <c r="H110" i="23"/>
  <c r="I110" i="23" s="1"/>
  <c r="J110" i="23" s="1"/>
  <c r="H103" i="23"/>
  <c r="I103" i="23" s="1"/>
  <c r="J103" i="23" s="1"/>
  <c r="H85" i="23"/>
  <c r="I85" i="23" s="1"/>
  <c r="J85" i="23" s="1"/>
  <c r="H81" i="23"/>
  <c r="I81" i="23" s="1"/>
  <c r="J81" i="23" s="1"/>
  <c r="H71" i="23"/>
  <c r="I71" i="23" s="1"/>
  <c r="J71" i="23" s="1"/>
  <c r="H50" i="23"/>
  <c r="I50" i="23" s="1"/>
  <c r="J50" i="23" s="1"/>
  <c r="H40" i="23"/>
  <c r="I40" i="23" s="1"/>
  <c r="J40" i="23" s="1"/>
  <c r="H32" i="23"/>
  <c r="I32" i="23" s="1"/>
  <c r="J32" i="23" s="1"/>
  <c r="H30" i="23"/>
  <c r="I30" i="23" s="1"/>
  <c r="J30" i="23" s="1"/>
  <c r="H130" i="23"/>
  <c r="I130" i="23" s="1"/>
  <c r="J130" i="23" s="1"/>
  <c r="H99" i="23"/>
  <c r="I99" i="23" s="1"/>
  <c r="J99" i="23" s="1"/>
  <c r="H95" i="23"/>
  <c r="I95" i="23" s="1"/>
  <c r="J95" i="23" s="1"/>
  <c r="H66" i="23"/>
  <c r="I66" i="23" s="1"/>
  <c r="J66" i="23" s="1"/>
  <c r="H51" i="23"/>
  <c r="I51" i="23" s="1"/>
  <c r="J51" i="23" s="1"/>
  <c r="H29" i="23"/>
  <c r="I29" i="23" s="1"/>
  <c r="J29" i="23" s="1"/>
  <c r="H20" i="23"/>
  <c r="I20" i="23" s="1"/>
  <c r="J20" i="23" s="1"/>
  <c r="H6" i="23"/>
  <c r="I6" i="23" s="1"/>
  <c r="J6" i="23" s="1"/>
  <c r="H122" i="23"/>
  <c r="I122" i="23" s="1"/>
  <c r="J122" i="23" s="1"/>
  <c r="H107" i="23"/>
  <c r="I107" i="23" s="1"/>
  <c r="J107" i="23" s="1"/>
  <c r="H77" i="23"/>
  <c r="I77" i="23" s="1"/>
  <c r="J77" i="23" s="1"/>
  <c r="H72" i="23"/>
  <c r="I72" i="23" s="1"/>
  <c r="J72" i="23" s="1"/>
  <c r="H52" i="23"/>
  <c r="I52" i="23" s="1"/>
  <c r="J52" i="23" s="1"/>
  <c r="H41" i="23"/>
  <c r="I41" i="23" s="1"/>
  <c r="J41" i="23" s="1"/>
  <c r="H33" i="23"/>
  <c r="I33" i="23" s="1"/>
  <c r="J33" i="23" s="1"/>
  <c r="H31" i="23"/>
  <c r="I31" i="23" s="1"/>
  <c r="J31" i="23" s="1"/>
  <c r="H21" i="23"/>
  <c r="I21" i="23" s="1"/>
  <c r="J21" i="23" s="1"/>
  <c r="H157" i="23"/>
  <c r="I157" i="23" s="1"/>
  <c r="J157" i="23" s="1"/>
  <c r="H152" i="23"/>
  <c r="I152" i="23" s="1"/>
  <c r="J152" i="23" s="1"/>
  <c r="H136" i="23"/>
  <c r="I136" i="23" s="1"/>
  <c r="J136" i="23" s="1"/>
  <c r="H147" i="23"/>
  <c r="I147" i="23" s="1"/>
  <c r="J147" i="23" s="1"/>
  <c r="H131" i="23"/>
  <c r="I131" i="23" s="1"/>
  <c r="J131" i="23" s="1"/>
  <c r="H126" i="23"/>
  <c r="I126" i="23" s="1"/>
  <c r="J126" i="23" s="1"/>
  <c r="H58" i="23"/>
  <c r="I58" i="23" s="1"/>
  <c r="J58" i="23" s="1"/>
  <c r="H36" i="23"/>
  <c r="I36" i="23" s="1"/>
  <c r="J36" i="23" s="1"/>
  <c r="H13" i="23"/>
  <c r="I13" i="23" s="1"/>
  <c r="J13" i="23" s="1"/>
  <c r="H153" i="23"/>
  <c r="I153" i="23" s="1"/>
  <c r="J153" i="23" s="1"/>
  <c r="H121" i="23"/>
  <c r="I121" i="23" s="1"/>
  <c r="J121" i="23" s="1"/>
  <c r="H146" i="23"/>
  <c r="I146" i="23" s="1"/>
  <c r="J146" i="23" s="1"/>
  <c r="H101" i="23"/>
  <c r="I101" i="23" s="1"/>
  <c r="J101" i="23" s="1"/>
  <c r="H65" i="23"/>
  <c r="I65" i="23" s="1"/>
  <c r="J65" i="23" s="1"/>
  <c r="H37" i="23"/>
  <c r="I37" i="23" s="1"/>
  <c r="J37" i="23" s="1"/>
  <c r="H17" i="23"/>
  <c r="I17" i="23" s="1"/>
  <c r="J17" i="23" s="1"/>
  <c r="H155" i="23"/>
  <c r="I155" i="23" s="1"/>
  <c r="J155" i="23" s="1"/>
  <c r="H114" i="23"/>
  <c r="I114" i="23" s="1"/>
  <c r="J114" i="23" s="1"/>
  <c r="H80" i="23"/>
  <c r="I80" i="23" s="1"/>
  <c r="J80" i="23" s="1"/>
  <c r="H70" i="23"/>
  <c r="I70" i="23" s="1"/>
  <c r="J70" i="23" s="1"/>
  <c r="H59" i="23"/>
  <c r="I59" i="23" s="1"/>
  <c r="J59" i="23" s="1"/>
  <c r="H46" i="23"/>
  <c r="I46" i="23" s="1"/>
  <c r="J46" i="23" s="1"/>
  <c r="H128" i="23"/>
  <c r="I128" i="23" s="1"/>
  <c r="J128" i="23" s="1"/>
  <c r="H78" i="23"/>
  <c r="I78" i="23" s="1"/>
  <c r="J78" i="23" s="1"/>
  <c r="H73" i="23"/>
  <c r="I73" i="23" s="1"/>
  <c r="J73" i="23" s="1"/>
  <c r="H62" i="23"/>
  <c r="I62" i="23" s="1"/>
  <c r="J62" i="23" s="1"/>
  <c r="H27" i="23"/>
  <c r="I27" i="23" s="1"/>
  <c r="J27" i="23" s="1"/>
  <c r="H24" i="23"/>
  <c r="I24" i="23" s="1"/>
  <c r="J24" i="23" s="1"/>
  <c r="H14" i="23"/>
  <c r="I14" i="23" s="1"/>
  <c r="J14" i="23" s="1"/>
  <c r="H9" i="23"/>
  <c r="I9" i="23" s="1"/>
  <c r="J9" i="23" s="1"/>
  <c r="H68" i="23"/>
  <c r="I68" i="23" s="1"/>
  <c r="J68" i="23" s="1"/>
  <c r="H56" i="23"/>
  <c r="I56" i="23" s="1"/>
  <c r="J56" i="23" s="1"/>
  <c r="H53" i="23"/>
  <c r="I53" i="23" s="1"/>
  <c r="J53" i="23" s="1"/>
  <c r="H151" i="23"/>
  <c r="I151" i="23" s="1"/>
  <c r="J151" i="23" s="1"/>
  <c r="H109" i="23"/>
  <c r="I109" i="23" s="1"/>
  <c r="J109" i="23" s="1"/>
  <c r="H83" i="23"/>
  <c r="I83" i="23" s="1"/>
  <c r="J83" i="23" s="1"/>
  <c r="H35" i="23"/>
  <c r="I35" i="23" s="1"/>
  <c r="J35" i="23" s="1"/>
  <c r="H18" i="23"/>
  <c r="I18" i="23" s="1"/>
  <c r="J18" i="23" s="1"/>
  <c r="H162" i="23"/>
  <c r="I162" i="23" s="1"/>
  <c r="J162" i="23" s="1"/>
  <c r="H158" i="23"/>
  <c r="I158" i="23" s="1"/>
  <c r="J158" i="23" s="1"/>
  <c r="H111" i="23"/>
  <c r="I111" i="23" s="1"/>
  <c r="J111" i="23" s="1"/>
  <c r="H98" i="23"/>
  <c r="I98" i="23" s="1"/>
  <c r="J98" i="23" s="1"/>
  <c r="H44" i="23"/>
  <c r="I44" i="23" s="1"/>
  <c r="J44" i="23" s="1"/>
  <c r="H92" i="23"/>
  <c r="I92" i="23" s="1"/>
  <c r="J92" i="23" s="1"/>
  <c r="H90" i="23"/>
  <c r="I90" i="23" s="1"/>
  <c r="J90" i="23" s="1"/>
  <c r="H38" i="23"/>
  <c r="I38" i="23" s="1"/>
  <c r="J38" i="23" s="1"/>
  <c r="H25" i="23"/>
  <c r="I25" i="23" s="1"/>
  <c r="J25" i="23" s="1"/>
  <c r="H22" i="23"/>
  <c r="I22" i="23" s="1"/>
  <c r="J22" i="23" s="1"/>
  <c r="H139" i="23"/>
  <c r="I139" i="23" s="1"/>
  <c r="J139" i="23" s="1"/>
  <c r="H118" i="23"/>
  <c r="I118" i="23" s="1"/>
  <c r="J118" i="23" s="1"/>
  <c r="H106" i="23"/>
  <c r="I106" i="23" s="1"/>
  <c r="J106" i="23" s="1"/>
  <c r="H42" i="23"/>
  <c r="I42" i="23" s="1"/>
  <c r="J42" i="23" s="1"/>
  <c r="H145" i="23"/>
  <c r="I145" i="23" s="1"/>
  <c r="J145" i="23" s="1"/>
  <c r="H108" i="23"/>
  <c r="I108" i="23" s="1"/>
  <c r="J108" i="23" s="1"/>
  <c r="H16" i="23"/>
  <c r="I16" i="23" s="1"/>
  <c r="J16" i="23" s="1"/>
  <c r="H84" i="23"/>
  <c r="I84" i="23" s="1"/>
  <c r="J84" i="23" s="1"/>
  <c r="H67" i="23"/>
  <c r="I67" i="23" s="1"/>
  <c r="J67" i="23" s="1"/>
  <c r="H45" i="23"/>
  <c r="I45" i="23" s="1"/>
  <c r="J45" i="23" s="1"/>
  <c r="H26" i="23"/>
  <c r="I26" i="23" s="1"/>
  <c r="J26" i="23" s="1"/>
  <c r="H23" i="23"/>
  <c r="I23" i="23" s="1"/>
  <c r="J23" i="23" s="1"/>
  <c r="H12" i="23"/>
  <c r="I12" i="23" s="1"/>
  <c r="J12" i="23" s="1"/>
  <c r="H97" i="23"/>
  <c r="I97" i="23" s="1"/>
  <c r="J97" i="23" s="1"/>
  <c r="H91" i="23"/>
  <c r="I91" i="23" s="1"/>
  <c r="J91" i="23" s="1"/>
  <c r="H61" i="23"/>
  <c r="I61" i="23" s="1"/>
  <c r="J61" i="23" s="1"/>
  <c r="H135" i="23"/>
  <c r="I135" i="23" s="1"/>
  <c r="J135" i="23" s="1"/>
  <c r="H129" i="23"/>
  <c r="I129" i="23" s="1"/>
  <c r="J129" i="23" s="1"/>
  <c r="H55" i="23"/>
  <c r="I55" i="23" s="1"/>
  <c r="J55" i="23" s="1"/>
  <c r="H8" i="23"/>
  <c r="I8" i="23" s="1"/>
  <c r="J8" i="23" s="1"/>
  <c r="H123" i="23"/>
  <c r="I123" i="23" s="1"/>
  <c r="J123" i="23" s="1"/>
  <c r="H100" i="23"/>
  <c r="I100" i="23" s="1"/>
  <c r="J100" i="23" s="1"/>
  <c r="H15" i="23"/>
  <c r="I15" i="23" s="1"/>
  <c r="J15" i="23" s="1"/>
  <c r="H10" i="23"/>
  <c r="I10" i="23" s="1"/>
  <c r="J10" i="23" s="1"/>
  <c r="H69" i="23"/>
  <c r="I69" i="23" s="1"/>
  <c r="J69" i="23" s="1"/>
  <c r="H87" i="23"/>
  <c r="I87" i="23" s="1"/>
  <c r="J87" i="23" s="1"/>
  <c r="H112" i="23"/>
  <c r="I112" i="23" s="1"/>
  <c r="J112" i="23" s="1"/>
  <c r="H28" i="23"/>
  <c r="I28" i="23" s="1"/>
  <c r="J28" i="23" s="1"/>
  <c r="H150" i="23"/>
  <c r="I150" i="23" s="1"/>
  <c r="J150" i="23" s="1"/>
  <c r="H54" i="23"/>
  <c r="I54" i="23" s="1"/>
  <c r="J54" i="23" s="1"/>
  <c r="H120" i="23"/>
  <c r="I120" i="23" s="1"/>
  <c r="J120" i="23" s="1"/>
  <c r="H11" i="23"/>
  <c r="I11" i="23" s="1"/>
  <c r="J11" i="23" s="1"/>
  <c r="H60" i="23"/>
  <c r="I60" i="23" s="1"/>
  <c r="J60" i="23" s="1"/>
  <c r="H93" i="23"/>
  <c r="I93" i="23" s="1"/>
  <c r="J93" i="23" s="1"/>
  <c r="H34" i="23"/>
  <c r="I34" i="23" s="1"/>
  <c r="J34" i="23" s="1"/>
  <c r="H132" i="23"/>
  <c r="I132" i="23" s="1"/>
  <c r="J132" i="23" s="1"/>
  <c r="H86" i="23"/>
  <c r="I86" i="23" s="1"/>
  <c r="J86" i="23" s="1"/>
  <c r="H57" i="23"/>
  <c r="I57" i="23" s="1"/>
  <c r="J57" i="23" s="1"/>
  <c r="H47" i="23"/>
  <c r="I47" i="23" s="1"/>
  <c r="J47" i="23" s="1"/>
  <c r="H156" i="23"/>
  <c r="I156" i="23" s="1"/>
  <c r="J156" i="23" s="1"/>
  <c r="H7" i="23"/>
  <c r="I7" i="23" s="1"/>
  <c r="J7" i="23" s="1"/>
  <c r="H79" i="23"/>
  <c r="I79" i="23" s="1"/>
  <c r="J79" i="23" s="1"/>
  <c r="H19" i="23"/>
  <c r="I19" i="23" s="1"/>
  <c r="J19" i="23" s="1"/>
  <c r="H43" i="23"/>
  <c r="I43" i="23" s="1"/>
  <c r="J43" i="23" s="1"/>
  <c r="H49" i="23"/>
  <c r="I49" i="23" s="1"/>
  <c r="J49" i="23" s="1"/>
  <c r="H63" i="23"/>
  <c r="I63" i="23" s="1"/>
  <c r="J63" i="23" s="1"/>
  <c r="H44" i="24"/>
  <c r="I44" i="24" s="1"/>
  <c r="J44" i="24" s="1"/>
  <c r="H162" i="24"/>
  <c r="I162" i="24" s="1"/>
  <c r="J162" i="24" s="1"/>
  <c r="H153" i="24"/>
  <c r="I153" i="24" s="1"/>
  <c r="J153" i="24" s="1"/>
  <c r="H145" i="24"/>
  <c r="I145" i="24" s="1"/>
  <c r="J145" i="24" s="1"/>
  <c r="H137" i="24"/>
  <c r="I137" i="24" s="1"/>
  <c r="J137" i="24" s="1"/>
  <c r="H129" i="24"/>
  <c r="I129" i="24" s="1"/>
  <c r="J129" i="24" s="1"/>
  <c r="H114" i="24"/>
  <c r="I114" i="24" s="1"/>
  <c r="J114" i="24" s="1"/>
  <c r="H100" i="24"/>
  <c r="I100" i="24" s="1"/>
  <c r="J100" i="24" s="1"/>
  <c r="H84" i="24"/>
  <c r="I84" i="24" s="1"/>
  <c r="J84" i="24" s="1"/>
  <c r="H70" i="24"/>
  <c r="I70" i="24" s="1"/>
  <c r="J70" i="24" s="1"/>
  <c r="H54" i="24"/>
  <c r="I54" i="24" s="1"/>
  <c r="J54" i="24" s="1"/>
  <c r="H39" i="24"/>
  <c r="I39" i="24" s="1"/>
  <c r="J39" i="24" s="1"/>
  <c r="H31" i="24"/>
  <c r="I31" i="24" s="1"/>
  <c r="J31" i="24" s="1"/>
  <c r="H30" i="24"/>
  <c r="I30" i="24" s="1"/>
  <c r="J30" i="24" s="1"/>
  <c r="H161" i="24"/>
  <c r="I161" i="24" s="1"/>
  <c r="J161" i="24" s="1"/>
  <c r="H122" i="24"/>
  <c r="I122" i="24" s="1"/>
  <c r="J122" i="24" s="1"/>
  <c r="H101" i="24"/>
  <c r="I101" i="24" s="1"/>
  <c r="J101" i="24" s="1"/>
  <c r="H85" i="24"/>
  <c r="I85" i="24" s="1"/>
  <c r="J85" i="24" s="1"/>
  <c r="H157" i="24"/>
  <c r="I157" i="24" s="1"/>
  <c r="J157" i="24" s="1"/>
  <c r="H149" i="24"/>
  <c r="I149" i="24" s="1"/>
  <c r="J149" i="24" s="1"/>
  <c r="H141" i="24"/>
  <c r="I141" i="24" s="1"/>
  <c r="J141" i="24" s="1"/>
  <c r="H133" i="24"/>
  <c r="I133" i="24" s="1"/>
  <c r="J133" i="24" s="1"/>
  <c r="H125" i="24"/>
  <c r="I125" i="24" s="1"/>
  <c r="J125" i="24" s="1"/>
  <c r="H118" i="24"/>
  <c r="I118" i="24" s="1"/>
  <c r="J118" i="24" s="1"/>
  <c r="H108" i="24"/>
  <c r="I108" i="24" s="1"/>
  <c r="J108" i="24" s="1"/>
  <c r="H158" i="24"/>
  <c r="I158" i="24" s="1"/>
  <c r="J158" i="24" s="1"/>
  <c r="H123" i="24"/>
  <c r="I123" i="24" s="1"/>
  <c r="J123" i="24" s="1"/>
  <c r="H97" i="24"/>
  <c r="I97" i="24" s="1"/>
  <c r="J97" i="24" s="1"/>
  <c r="H80" i="24"/>
  <c r="I80" i="24" s="1"/>
  <c r="J80" i="24" s="1"/>
  <c r="H73" i="24"/>
  <c r="I73" i="24" s="1"/>
  <c r="J73" i="24" s="1"/>
  <c r="H64" i="24"/>
  <c r="I64" i="24" s="1"/>
  <c r="J64" i="24" s="1"/>
  <c r="H18" i="24"/>
  <c r="I18" i="24" s="1"/>
  <c r="J18" i="24" s="1"/>
  <c r="H17" i="24"/>
  <c r="I17" i="24" s="1"/>
  <c r="J17" i="24" s="1"/>
  <c r="H131" i="24"/>
  <c r="I131" i="24" s="1"/>
  <c r="J131" i="24" s="1"/>
  <c r="H127" i="24"/>
  <c r="I127" i="24" s="1"/>
  <c r="J127" i="24" s="1"/>
  <c r="H92" i="24"/>
  <c r="I92" i="24" s="1"/>
  <c r="J92" i="24" s="1"/>
  <c r="H86" i="24"/>
  <c r="I86" i="24" s="1"/>
  <c r="J86" i="24" s="1"/>
  <c r="H139" i="24"/>
  <c r="I139" i="24" s="1"/>
  <c r="J139" i="24" s="1"/>
  <c r="H135" i="24"/>
  <c r="I135" i="24" s="1"/>
  <c r="J135" i="24" s="1"/>
  <c r="H116" i="24"/>
  <c r="I116" i="24" s="1"/>
  <c r="J116" i="24" s="1"/>
  <c r="H112" i="24"/>
  <c r="I112" i="24" s="1"/>
  <c r="J112" i="24" s="1"/>
  <c r="H103" i="24"/>
  <c r="I103" i="24" s="1"/>
  <c r="J103" i="24" s="1"/>
  <c r="H98" i="24"/>
  <c r="I98" i="24" s="1"/>
  <c r="J98" i="24" s="1"/>
  <c r="H74" i="24"/>
  <c r="I74" i="24" s="1"/>
  <c r="J74" i="24" s="1"/>
  <c r="H65" i="24"/>
  <c r="I65" i="24" s="1"/>
  <c r="J65" i="24" s="1"/>
  <c r="H40" i="24"/>
  <c r="I40" i="24" s="1"/>
  <c r="J40" i="24" s="1"/>
  <c r="H22" i="24"/>
  <c r="I22" i="24" s="1"/>
  <c r="J22" i="24" s="1"/>
  <c r="H21" i="24"/>
  <c r="I21" i="24" s="1"/>
  <c r="J21" i="24" s="1"/>
  <c r="H20" i="24"/>
  <c r="I20" i="24" s="1"/>
  <c r="J20" i="24" s="1"/>
  <c r="H147" i="24"/>
  <c r="I147" i="24" s="1"/>
  <c r="J147" i="24" s="1"/>
  <c r="H143" i="24"/>
  <c r="I143" i="24" s="1"/>
  <c r="J143" i="24" s="1"/>
  <c r="H124" i="24"/>
  <c r="I124" i="24" s="1"/>
  <c r="J124" i="24" s="1"/>
  <c r="H120" i="24"/>
  <c r="I120" i="24" s="1"/>
  <c r="J120" i="24" s="1"/>
  <c r="H81" i="24"/>
  <c r="I81" i="24" s="1"/>
  <c r="J81" i="24" s="1"/>
  <c r="H57" i="24"/>
  <c r="I57" i="24" s="1"/>
  <c r="J57" i="24" s="1"/>
  <c r="H48" i="24"/>
  <c r="I48" i="24" s="1"/>
  <c r="J48" i="24" s="1"/>
  <c r="H23" i="24"/>
  <c r="I23" i="24" s="1"/>
  <c r="J23" i="24" s="1"/>
  <c r="H6" i="24"/>
  <c r="I6" i="24" s="1"/>
  <c r="J6" i="24" s="1"/>
  <c r="I2" i="24" s="1"/>
  <c r="J2" i="24" s="1"/>
  <c r="X21" i="24" s="1"/>
  <c r="H155" i="24"/>
  <c r="I155" i="24" s="1"/>
  <c r="J155" i="24" s="1"/>
  <c r="H151" i="24"/>
  <c r="I151" i="24" s="1"/>
  <c r="J151" i="24" s="1"/>
  <c r="H132" i="24"/>
  <c r="I132" i="24" s="1"/>
  <c r="J132" i="24" s="1"/>
  <c r="H128" i="24"/>
  <c r="I128" i="24" s="1"/>
  <c r="J128" i="24" s="1"/>
  <c r="H99" i="24"/>
  <c r="I99" i="24" s="1"/>
  <c r="J99" i="24" s="1"/>
  <c r="H93" i="24"/>
  <c r="I93" i="24" s="1"/>
  <c r="J93" i="24" s="1"/>
  <c r="H87" i="24"/>
  <c r="I87" i="24" s="1"/>
  <c r="J87" i="24" s="1"/>
  <c r="H75" i="24"/>
  <c r="I75" i="24" s="1"/>
  <c r="J75" i="24" s="1"/>
  <c r="H66" i="24"/>
  <c r="I66" i="24" s="1"/>
  <c r="J66" i="24" s="1"/>
  <c r="H41" i="24"/>
  <c r="I41" i="24" s="1"/>
  <c r="J41" i="24" s="1"/>
  <c r="H24" i="24"/>
  <c r="I24" i="24" s="1"/>
  <c r="J24" i="24" s="1"/>
  <c r="H159" i="24"/>
  <c r="I159" i="24" s="1"/>
  <c r="J159" i="24" s="1"/>
  <c r="H140" i="24"/>
  <c r="I140" i="24" s="1"/>
  <c r="J140" i="24" s="1"/>
  <c r="H136" i="24"/>
  <c r="I136" i="24" s="1"/>
  <c r="J136" i="24" s="1"/>
  <c r="H110" i="24"/>
  <c r="I110" i="24" s="1"/>
  <c r="J110" i="24" s="1"/>
  <c r="H105" i="24"/>
  <c r="I105" i="24" s="1"/>
  <c r="J105" i="24" s="1"/>
  <c r="H95" i="24"/>
  <c r="I95" i="24" s="1"/>
  <c r="J95" i="24" s="1"/>
  <c r="H89" i="24"/>
  <c r="I89" i="24" s="1"/>
  <c r="J89" i="24" s="1"/>
  <c r="H78" i="24"/>
  <c r="I78" i="24" s="1"/>
  <c r="J78" i="24" s="1"/>
  <c r="H61" i="24"/>
  <c r="I61" i="24" s="1"/>
  <c r="J61" i="24" s="1"/>
  <c r="H52" i="24"/>
  <c r="I52" i="24" s="1"/>
  <c r="J52" i="24" s="1"/>
  <c r="H35" i="24"/>
  <c r="I35" i="24" s="1"/>
  <c r="J35" i="24" s="1"/>
  <c r="H11" i="24"/>
  <c r="I11" i="24" s="1"/>
  <c r="J11" i="24" s="1"/>
  <c r="H146" i="24"/>
  <c r="I146" i="24" s="1"/>
  <c r="J146" i="24" s="1"/>
  <c r="H142" i="24"/>
  <c r="I142" i="24" s="1"/>
  <c r="J142" i="24" s="1"/>
  <c r="H156" i="24"/>
  <c r="I156" i="24" s="1"/>
  <c r="J156" i="24" s="1"/>
  <c r="H83" i="24"/>
  <c r="I83" i="24" s="1"/>
  <c r="J83" i="24" s="1"/>
  <c r="H26" i="24"/>
  <c r="I26" i="24" s="1"/>
  <c r="J26" i="24" s="1"/>
  <c r="H144" i="24"/>
  <c r="I144" i="24" s="1"/>
  <c r="J144" i="24" s="1"/>
  <c r="H56" i="24"/>
  <c r="I56" i="24" s="1"/>
  <c r="J56" i="24" s="1"/>
  <c r="H90" i="24"/>
  <c r="I90" i="24" s="1"/>
  <c r="J90" i="24" s="1"/>
  <c r="H45" i="24"/>
  <c r="I45" i="24" s="1"/>
  <c r="J45" i="24" s="1"/>
  <c r="H34" i="24"/>
  <c r="I34" i="24" s="1"/>
  <c r="J34" i="24" s="1"/>
  <c r="H13" i="24"/>
  <c r="I13" i="24" s="1"/>
  <c r="J13" i="24" s="1"/>
  <c r="H10" i="24"/>
  <c r="I10" i="24" s="1"/>
  <c r="J10" i="24" s="1"/>
  <c r="H126" i="24"/>
  <c r="I126" i="24" s="1"/>
  <c r="J126" i="24" s="1"/>
  <c r="H88" i="24"/>
  <c r="I88" i="24" s="1"/>
  <c r="J88" i="24" s="1"/>
  <c r="H79" i="24"/>
  <c r="I79" i="24" s="1"/>
  <c r="J79" i="24" s="1"/>
  <c r="H62" i="24"/>
  <c r="I62" i="24" s="1"/>
  <c r="J62" i="24" s="1"/>
  <c r="H59" i="24"/>
  <c r="I59" i="24" s="1"/>
  <c r="J59" i="24" s="1"/>
  <c r="H37" i="24"/>
  <c r="I37" i="24" s="1"/>
  <c r="J37" i="24" s="1"/>
  <c r="H16" i="24"/>
  <c r="I16" i="24" s="1"/>
  <c r="J16" i="24" s="1"/>
  <c r="H51" i="24"/>
  <c r="I51" i="24" s="1"/>
  <c r="J51" i="24" s="1"/>
  <c r="H160" i="24"/>
  <c r="I160" i="24" s="1"/>
  <c r="J160" i="24" s="1"/>
  <c r="H148" i="24"/>
  <c r="I148" i="24" s="1"/>
  <c r="J148" i="24" s="1"/>
  <c r="H130" i="24"/>
  <c r="I130" i="24" s="1"/>
  <c r="J130" i="24" s="1"/>
  <c r="H77" i="24"/>
  <c r="I77" i="24" s="1"/>
  <c r="J77" i="24" s="1"/>
  <c r="H71" i="24"/>
  <c r="I71" i="24" s="1"/>
  <c r="J71" i="24" s="1"/>
  <c r="H68" i="24"/>
  <c r="I68" i="24" s="1"/>
  <c r="J68" i="24" s="1"/>
  <c r="H150" i="24"/>
  <c r="I150" i="24" s="1"/>
  <c r="J150" i="24" s="1"/>
  <c r="H69" i="24"/>
  <c r="I69" i="24" s="1"/>
  <c r="J69" i="24" s="1"/>
  <c r="H28" i="24"/>
  <c r="I28" i="24" s="1"/>
  <c r="J28" i="24" s="1"/>
  <c r="H152" i="24"/>
  <c r="I152" i="24" s="1"/>
  <c r="J152" i="24" s="1"/>
  <c r="H138" i="24"/>
  <c r="I138" i="24" s="1"/>
  <c r="J138" i="24" s="1"/>
  <c r="H109" i="24"/>
  <c r="I109" i="24" s="1"/>
  <c r="J109" i="24" s="1"/>
  <c r="H111" i="24"/>
  <c r="I111" i="24" s="1"/>
  <c r="J111" i="24" s="1"/>
  <c r="H96" i="24"/>
  <c r="I96" i="24" s="1"/>
  <c r="J96" i="24" s="1"/>
  <c r="H94" i="24"/>
  <c r="I94" i="24" s="1"/>
  <c r="J94" i="24" s="1"/>
  <c r="H50" i="24"/>
  <c r="I50" i="24" s="1"/>
  <c r="J50" i="24" s="1"/>
  <c r="H42" i="24"/>
  <c r="I42" i="24" s="1"/>
  <c r="J42" i="24" s="1"/>
  <c r="H43" i="24"/>
  <c r="I43" i="24" s="1"/>
  <c r="J43" i="24" s="1"/>
  <c r="H9" i="24"/>
  <c r="I9" i="24" s="1"/>
  <c r="J9" i="24" s="1"/>
  <c r="H76" i="24"/>
  <c r="I76" i="24" s="1"/>
  <c r="J76" i="24" s="1"/>
  <c r="H53" i="24"/>
  <c r="I53" i="24" s="1"/>
  <c r="J53" i="24" s="1"/>
  <c r="H38" i="24"/>
  <c r="I38" i="24" s="1"/>
  <c r="J38" i="24" s="1"/>
  <c r="H58" i="24"/>
  <c r="I58" i="24" s="1"/>
  <c r="J58" i="24" s="1"/>
  <c r="H63" i="24"/>
  <c r="I63" i="24" s="1"/>
  <c r="J63" i="24" s="1"/>
  <c r="H104" i="24"/>
  <c r="I104" i="24" s="1"/>
  <c r="J104" i="24" s="1"/>
  <c r="H60" i="24"/>
  <c r="I60" i="24" s="1"/>
  <c r="J60" i="24" s="1"/>
  <c r="H33" i="24"/>
  <c r="I33" i="24" s="1"/>
  <c r="J33" i="24" s="1"/>
  <c r="H7" i="24"/>
  <c r="I7" i="24" s="1"/>
  <c r="J7" i="24" s="1"/>
  <c r="H82" i="24"/>
  <c r="I82" i="24" s="1"/>
  <c r="J82" i="24" s="1"/>
  <c r="H55" i="24"/>
  <c r="I55" i="24" s="1"/>
  <c r="J55" i="24" s="1"/>
  <c r="H32" i="24"/>
  <c r="I32" i="24" s="1"/>
  <c r="J32" i="24" s="1"/>
  <c r="H102" i="24"/>
  <c r="I102" i="24" s="1"/>
  <c r="J102" i="24" s="1"/>
  <c r="H19" i="24"/>
  <c r="I19" i="24" s="1"/>
  <c r="J19" i="24" s="1"/>
  <c r="H113" i="24"/>
  <c r="I113" i="24" s="1"/>
  <c r="J113" i="24" s="1"/>
  <c r="H91" i="24"/>
  <c r="I91" i="24" s="1"/>
  <c r="J91" i="24" s="1"/>
  <c r="H107" i="24"/>
  <c r="I107" i="24" s="1"/>
  <c r="J107" i="24" s="1"/>
  <c r="H67" i="24"/>
  <c r="I67" i="24" s="1"/>
  <c r="J67" i="24" s="1"/>
  <c r="H27" i="24"/>
  <c r="I27" i="24" s="1"/>
  <c r="J27" i="24" s="1"/>
  <c r="H12" i="24"/>
  <c r="I12" i="24" s="1"/>
  <c r="J12" i="24" s="1"/>
  <c r="H154" i="24"/>
  <c r="I154" i="24" s="1"/>
  <c r="J154" i="24" s="1"/>
  <c r="H106" i="24"/>
  <c r="I106" i="24" s="1"/>
  <c r="J106" i="24" s="1"/>
  <c r="H72" i="24"/>
  <c r="I72" i="24" s="1"/>
  <c r="J72" i="24" s="1"/>
  <c r="H8" i="24"/>
  <c r="I8" i="24" s="1"/>
  <c r="J8" i="24" s="1"/>
  <c r="H134" i="24"/>
  <c r="I134" i="24" s="1"/>
  <c r="J134" i="24" s="1"/>
  <c r="H117" i="24"/>
  <c r="I117" i="24" s="1"/>
  <c r="J117" i="24" s="1"/>
  <c r="H47" i="24"/>
  <c r="I47" i="24" s="1"/>
  <c r="J47" i="24" s="1"/>
  <c r="H46" i="24"/>
  <c r="I46" i="24" s="1"/>
  <c r="J46" i="24" s="1"/>
  <c r="H29" i="24"/>
  <c r="I29" i="24" s="1"/>
  <c r="J29" i="24" s="1"/>
  <c r="H25" i="24"/>
  <c r="I25" i="24" s="1"/>
  <c r="J25" i="24" s="1"/>
  <c r="H14" i="24"/>
  <c r="I14" i="24" s="1"/>
  <c r="J14" i="24" s="1"/>
  <c r="H115" i="24"/>
  <c r="I115" i="24" s="1"/>
  <c r="J115" i="24" s="1"/>
  <c r="H36" i="24"/>
  <c r="I36" i="24" s="1"/>
  <c r="J36" i="24" s="1"/>
  <c r="H121" i="24"/>
  <c r="I121" i="24" s="1"/>
  <c r="J121" i="24" s="1"/>
  <c r="H49" i="24"/>
  <c r="I49" i="24" s="1"/>
  <c r="J49" i="24" s="1"/>
  <c r="H119" i="24"/>
  <c r="I119" i="24" s="1"/>
  <c r="J119" i="24" s="1"/>
  <c r="H15" i="24"/>
  <c r="I15" i="24" s="1"/>
  <c r="J15" i="24" s="1"/>
  <c r="P2" i="17"/>
  <c r="R2" i="17" s="1"/>
  <c r="H162" i="3"/>
  <c r="I162" i="3" s="1"/>
  <c r="J162" i="3" s="1"/>
  <c r="H17" i="3"/>
  <c r="I17" i="3" s="1"/>
  <c r="J17" i="3" s="1"/>
  <c r="H16" i="3"/>
  <c r="I16" i="3" s="1"/>
  <c r="J16" i="3" s="1"/>
  <c r="H15" i="3"/>
  <c r="I15" i="3" s="1"/>
  <c r="J15" i="3" s="1"/>
  <c r="H14" i="3"/>
  <c r="I14" i="3" s="1"/>
  <c r="J14" i="3" s="1"/>
  <c r="H13" i="3"/>
  <c r="I13" i="3" s="1"/>
  <c r="J13" i="3" s="1"/>
  <c r="H12" i="3"/>
  <c r="I12" i="3" s="1"/>
  <c r="J12" i="3" s="1"/>
  <c r="H11" i="3"/>
  <c r="I11" i="3" s="1"/>
  <c r="J11" i="3" s="1"/>
  <c r="H10" i="3"/>
  <c r="I10" i="3" s="1"/>
  <c r="J10" i="3" s="1"/>
  <c r="H9" i="3"/>
  <c r="I9" i="3" s="1"/>
  <c r="J9" i="3" s="1"/>
  <c r="H8" i="3"/>
  <c r="I8" i="3" s="1"/>
  <c r="J8" i="3" s="1"/>
  <c r="H7" i="3"/>
  <c r="I7" i="3" s="1"/>
  <c r="J7" i="3" s="1"/>
  <c r="H154" i="3"/>
  <c r="I154" i="3" s="1"/>
  <c r="J154" i="3" s="1"/>
  <c r="H138" i="3"/>
  <c r="I138" i="3" s="1"/>
  <c r="J138" i="3" s="1"/>
  <c r="H111" i="3"/>
  <c r="I111" i="3" s="1"/>
  <c r="J111" i="3" s="1"/>
  <c r="H95" i="3"/>
  <c r="I95" i="3" s="1"/>
  <c r="J95" i="3" s="1"/>
  <c r="H160" i="3"/>
  <c r="I160" i="3" s="1"/>
  <c r="J160" i="3" s="1"/>
  <c r="H156" i="3"/>
  <c r="I156" i="3" s="1"/>
  <c r="J156" i="3" s="1"/>
  <c r="H161" i="3"/>
  <c r="I161" i="3" s="1"/>
  <c r="J161" i="3" s="1"/>
  <c r="H136" i="3"/>
  <c r="I136" i="3" s="1"/>
  <c r="J136" i="3" s="1"/>
  <c r="H123" i="3"/>
  <c r="I123" i="3" s="1"/>
  <c r="J123" i="3" s="1"/>
  <c r="H118" i="3"/>
  <c r="I118" i="3" s="1"/>
  <c r="J118" i="3" s="1"/>
  <c r="H109" i="3"/>
  <c r="I109" i="3" s="1"/>
  <c r="J109" i="3" s="1"/>
  <c r="H100" i="3"/>
  <c r="I100" i="3" s="1"/>
  <c r="J100" i="3" s="1"/>
  <c r="H90" i="3"/>
  <c r="I90" i="3" s="1"/>
  <c r="J90" i="3" s="1"/>
  <c r="H76" i="3"/>
  <c r="I76" i="3" s="1"/>
  <c r="J76" i="3" s="1"/>
  <c r="H60" i="3"/>
  <c r="I60" i="3" s="1"/>
  <c r="J60" i="3" s="1"/>
  <c r="H32" i="3"/>
  <c r="I32" i="3" s="1"/>
  <c r="J32" i="3" s="1"/>
  <c r="H29" i="3"/>
  <c r="I29" i="3" s="1"/>
  <c r="J29" i="3" s="1"/>
  <c r="H158" i="3"/>
  <c r="I158" i="3" s="1"/>
  <c r="J158" i="3" s="1"/>
  <c r="H155" i="3"/>
  <c r="I155" i="3" s="1"/>
  <c r="J155" i="3" s="1"/>
  <c r="H145" i="3"/>
  <c r="I145" i="3" s="1"/>
  <c r="J145" i="3" s="1"/>
  <c r="H132" i="3"/>
  <c r="I132" i="3" s="1"/>
  <c r="J132" i="3" s="1"/>
  <c r="H91" i="3"/>
  <c r="I91" i="3" s="1"/>
  <c r="J91" i="3" s="1"/>
  <c r="H77" i="3"/>
  <c r="I77" i="3" s="1"/>
  <c r="J77" i="3" s="1"/>
  <c r="H61" i="3"/>
  <c r="I61" i="3" s="1"/>
  <c r="J61" i="3" s="1"/>
  <c r="H45" i="3"/>
  <c r="I45" i="3" s="1"/>
  <c r="J45" i="3" s="1"/>
  <c r="H33" i="3"/>
  <c r="I33" i="3" s="1"/>
  <c r="J33" i="3" s="1"/>
  <c r="H30" i="3"/>
  <c r="I30" i="3" s="1"/>
  <c r="J30" i="3" s="1"/>
  <c r="H152" i="3"/>
  <c r="I152" i="3" s="1"/>
  <c r="J152" i="3" s="1"/>
  <c r="H141" i="3"/>
  <c r="I141" i="3" s="1"/>
  <c r="J141" i="3" s="1"/>
  <c r="H128" i="3"/>
  <c r="I128" i="3" s="1"/>
  <c r="J128" i="3" s="1"/>
  <c r="H119" i="3"/>
  <c r="I119" i="3" s="1"/>
  <c r="J119" i="3" s="1"/>
  <c r="H110" i="3"/>
  <c r="I110" i="3" s="1"/>
  <c r="J110" i="3" s="1"/>
  <c r="H101" i="3"/>
  <c r="I101" i="3" s="1"/>
  <c r="J101" i="3" s="1"/>
  <c r="H92" i="3"/>
  <c r="I92" i="3" s="1"/>
  <c r="J92" i="3" s="1"/>
  <c r="H78" i="3"/>
  <c r="I78" i="3" s="1"/>
  <c r="J78" i="3" s="1"/>
  <c r="H62" i="3"/>
  <c r="I62" i="3" s="1"/>
  <c r="J62" i="3" s="1"/>
  <c r="H46" i="3"/>
  <c r="I46" i="3" s="1"/>
  <c r="J46" i="3" s="1"/>
  <c r="H31" i="3"/>
  <c r="I31" i="3" s="1"/>
  <c r="J31" i="3" s="1"/>
  <c r="H149" i="3"/>
  <c r="I149" i="3" s="1"/>
  <c r="J149" i="3" s="1"/>
  <c r="H102" i="3"/>
  <c r="I102" i="3" s="1"/>
  <c r="J102" i="3" s="1"/>
  <c r="H93" i="3"/>
  <c r="I93" i="3" s="1"/>
  <c r="J93" i="3" s="1"/>
  <c r="H79" i="3"/>
  <c r="I79" i="3" s="1"/>
  <c r="J79" i="3" s="1"/>
  <c r="H63" i="3"/>
  <c r="I63" i="3" s="1"/>
  <c r="J63" i="3" s="1"/>
  <c r="H47" i="3"/>
  <c r="I47" i="3" s="1"/>
  <c r="J47" i="3" s="1"/>
  <c r="H137" i="3"/>
  <c r="I137" i="3" s="1"/>
  <c r="J137" i="3" s="1"/>
  <c r="H133" i="3"/>
  <c r="I133" i="3" s="1"/>
  <c r="J133" i="3" s="1"/>
  <c r="H124" i="3"/>
  <c r="I124" i="3" s="1"/>
  <c r="J124" i="3" s="1"/>
  <c r="H80" i="3"/>
  <c r="I80" i="3" s="1"/>
  <c r="J80" i="3" s="1"/>
  <c r="H64" i="3"/>
  <c r="I64" i="3" s="1"/>
  <c r="J64" i="3" s="1"/>
  <c r="H48" i="3"/>
  <c r="I48" i="3" s="1"/>
  <c r="J48" i="3" s="1"/>
  <c r="H146" i="3"/>
  <c r="I146" i="3" s="1"/>
  <c r="J146" i="3" s="1"/>
  <c r="H120" i="3"/>
  <c r="I120" i="3" s="1"/>
  <c r="J120" i="3" s="1"/>
  <c r="H112" i="3"/>
  <c r="I112" i="3" s="1"/>
  <c r="J112" i="3" s="1"/>
  <c r="H103" i="3"/>
  <c r="I103" i="3" s="1"/>
  <c r="J103" i="3" s="1"/>
  <c r="H94" i="3"/>
  <c r="I94" i="3" s="1"/>
  <c r="J94" i="3" s="1"/>
  <c r="H81" i="3"/>
  <c r="I81" i="3" s="1"/>
  <c r="J81" i="3" s="1"/>
  <c r="H65" i="3"/>
  <c r="I65" i="3" s="1"/>
  <c r="J65" i="3" s="1"/>
  <c r="H49" i="3"/>
  <c r="I49" i="3" s="1"/>
  <c r="J49" i="3" s="1"/>
  <c r="H159" i="3"/>
  <c r="I159" i="3" s="1"/>
  <c r="J159" i="3" s="1"/>
  <c r="H142" i="3"/>
  <c r="I142" i="3" s="1"/>
  <c r="J142" i="3" s="1"/>
  <c r="H129" i="3"/>
  <c r="I129" i="3" s="1"/>
  <c r="J129" i="3" s="1"/>
  <c r="H82" i="3"/>
  <c r="I82" i="3" s="1"/>
  <c r="J82" i="3" s="1"/>
  <c r="H66" i="3"/>
  <c r="I66" i="3" s="1"/>
  <c r="J66" i="3" s="1"/>
  <c r="H50" i="3"/>
  <c r="I50" i="3" s="1"/>
  <c r="J50" i="3" s="1"/>
  <c r="H150" i="3"/>
  <c r="I150" i="3" s="1"/>
  <c r="J150" i="3" s="1"/>
  <c r="H125" i="3"/>
  <c r="I125" i="3" s="1"/>
  <c r="J125" i="3" s="1"/>
  <c r="H113" i="3"/>
  <c r="I113" i="3" s="1"/>
  <c r="J113" i="3" s="1"/>
  <c r="H104" i="3"/>
  <c r="I104" i="3" s="1"/>
  <c r="J104" i="3" s="1"/>
  <c r="H67" i="3"/>
  <c r="I67" i="3" s="1"/>
  <c r="J67" i="3" s="1"/>
  <c r="H51" i="3"/>
  <c r="I51" i="3" s="1"/>
  <c r="J51" i="3" s="1"/>
  <c r="H114" i="3"/>
  <c r="I114" i="3" s="1"/>
  <c r="J114" i="3" s="1"/>
  <c r="H87" i="3"/>
  <c r="I87" i="3" s="1"/>
  <c r="J87" i="3" s="1"/>
  <c r="H85" i="3"/>
  <c r="I85" i="3" s="1"/>
  <c r="J85" i="3" s="1"/>
  <c r="H22" i="3"/>
  <c r="I22" i="3" s="1"/>
  <c r="J22" i="3" s="1"/>
  <c r="H86" i="3"/>
  <c r="I86" i="3" s="1"/>
  <c r="J86" i="3" s="1"/>
  <c r="H39" i="3"/>
  <c r="I39" i="3" s="1"/>
  <c r="J39" i="3" s="1"/>
  <c r="H157" i="3"/>
  <c r="I157" i="3" s="1"/>
  <c r="J157" i="3" s="1"/>
  <c r="H147" i="3"/>
  <c r="I147" i="3" s="1"/>
  <c r="J147" i="3" s="1"/>
  <c r="H127" i="3"/>
  <c r="I127" i="3" s="1"/>
  <c r="J127" i="3" s="1"/>
  <c r="H38" i="3"/>
  <c r="I38" i="3" s="1"/>
  <c r="J38" i="3" s="1"/>
  <c r="H116" i="3"/>
  <c r="I116" i="3" s="1"/>
  <c r="J116" i="3" s="1"/>
  <c r="H96" i="3"/>
  <c r="I96" i="3" s="1"/>
  <c r="J96" i="3" s="1"/>
  <c r="H106" i="3"/>
  <c r="I106" i="3" s="1"/>
  <c r="J106" i="3" s="1"/>
  <c r="H36" i="3"/>
  <c r="I36" i="3" s="1"/>
  <c r="J36" i="3" s="1"/>
  <c r="H115" i="3"/>
  <c r="I115" i="3" s="1"/>
  <c r="J115" i="3" s="1"/>
  <c r="H21" i="3"/>
  <c r="I21" i="3" s="1"/>
  <c r="J21" i="3" s="1"/>
  <c r="H140" i="3"/>
  <c r="I140" i="3" s="1"/>
  <c r="J140" i="3" s="1"/>
  <c r="H131" i="3"/>
  <c r="I131" i="3" s="1"/>
  <c r="J131" i="3" s="1"/>
  <c r="H122" i="3"/>
  <c r="I122" i="3" s="1"/>
  <c r="J122" i="3" s="1"/>
  <c r="H108" i="3"/>
  <c r="I108" i="3" s="1"/>
  <c r="J108" i="3" s="1"/>
  <c r="H98" i="3"/>
  <c r="I98" i="3" s="1"/>
  <c r="J98" i="3" s="1"/>
  <c r="H43" i="3"/>
  <c r="I43" i="3" s="1"/>
  <c r="J43" i="3" s="1"/>
  <c r="H20" i="3"/>
  <c r="I20" i="3" s="1"/>
  <c r="J20" i="3" s="1"/>
  <c r="H18" i="3"/>
  <c r="I18" i="3" s="1"/>
  <c r="J18" i="3" s="1"/>
  <c r="H84" i="3"/>
  <c r="I84" i="3" s="1"/>
  <c r="J84" i="3" s="1"/>
  <c r="H121" i="3"/>
  <c r="I121" i="3" s="1"/>
  <c r="J121" i="3" s="1"/>
  <c r="H75" i="3"/>
  <c r="I75" i="3" s="1"/>
  <c r="J75" i="3" s="1"/>
  <c r="H58" i="3"/>
  <c r="I58" i="3" s="1"/>
  <c r="J58" i="3" s="1"/>
  <c r="H34" i="3"/>
  <c r="I34" i="3" s="1"/>
  <c r="J34" i="3" s="1"/>
  <c r="H73" i="3"/>
  <c r="I73" i="3" s="1"/>
  <c r="J73" i="3" s="1"/>
  <c r="H71" i="3"/>
  <c r="I71" i="3" s="1"/>
  <c r="J71" i="3" s="1"/>
  <c r="H69" i="3"/>
  <c r="I69" i="3" s="1"/>
  <c r="J69" i="3" s="1"/>
  <c r="H56" i="3"/>
  <c r="I56" i="3" s="1"/>
  <c r="J56" i="3" s="1"/>
  <c r="H54" i="3"/>
  <c r="I54" i="3" s="1"/>
  <c r="J54" i="3" s="1"/>
  <c r="H52" i="3"/>
  <c r="I52" i="3" s="1"/>
  <c r="J52" i="3" s="1"/>
  <c r="H41" i="3"/>
  <c r="I41" i="3" s="1"/>
  <c r="J41" i="3" s="1"/>
  <c r="H27" i="3"/>
  <c r="I27" i="3" s="1"/>
  <c r="J27" i="3" s="1"/>
  <c r="H151" i="3"/>
  <c r="I151" i="3" s="1"/>
  <c r="J151" i="3" s="1"/>
  <c r="H144" i="3"/>
  <c r="I144" i="3" s="1"/>
  <c r="J144" i="3" s="1"/>
  <c r="H135" i="3"/>
  <c r="I135" i="3" s="1"/>
  <c r="J135" i="3" s="1"/>
  <c r="H126" i="3"/>
  <c r="I126" i="3" s="1"/>
  <c r="J126" i="3" s="1"/>
  <c r="H88" i="3"/>
  <c r="I88" i="3" s="1"/>
  <c r="J88" i="3" s="1"/>
  <c r="H25" i="3"/>
  <c r="I25" i="3" s="1"/>
  <c r="J25" i="3" s="1"/>
  <c r="H23" i="3"/>
  <c r="I23" i="3" s="1"/>
  <c r="J23" i="3" s="1"/>
  <c r="H130" i="3"/>
  <c r="I130" i="3" s="1"/>
  <c r="J130" i="3" s="1"/>
  <c r="H40" i="3"/>
  <c r="I40" i="3" s="1"/>
  <c r="J40" i="3" s="1"/>
  <c r="H59" i="3"/>
  <c r="I59" i="3" s="1"/>
  <c r="J59" i="3" s="1"/>
  <c r="H55" i="3"/>
  <c r="I55" i="3" s="1"/>
  <c r="J55" i="3" s="1"/>
  <c r="H83" i="3"/>
  <c r="I83" i="3" s="1"/>
  <c r="J83" i="3" s="1"/>
  <c r="H24" i="3"/>
  <c r="I24" i="3" s="1"/>
  <c r="J24" i="3" s="1"/>
  <c r="H139" i="3"/>
  <c r="I139" i="3" s="1"/>
  <c r="J139" i="3" s="1"/>
  <c r="H68" i="3"/>
  <c r="I68" i="3" s="1"/>
  <c r="J68" i="3" s="1"/>
  <c r="H134" i="3"/>
  <c r="I134" i="3" s="1"/>
  <c r="J134" i="3" s="1"/>
  <c r="H107" i="3"/>
  <c r="I107" i="3" s="1"/>
  <c r="J107" i="3" s="1"/>
  <c r="H57" i="3"/>
  <c r="I57" i="3" s="1"/>
  <c r="J57" i="3" s="1"/>
  <c r="H44" i="3"/>
  <c r="I44" i="3" s="1"/>
  <c r="J44" i="3" s="1"/>
  <c r="H89" i="3"/>
  <c r="I89" i="3" s="1"/>
  <c r="J89" i="3" s="1"/>
  <c r="H74" i="3"/>
  <c r="I74" i="3" s="1"/>
  <c r="J74" i="3" s="1"/>
  <c r="H53" i="3"/>
  <c r="I53" i="3" s="1"/>
  <c r="J53" i="3" s="1"/>
  <c r="H26" i="3"/>
  <c r="I26" i="3" s="1"/>
  <c r="J26" i="3" s="1"/>
  <c r="H19" i="3"/>
  <c r="I19" i="3" s="1"/>
  <c r="J19" i="3" s="1"/>
  <c r="H28" i="3"/>
  <c r="I28" i="3" s="1"/>
  <c r="J28" i="3" s="1"/>
  <c r="H97" i="3"/>
  <c r="I97" i="3" s="1"/>
  <c r="J97" i="3" s="1"/>
  <c r="H37" i="3"/>
  <c r="I37" i="3" s="1"/>
  <c r="J37" i="3" s="1"/>
  <c r="H99" i="3"/>
  <c r="I99" i="3" s="1"/>
  <c r="J99" i="3" s="1"/>
  <c r="H42" i="3"/>
  <c r="I42" i="3" s="1"/>
  <c r="J42" i="3" s="1"/>
  <c r="H35" i="3"/>
  <c r="I35" i="3" s="1"/>
  <c r="J35" i="3" s="1"/>
  <c r="H148" i="3"/>
  <c r="I148" i="3" s="1"/>
  <c r="J148" i="3" s="1"/>
  <c r="H117" i="3"/>
  <c r="I117" i="3" s="1"/>
  <c r="J117" i="3" s="1"/>
  <c r="H70" i="3"/>
  <c r="I70" i="3" s="1"/>
  <c r="J70" i="3" s="1"/>
  <c r="H105" i="3"/>
  <c r="I105" i="3" s="1"/>
  <c r="J105" i="3" s="1"/>
  <c r="H6" i="3"/>
  <c r="I6" i="3" s="1"/>
  <c r="J6" i="3" s="1"/>
  <c r="H153" i="3"/>
  <c r="I153" i="3" s="1"/>
  <c r="J153" i="3" s="1"/>
  <c r="H72" i="3"/>
  <c r="I72" i="3" s="1"/>
  <c r="J72" i="3" s="1"/>
  <c r="H143" i="3"/>
  <c r="I143" i="3" s="1"/>
  <c r="J143" i="3" s="1"/>
  <c r="R161" i="25"/>
  <c r="S161" i="25" s="1"/>
  <c r="T161" i="25" s="1"/>
  <c r="R147" i="25"/>
  <c r="S147" i="25" s="1"/>
  <c r="T147" i="25" s="1"/>
  <c r="R131" i="25"/>
  <c r="S131" i="25" s="1"/>
  <c r="T131" i="25" s="1"/>
  <c r="R148" i="25"/>
  <c r="S148" i="25" s="1"/>
  <c r="T148" i="25" s="1"/>
  <c r="R132" i="25"/>
  <c r="S132" i="25" s="1"/>
  <c r="T132" i="25" s="1"/>
  <c r="R143" i="25"/>
  <c r="S143" i="25" s="1"/>
  <c r="T143" i="25" s="1"/>
  <c r="R137" i="25"/>
  <c r="S137" i="25" s="1"/>
  <c r="T137" i="25" s="1"/>
  <c r="R123" i="25"/>
  <c r="S123" i="25" s="1"/>
  <c r="T123" i="25" s="1"/>
  <c r="R108" i="25"/>
  <c r="S108" i="25" s="1"/>
  <c r="T108" i="25" s="1"/>
  <c r="R156" i="25"/>
  <c r="S156" i="25" s="1"/>
  <c r="T156" i="25" s="1"/>
  <c r="R150" i="25"/>
  <c r="S150" i="25" s="1"/>
  <c r="T150" i="25" s="1"/>
  <c r="R124" i="25"/>
  <c r="S124" i="25" s="1"/>
  <c r="T124" i="25" s="1"/>
  <c r="R109" i="25"/>
  <c r="S109" i="25" s="1"/>
  <c r="T109" i="25" s="1"/>
  <c r="R116" i="25"/>
  <c r="S116" i="25" s="1"/>
  <c r="T116" i="25" s="1"/>
  <c r="R100" i="25"/>
  <c r="S100" i="25" s="1"/>
  <c r="T100" i="25" s="1"/>
  <c r="R154" i="25"/>
  <c r="S154" i="25" s="1"/>
  <c r="T154" i="25" s="1"/>
  <c r="R125" i="25"/>
  <c r="S125" i="25" s="1"/>
  <c r="T125" i="25" s="1"/>
  <c r="R102" i="25"/>
  <c r="S102" i="25" s="1"/>
  <c r="T102" i="25" s="1"/>
  <c r="R96" i="25"/>
  <c r="S96" i="25" s="1"/>
  <c r="T96" i="25" s="1"/>
  <c r="R77" i="25"/>
  <c r="S77" i="25" s="1"/>
  <c r="T77" i="25" s="1"/>
  <c r="R61" i="25"/>
  <c r="S61" i="25" s="1"/>
  <c r="T61" i="25" s="1"/>
  <c r="R160" i="25"/>
  <c r="S160" i="25" s="1"/>
  <c r="T160" i="25" s="1"/>
  <c r="R152" i="25"/>
  <c r="S152" i="25" s="1"/>
  <c r="T152" i="25" s="1"/>
  <c r="R145" i="25"/>
  <c r="S145" i="25" s="1"/>
  <c r="T145" i="25" s="1"/>
  <c r="R107" i="25"/>
  <c r="S107" i="25" s="1"/>
  <c r="T107" i="25" s="1"/>
  <c r="R97" i="25"/>
  <c r="S97" i="25" s="1"/>
  <c r="T97" i="25" s="1"/>
  <c r="R155" i="25"/>
  <c r="S155" i="25" s="1"/>
  <c r="T155" i="25" s="1"/>
  <c r="R149" i="25"/>
  <c r="S149" i="25" s="1"/>
  <c r="T149" i="25" s="1"/>
  <c r="R142" i="25"/>
  <c r="S142" i="25" s="1"/>
  <c r="T142" i="25" s="1"/>
  <c r="R139" i="25"/>
  <c r="S139" i="25" s="1"/>
  <c r="T139" i="25" s="1"/>
  <c r="R129" i="25"/>
  <c r="S129" i="25" s="1"/>
  <c r="T129" i="25" s="1"/>
  <c r="R98" i="25"/>
  <c r="S98" i="25" s="1"/>
  <c r="T98" i="25" s="1"/>
  <c r="R67" i="25"/>
  <c r="S67" i="25" s="1"/>
  <c r="T67" i="25" s="1"/>
  <c r="R51" i="25"/>
  <c r="S51" i="25" s="1"/>
  <c r="T51" i="25" s="1"/>
  <c r="R41" i="25"/>
  <c r="S41" i="25" s="1"/>
  <c r="T41" i="25" s="1"/>
  <c r="R15" i="25"/>
  <c r="S15" i="25" s="1"/>
  <c r="T15" i="25" s="1"/>
  <c r="R121" i="25"/>
  <c r="S121" i="25" s="1"/>
  <c r="T121" i="25" s="1"/>
  <c r="R117" i="25"/>
  <c r="S117" i="25" s="1"/>
  <c r="T117" i="25" s="1"/>
  <c r="R112" i="25"/>
  <c r="S112" i="25" s="1"/>
  <c r="T112" i="25" s="1"/>
  <c r="R83" i="25"/>
  <c r="S83" i="25" s="1"/>
  <c r="T83" i="25" s="1"/>
  <c r="R78" i="25"/>
  <c r="S78" i="25" s="1"/>
  <c r="T78" i="25" s="1"/>
  <c r="R62" i="25"/>
  <c r="S62" i="25" s="1"/>
  <c r="T62" i="25" s="1"/>
  <c r="R46" i="25"/>
  <c r="S46" i="25" s="1"/>
  <c r="T46" i="25" s="1"/>
  <c r="R36" i="25"/>
  <c r="S36" i="25" s="1"/>
  <c r="T36" i="25" s="1"/>
  <c r="R16" i="25"/>
  <c r="S16" i="25" s="1"/>
  <c r="T16" i="25" s="1"/>
  <c r="R136" i="25"/>
  <c r="S136" i="25" s="1"/>
  <c r="T136" i="25" s="1"/>
  <c r="R133" i="25"/>
  <c r="S133" i="25" s="1"/>
  <c r="T133" i="25" s="1"/>
  <c r="R126" i="25"/>
  <c r="S126" i="25" s="1"/>
  <c r="T126" i="25" s="1"/>
  <c r="R103" i="25"/>
  <c r="S103" i="25" s="1"/>
  <c r="T103" i="25" s="1"/>
  <c r="R158" i="25"/>
  <c r="S158" i="25" s="1"/>
  <c r="T158" i="25" s="1"/>
  <c r="R146" i="25"/>
  <c r="S146" i="25" s="1"/>
  <c r="T146" i="25" s="1"/>
  <c r="R99" i="25"/>
  <c r="S99" i="25" s="1"/>
  <c r="T99" i="25" s="1"/>
  <c r="R159" i="25"/>
  <c r="S159" i="25" s="1"/>
  <c r="T159" i="25" s="1"/>
  <c r="R90" i="25"/>
  <c r="S90" i="25" s="1"/>
  <c r="T90" i="25" s="1"/>
  <c r="R75" i="25"/>
  <c r="S75" i="25" s="1"/>
  <c r="T75" i="25" s="1"/>
  <c r="R59" i="25"/>
  <c r="S59" i="25" s="1"/>
  <c r="T59" i="25" s="1"/>
  <c r="R32" i="25"/>
  <c r="S32" i="25" s="1"/>
  <c r="T32" i="25" s="1"/>
  <c r="R26" i="25"/>
  <c r="S26" i="25" s="1"/>
  <c r="T26" i="25" s="1"/>
  <c r="R157" i="25"/>
  <c r="S157" i="25" s="1"/>
  <c r="T157" i="25" s="1"/>
  <c r="R138" i="25"/>
  <c r="S138" i="25" s="1"/>
  <c r="T138" i="25" s="1"/>
  <c r="R135" i="25"/>
  <c r="S135" i="25" s="1"/>
  <c r="T135" i="25" s="1"/>
  <c r="R106" i="25"/>
  <c r="S106" i="25" s="1"/>
  <c r="T106" i="25" s="1"/>
  <c r="R104" i="25"/>
  <c r="S104" i="25" s="1"/>
  <c r="T104" i="25" s="1"/>
  <c r="R33" i="25"/>
  <c r="S33" i="25" s="1"/>
  <c r="T33" i="25" s="1"/>
  <c r="R12" i="25"/>
  <c r="S12" i="25" s="1"/>
  <c r="T12" i="25" s="1"/>
  <c r="R141" i="25"/>
  <c r="S141" i="25" s="1"/>
  <c r="T141" i="25" s="1"/>
  <c r="R89" i="25"/>
  <c r="S89" i="25" s="1"/>
  <c r="T89" i="25" s="1"/>
  <c r="R86" i="25"/>
  <c r="S86" i="25" s="1"/>
  <c r="T86" i="25" s="1"/>
  <c r="R80" i="25"/>
  <c r="S80" i="25" s="1"/>
  <c r="T80" i="25" s="1"/>
  <c r="R66" i="25"/>
  <c r="S66" i="25" s="1"/>
  <c r="T66" i="25" s="1"/>
  <c r="R58" i="25"/>
  <c r="S58" i="25" s="1"/>
  <c r="T58" i="25" s="1"/>
  <c r="R18" i="25"/>
  <c r="S18" i="25" s="1"/>
  <c r="T18" i="25" s="1"/>
  <c r="R128" i="25"/>
  <c r="S128" i="25" s="1"/>
  <c r="T128" i="25" s="1"/>
  <c r="R119" i="25"/>
  <c r="S119" i="25" s="1"/>
  <c r="T119" i="25" s="1"/>
  <c r="R110" i="25"/>
  <c r="S110" i="25" s="1"/>
  <c r="T110" i="25" s="1"/>
  <c r="R72" i="25"/>
  <c r="S72" i="25" s="1"/>
  <c r="T72" i="25" s="1"/>
  <c r="R69" i="25"/>
  <c r="S69" i="25" s="1"/>
  <c r="T69" i="25" s="1"/>
  <c r="R55" i="25"/>
  <c r="S55" i="25" s="1"/>
  <c r="T55" i="25" s="1"/>
  <c r="R52" i="25"/>
  <c r="S52" i="25" s="1"/>
  <c r="T52" i="25" s="1"/>
  <c r="R49" i="25"/>
  <c r="S49" i="25" s="1"/>
  <c r="T49" i="25" s="1"/>
  <c r="R43" i="25"/>
  <c r="S43" i="25" s="1"/>
  <c r="T43" i="25" s="1"/>
  <c r="R28" i="25"/>
  <c r="S28" i="25" s="1"/>
  <c r="T28" i="25" s="1"/>
  <c r="R23" i="25"/>
  <c r="S23" i="25" s="1"/>
  <c r="T23" i="25" s="1"/>
  <c r="R13" i="25"/>
  <c r="S13" i="25" s="1"/>
  <c r="T13" i="25" s="1"/>
  <c r="R151" i="25"/>
  <c r="S151" i="25" s="1"/>
  <c r="T151" i="25" s="1"/>
  <c r="R40" i="25"/>
  <c r="S40" i="25" s="1"/>
  <c r="T40" i="25" s="1"/>
  <c r="R37" i="25"/>
  <c r="S37" i="25" s="1"/>
  <c r="T37" i="25" s="1"/>
  <c r="R130" i="25"/>
  <c r="S130" i="25" s="1"/>
  <c r="T130" i="25" s="1"/>
  <c r="R94" i="25"/>
  <c r="S94" i="25" s="1"/>
  <c r="T94" i="25" s="1"/>
  <c r="R64" i="25"/>
  <c r="S64" i="25" s="1"/>
  <c r="T64" i="25" s="1"/>
  <c r="R88" i="25"/>
  <c r="S88" i="25" s="1"/>
  <c r="T88" i="25" s="1"/>
  <c r="R76" i="25"/>
  <c r="S76" i="25" s="1"/>
  <c r="T76" i="25" s="1"/>
  <c r="R44" i="25"/>
  <c r="S44" i="25" s="1"/>
  <c r="T44" i="25" s="1"/>
  <c r="R35" i="25"/>
  <c r="S35" i="25" s="1"/>
  <c r="T35" i="25" s="1"/>
  <c r="R20" i="25"/>
  <c r="S20" i="25" s="1"/>
  <c r="T20" i="25" s="1"/>
  <c r="R10" i="25"/>
  <c r="S10" i="25" s="1"/>
  <c r="T10" i="25" s="1"/>
  <c r="R120" i="25"/>
  <c r="S120" i="25" s="1"/>
  <c r="T120" i="25" s="1"/>
  <c r="R113" i="25"/>
  <c r="S113" i="25" s="1"/>
  <c r="T113" i="25" s="1"/>
  <c r="R111" i="25"/>
  <c r="S111" i="25" s="1"/>
  <c r="T111" i="25" s="1"/>
  <c r="R85" i="25"/>
  <c r="S85" i="25" s="1"/>
  <c r="T85" i="25" s="1"/>
  <c r="R93" i="25"/>
  <c r="S93" i="25" s="1"/>
  <c r="T93" i="25" s="1"/>
  <c r="R91" i="25"/>
  <c r="S91" i="25" s="1"/>
  <c r="T91" i="25" s="1"/>
  <c r="R82" i="25"/>
  <c r="S82" i="25" s="1"/>
  <c r="T82" i="25" s="1"/>
  <c r="R74" i="25"/>
  <c r="S74" i="25" s="1"/>
  <c r="T74" i="25" s="1"/>
  <c r="R60" i="25"/>
  <c r="S60" i="25" s="1"/>
  <c r="T60" i="25" s="1"/>
  <c r="R48" i="25"/>
  <c r="S48" i="25" s="1"/>
  <c r="T48" i="25" s="1"/>
  <c r="R42" i="25"/>
  <c r="S42" i="25" s="1"/>
  <c r="T42" i="25" s="1"/>
  <c r="R39" i="25"/>
  <c r="S39" i="25" s="1"/>
  <c r="T39" i="25" s="1"/>
  <c r="R127" i="25"/>
  <c r="S127" i="25" s="1"/>
  <c r="T127" i="25" s="1"/>
  <c r="R92" i="25"/>
  <c r="S92" i="25" s="1"/>
  <c r="T92" i="25" s="1"/>
  <c r="R65" i="25"/>
  <c r="S65" i="25" s="1"/>
  <c r="T65" i="25" s="1"/>
  <c r="R29" i="25"/>
  <c r="S29" i="25" s="1"/>
  <c r="T29" i="25" s="1"/>
  <c r="R9" i="25"/>
  <c r="S9" i="25" s="1"/>
  <c r="T9" i="25" s="1"/>
  <c r="R105" i="25"/>
  <c r="S105" i="25" s="1"/>
  <c r="T105" i="25" s="1"/>
  <c r="R101" i="25"/>
  <c r="S101" i="25" s="1"/>
  <c r="T101" i="25" s="1"/>
  <c r="R38" i="25"/>
  <c r="S38" i="25" s="1"/>
  <c r="T38" i="25" s="1"/>
  <c r="R22" i="25"/>
  <c r="S22" i="25" s="1"/>
  <c r="T22" i="25" s="1"/>
  <c r="R17" i="25"/>
  <c r="S17" i="25" s="1"/>
  <c r="T17" i="25" s="1"/>
  <c r="R6" i="25"/>
  <c r="S6" i="25" s="1"/>
  <c r="T6" i="25" s="1"/>
  <c r="R95" i="25"/>
  <c r="S95" i="25" s="1"/>
  <c r="T95" i="25" s="1"/>
  <c r="R50" i="25"/>
  <c r="S50" i="25" s="1"/>
  <c r="T50" i="25" s="1"/>
  <c r="R30" i="25"/>
  <c r="S30" i="25" s="1"/>
  <c r="T30" i="25" s="1"/>
  <c r="R70" i="25"/>
  <c r="S70" i="25" s="1"/>
  <c r="T70" i="25" s="1"/>
  <c r="R57" i="25"/>
  <c r="S57" i="25" s="1"/>
  <c r="T57" i="25" s="1"/>
  <c r="R45" i="25"/>
  <c r="S45" i="25" s="1"/>
  <c r="T45" i="25" s="1"/>
  <c r="R27" i="25"/>
  <c r="S27" i="25" s="1"/>
  <c r="T27" i="25" s="1"/>
  <c r="R134" i="25"/>
  <c r="S134" i="25" s="1"/>
  <c r="T134" i="25" s="1"/>
  <c r="R115" i="25"/>
  <c r="S115" i="25" s="1"/>
  <c r="T115" i="25" s="1"/>
  <c r="R7" i="25"/>
  <c r="S7" i="25" s="1"/>
  <c r="T7" i="25" s="1"/>
  <c r="R122" i="25"/>
  <c r="S122" i="25" s="1"/>
  <c r="T122" i="25" s="1"/>
  <c r="R47" i="25"/>
  <c r="S47" i="25" s="1"/>
  <c r="T47" i="25" s="1"/>
  <c r="R25" i="25"/>
  <c r="S25" i="25" s="1"/>
  <c r="T25" i="25" s="1"/>
  <c r="R144" i="25"/>
  <c r="S144" i="25" s="1"/>
  <c r="T144" i="25" s="1"/>
  <c r="R84" i="25"/>
  <c r="S84" i="25" s="1"/>
  <c r="T84" i="25" s="1"/>
  <c r="R73" i="25"/>
  <c r="S73" i="25" s="1"/>
  <c r="T73" i="25" s="1"/>
  <c r="R71" i="25"/>
  <c r="S71" i="25" s="1"/>
  <c r="T71" i="25" s="1"/>
  <c r="R24" i="25"/>
  <c r="S24" i="25" s="1"/>
  <c r="T24" i="25" s="1"/>
  <c r="R153" i="25"/>
  <c r="S153" i="25" s="1"/>
  <c r="T153" i="25" s="1"/>
  <c r="R114" i="25"/>
  <c r="S114" i="25" s="1"/>
  <c r="T114" i="25" s="1"/>
  <c r="R54" i="25"/>
  <c r="S54" i="25" s="1"/>
  <c r="T54" i="25" s="1"/>
  <c r="R34" i="25"/>
  <c r="S34" i="25" s="1"/>
  <c r="T34" i="25" s="1"/>
  <c r="R79" i="25"/>
  <c r="S79" i="25" s="1"/>
  <c r="T79" i="25" s="1"/>
  <c r="R31" i="25"/>
  <c r="S31" i="25" s="1"/>
  <c r="T31" i="25" s="1"/>
  <c r="R87" i="25"/>
  <c r="S87" i="25" s="1"/>
  <c r="T87" i="25" s="1"/>
  <c r="R53" i="25"/>
  <c r="S53" i="25" s="1"/>
  <c r="T53" i="25" s="1"/>
  <c r="R68" i="25"/>
  <c r="S68" i="25" s="1"/>
  <c r="T68" i="25" s="1"/>
  <c r="R19" i="25"/>
  <c r="S19" i="25" s="1"/>
  <c r="T19" i="25" s="1"/>
  <c r="R14" i="25"/>
  <c r="S14" i="25" s="1"/>
  <c r="T14" i="25" s="1"/>
  <c r="R162" i="25"/>
  <c r="S162" i="25" s="1"/>
  <c r="T162" i="25" s="1"/>
  <c r="R81" i="25"/>
  <c r="S81" i="25" s="1"/>
  <c r="T81" i="25" s="1"/>
  <c r="R63" i="25"/>
  <c r="S63" i="25" s="1"/>
  <c r="T63" i="25" s="1"/>
  <c r="R8" i="25"/>
  <c r="S8" i="25" s="1"/>
  <c r="T8" i="25" s="1"/>
  <c r="R56" i="25"/>
  <c r="S56" i="25" s="1"/>
  <c r="T56" i="25" s="1"/>
  <c r="R21" i="25"/>
  <c r="S21" i="25" s="1"/>
  <c r="T21" i="25" s="1"/>
  <c r="R11" i="25"/>
  <c r="S11" i="25" s="1"/>
  <c r="T11" i="25" s="1"/>
  <c r="R140" i="25"/>
  <c r="S140" i="25" s="1"/>
  <c r="T140" i="25" s="1"/>
  <c r="R118" i="25"/>
  <c r="S118" i="25" s="1"/>
  <c r="T118" i="25" s="1"/>
  <c r="I2" i="19" l="1"/>
  <c r="J2" i="19" s="1"/>
  <c r="I2" i="23"/>
  <c r="J2" i="23" s="1"/>
  <c r="X21" i="23" s="1"/>
  <c r="I2" i="7"/>
  <c r="J2" i="7" s="1"/>
  <c r="X21" i="7" s="1"/>
  <c r="R162" i="27"/>
  <c r="S162" i="27" s="1"/>
  <c r="T162" i="27" s="1"/>
  <c r="R82" i="27"/>
  <c r="S82" i="27" s="1"/>
  <c r="T82" i="27" s="1"/>
  <c r="R81" i="27"/>
  <c r="S81" i="27" s="1"/>
  <c r="T81" i="27" s="1"/>
  <c r="R80" i="27"/>
  <c r="S80" i="27" s="1"/>
  <c r="T80" i="27" s="1"/>
  <c r="R79" i="27"/>
  <c r="S79" i="27" s="1"/>
  <c r="T79" i="27" s="1"/>
  <c r="R78" i="27"/>
  <c r="S78" i="27" s="1"/>
  <c r="T78" i="27" s="1"/>
  <c r="R77" i="27"/>
  <c r="S77" i="27" s="1"/>
  <c r="T77" i="27" s="1"/>
  <c r="R85" i="27"/>
  <c r="S85" i="27" s="1"/>
  <c r="T85" i="27" s="1"/>
  <c r="R61" i="27"/>
  <c r="S61" i="27" s="1"/>
  <c r="T61" i="27" s="1"/>
  <c r="R45" i="27"/>
  <c r="S45" i="27" s="1"/>
  <c r="T45" i="27" s="1"/>
  <c r="R117" i="27"/>
  <c r="S117" i="27" s="1"/>
  <c r="T117" i="27" s="1"/>
  <c r="R109" i="27"/>
  <c r="S109" i="27" s="1"/>
  <c r="T109" i="27" s="1"/>
  <c r="R101" i="27"/>
  <c r="S101" i="27" s="1"/>
  <c r="T101" i="27" s="1"/>
  <c r="R86" i="27"/>
  <c r="S86" i="27" s="1"/>
  <c r="T86" i="27" s="1"/>
  <c r="R62" i="27"/>
  <c r="S62" i="27" s="1"/>
  <c r="T62" i="27" s="1"/>
  <c r="R160" i="27"/>
  <c r="S160" i="27" s="1"/>
  <c r="T160" i="27" s="1"/>
  <c r="R154" i="27"/>
  <c r="S154" i="27" s="1"/>
  <c r="T154" i="27" s="1"/>
  <c r="R140" i="27"/>
  <c r="S140" i="27" s="1"/>
  <c r="T140" i="27" s="1"/>
  <c r="R121" i="27"/>
  <c r="S121" i="27" s="1"/>
  <c r="T121" i="27" s="1"/>
  <c r="R99" i="27"/>
  <c r="S99" i="27" s="1"/>
  <c r="T99" i="27" s="1"/>
  <c r="R71" i="27"/>
  <c r="S71" i="27" s="1"/>
  <c r="T71" i="27" s="1"/>
  <c r="R65" i="27"/>
  <c r="S65" i="27" s="1"/>
  <c r="T65" i="27" s="1"/>
  <c r="R53" i="27"/>
  <c r="S53" i="27" s="1"/>
  <c r="T53" i="27" s="1"/>
  <c r="R143" i="27"/>
  <c r="S143" i="27" s="1"/>
  <c r="T143" i="27" s="1"/>
  <c r="R129" i="27"/>
  <c r="S129" i="27" s="1"/>
  <c r="T129" i="27" s="1"/>
  <c r="R118" i="27"/>
  <c r="S118" i="27" s="1"/>
  <c r="T118" i="27" s="1"/>
  <c r="R149" i="27"/>
  <c r="S149" i="27" s="1"/>
  <c r="T149" i="27" s="1"/>
  <c r="R130" i="27"/>
  <c r="S130" i="27" s="1"/>
  <c r="T130" i="27" s="1"/>
  <c r="R125" i="27"/>
  <c r="S125" i="27" s="1"/>
  <c r="T125" i="27" s="1"/>
  <c r="R102" i="27"/>
  <c r="S102" i="27" s="1"/>
  <c r="T102" i="27" s="1"/>
  <c r="R93" i="27"/>
  <c r="S93" i="27" s="1"/>
  <c r="T93" i="27" s="1"/>
  <c r="R153" i="27"/>
  <c r="S153" i="27" s="1"/>
  <c r="T153" i="27" s="1"/>
  <c r="R115" i="27"/>
  <c r="S115" i="27" s="1"/>
  <c r="T115" i="27" s="1"/>
  <c r="R98" i="27"/>
  <c r="S98" i="27" s="1"/>
  <c r="T98" i="27" s="1"/>
  <c r="R84" i="27"/>
  <c r="S84" i="27" s="1"/>
  <c r="T84" i="27" s="1"/>
  <c r="R161" i="27"/>
  <c r="S161" i="27" s="1"/>
  <c r="T161" i="27" s="1"/>
  <c r="R151" i="27"/>
  <c r="S151" i="27" s="1"/>
  <c r="T151" i="27" s="1"/>
  <c r="R144" i="27"/>
  <c r="S144" i="27" s="1"/>
  <c r="T144" i="27" s="1"/>
  <c r="R137" i="27"/>
  <c r="S137" i="27" s="1"/>
  <c r="T137" i="27" s="1"/>
  <c r="R112" i="27"/>
  <c r="S112" i="27" s="1"/>
  <c r="T112" i="27" s="1"/>
  <c r="R89" i="27"/>
  <c r="S89" i="27" s="1"/>
  <c r="T89" i="27" s="1"/>
  <c r="R76" i="27"/>
  <c r="S76" i="27" s="1"/>
  <c r="T76" i="27" s="1"/>
  <c r="R57" i="27"/>
  <c r="S57" i="27" s="1"/>
  <c r="T57" i="27" s="1"/>
  <c r="R47" i="27"/>
  <c r="S47" i="27" s="1"/>
  <c r="T47" i="27" s="1"/>
  <c r="R38" i="27"/>
  <c r="S38" i="27" s="1"/>
  <c r="T38" i="27" s="1"/>
  <c r="R135" i="27"/>
  <c r="S135" i="27" s="1"/>
  <c r="T135" i="27" s="1"/>
  <c r="R128" i="27"/>
  <c r="S128" i="27" s="1"/>
  <c r="T128" i="27" s="1"/>
  <c r="R123" i="27"/>
  <c r="S123" i="27" s="1"/>
  <c r="T123" i="27" s="1"/>
  <c r="R94" i="27"/>
  <c r="S94" i="27" s="1"/>
  <c r="T94" i="27" s="1"/>
  <c r="R67" i="27"/>
  <c r="S67" i="27" s="1"/>
  <c r="T67" i="27" s="1"/>
  <c r="R39" i="27"/>
  <c r="S39" i="27" s="1"/>
  <c r="T39" i="27" s="1"/>
  <c r="R142" i="27"/>
  <c r="S142" i="27" s="1"/>
  <c r="T142" i="27" s="1"/>
  <c r="R106" i="27"/>
  <c r="S106" i="27" s="1"/>
  <c r="T106" i="27" s="1"/>
  <c r="R68" i="27"/>
  <c r="S68" i="27" s="1"/>
  <c r="T68" i="27" s="1"/>
  <c r="R63" i="27"/>
  <c r="S63" i="27" s="1"/>
  <c r="T63" i="27" s="1"/>
  <c r="R41" i="27"/>
  <c r="S41" i="27" s="1"/>
  <c r="T41" i="27" s="1"/>
  <c r="R31" i="27"/>
  <c r="S31" i="27" s="1"/>
  <c r="T31" i="27" s="1"/>
  <c r="R30" i="27"/>
  <c r="S30" i="27" s="1"/>
  <c r="T30" i="27" s="1"/>
  <c r="R150" i="27"/>
  <c r="S150" i="27" s="1"/>
  <c r="T150" i="27" s="1"/>
  <c r="R145" i="27"/>
  <c r="S145" i="27" s="1"/>
  <c r="T145" i="27" s="1"/>
  <c r="R107" i="27"/>
  <c r="S107" i="27" s="1"/>
  <c r="T107" i="27" s="1"/>
  <c r="R104" i="27"/>
  <c r="S104" i="27" s="1"/>
  <c r="T104" i="27" s="1"/>
  <c r="R96" i="27"/>
  <c r="S96" i="27" s="1"/>
  <c r="T96" i="27" s="1"/>
  <c r="R55" i="27"/>
  <c r="S55" i="27" s="1"/>
  <c r="T55" i="27" s="1"/>
  <c r="R50" i="27"/>
  <c r="S50" i="27" s="1"/>
  <c r="T50" i="27" s="1"/>
  <c r="R17" i="27"/>
  <c r="S17" i="27" s="1"/>
  <c r="T17" i="27" s="1"/>
  <c r="R16" i="27"/>
  <c r="S16" i="27" s="1"/>
  <c r="T16" i="27" s="1"/>
  <c r="R15" i="27"/>
  <c r="S15" i="27" s="1"/>
  <c r="T15" i="27" s="1"/>
  <c r="R14" i="27"/>
  <c r="S14" i="27" s="1"/>
  <c r="T14" i="27" s="1"/>
  <c r="R13" i="27"/>
  <c r="S13" i="27" s="1"/>
  <c r="T13" i="27" s="1"/>
  <c r="R12" i="27"/>
  <c r="S12" i="27" s="1"/>
  <c r="T12" i="27" s="1"/>
  <c r="R11" i="27"/>
  <c r="S11" i="27" s="1"/>
  <c r="T11" i="27" s="1"/>
  <c r="R10" i="27"/>
  <c r="S10" i="27" s="1"/>
  <c r="T10" i="27" s="1"/>
  <c r="R9" i="27"/>
  <c r="S9" i="27" s="1"/>
  <c r="T9" i="27" s="1"/>
  <c r="R8" i="27"/>
  <c r="S8" i="27" s="1"/>
  <c r="T8" i="27" s="1"/>
  <c r="R7" i="27"/>
  <c r="S7" i="27" s="1"/>
  <c r="T7" i="27" s="1"/>
  <c r="R6" i="27"/>
  <c r="S6" i="27" s="1"/>
  <c r="T6" i="27" s="1"/>
  <c r="R148" i="27"/>
  <c r="S148" i="27" s="1"/>
  <c r="T148" i="27" s="1"/>
  <c r="R141" i="27"/>
  <c r="S141" i="27" s="1"/>
  <c r="T141" i="27" s="1"/>
  <c r="R134" i="27"/>
  <c r="S134" i="27" s="1"/>
  <c r="T134" i="27" s="1"/>
  <c r="R111" i="27"/>
  <c r="S111" i="27" s="1"/>
  <c r="T111" i="27" s="1"/>
  <c r="R70" i="27"/>
  <c r="S70" i="27" s="1"/>
  <c r="T70" i="27" s="1"/>
  <c r="R157" i="27"/>
  <c r="S157" i="27" s="1"/>
  <c r="T157" i="27" s="1"/>
  <c r="R132" i="27"/>
  <c r="S132" i="27" s="1"/>
  <c r="T132" i="27" s="1"/>
  <c r="R120" i="27"/>
  <c r="S120" i="27" s="1"/>
  <c r="T120" i="27" s="1"/>
  <c r="R91" i="27"/>
  <c r="S91" i="27" s="1"/>
  <c r="T91" i="27" s="1"/>
  <c r="R34" i="27"/>
  <c r="S34" i="27" s="1"/>
  <c r="T34" i="27" s="1"/>
  <c r="R95" i="27"/>
  <c r="S95" i="27" s="1"/>
  <c r="T95" i="27" s="1"/>
  <c r="R56" i="27"/>
  <c r="S56" i="27" s="1"/>
  <c r="T56" i="27" s="1"/>
  <c r="R43" i="27"/>
  <c r="S43" i="27" s="1"/>
  <c r="T43" i="27" s="1"/>
  <c r="R35" i="27"/>
  <c r="S35" i="27" s="1"/>
  <c r="T35" i="27" s="1"/>
  <c r="R29" i="27"/>
  <c r="S29" i="27" s="1"/>
  <c r="T29" i="27" s="1"/>
  <c r="R25" i="27"/>
  <c r="S25" i="27" s="1"/>
  <c r="T25" i="27" s="1"/>
  <c r="R18" i="27"/>
  <c r="S18" i="27" s="1"/>
  <c r="T18" i="27" s="1"/>
  <c r="R147" i="27"/>
  <c r="S147" i="27" s="1"/>
  <c r="T147" i="27" s="1"/>
  <c r="R46" i="27"/>
  <c r="S46" i="27" s="1"/>
  <c r="T46" i="27" s="1"/>
  <c r="R131" i="27"/>
  <c r="S131" i="27" s="1"/>
  <c r="T131" i="27" s="1"/>
  <c r="R119" i="27"/>
  <c r="S119" i="27" s="1"/>
  <c r="T119" i="27" s="1"/>
  <c r="R114" i="27"/>
  <c r="S114" i="27" s="1"/>
  <c r="T114" i="27" s="1"/>
  <c r="R97" i="27"/>
  <c r="S97" i="27" s="1"/>
  <c r="T97" i="27" s="1"/>
  <c r="R88" i="27"/>
  <c r="S88" i="27" s="1"/>
  <c r="T88" i="27" s="1"/>
  <c r="R75" i="27"/>
  <c r="S75" i="27" s="1"/>
  <c r="T75" i="27" s="1"/>
  <c r="R54" i="27"/>
  <c r="S54" i="27" s="1"/>
  <c r="T54" i="27" s="1"/>
  <c r="R49" i="27"/>
  <c r="S49" i="27" s="1"/>
  <c r="T49" i="27" s="1"/>
  <c r="R40" i="27"/>
  <c r="S40" i="27" s="1"/>
  <c r="T40" i="27" s="1"/>
  <c r="R159" i="27"/>
  <c r="S159" i="27" s="1"/>
  <c r="T159" i="27" s="1"/>
  <c r="R152" i="27"/>
  <c r="S152" i="27" s="1"/>
  <c r="T152" i="27" s="1"/>
  <c r="R124" i="27"/>
  <c r="S124" i="27" s="1"/>
  <c r="T124" i="27" s="1"/>
  <c r="R32" i="27"/>
  <c r="S32" i="27" s="1"/>
  <c r="T32" i="27" s="1"/>
  <c r="R158" i="27"/>
  <c r="S158" i="27" s="1"/>
  <c r="T158" i="27" s="1"/>
  <c r="R155" i="27"/>
  <c r="S155" i="27" s="1"/>
  <c r="T155" i="27" s="1"/>
  <c r="R100" i="27"/>
  <c r="S100" i="27" s="1"/>
  <c r="T100" i="27" s="1"/>
  <c r="R110" i="27"/>
  <c r="S110" i="27" s="1"/>
  <c r="T110" i="27" s="1"/>
  <c r="R108" i="27"/>
  <c r="S108" i="27" s="1"/>
  <c r="T108" i="27" s="1"/>
  <c r="R116" i="27"/>
  <c r="S116" i="27" s="1"/>
  <c r="T116" i="27" s="1"/>
  <c r="R113" i="27"/>
  <c r="S113" i="27" s="1"/>
  <c r="T113" i="27" s="1"/>
  <c r="R105" i="27"/>
  <c r="S105" i="27" s="1"/>
  <c r="T105" i="27" s="1"/>
  <c r="R33" i="27"/>
  <c r="S33" i="27" s="1"/>
  <c r="T33" i="27" s="1"/>
  <c r="R28" i="27"/>
  <c r="S28" i="27" s="1"/>
  <c r="T28" i="27" s="1"/>
  <c r="R26" i="27"/>
  <c r="S26" i="27" s="1"/>
  <c r="T26" i="27" s="1"/>
  <c r="R156" i="27"/>
  <c r="S156" i="27" s="1"/>
  <c r="T156" i="27" s="1"/>
  <c r="R138" i="27"/>
  <c r="S138" i="27" s="1"/>
  <c r="T138" i="27" s="1"/>
  <c r="R133" i="27"/>
  <c r="S133" i="27" s="1"/>
  <c r="T133" i="27" s="1"/>
  <c r="R90" i="27"/>
  <c r="S90" i="27" s="1"/>
  <c r="T90" i="27" s="1"/>
  <c r="R87" i="27"/>
  <c r="S87" i="27" s="1"/>
  <c r="T87" i="27" s="1"/>
  <c r="R73" i="27"/>
  <c r="S73" i="27" s="1"/>
  <c r="T73" i="27" s="1"/>
  <c r="R24" i="27"/>
  <c r="S24" i="27" s="1"/>
  <c r="T24" i="27" s="1"/>
  <c r="R44" i="27"/>
  <c r="S44" i="27" s="1"/>
  <c r="T44" i="27" s="1"/>
  <c r="R42" i="27"/>
  <c r="S42" i="27" s="1"/>
  <c r="T42" i="27" s="1"/>
  <c r="R36" i="27"/>
  <c r="S36" i="27" s="1"/>
  <c r="T36" i="27" s="1"/>
  <c r="R22" i="27"/>
  <c r="S22" i="27" s="1"/>
  <c r="T22" i="27" s="1"/>
  <c r="R19" i="27"/>
  <c r="S19" i="27" s="1"/>
  <c r="T19" i="27" s="1"/>
  <c r="R146" i="27"/>
  <c r="S146" i="27" s="1"/>
  <c r="T146" i="27" s="1"/>
  <c r="R51" i="27"/>
  <c r="S51" i="27" s="1"/>
  <c r="T51" i="27" s="1"/>
  <c r="R72" i="27"/>
  <c r="S72" i="27" s="1"/>
  <c r="T72" i="27" s="1"/>
  <c r="R60" i="27"/>
  <c r="S60" i="27" s="1"/>
  <c r="T60" i="27" s="1"/>
  <c r="R48" i="27"/>
  <c r="S48" i="27" s="1"/>
  <c r="T48" i="27" s="1"/>
  <c r="R20" i="27"/>
  <c r="S20" i="27" s="1"/>
  <c r="T20" i="27" s="1"/>
  <c r="R139" i="27"/>
  <c r="S139" i="27" s="1"/>
  <c r="T139" i="27" s="1"/>
  <c r="R64" i="27"/>
  <c r="S64" i="27" s="1"/>
  <c r="T64" i="27" s="1"/>
  <c r="R58" i="27"/>
  <c r="S58" i="27" s="1"/>
  <c r="T58" i="27" s="1"/>
  <c r="R27" i="27"/>
  <c r="S27" i="27" s="1"/>
  <c r="T27" i="27" s="1"/>
  <c r="R103" i="27"/>
  <c r="S103" i="27" s="1"/>
  <c r="T103" i="27" s="1"/>
  <c r="R37" i="27"/>
  <c r="S37" i="27" s="1"/>
  <c r="T37" i="27" s="1"/>
  <c r="R136" i="27"/>
  <c r="S136" i="27" s="1"/>
  <c r="T136" i="27" s="1"/>
  <c r="R66" i="27"/>
  <c r="S66" i="27" s="1"/>
  <c r="T66" i="27" s="1"/>
  <c r="R59" i="27"/>
  <c r="S59" i="27" s="1"/>
  <c r="T59" i="27" s="1"/>
  <c r="R52" i="27"/>
  <c r="S52" i="27" s="1"/>
  <c r="T52" i="27" s="1"/>
  <c r="R69" i="27"/>
  <c r="S69" i="27" s="1"/>
  <c r="T69" i="27" s="1"/>
  <c r="R74" i="27"/>
  <c r="S74" i="27" s="1"/>
  <c r="T74" i="27" s="1"/>
  <c r="R23" i="27"/>
  <c r="S23" i="27" s="1"/>
  <c r="T23" i="27" s="1"/>
  <c r="R122" i="27"/>
  <c r="S122" i="27" s="1"/>
  <c r="T122" i="27" s="1"/>
  <c r="R126" i="27"/>
  <c r="S126" i="27" s="1"/>
  <c r="T126" i="27" s="1"/>
  <c r="R21" i="27"/>
  <c r="S21" i="27" s="1"/>
  <c r="T21" i="27" s="1"/>
  <c r="R83" i="27"/>
  <c r="S83" i="27" s="1"/>
  <c r="T83" i="27" s="1"/>
  <c r="R127" i="27"/>
  <c r="S127" i="27" s="1"/>
  <c r="T127" i="27" s="1"/>
  <c r="R92" i="27"/>
  <c r="S92" i="27" s="1"/>
  <c r="T92" i="27" s="1"/>
  <c r="I2" i="3"/>
  <c r="J2" i="3" s="1"/>
  <c r="X21" i="3" s="1"/>
  <c r="R43" i="17"/>
  <c r="S43" i="17" s="1"/>
  <c r="T43" i="17" s="1"/>
  <c r="R42" i="17"/>
  <c r="S42" i="17" s="1"/>
  <c r="T42" i="17" s="1"/>
  <c r="R41" i="17"/>
  <c r="S41" i="17" s="1"/>
  <c r="T41" i="17" s="1"/>
  <c r="R40" i="17"/>
  <c r="S40" i="17" s="1"/>
  <c r="T40" i="17" s="1"/>
  <c r="R39" i="17"/>
  <c r="S39" i="17" s="1"/>
  <c r="T39" i="17" s="1"/>
  <c r="R38" i="17"/>
  <c r="S38" i="17" s="1"/>
  <c r="T38" i="17" s="1"/>
  <c r="R37" i="17"/>
  <c r="S37" i="17" s="1"/>
  <c r="T37" i="17" s="1"/>
  <c r="R160" i="17"/>
  <c r="S160" i="17" s="1"/>
  <c r="T160" i="17" s="1"/>
  <c r="R159" i="17"/>
  <c r="S159" i="17" s="1"/>
  <c r="T159" i="17" s="1"/>
  <c r="R158" i="17"/>
  <c r="S158" i="17" s="1"/>
  <c r="T158" i="17" s="1"/>
  <c r="R157" i="17"/>
  <c r="S157" i="17" s="1"/>
  <c r="T157" i="17" s="1"/>
  <c r="R156" i="17"/>
  <c r="S156" i="17" s="1"/>
  <c r="T156" i="17" s="1"/>
  <c r="R155" i="17"/>
  <c r="S155" i="17" s="1"/>
  <c r="T155" i="17" s="1"/>
  <c r="R154" i="17"/>
  <c r="S154" i="17" s="1"/>
  <c r="T154" i="17" s="1"/>
  <c r="R153" i="17"/>
  <c r="S153" i="17" s="1"/>
  <c r="T153" i="17" s="1"/>
  <c r="R152" i="17"/>
  <c r="S152" i="17" s="1"/>
  <c r="T152" i="17" s="1"/>
  <c r="R151" i="17"/>
  <c r="S151" i="17" s="1"/>
  <c r="T151" i="17" s="1"/>
  <c r="R150" i="17"/>
  <c r="S150" i="17" s="1"/>
  <c r="T150" i="17" s="1"/>
  <c r="R149" i="17"/>
  <c r="S149" i="17" s="1"/>
  <c r="T149" i="17" s="1"/>
  <c r="R148" i="17"/>
  <c r="S148" i="17" s="1"/>
  <c r="T148" i="17" s="1"/>
  <c r="R147" i="17"/>
  <c r="S147" i="17" s="1"/>
  <c r="T147" i="17" s="1"/>
  <c r="R146" i="17"/>
  <c r="S146" i="17" s="1"/>
  <c r="T146" i="17" s="1"/>
  <c r="R145" i="17"/>
  <c r="S145" i="17" s="1"/>
  <c r="T145" i="17" s="1"/>
  <c r="R144" i="17"/>
  <c r="S144" i="17" s="1"/>
  <c r="T144" i="17" s="1"/>
  <c r="R143" i="17"/>
  <c r="S143" i="17" s="1"/>
  <c r="T143" i="17" s="1"/>
  <c r="R142" i="17"/>
  <c r="S142" i="17" s="1"/>
  <c r="T142" i="17" s="1"/>
  <c r="R141" i="17"/>
  <c r="S141" i="17" s="1"/>
  <c r="T141" i="17" s="1"/>
  <c r="R140" i="17"/>
  <c r="S140" i="17" s="1"/>
  <c r="T140" i="17" s="1"/>
  <c r="R139" i="17"/>
  <c r="S139" i="17" s="1"/>
  <c r="T139" i="17" s="1"/>
  <c r="R138" i="17"/>
  <c r="S138" i="17" s="1"/>
  <c r="T138" i="17" s="1"/>
  <c r="R137" i="17"/>
  <c r="S137" i="17" s="1"/>
  <c r="T137" i="17" s="1"/>
  <c r="R136" i="17"/>
  <c r="S136" i="17" s="1"/>
  <c r="T136" i="17" s="1"/>
  <c r="R135" i="17"/>
  <c r="S135" i="17" s="1"/>
  <c r="T135" i="17" s="1"/>
  <c r="R134" i="17"/>
  <c r="S134" i="17" s="1"/>
  <c r="T134" i="17" s="1"/>
  <c r="R133" i="17"/>
  <c r="S133" i="17" s="1"/>
  <c r="T133" i="17" s="1"/>
  <c r="R132" i="17"/>
  <c r="S132" i="17" s="1"/>
  <c r="T132" i="17" s="1"/>
  <c r="R131" i="17"/>
  <c r="S131" i="17" s="1"/>
  <c r="T131" i="17" s="1"/>
  <c r="R130" i="17"/>
  <c r="S130" i="17" s="1"/>
  <c r="T130" i="17" s="1"/>
  <c r="R129" i="17"/>
  <c r="S129" i="17" s="1"/>
  <c r="T129" i="17" s="1"/>
  <c r="R128" i="17"/>
  <c r="S128" i="17" s="1"/>
  <c r="T128" i="17" s="1"/>
  <c r="R127" i="17"/>
  <c r="S127" i="17" s="1"/>
  <c r="T127" i="17" s="1"/>
  <c r="R126" i="17"/>
  <c r="S126" i="17" s="1"/>
  <c r="T126" i="17" s="1"/>
  <c r="R125" i="17"/>
  <c r="S125" i="17" s="1"/>
  <c r="T125" i="17" s="1"/>
  <c r="R124" i="17"/>
  <c r="S124" i="17" s="1"/>
  <c r="T124" i="17" s="1"/>
  <c r="R123" i="17"/>
  <c r="S123" i="17" s="1"/>
  <c r="T123" i="17" s="1"/>
  <c r="R122" i="17"/>
  <c r="S122" i="17" s="1"/>
  <c r="T122" i="17" s="1"/>
  <c r="R29" i="17"/>
  <c r="S29" i="17" s="1"/>
  <c r="T29" i="17" s="1"/>
  <c r="R28" i="17"/>
  <c r="S28" i="17" s="1"/>
  <c r="T28" i="17" s="1"/>
  <c r="R27" i="17"/>
  <c r="S27" i="17" s="1"/>
  <c r="T27" i="17" s="1"/>
  <c r="R26" i="17"/>
  <c r="S26" i="17" s="1"/>
  <c r="T26" i="17" s="1"/>
  <c r="R110" i="17"/>
  <c r="S110" i="17" s="1"/>
  <c r="T110" i="17" s="1"/>
  <c r="R80" i="17"/>
  <c r="S80" i="17" s="1"/>
  <c r="T80" i="17" s="1"/>
  <c r="R65" i="17"/>
  <c r="S65" i="17" s="1"/>
  <c r="T65" i="17" s="1"/>
  <c r="R49" i="17"/>
  <c r="S49" i="17" s="1"/>
  <c r="T49" i="17" s="1"/>
  <c r="R32" i="17"/>
  <c r="S32" i="17" s="1"/>
  <c r="T32" i="17" s="1"/>
  <c r="R121" i="17"/>
  <c r="S121" i="17" s="1"/>
  <c r="T121" i="17" s="1"/>
  <c r="R105" i="17"/>
  <c r="S105" i="17" s="1"/>
  <c r="T105" i="17" s="1"/>
  <c r="R93" i="17"/>
  <c r="S93" i="17" s="1"/>
  <c r="T93" i="17" s="1"/>
  <c r="R85" i="17"/>
  <c r="S85" i="17" s="1"/>
  <c r="T85" i="17" s="1"/>
  <c r="R76" i="17"/>
  <c r="S76" i="17" s="1"/>
  <c r="T76" i="17" s="1"/>
  <c r="R60" i="17"/>
  <c r="S60" i="17" s="1"/>
  <c r="T60" i="17" s="1"/>
  <c r="R44" i="17"/>
  <c r="S44" i="17" s="1"/>
  <c r="T44" i="17" s="1"/>
  <c r="R116" i="17"/>
  <c r="S116" i="17" s="1"/>
  <c r="T116" i="17" s="1"/>
  <c r="R100" i="17"/>
  <c r="S100" i="17" s="1"/>
  <c r="T100" i="17" s="1"/>
  <c r="R71" i="17"/>
  <c r="S71" i="17" s="1"/>
  <c r="T71" i="17" s="1"/>
  <c r="R55" i="17"/>
  <c r="S55" i="17" s="1"/>
  <c r="T55" i="17" s="1"/>
  <c r="R33" i="17"/>
  <c r="S33" i="17" s="1"/>
  <c r="T33" i="17" s="1"/>
  <c r="R31" i="17"/>
  <c r="S31" i="17" s="1"/>
  <c r="T31" i="17" s="1"/>
  <c r="R30" i="17"/>
  <c r="S30" i="17" s="1"/>
  <c r="T30" i="17" s="1"/>
  <c r="R111" i="17"/>
  <c r="S111" i="17" s="1"/>
  <c r="T111" i="17" s="1"/>
  <c r="R94" i="17"/>
  <c r="S94" i="17" s="1"/>
  <c r="T94" i="17" s="1"/>
  <c r="R86" i="17"/>
  <c r="S86" i="17" s="1"/>
  <c r="T86" i="17" s="1"/>
  <c r="R66" i="17"/>
  <c r="S66" i="17" s="1"/>
  <c r="T66" i="17" s="1"/>
  <c r="R50" i="17"/>
  <c r="S50" i="17" s="1"/>
  <c r="T50" i="17" s="1"/>
  <c r="R106" i="17"/>
  <c r="S106" i="17" s="1"/>
  <c r="T106" i="17" s="1"/>
  <c r="R81" i="17"/>
  <c r="S81" i="17" s="1"/>
  <c r="T81" i="17" s="1"/>
  <c r="R77" i="17"/>
  <c r="S77" i="17" s="1"/>
  <c r="T77" i="17" s="1"/>
  <c r="R61" i="17"/>
  <c r="S61" i="17" s="1"/>
  <c r="T61" i="17" s="1"/>
  <c r="R45" i="17"/>
  <c r="S45" i="17" s="1"/>
  <c r="T45" i="17" s="1"/>
  <c r="R34" i="17"/>
  <c r="S34" i="17" s="1"/>
  <c r="T34" i="17" s="1"/>
  <c r="R107" i="17"/>
  <c r="S107" i="17" s="1"/>
  <c r="T107" i="17" s="1"/>
  <c r="R96" i="17"/>
  <c r="S96" i="17" s="1"/>
  <c r="T96" i="17" s="1"/>
  <c r="R88" i="17"/>
  <c r="S88" i="17" s="1"/>
  <c r="T88" i="17" s="1"/>
  <c r="R62" i="17"/>
  <c r="S62" i="17" s="1"/>
  <c r="T62" i="17" s="1"/>
  <c r="R46" i="17"/>
  <c r="S46" i="17" s="1"/>
  <c r="T46" i="17" s="1"/>
  <c r="R101" i="17"/>
  <c r="S101" i="17" s="1"/>
  <c r="T101" i="17" s="1"/>
  <c r="R89" i="17"/>
  <c r="S89" i="17" s="1"/>
  <c r="T89" i="17" s="1"/>
  <c r="R82" i="17"/>
  <c r="S82" i="17" s="1"/>
  <c r="T82" i="17" s="1"/>
  <c r="R78" i="17"/>
  <c r="S78" i="17" s="1"/>
  <c r="T78" i="17" s="1"/>
  <c r="R119" i="17"/>
  <c r="S119" i="17" s="1"/>
  <c r="T119" i="17" s="1"/>
  <c r="R108" i="17"/>
  <c r="S108" i="17" s="1"/>
  <c r="T108" i="17" s="1"/>
  <c r="R53" i="17"/>
  <c r="S53" i="17" s="1"/>
  <c r="T53" i="17" s="1"/>
  <c r="R51" i="17"/>
  <c r="S51" i="17" s="1"/>
  <c r="T51" i="17" s="1"/>
  <c r="R36" i="17"/>
  <c r="S36" i="17" s="1"/>
  <c r="T36" i="17" s="1"/>
  <c r="R18" i="17"/>
  <c r="S18" i="17" s="1"/>
  <c r="T18" i="17" s="1"/>
  <c r="R117" i="17"/>
  <c r="S117" i="17" s="1"/>
  <c r="T117" i="17" s="1"/>
  <c r="R84" i="17"/>
  <c r="S84" i="17" s="1"/>
  <c r="T84" i="17" s="1"/>
  <c r="R22" i="17"/>
  <c r="S22" i="17" s="1"/>
  <c r="T22" i="17" s="1"/>
  <c r="R14" i="17"/>
  <c r="S14" i="17" s="1"/>
  <c r="T14" i="17" s="1"/>
  <c r="R10" i="17"/>
  <c r="S10" i="17" s="1"/>
  <c r="T10" i="17" s="1"/>
  <c r="R6" i="17"/>
  <c r="S6" i="17" s="1"/>
  <c r="T6" i="17" s="1"/>
  <c r="R87" i="17"/>
  <c r="S87" i="17" s="1"/>
  <c r="T87" i="17" s="1"/>
  <c r="R69" i="17"/>
  <c r="S69" i="17" s="1"/>
  <c r="T69" i="17" s="1"/>
  <c r="R67" i="17"/>
  <c r="S67" i="17" s="1"/>
  <c r="T67" i="17" s="1"/>
  <c r="R58" i="17"/>
  <c r="S58" i="17" s="1"/>
  <c r="T58" i="17" s="1"/>
  <c r="R47" i="17"/>
  <c r="S47" i="17" s="1"/>
  <c r="T47" i="17" s="1"/>
  <c r="R25" i="17"/>
  <c r="S25" i="17" s="1"/>
  <c r="T25" i="17" s="1"/>
  <c r="R97" i="17"/>
  <c r="S97" i="17" s="1"/>
  <c r="T97" i="17" s="1"/>
  <c r="R56" i="17"/>
  <c r="S56" i="17" s="1"/>
  <c r="T56" i="17" s="1"/>
  <c r="R161" i="17"/>
  <c r="S161" i="17" s="1"/>
  <c r="T161" i="17" s="1"/>
  <c r="R99" i="17"/>
  <c r="S99" i="17" s="1"/>
  <c r="T99" i="17" s="1"/>
  <c r="R74" i="17"/>
  <c r="S74" i="17" s="1"/>
  <c r="T74" i="17" s="1"/>
  <c r="R63" i="17"/>
  <c r="S63" i="17" s="1"/>
  <c r="T63" i="17" s="1"/>
  <c r="R19" i="17"/>
  <c r="S19" i="17" s="1"/>
  <c r="T19" i="17" s="1"/>
  <c r="R113" i="17"/>
  <c r="S113" i="17" s="1"/>
  <c r="T113" i="17" s="1"/>
  <c r="R104" i="17"/>
  <c r="S104" i="17" s="1"/>
  <c r="T104" i="17" s="1"/>
  <c r="R92" i="17"/>
  <c r="S92" i="17" s="1"/>
  <c r="T92" i="17" s="1"/>
  <c r="R72" i="17"/>
  <c r="S72" i="17" s="1"/>
  <c r="T72" i="17" s="1"/>
  <c r="R15" i="17"/>
  <c r="S15" i="17" s="1"/>
  <c r="T15" i="17" s="1"/>
  <c r="R11" i="17"/>
  <c r="S11" i="17" s="1"/>
  <c r="T11" i="17" s="1"/>
  <c r="R7" i="17"/>
  <c r="S7" i="17" s="1"/>
  <c r="T7" i="17" s="1"/>
  <c r="R115" i="17"/>
  <c r="S115" i="17" s="1"/>
  <c r="T115" i="17" s="1"/>
  <c r="R102" i="17"/>
  <c r="S102" i="17" s="1"/>
  <c r="T102" i="17" s="1"/>
  <c r="R95" i="17"/>
  <c r="S95" i="17" s="1"/>
  <c r="T95" i="17" s="1"/>
  <c r="R23" i="17"/>
  <c r="S23" i="17" s="1"/>
  <c r="T23" i="17" s="1"/>
  <c r="R98" i="17"/>
  <c r="S98" i="17" s="1"/>
  <c r="T98" i="17" s="1"/>
  <c r="R73" i="17"/>
  <c r="S73" i="17" s="1"/>
  <c r="T73" i="17" s="1"/>
  <c r="R24" i="17"/>
  <c r="S24" i="17" s="1"/>
  <c r="T24" i="17" s="1"/>
  <c r="R118" i="17"/>
  <c r="S118" i="17" s="1"/>
  <c r="T118" i="17" s="1"/>
  <c r="R162" i="17"/>
  <c r="S162" i="17" s="1"/>
  <c r="T162" i="17" s="1"/>
  <c r="R112" i="17"/>
  <c r="S112" i="17" s="1"/>
  <c r="T112" i="17" s="1"/>
  <c r="R64" i="17"/>
  <c r="S64" i="17" s="1"/>
  <c r="T64" i="17" s="1"/>
  <c r="R48" i="17"/>
  <c r="S48" i="17" s="1"/>
  <c r="T48" i="17" s="1"/>
  <c r="R57" i="17"/>
  <c r="S57" i="17" s="1"/>
  <c r="T57" i="17" s="1"/>
  <c r="R13" i="17"/>
  <c r="S13" i="17" s="1"/>
  <c r="T13" i="17" s="1"/>
  <c r="R8" i="17"/>
  <c r="S8" i="17" s="1"/>
  <c r="T8" i="17" s="1"/>
  <c r="R54" i="17"/>
  <c r="S54" i="17" s="1"/>
  <c r="T54" i="17" s="1"/>
  <c r="R20" i="17"/>
  <c r="S20" i="17" s="1"/>
  <c r="T20" i="17" s="1"/>
  <c r="R70" i="17"/>
  <c r="S70" i="17" s="1"/>
  <c r="T70" i="17" s="1"/>
  <c r="R120" i="17"/>
  <c r="S120" i="17" s="1"/>
  <c r="T120" i="17" s="1"/>
  <c r="R83" i="17"/>
  <c r="S83" i="17" s="1"/>
  <c r="T83" i="17" s="1"/>
  <c r="R21" i="17"/>
  <c r="S21" i="17" s="1"/>
  <c r="T21" i="17" s="1"/>
  <c r="R103" i="17"/>
  <c r="S103" i="17" s="1"/>
  <c r="T103" i="17" s="1"/>
  <c r="R90" i="17"/>
  <c r="S90" i="17" s="1"/>
  <c r="T90" i="17" s="1"/>
  <c r="R35" i="17"/>
  <c r="S35" i="17" s="1"/>
  <c r="T35" i="17" s="1"/>
  <c r="R16" i="17"/>
  <c r="S16" i="17" s="1"/>
  <c r="T16" i="17" s="1"/>
  <c r="R109" i="17"/>
  <c r="S109" i="17" s="1"/>
  <c r="T109" i="17" s="1"/>
  <c r="R59" i="17"/>
  <c r="S59" i="17" s="1"/>
  <c r="T59" i="17" s="1"/>
  <c r="R17" i="17"/>
  <c r="S17" i="17" s="1"/>
  <c r="T17" i="17" s="1"/>
  <c r="R75" i="17"/>
  <c r="S75" i="17" s="1"/>
  <c r="T75" i="17" s="1"/>
  <c r="R12" i="17"/>
  <c r="S12" i="17" s="1"/>
  <c r="T12" i="17" s="1"/>
  <c r="R91" i="17"/>
  <c r="S91" i="17" s="1"/>
  <c r="T91" i="17" s="1"/>
  <c r="R79" i="17"/>
  <c r="S79" i="17" s="1"/>
  <c r="T79" i="17" s="1"/>
  <c r="R68" i="17"/>
  <c r="S68" i="17" s="1"/>
  <c r="T68" i="17" s="1"/>
  <c r="R52" i="17"/>
  <c r="S52" i="17" s="1"/>
  <c r="T52" i="17" s="1"/>
  <c r="R9" i="17"/>
  <c r="S9" i="17" s="1"/>
  <c r="T9" i="17" s="1"/>
  <c r="R114" i="17"/>
  <c r="S114" i="17" s="1"/>
  <c r="T114" i="17" s="1"/>
  <c r="H160" i="9"/>
  <c r="I160" i="9" s="1"/>
  <c r="J160" i="9" s="1"/>
  <c r="H159" i="9"/>
  <c r="I159" i="9" s="1"/>
  <c r="J159" i="9" s="1"/>
  <c r="H158" i="9"/>
  <c r="I158" i="9" s="1"/>
  <c r="J158" i="9" s="1"/>
  <c r="H157" i="9"/>
  <c r="I157" i="9" s="1"/>
  <c r="J157" i="9" s="1"/>
  <c r="H156" i="9"/>
  <c r="I156" i="9" s="1"/>
  <c r="J156" i="9" s="1"/>
  <c r="H155" i="9"/>
  <c r="I155" i="9" s="1"/>
  <c r="J155" i="9" s="1"/>
  <c r="H154" i="9"/>
  <c r="I154" i="9" s="1"/>
  <c r="J154" i="9" s="1"/>
  <c r="H153" i="9"/>
  <c r="I153" i="9" s="1"/>
  <c r="J153" i="9" s="1"/>
  <c r="H152" i="9"/>
  <c r="I152" i="9" s="1"/>
  <c r="J152" i="9" s="1"/>
  <c r="H151" i="9"/>
  <c r="I151" i="9" s="1"/>
  <c r="J151" i="9" s="1"/>
  <c r="H150" i="9"/>
  <c r="I150" i="9" s="1"/>
  <c r="J150" i="9" s="1"/>
  <c r="H149" i="9"/>
  <c r="I149" i="9" s="1"/>
  <c r="J149" i="9" s="1"/>
  <c r="H148" i="9"/>
  <c r="I148" i="9" s="1"/>
  <c r="J148" i="9" s="1"/>
  <c r="H147" i="9"/>
  <c r="I147" i="9" s="1"/>
  <c r="J147" i="9" s="1"/>
  <c r="H146" i="9"/>
  <c r="I146" i="9" s="1"/>
  <c r="J146" i="9" s="1"/>
  <c r="H145" i="9"/>
  <c r="I145" i="9" s="1"/>
  <c r="J145" i="9" s="1"/>
  <c r="H144" i="9"/>
  <c r="I144" i="9" s="1"/>
  <c r="J144" i="9" s="1"/>
  <c r="H143" i="9"/>
  <c r="I143" i="9" s="1"/>
  <c r="J143" i="9" s="1"/>
  <c r="H142" i="9"/>
  <c r="I142" i="9" s="1"/>
  <c r="J142" i="9" s="1"/>
  <c r="H141" i="9"/>
  <c r="I141" i="9" s="1"/>
  <c r="J141" i="9" s="1"/>
  <c r="H140" i="9"/>
  <c r="I140" i="9" s="1"/>
  <c r="J140" i="9" s="1"/>
  <c r="H139" i="9"/>
  <c r="I139" i="9" s="1"/>
  <c r="J139" i="9" s="1"/>
  <c r="H138" i="9"/>
  <c r="I138" i="9" s="1"/>
  <c r="J138" i="9" s="1"/>
  <c r="H137" i="9"/>
  <c r="I137" i="9" s="1"/>
  <c r="J137" i="9" s="1"/>
  <c r="H136" i="9"/>
  <c r="I136" i="9" s="1"/>
  <c r="J136" i="9" s="1"/>
  <c r="H135" i="9"/>
  <c r="I135" i="9" s="1"/>
  <c r="J135" i="9" s="1"/>
  <c r="H134" i="9"/>
  <c r="I134" i="9" s="1"/>
  <c r="J134" i="9" s="1"/>
  <c r="H133" i="9"/>
  <c r="I133" i="9" s="1"/>
  <c r="J133" i="9" s="1"/>
  <c r="H132" i="9"/>
  <c r="I132" i="9" s="1"/>
  <c r="J132" i="9" s="1"/>
  <c r="H131" i="9"/>
  <c r="I131" i="9" s="1"/>
  <c r="J131" i="9" s="1"/>
  <c r="H130" i="9"/>
  <c r="I130" i="9" s="1"/>
  <c r="J130" i="9" s="1"/>
  <c r="H129" i="9"/>
  <c r="I129" i="9" s="1"/>
  <c r="J129" i="9" s="1"/>
  <c r="H128" i="9"/>
  <c r="I128" i="9" s="1"/>
  <c r="J128" i="9" s="1"/>
  <c r="H127" i="9"/>
  <c r="I127" i="9" s="1"/>
  <c r="J127" i="9" s="1"/>
  <c r="H126" i="9"/>
  <c r="I126" i="9" s="1"/>
  <c r="J126" i="9" s="1"/>
  <c r="H125" i="9"/>
  <c r="I125" i="9" s="1"/>
  <c r="J125" i="9" s="1"/>
  <c r="H124" i="9"/>
  <c r="I124" i="9" s="1"/>
  <c r="J124" i="9" s="1"/>
  <c r="H123" i="9"/>
  <c r="I123" i="9" s="1"/>
  <c r="J123" i="9" s="1"/>
  <c r="H114" i="9"/>
  <c r="I114" i="9" s="1"/>
  <c r="J114" i="9" s="1"/>
  <c r="H98" i="9"/>
  <c r="I98" i="9" s="1"/>
  <c r="J98" i="9" s="1"/>
  <c r="H79" i="9"/>
  <c r="I79" i="9" s="1"/>
  <c r="J79" i="9" s="1"/>
  <c r="H63" i="9"/>
  <c r="I63" i="9" s="1"/>
  <c r="J63" i="9" s="1"/>
  <c r="H47" i="9"/>
  <c r="I47" i="9" s="1"/>
  <c r="J47" i="9" s="1"/>
  <c r="H33" i="9"/>
  <c r="I33" i="9" s="1"/>
  <c r="J33" i="9" s="1"/>
  <c r="H115" i="9"/>
  <c r="I115" i="9" s="1"/>
  <c r="J115" i="9" s="1"/>
  <c r="H99" i="9"/>
  <c r="I99" i="9" s="1"/>
  <c r="J99" i="9" s="1"/>
  <c r="H80" i="9"/>
  <c r="I80" i="9" s="1"/>
  <c r="J80" i="9" s="1"/>
  <c r="H64" i="9"/>
  <c r="I64" i="9" s="1"/>
  <c r="J64" i="9" s="1"/>
  <c r="H48" i="9"/>
  <c r="I48" i="9" s="1"/>
  <c r="J48" i="9" s="1"/>
  <c r="H34" i="9"/>
  <c r="I34" i="9" s="1"/>
  <c r="J34" i="9" s="1"/>
  <c r="H116" i="9"/>
  <c r="I116" i="9" s="1"/>
  <c r="J116" i="9" s="1"/>
  <c r="H100" i="9"/>
  <c r="I100" i="9" s="1"/>
  <c r="J100" i="9" s="1"/>
  <c r="H81" i="9"/>
  <c r="I81" i="9" s="1"/>
  <c r="J81" i="9" s="1"/>
  <c r="H65" i="9"/>
  <c r="I65" i="9" s="1"/>
  <c r="J65" i="9" s="1"/>
  <c r="H49" i="9"/>
  <c r="I49" i="9" s="1"/>
  <c r="J49" i="9" s="1"/>
  <c r="H35" i="9"/>
  <c r="I35" i="9" s="1"/>
  <c r="J35" i="9" s="1"/>
  <c r="H31" i="9"/>
  <c r="I31" i="9" s="1"/>
  <c r="J31" i="9" s="1"/>
  <c r="H30" i="9"/>
  <c r="I30" i="9" s="1"/>
  <c r="J30" i="9" s="1"/>
  <c r="H161" i="9"/>
  <c r="I161" i="9" s="1"/>
  <c r="J161" i="9" s="1"/>
  <c r="H117" i="9"/>
  <c r="I117" i="9" s="1"/>
  <c r="J117" i="9" s="1"/>
  <c r="H101" i="9"/>
  <c r="I101" i="9" s="1"/>
  <c r="J101" i="9" s="1"/>
  <c r="H82" i="9"/>
  <c r="I82" i="9" s="1"/>
  <c r="J82" i="9" s="1"/>
  <c r="H66" i="9"/>
  <c r="I66" i="9" s="1"/>
  <c r="J66" i="9" s="1"/>
  <c r="H50" i="9"/>
  <c r="I50" i="9" s="1"/>
  <c r="J50" i="9" s="1"/>
  <c r="H36" i="9"/>
  <c r="I36" i="9" s="1"/>
  <c r="J36" i="9" s="1"/>
  <c r="H118" i="9"/>
  <c r="I118" i="9" s="1"/>
  <c r="J118" i="9" s="1"/>
  <c r="H102" i="9"/>
  <c r="I102" i="9" s="1"/>
  <c r="J102" i="9" s="1"/>
  <c r="H67" i="9"/>
  <c r="I67" i="9" s="1"/>
  <c r="J67" i="9" s="1"/>
  <c r="H51" i="9"/>
  <c r="I51" i="9" s="1"/>
  <c r="J51" i="9" s="1"/>
  <c r="H37" i="9"/>
  <c r="I37" i="9" s="1"/>
  <c r="J37" i="9" s="1"/>
  <c r="H29" i="9"/>
  <c r="I29" i="9" s="1"/>
  <c r="J29" i="9" s="1"/>
  <c r="H28" i="9"/>
  <c r="I28" i="9" s="1"/>
  <c r="J28" i="9" s="1"/>
  <c r="H27" i="9"/>
  <c r="I27" i="9" s="1"/>
  <c r="J27" i="9" s="1"/>
  <c r="H26" i="9"/>
  <c r="I26" i="9" s="1"/>
  <c r="J26" i="9" s="1"/>
  <c r="H25" i="9"/>
  <c r="I25" i="9" s="1"/>
  <c r="J25" i="9" s="1"/>
  <c r="H24" i="9"/>
  <c r="I24" i="9" s="1"/>
  <c r="J24" i="9" s="1"/>
  <c r="H23" i="9"/>
  <c r="I23" i="9" s="1"/>
  <c r="J23" i="9" s="1"/>
  <c r="H22" i="9"/>
  <c r="I22" i="9" s="1"/>
  <c r="J22" i="9" s="1"/>
  <c r="H6" i="9"/>
  <c r="I6" i="9" s="1"/>
  <c r="J6" i="9" s="1"/>
  <c r="H162" i="9"/>
  <c r="I162" i="9" s="1"/>
  <c r="J162" i="9" s="1"/>
  <c r="H121" i="9"/>
  <c r="I121" i="9" s="1"/>
  <c r="J121" i="9" s="1"/>
  <c r="H105" i="9"/>
  <c r="I105" i="9" s="1"/>
  <c r="J105" i="9" s="1"/>
  <c r="H89" i="9"/>
  <c r="I89" i="9" s="1"/>
  <c r="J89" i="9" s="1"/>
  <c r="H70" i="9"/>
  <c r="I70" i="9" s="1"/>
  <c r="J70" i="9" s="1"/>
  <c r="H54" i="9"/>
  <c r="I54" i="9" s="1"/>
  <c r="J54" i="9" s="1"/>
  <c r="H40" i="9"/>
  <c r="I40" i="9" s="1"/>
  <c r="J40" i="9" s="1"/>
  <c r="H17" i="9"/>
  <c r="I17" i="9" s="1"/>
  <c r="J17" i="9" s="1"/>
  <c r="H16" i="9"/>
  <c r="I16" i="9" s="1"/>
  <c r="J16" i="9" s="1"/>
  <c r="H15" i="9"/>
  <c r="I15" i="9" s="1"/>
  <c r="J15" i="9" s="1"/>
  <c r="H14" i="9"/>
  <c r="I14" i="9" s="1"/>
  <c r="J14" i="9" s="1"/>
  <c r="H13" i="9"/>
  <c r="I13" i="9" s="1"/>
  <c r="J13" i="9" s="1"/>
  <c r="H12" i="9"/>
  <c r="I12" i="9" s="1"/>
  <c r="J12" i="9" s="1"/>
  <c r="H11" i="9"/>
  <c r="I11" i="9" s="1"/>
  <c r="J11" i="9" s="1"/>
  <c r="H10" i="9"/>
  <c r="I10" i="9" s="1"/>
  <c r="J10" i="9" s="1"/>
  <c r="H9" i="9"/>
  <c r="I9" i="9" s="1"/>
  <c r="J9" i="9" s="1"/>
  <c r="H8" i="9"/>
  <c r="I8" i="9" s="1"/>
  <c r="J8" i="9" s="1"/>
  <c r="H7" i="9"/>
  <c r="I7" i="9" s="1"/>
  <c r="J7" i="9" s="1"/>
  <c r="H93" i="9"/>
  <c r="I93" i="9" s="1"/>
  <c r="J93" i="9" s="1"/>
  <c r="H62" i="9"/>
  <c r="I62" i="9" s="1"/>
  <c r="J62" i="9" s="1"/>
  <c r="H32" i="9"/>
  <c r="I32" i="9" s="1"/>
  <c r="J32" i="9" s="1"/>
  <c r="H18" i="9"/>
  <c r="I18" i="9" s="1"/>
  <c r="J18" i="9" s="1"/>
  <c r="H112" i="9"/>
  <c r="I112" i="9" s="1"/>
  <c r="J112" i="9" s="1"/>
  <c r="H104" i="9"/>
  <c r="I104" i="9" s="1"/>
  <c r="J104" i="9" s="1"/>
  <c r="H68" i="9"/>
  <c r="I68" i="9" s="1"/>
  <c r="J68" i="9" s="1"/>
  <c r="H57" i="9"/>
  <c r="I57" i="9" s="1"/>
  <c r="J57" i="9" s="1"/>
  <c r="H38" i="9"/>
  <c r="I38" i="9" s="1"/>
  <c r="J38" i="9" s="1"/>
  <c r="H107" i="9"/>
  <c r="I107" i="9" s="1"/>
  <c r="J107" i="9" s="1"/>
  <c r="H46" i="9"/>
  <c r="I46" i="9" s="1"/>
  <c r="J46" i="9" s="1"/>
  <c r="H96" i="9"/>
  <c r="I96" i="9" s="1"/>
  <c r="J96" i="9" s="1"/>
  <c r="H88" i="9"/>
  <c r="I88" i="9" s="1"/>
  <c r="J88" i="9" s="1"/>
  <c r="H76" i="9"/>
  <c r="I76" i="9" s="1"/>
  <c r="J76" i="9" s="1"/>
  <c r="H71" i="9"/>
  <c r="I71" i="9" s="1"/>
  <c r="J71" i="9" s="1"/>
  <c r="H52" i="9"/>
  <c r="I52" i="9" s="1"/>
  <c r="J52" i="9" s="1"/>
  <c r="H41" i="9"/>
  <c r="I41" i="9" s="1"/>
  <c r="J41" i="9" s="1"/>
  <c r="H91" i="9"/>
  <c r="I91" i="9" s="1"/>
  <c r="J91" i="9" s="1"/>
  <c r="H85" i="9"/>
  <c r="I85" i="9" s="1"/>
  <c r="J85" i="9" s="1"/>
  <c r="H19" i="9"/>
  <c r="I19" i="9" s="1"/>
  <c r="J19" i="9" s="1"/>
  <c r="H110" i="9"/>
  <c r="I110" i="9" s="1"/>
  <c r="J110" i="9" s="1"/>
  <c r="H74" i="9"/>
  <c r="I74" i="9" s="1"/>
  <c r="J74" i="9" s="1"/>
  <c r="H60" i="9"/>
  <c r="I60" i="9" s="1"/>
  <c r="J60" i="9" s="1"/>
  <c r="H55" i="9"/>
  <c r="I55" i="9" s="1"/>
  <c r="J55" i="9" s="1"/>
  <c r="H44" i="9"/>
  <c r="I44" i="9" s="1"/>
  <c r="J44" i="9" s="1"/>
  <c r="H113" i="9"/>
  <c r="I113" i="9" s="1"/>
  <c r="J113" i="9" s="1"/>
  <c r="H94" i="9"/>
  <c r="I94" i="9" s="1"/>
  <c r="J94" i="9" s="1"/>
  <c r="H58" i="9"/>
  <c r="I58" i="9" s="1"/>
  <c r="J58" i="9" s="1"/>
  <c r="H122" i="9"/>
  <c r="I122" i="9" s="1"/>
  <c r="J122" i="9" s="1"/>
  <c r="H111" i="9"/>
  <c r="I111" i="9" s="1"/>
  <c r="J111" i="9" s="1"/>
  <c r="H106" i="9"/>
  <c r="I106" i="9" s="1"/>
  <c r="J106" i="9" s="1"/>
  <c r="H75" i="9"/>
  <c r="I75" i="9" s="1"/>
  <c r="J75" i="9" s="1"/>
  <c r="H45" i="9"/>
  <c r="I45" i="9" s="1"/>
  <c r="J45" i="9" s="1"/>
  <c r="H72" i="9"/>
  <c r="I72" i="9" s="1"/>
  <c r="J72" i="9" s="1"/>
  <c r="H97" i="9"/>
  <c r="I97" i="9" s="1"/>
  <c r="J97" i="9" s="1"/>
  <c r="H20" i="9"/>
  <c r="I20" i="9" s="1"/>
  <c r="J20" i="9" s="1"/>
  <c r="H119" i="9"/>
  <c r="I119" i="9" s="1"/>
  <c r="J119" i="9" s="1"/>
  <c r="H103" i="9"/>
  <c r="I103" i="9" s="1"/>
  <c r="J103" i="9" s="1"/>
  <c r="H78" i="9"/>
  <c r="I78" i="9" s="1"/>
  <c r="J78" i="9" s="1"/>
  <c r="H90" i="9"/>
  <c r="I90" i="9" s="1"/>
  <c r="J90" i="9" s="1"/>
  <c r="H87" i="9"/>
  <c r="I87" i="9" s="1"/>
  <c r="J87" i="9" s="1"/>
  <c r="H77" i="9"/>
  <c r="I77" i="9" s="1"/>
  <c r="J77" i="9" s="1"/>
  <c r="H43" i="9"/>
  <c r="I43" i="9" s="1"/>
  <c r="J43" i="9" s="1"/>
  <c r="H84" i="9"/>
  <c r="I84" i="9" s="1"/>
  <c r="J84" i="9" s="1"/>
  <c r="H108" i="9"/>
  <c r="I108" i="9" s="1"/>
  <c r="J108" i="9" s="1"/>
  <c r="H95" i="9"/>
  <c r="I95" i="9" s="1"/>
  <c r="J95" i="9" s="1"/>
  <c r="H73" i="9"/>
  <c r="I73" i="9" s="1"/>
  <c r="J73" i="9" s="1"/>
  <c r="H109" i="9"/>
  <c r="I109" i="9" s="1"/>
  <c r="J109" i="9" s="1"/>
  <c r="H69" i="9"/>
  <c r="I69" i="9" s="1"/>
  <c r="J69" i="9" s="1"/>
  <c r="H83" i="9"/>
  <c r="I83" i="9" s="1"/>
  <c r="J83" i="9" s="1"/>
  <c r="H59" i="9"/>
  <c r="I59" i="9" s="1"/>
  <c r="J59" i="9" s="1"/>
  <c r="H21" i="9"/>
  <c r="I21" i="9" s="1"/>
  <c r="J21" i="9" s="1"/>
  <c r="H92" i="9"/>
  <c r="I92" i="9" s="1"/>
  <c r="J92" i="9" s="1"/>
  <c r="H39" i="9"/>
  <c r="I39" i="9" s="1"/>
  <c r="J39" i="9" s="1"/>
  <c r="H53" i="9"/>
  <c r="I53" i="9" s="1"/>
  <c r="J53" i="9" s="1"/>
  <c r="H86" i="9"/>
  <c r="I86" i="9" s="1"/>
  <c r="J86" i="9" s="1"/>
  <c r="H61" i="9"/>
  <c r="I61" i="9" s="1"/>
  <c r="J61" i="9" s="1"/>
  <c r="H42" i="9"/>
  <c r="I42" i="9" s="1"/>
  <c r="J42" i="9" s="1"/>
  <c r="H56" i="9"/>
  <c r="I56" i="9" s="1"/>
  <c r="J56" i="9" s="1"/>
  <c r="H120" i="9"/>
  <c r="I120" i="9" s="1"/>
  <c r="J120" i="9" s="1"/>
  <c r="H121" i="5"/>
  <c r="I121" i="5" s="1"/>
  <c r="J121" i="5" s="1"/>
  <c r="H122" i="5"/>
  <c r="I122" i="5" s="1"/>
  <c r="J122" i="5" s="1"/>
  <c r="H155" i="5"/>
  <c r="I155" i="5" s="1"/>
  <c r="J155" i="5" s="1"/>
  <c r="H147" i="5"/>
  <c r="I147" i="5" s="1"/>
  <c r="J147" i="5" s="1"/>
  <c r="H139" i="5"/>
  <c r="I139" i="5" s="1"/>
  <c r="J139" i="5" s="1"/>
  <c r="H131" i="5"/>
  <c r="I131" i="5" s="1"/>
  <c r="J131" i="5" s="1"/>
  <c r="H123" i="5"/>
  <c r="I123" i="5" s="1"/>
  <c r="J123" i="5" s="1"/>
  <c r="H110" i="5"/>
  <c r="I110" i="5" s="1"/>
  <c r="J110" i="5" s="1"/>
  <c r="H162" i="5"/>
  <c r="I162" i="5" s="1"/>
  <c r="J162" i="5" s="1"/>
  <c r="H111" i="5"/>
  <c r="I111" i="5" s="1"/>
  <c r="J111" i="5" s="1"/>
  <c r="H43" i="5"/>
  <c r="I43" i="5" s="1"/>
  <c r="J43" i="5" s="1"/>
  <c r="H42" i="5"/>
  <c r="I42" i="5" s="1"/>
  <c r="J42" i="5" s="1"/>
  <c r="H41" i="5"/>
  <c r="I41" i="5" s="1"/>
  <c r="J41" i="5" s="1"/>
  <c r="H40" i="5"/>
  <c r="I40" i="5" s="1"/>
  <c r="J40" i="5" s="1"/>
  <c r="H39" i="5"/>
  <c r="I39" i="5" s="1"/>
  <c r="J39" i="5" s="1"/>
  <c r="H38" i="5"/>
  <c r="I38" i="5" s="1"/>
  <c r="J38" i="5" s="1"/>
  <c r="H37" i="5"/>
  <c r="I37" i="5" s="1"/>
  <c r="J37" i="5" s="1"/>
  <c r="H36" i="5"/>
  <c r="I36" i="5" s="1"/>
  <c r="J36" i="5" s="1"/>
  <c r="H35" i="5"/>
  <c r="I35" i="5" s="1"/>
  <c r="J35" i="5" s="1"/>
  <c r="H34" i="5"/>
  <c r="I34" i="5" s="1"/>
  <c r="J34" i="5" s="1"/>
  <c r="H156" i="5"/>
  <c r="I156" i="5" s="1"/>
  <c r="J156" i="5" s="1"/>
  <c r="H148" i="5"/>
  <c r="I148" i="5" s="1"/>
  <c r="J148" i="5" s="1"/>
  <c r="H140" i="5"/>
  <c r="I140" i="5" s="1"/>
  <c r="J140" i="5" s="1"/>
  <c r="H132" i="5"/>
  <c r="I132" i="5" s="1"/>
  <c r="J132" i="5" s="1"/>
  <c r="H124" i="5"/>
  <c r="I124" i="5" s="1"/>
  <c r="J124" i="5" s="1"/>
  <c r="H112" i="5"/>
  <c r="I112" i="5" s="1"/>
  <c r="J112" i="5" s="1"/>
  <c r="H44" i="5"/>
  <c r="I44" i="5" s="1"/>
  <c r="J44" i="5" s="1"/>
  <c r="H113" i="5"/>
  <c r="I113" i="5" s="1"/>
  <c r="J113" i="5" s="1"/>
  <c r="H82" i="5"/>
  <c r="I82" i="5" s="1"/>
  <c r="J82" i="5" s="1"/>
  <c r="H81" i="5"/>
  <c r="I81" i="5" s="1"/>
  <c r="J81" i="5" s="1"/>
  <c r="H80" i="5"/>
  <c r="I80" i="5" s="1"/>
  <c r="J80" i="5" s="1"/>
  <c r="H79" i="5"/>
  <c r="I79" i="5" s="1"/>
  <c r="J79" i="5" s="1"/>
  <c r="H78" i="5"/>
  <c r="I78" i="5" s="1"/>
  <c r="J78" i="5" s="1"/>
  <c r="H77" i="5"/>
  <c r="I77" i="5" s="1"/>
  <c r="J77" i="5" s="1"/>
  <c r="H76" i="5"/>
  <c r="I76" i="5" s="1"/>
  <c r="J76" i="5" s="1"/>
  <c r="H75" i="5"/>
  <c r="I75" i="5" s="1"/>
  <c r="J75" i="5" s="1"/>
  <c r="H74" i="5"/>
  <c r="I74" i="5" s="1"/>
  <c r="J74" i="5" s="1"/>
  <c r="H73" i="5"/>
  <c r="I73" i="5" s="1"/>
  <c r="J73" i="5" s="1"/>
  <c r="H72" i="5"/>
  <c r="I72" i="5" s="1"/>
  <c r="J72" i="5" s="1"/>
  <c r="H71" i="5"/>
  <c r="I71" i="5" s="1"/>
  <c r="J71" i="5" s="1"/>
  <c r="H70" i="5"/>
  <c r="I70" i="5" s="1"/>
  <c r="J70" i="5" s="1"/>
  <c r="H69" i="5"/>
  <c r="I69" i="5" s="1"/>
  <c r="J69" i="5" s="1"/>
  <c r="H68" i="5"/>
  <c r="I68" i="5" s="1"/>
  <c r="J68" i="5" s="1"/>
  <c r="H67" i="5"/>
  <c r="I67" i="5" s="1"/>
  <c r="J67" i="5" s="1"/>
  <c r="H66" i="5"/>
  <c r="I66" i="5" s="1"/>
  <c r="J66" i="5" s="1"/>
  <c r="H65" i="5"/>
  <c r="I65" i="5" s="1"/>
  <c r="J65" i="5" s="1"/>
  <c r="H64" i="5"/>
  <c r="I64" i="5" s="1"/>
  <c r="J64" i="5" s="1"/>
  <c r="H63" i="5"/>
  <c r="I63" i="5" s="1"/>
  <c r="J63" i="5" s="1"/>
  <c r="H62" i="5"/>
  <c r="I62" i="5" s="1"/>
  <c r="J62" i="5" s="1"/>
  <c r="H61" i="5"/>
  <c r="I61" i="5" s="1"/>
  <c r="J61" i="5" s="1"/>
  <c r="H60" i="5"/>
  <c r="I60" i="5" s="1"/>
  <c r="J60" i="5" s="1"/>
  <c r="H59" i="5"/>
  <c r="I59" i="5" s="1"/>
  <c r="J59" i="5" s="1"/>
  <c r="H58" i="5"/>
  <c r="I58" i="5" s="1"/>
  <c r="J58" i="5" s="1"/>
  <c r="H57" i="5"/>
  <c r="I57" i="5" s="1"/>
  <c r="J57" i="5" s="1"/>
  <c r="H56" i="5"/>
  <c r="I56" i="5" s="1"/>
  <c r="J56" i="5" s="1"/>
  <c r="H55" i="5"/>
  <c r="I55" i="5" s="1"/>
  <c r="J55" i="5" s="1"/>
  <c r="H54" i="5"/>
  <c r="I54" i="5" s="1"/>
  <c r="J54" i="5" s="1"/>
  <c r="H53" i="5"/>
  <c r="I53" i="5" s="1"/>
  <c r="J53" i="5" s="1"/>
  <c r="H52" i="5"/>
  <c r="I52" i="5" s="1"/>
  <c r="J52" i="5" s="1"/>
  <c r="H51" i="5"/>
  <c r="I51" i="5" s="1"/>
  <c r="J51" i="5" s="1"/>
  <c r="H50" i="5"/>
  <c r="I50" i="5" s="1"/>
  <c r="J50" i="5" s="1"/>
  <c r="H49" i="5"/>
  <c r="I49" i="5" s="1"/>
  <c r="J49" i="5" s="1"/>
  <c r="H48" i="5"/>
  <c r="I48" i="5" s="1"/>
  <c r="J48" i="5" s="1"/>
  <c r="H47" i="5"/>
  <c r="I47" i="5" s="1"/>
  <c r="J47" i="5" s="1"/>
  <c r="H46" i="5"/>
  <c r="I46" i="5" s="1"/>
  <c r="J46" i="5" s="1"/>
  <c r="H45" i="5"/>
  <c r="I45" i="5" s="1"/>
  <c r="J45" i="5" s="1"/>
  <c r="H157" i="5"/>
  <c r="I157" i="5" s="1"/>
  <c r="J157" i="5" s="1"/>
  <c r="H149" i="5"/>
  <c r="I149" i="5" s="1"/>
  <c r="J149" i="5" s="1"/>
  <c r="H141" i="5"/>
  <c r="I141" i="5" s="1"/>
  <c r="J141" i="5" s="1"/>
  <c r="H133" i="5"/>
  <c r="I133" i="5" s="1"/>
  <c r="J133" i="5" s="1"/>
  <c r="H125" i="5"/>
  <c r="I125" i="5" s="1"/>
  <c r="J125" i="5" s="1"/>
  <c r="H114" i="5"/>
  <c r="I114" i="5" s="1"/>
  <c r="J114" i="5" s="1"/>
  <c r="H83" i="5"/>
  <c r="I83" i="5" s="1"/>
  <c r="J83" i="5" s="1"/>
  <c r="H115" i="5"/>
  <c r="I115" i="5" s="1"/>
  <c r="J115" i="5" s="1"/>
  <c r="H99" i="5"/>
  <c r="I99" i="5" s="1"/>
  <c r="J99" i="5" s="1"/>
  <c r="H98" i="5"/>
  <c r="I98" i="5" s="1"/>
  <c r="J98" i="5" s="1"/>
  <c r="H97" i="5"/>
  <c r="I97" i="5" s="1"/>
  <c r="J97" i="5" s="1"/>
  <c r="H96" i="5"/>
  <c r="I96" i="5" s="1"/>
  <c r="J96" i="5" s="1"/>
  <c r="H95" i="5"/>
  <c r="I95" i="5" s="1"/>
  <c r="J95" i="5" s="1"/>
  <c r="H94" i="5"/>
  <c r="I94" i="5" s="1"/>
  <c r="J94" i="5" s="1"/>
  <c r="H93" i="5"/>
  <c r="I93" i="5" s="1"/>
  <c r="J93" i="5" s="1"/>
  <c r="H92" i="5"/>
  <c r="I92" i="5" s="1"/>
  <c r="J92" i="5" s="1"/>
  <c r="H91" i="5"/>
  <c r="I91" i="5" s="1"/>
  <c r="J91" i="5" s="1"/>
  <c r="H90" i="5"/>
  <c r="I90" i="5" s="1"/>
  <c r="J90" i="5" s="1"/>
  <c r="H89" i="5"/>
  <c r="I89" i="5" s="1"/>
  <c r="J89" i="5" s="1"/>
  <c r="H158" i="5"/>
  <c r="I158" i="5" s="1"/>
  <c r="J158" i="5" s="1"/>
  <c r="H150" i="5"/>
  <c r="I150" i="5" s="1"/>
  <c r="J150" i="5" s="1"/>
  <c r="H142" i="5"/>
  <c r="I142" i="5" s="1"/>
  <c r="J142" i="5" s="1"/>
  <c r="H134" i="5"/>
  <c r="I134" i="5" s="1"/>
  <c r="J134" i="5" s="1"/>
  <c r="H126" i="5"/>
  <c r="I126" i="5" s="1"/>
  <c r="J126" i="5" s="1"/>
  <c r="H116" i="5"/>
  <c r="I116" i="5" s="1"/>
  <c r="J116" i="5" s="1"/>
  <c r="H100" i="5"/>
  <c r="I100" i="5" s="1"/>
  <c r="J100" i="5" s="1"/>
  <c r="H117" i="5"/>
  <c r="I117" i="5" s="1"/>
  <c r="J117" i="5" s="1"/>
  <c r="H101" i="5"/>
  <c r="I101" i="5" s="1"/>
  <c r="J101" i="5" s="1"/>
  <c r="H31" i="5"/>
  <c r="I31" i="5" s="1"/>
  <c r="J31" i="5" s="1"/>
  <c r="H30" i="5"/>
  <c r="I30" i="5" s="1"/>
  <c r="J30" i="5" s="1"/>
  <c r="H29" i="5"/>
  <c r="I29" i="5" s="1"/>
  <c r="J29" i="5" s="1"/>
  <c r="H28" i="5"/>
  <c r="I28" i="5" s="1"/>
  <c r="J28" i="5" s="1"/>
  <c r="H27" i="5"/>
  <c r="I27" i="5" s="1"/>
  <c r="J27" i="5" s="1"/>
  <c r="H26" i="5"/>
  <c r="I26" i="5" s="1"/>
  <c r="J26" i="5" s="1"/>
  <c r="H25" i="5"/>
  <c r="I25" i="5" s="1"/>
  <c r="J25" i="5" s="1"/>
  <c r="H24" i="5"/>
  <c r="I24" i="5" s="1"/>
  <c r="J24" i="5" s="1"/>
  <c r="H23" i="5"/>
  <c r="I23" i="5" s="1"/>
  <c r="J23" i="5" s="1"/>
  <c r="H85" i="5"/>
  <c r="I85" i="5" s="1"/>
  <c r="J85" i="5" s="1"/>
  <c r="H17" i="5"/>
  <c r="I17" i="5" s="1"/>
  <c r="J17" i="5" s="1"/>
  <c r="H88" i="5"/>
  <c r="I88" i="5" s="1"/>
  <c r="J88" i="5" s="1"/>
  <c r="H161" i="5"/>
  <c r="I161" i="5" s="1"/>
  <c r="J161" i="5" s="1"/>
  <c r="H86" i="5"/>
  <c r="I86" i="5" s="1"/>
  <c r="J86" i="5" s="1"/>
  <c r="H32" i="5"/>
  <c r="I32" i="5" s="1"/>
  <c r="J32" i="5" s="1"/>
  <c r="H7" i="5"/>
  <c r="I7" i="5" s="1"/>
  <c r="J7" i="5" s="1"/>
  <c r="H106" i="5"/>
  <c r="I106" i="5" s="1"/>
  <c r="J106" i="5" s="1"/>
  <c r="H21" i="5"/>
  <c r="I21" i="5" s="1"/>
  <c r="J21" i="5" s="1"/>
  <c r="H6" i="5"/>
  <c r="I6" i="5" s="1"/>
  <c r="J6" i="5" s="1"/>
  <c r="H130" i="5"/>
  <c r="I130" i="5" s="1"/>
  <c r="J130" i="5" s="1"/>
  <c r="H127" i="5"/>
  <c r="I127" i="5" s="1"/>
  <c r="J127" i="5" s="1"/>
  <c r="H145" i="5"/>
  <c r="I145" i="5" s="1"/>
  <c r="J145" i="5" s="1"/>
  <c r="H108" i="5"/>
  <c r="I108" i="5" s="1"/>
  <c r="J108" i="5" s="1"/>
  <c r="H19" i="5"/>
  <c r="I19" i="5" s="1"/>
  <c r="J19" i="5" s="1"/>
  <c r="H153" i="5"/>
  <c r="I153" i="5" s="1"/>
  <c r="J153" i="5" s="1"/>
  <c r="H137" i="5"/>
  <c r="I137" i="5" s="1"/>
  <c r="J137" i="5" s="1"/>
  <c r="H103" i="5"/>
  <c r="I103" i="5" s="1"/>
  <c r="J103" i="5" s="1"/>
  <c r="H119" i="5"/>
  <c r="I119" i="5" s="1"/>
  <c r="J119" i="5" s="1"/>
  <c r="H33" i="5"/>
  <c r="I33" i="5" s="1"/>
  <c r="J33" i="5" s="1"/>
  <c r="H15" i="5"/>
  <c r="I15" i="5" s="1"/>
  <c r="J15" i="5" s="1"/>
  <c r="H13" i="5"/>
  <c r="I13" i="5" s="1"/>
  <c r="J13" i="5" s="1"/>
  <c r="H11" i="5"/>
  <c r="I11" i="5" s="1"/>
  <c r="J11" i="5" s="1"/>
  <c r="H9" i="5"/>
  <c r="I9" i="5" s="1"/>
  <c r="J9" i="5" s="1"/>
  <c r="H129" i="5"/>
  <c r="I129" i="5" s="1"/>
  <c r="J129" i="5" s="1"/>
  <c r="H105" i="5"/>
  <c r="I105" i="5" s="1"/>
  <c r="J105" i="5" s="1"/>
  <c r="H87" i="5"/>
  <c r="I87" i="5" s="1"/>
  <c r="J87" i="5" s="1"/>
  <c r="H22" i="5"/>
  <c r="I22" i="5" s="1"/>
  <c r="J22" i="5" s="1"/>
  <c r="H128" i="5"/>
  <c r="I128" i="5" s="1"/>
  <c r="J128" i="5" s="1"/>
  <c r="H18" i="5"/>
  <c r="I18" i="5" s="1"/>
  <c r="J18" i="5" s="1"/>
  <c r="H120" i="5"/>
  <c r="I120" i="5" s="1"/>
  <c r="J120" i="5" s="1"/>
  <c r="H12" i="5"/>
  <c r="I12" i="5" s="1"/>
  <c r="J12" i="5" s="1"/>
  <c r="H154" i="5"/>
  <c r="I154" i="5" s="1"/>
  <c r="J154" i="5" s="1"/>
  <c r="H135" i="5"/>
  <c r="I135" i="5" s="1"/>
  <c r="J135" i="5" s="1"/>
  <c r="H146" i="5"/>
  <c r="I146" i="5" s="1"/>
  <c r="J146" i="5" s="1"/>
  <c r="H118" i="5"/>
  <c r="I118" i="5" s="1"/>
  <c r="J118" i="5" s="1"/>
  <c r="H14" i="5"/>
  <c r="I14" i="5" s="1"/>
  <c r="J14" i="5" s="1"/>
  <c r="H138" i="5"/>
  <c r="I138" i="5" s="1"/>
  <c r="J138" i="5" s="1"/>
  <c r="H109" i="5"/>
  <c r="I109" i="5" s="1"/>
  <c r="J109" i="5" s="1"/>
  <c r="H20" i="5"/>
  <c r="I20" i="5" s="1"/>
  <c r="J20" i="5" s="1"/>
  <c r="H8" i="5"/>
  <c r="I8" i="5" s="1"/>
  <c r="J8" i="5" s="1"/>
  <c r="H160" i="5"/>
  <c r="I160" i="5" s="1"/>
  <c r="J160" i="5" s="1"/>
  <c r="H152" i="5"/>
  <c r="I152" i="5" s="1"/>
  <c r="J152" i="5" s="1"/>
  <c r="H104" i="5"/>
  <c r="I104" i="5" s="1"/>
  <c r="J104" i="5" s="1"/>
  <c r="H84" i="5"/>
  <c r="I84" i="5" s="1"/>
  <c r="J84" i="5" s="1"/>
  <c r="H107" i="5"/>
  <c r="I107" i="5" s="1"/>
  <c r="J107" i="5" s="1"/>
  <c r="H143" i="5"/>
  <c r="I143" i="5" s="1"/>
  <c r="J143" i="5" s="1"/>
  <c r="H136" i="5"/>
  <c r="I136" i="5" s="1"/>
  <c r="J136" i="5" s="1"/>
  <c r="H159" i="5"/>
  <c r="I159" i="5" s="1"/>
  <c r="J159" i="5" s="1"/>
  <c r="H151" i="5"/>
  <c r="I151" i="5" s="1"/>
  <c r="J151" i="5" s="1"/>
  <c r="H10" i="5"/>
  <c r="I10" i="5" s="1"/>
  <c r="J10" i="5" s="1"/>
  <c r="H102" i="5"/>
  <c r="I102" i="5" s="1"/>
  <c r="J102" i="5" s="1"/>
  <c r="H144" i="5"/>
  <c r="I144" i="5" s="1"/>
  <c r="J144" i="5" s="1"/>
  <c r="H16" i="5"/>
  <c r="I16" i="5" s="1"/>
  <c r="J16" i="5" s="1"/>
  <c r="S2" i="19"/>
  <c r="T2" i="19" s="1"/>
  <c r="S2" i="26"/>
  <c r="T2" i="26" s="1"/>
  <c r="X21" i="26" s="1"/>
  <c r="H121" i="17"/>
  <c r="I121" i="17" s="1"/>
  <c r="J121" i="17" s="1"/>
  <c r="H120" i="17"/>
  <c r="I120" i="17" s="1"/>
  <c r="J120" i="17" s="1"/>
  <c r="H119" i="17"/>
  <c r="I119" i="17" s="1"/>
  <c r="J119" i="17" s="1"/>
  <c r="H118" i="17"/>
  <c r="I118" i="17" s="1"/>
  <c r="J118" i="17" s="1"/>
  <c r="H117" i="17"/>
  <c r="I117" i="17" s="1"/>
  <c r="J117" i="17" s="1"/>
  <c r="H116" i="17"/>
  <c r="I116" i="17" s="1"/>
  <c r="J116" i="17" s="1"/>
  <c r="H115" i="17"/>
  <c r="I115" i="17" s="1"/>
  <c r="J115" i="17" s="1"/>
  <c r="H114" i="17"/>
  <c r="I114" i="17" s="1"/>
  <c r="J114" i="17" s="1"/>
  <c r="H113" i="17"/>
  <c r="I113" i="17" s="1"/>
  <c r="J113" i="17" s="1"/>
  <c r="H112" i="17"/>
  <c r="I112" i="17" s="1"/>
  <c r="J112" i="17" s="1"/>
  <c r="H111" i="17"/>
  <c r="I111" i="17" s="1"/>
  <c r="J111" i="17" s="1"/>
  <c r="H110" i="17"/>
  <c r="I110" i="17" s="1"/>
  <c r="J110" i="17" s="1"/>
  <c r="H109" i="17"/>
  <c r="I109" i="17" s="1"/>
  <c r="J109" i="17" s="1"/>
  <c r="H108" i="17"/>
  <c r="I108" i="17" s="1"/>
  <c r="J108" i="17" s="1"/>
  <c r="H107" i="17"/>
  <c r="I107" i="17" s="1"/>
  <c r="J107" i="17" s="1"/>
  <c r="H106" i="17"/>
  <c r="I106" i="17" s="1"/>
  <c r="J106" i="17" s="1"/>
  <c r="H105" i="17"/>
  <c r="I105" i="17" s="1"/>
  <c r="J105" i="17" s="1"/>
  <c r="H104" i="17"/>
  <c r="I104" i="17" s="1"/>
  <c r="J104" i="17" s="1"/>
  <c r="H103" i="17"/>
  <c r="I103" i="17" s="1"/>
  <c r="J103" i="17" s="1"/>
  <c r="H102" i="17"/>
  <c r="I102" i="17" s="1"/>
  <c r="J102" i="17" s="1"/>
  <c r="H101" i="17"/>
  <c r="I101" i="17" s="1"/>
  <c r="J101" i="17" s="1"/>
  <c r="H100" i="17"/>
  <c r="I100" i="17" s="1"/>
  <c r="J100" i="17" s="1"/>
  <c r="H99" i="17"/>
  <c r="I99" i="17" s="1"/>
  <c r="J99" i="17" s="1"/>
  <c r="H98" i="17"/>
  <c r="I98" i="17" s="1"/>
  <c r="J98" i="17" s="1"/>
  <c r="H160" i="17"/>
  <c r="I160" i="17" s="1"/>
  <c r="J160" i="17" s="1"/>
  <c r="H159" i="17"/>
  <c r="I159" i="17" s="1"/>
  <c r="J159" i="17" s="1"/>
  <c r="H158" i="17"/>
  <c r="I158" i="17" s="1"/>
  <c r="J158" i="17" s="1"/>
  <c r="H157" i="17"/>
  <c r="I157" i="17" s="1"/>
  <c r="J157" i="17" s="1"/>
  <c r="H156" i="17"/>
  <c r="I156" i="17" s="1"/>
  <c r="J156" i="17" s="1"/>
  <c r="H155" i="17"/>
  <c r="I155" i="17" s="1"/>
  <c r="J155" i="17" s="1"/>
  <c r="H154" i="17"/>
  <c r="I154" i="17" s="1"/>
  <c r="J154" i="17" s="1"/>
  <c r="H153" i="17"/>
  <c r="I153" i="17" s="1"/>
  <c r="J153" i="17" s="1"/>
  <c r="H152" i="17"/>
  <c r="I152" i="17" s="1"/>
  <c r="J152" i="17" s="1"/>
  <c r="H151" i="17"/>
  <c r="I151" i="17" s="1"/>
  <c r="J151" i="17" s="1"/>
  <c r="H150" i="17"/>
  <c r="I150" i="17" s="1"/>
  <c r="J150" i="17" s="1"/>
  <c r="H149" i="17"/>
  <c r="I149" i="17" s="1"/>
  <c r="J149" i="17" s="1"/>
  <c r="H148" i="17"/>
  <c r="I148" i="17" s="1"/>
  <c r="J148" i="17" s="1"/>
  <c r="H147" i="17"/>
  <c r="I147" i="17" s="1"/>
  <c r="J147" i="17" s="1"/>
  <c r="H146" i="17"/>
  <c r="I146" i="17" s="1"/>
  <c r="J146" i="17" s="1"/>
  <c r="H145" i="17"/>
  <c r="I145" i="17" s="1"/>
  <c r="J145" i="17" s="1"/>
  <c r="H144" i="17"/>
  <c r="I144" i="17" s="1"/>
  <c r="J144" i="17" s="1"/>
  <c r="H143" i="17"/>
  <c r="I143" i="17" s="1"/>
  <c r="J143" i="17" s="1"/>
  <c r="H142" i="17"/>
  <c r="I142" i="17" s="1"/>
  <c r="J142" i="17" s="1"/>
  <c r="H141" i="17"/>
  <c r="I141" i="17" s="1"/>
  <c r="J141" i="17" s="1"/>
  <c r="H140" i="17"/>
  <c r="I140" i="17" s="1"/>
  <c r="J140" i="17" s="1"/>
  <c r="H139" i="17"/>
  <c r="I139" i="17" s="1"/>
  <c r="J139" i="17" s="1"/>
  <c r="H138" i="17"/>
  <c r="I138" i="17" s="1"/>
  <c r="J138" i="17" s="1"/>
  <c r="H137" i="17"/>
  <c r="I137" i="17" s="1"/>
  <c r="J137" i="17" s="1"/>
  <c r="H136" i="17"/>
  <c r="I136" i="17" s="1"/>
  <c r="J136" i="17" s="1"/>
  <c r="H135" i="17"/>
  <c r="I135" i="17" s="1"/>
  <c r="J135" i="17" s="1"/>
  <c r="H134" i="17"/>
  <c r="I134" i="17" s="1"/>
  <c r="J134" i="17" s="1"/>
  <c r="H133" i="17"/>
  <c r="I133" i="17" s="1"/>
  <c r="J133" i="17" s="1"/>
  <c r="H132" i="17"/>
  <c r="I132" i="17" s="1"/>
  <c r="J132" i="17" s="1"/>
  <c r="H131" i="17"/>
  <c r="I131" i="17" s="1"/>
  <c r="J131" i="17" s="1"/>
  <c r="H130" i="17"/>
  <c r="I130" i="17" s="1"/>
  <c r="J130" i="17" s="1"/>
  <c r="H129" i="17"/>
  <c r="I129" i="17" s="1"/>
  <c r="J129" i="17" s="1"/>
  <c r="H128" i="17"/>
  <c r="I128" i="17" s="1"/>
  <c r="J128" i="17" s="1"/>
  <c r="H127" i="17"/>
  <c r="I127" i="17" s="1"/>
  <c r="J127" i="17" s="1"/>
  <c r="H126" i="17"/>
  <c r="I126" i="17" s="1"/>
  <c r="J126" i="17" s="1"/>
  <c r="H125" i="17"/>
  <c r="I125" i="17" s="1"/>
  <c r="J125" i="17" s="1"/>
  <c r="H124" i="17"/>
  <c r="I124" i="17" s="1"/>
  <c r="J124" i="17" s="1"/>
  <c r="H123" i="17"/>
  <c r="I123" i="17" s="1"/>
  <c r="J123" i="17" s="1"/>
  <c r="H29" i="17"/>
  <c r="I29" i="17" s="1"/>
  <c r="J29" i="17" s="1"/>
  <c r="H28" i="17"/>
  <c r="I28" i="17" s="1"/>
  <c r="J28" i="17" s="1"/>
  <c r="H27" i="17"/>
  <c r="I27" i="17" s="1"/>
  <c r="J27" i="17" s="1"/>
  <c r="H26" i="17"/>
  <c r="I26" i="17" s="1"/>
  <c r="J26" i="17" s="1"/>
  <c r="H25" i="17"/>
  <c r="I25" i="17" s="1"/>
  <c r="J25" i="17" s="1"/>
  <c r="H24" i="17"/>
  <c r="I24" i="17" s="1"/>
  <c r="J24" i="17" s="1"/>
  <c r="H23" i="17"/>
  <c r="I23" i="17" s="1"/>
  <c r="J23" i="17" s="1"/>
  <c r="H22" i="17"/>
  <c r="I22" i="17" s="1"/>
  <c r="J22" i="17" s="1"/>
  <c r="H161" i="17"/>
  <c r="I161" i="17" s="1"/>
  <c r="J161" i="17" s="1"/>
  <c r="H68" i="17"/>
  <c r="I68" i="17" s="1"/>
  <c r="J68" i="17" s="1"/>
  <c r="H52" i="17"/>
  <c r="I52" i="17" s="1"/>
  <c r="J52" i="17" s="1"/>
  <c r="H42" i="17"/>
  <c r="I42" i="17" s="1"/>
  <c r="J42" i="17" s="1"/>
  <c r="H21" i="17"/>
  <c r="I21" i="17" s="1"/>
  <c r="J21" i="17" s="1"/>
  <c r="H20" i="17"/>
  <c r="I20" i="17" s="1"/>
  <c r="J20" i="17" s="1"/>
  <c r="H19" i="17"/>
  <c r="I19" i="17" s="1"/>
  <c r="J19" i="17" s="1"/>
  <c r="H18" i="17"/>
  <c r="I18" i="17" s="1"/>
  <c r="J18" i="17" s="1"/>
  <c r="H97" i="17"/>
  <c r="I97" i="17" s="1"/>
  <c r="J97" i="17" s="1"/>
  <c r="H89" i="17"/>
  <c r="I89" i="17" s="1"/>
  <c r="J89" i="17" s="1"/>
  <c r="H63" i="17"/>
  <c r="I63" i="17" s="1"/>
  <c r="J63" i="17" s="1"/>
  <c r="H47" i="17"/>
  <c r="I47" i="17" s="1"/>
  <c r="J47" i="17" s="1"/>
  <c r="H37" i="17"/>
  <c r="I37" i="17" s="1"/>
  <c r="J37" i="17" s="1"/>
  <c r="H17" i="17"/>
  <c r="I17" i="17" s="1"/>
  <c r="J17" i="17" s="1"/>
  <c r="H16" i="17"/>
  <c r="I16" i="17" s="1"/>
  <c r="J16" i="17" s="1"/>
  <c r="H15" i="17"/>
  <c r="I15" i="17" s="1"/>
  <c r="J15" i="17" s="1"/>
  <c r="H14" i="17"/>
  <c r="I14" i="17" s="1"/>
  <c r="J14" i="17" s="1"/>
  <c r="H13" i="17"/>
  <c r="I13" i="17" s="1"/>
  <c r="J13" i="17" s="1"/>
  <c r="H12" i="17"/>
  <c r="I12" i="17" s="1"/>
  <c r="J12" i="17" s="1"/>
  <c r="H11" i="17"/>
  <c r="I11" i="17" s="1"/>
  <c r="J11" i="17" s="1"/>
  <c r="H10" i="17"/>
  <c r="I10" i="17" s="1"/>
  <c r="J10" i="17" s="1"/>
  <c r="H9" i="17"/>
  <c r="I9" i="17" s="1"/>
  <c r="J9" i="17" s="1"/>
  <c r="H8" i="17"/>
  <c r="I8" i="17" s="1"/>
  <c r="J8" i="17" s="1"/>
  <c r="H7" i="17"/>
  <c r="I7" i="17" s="1"/>
  <c r="J7" i="17" s="1"/>
  <c r="H74" i="17"/>
  <c r="I74" i="17" s="1"/>
  <c r="J74" i="17" s="1"/>
  <c r="H58" i="17"/>
  <c r="I58" i="17" s="1"/>
  <c r="J58" i="17" s="1"/>
  <c r="H90" i="17"/>
  <c r="I90" i="17" s="1"/>
  <c r="J90" i="17" s="1"/>
  <c r="H79" i="17"/>
  <c r="I79" i="17" s="1"/>
  <c r="J79" i="17" s="1"/>
  <c r="H69" i="17"/>
  <c r="I69" i="17" s="1"/>
  <c r="J69" i="17" s="1"/>
  <c r="H53" i="17"/>
  <c r="I53" i="17" s="1"/>
  <c r="J53" i="17" s="1"/>
  <c r="H43" i="17"/>
  <c r="I43" i="17" s="1"/>
  <c r="J43" i="17" s="1"/>
  <c r="H83" i="17"/>
  <c r="I83" i="17" s="1"/>
  <c r="J83" i="17" s="1"/>
  <c r="H64" i="17"/>
  <c r="I64" i="17" s="1"/>
  <c r="J64" i="17" s="1"/>
  <c r="H48" i="17"/>
  <c r="I48" i="17" s="1"/>
  <c r="J48" i="17" s="1"/>
  <c r="H38" i="17"/>
  <c r="I38" i="17" s="1"/>
  <c r="J38" i="17" s="1"/>
  <c r="H92" i="17"/>
  <c r="I92" i="17" s="1"/>
  <c r="J92" i="17" s="1"/>
  <c r="H84" i="17"/>
  <c r="I84" i="17" s="1"/>
  <c r="J84" i="17" s="1"/>
  <c r="H80" i="17"/>
  <c r="I80" i="17" s="1"/>
  <c r="J80" i="17" s="1"/>
  <c r="H65" i="17"/>
  <c r="I65" i="17" s="1"/>
  <c r="J65" i="17" s="1"/>
  <c r="H49" i="17"/>
  <c r="I49" i="17" s="1"/>
  <c r="J49" i="17" s="1"/>
  <c r="H44" i="17"/>
  <c r="I44" i="17" s="1"/>
  <c r="J44" i="17" s="1"/>
  <c r="H39" i="17"/>
  <c r="I39" i="17" s="1"/>
  <c r="J39" i="17" s="1"/>
  <c r="H32" i="17"/>
  <c r="I32" i="17" s="1"/>
  <c r="J32" i="17" s="1"/>
  <c r="H93" i="17"/>
  <c r="I93" i="17" s="1"/>
  <c r="J93" i="17" s="1"/>
  <c r="H66" i="17"/>
  <c r="I66" i="17" s="1"/>
  <c r="J66" i="17" s="1"/>
  <c r="H88" i="17"/>
  <c r="I88" i="17" s="1"/>
  <c r="J88" i="17" s="1"/>
  <c r="H35" i="17"/>
  <c r="I35" i="17" s="1"/>
  <c r="J35" i="17" s="1"/>
  <c r="H91" i="17"/>
  <c r="I91" i="17" s="1"/>
  <c r="J91" i="17" s="1"/>
  <c r="H57" i="17"/>
  <c r="I57" i="17" s="1"/>
  <c r="J57" i="17" s="1"/>
  <c r="H46" i="17"/>
  <c r="I46" i="17" s="1"/>
  <c r="J46" i="17" s="1"/>
  <c r="H33" i="17"/>
  <c r="I33" i="17" s="1"/>
  <c r="J33" i="17" s="1"/>
  <c r="H162" i="17"/>
  <c r="I162" i="17" s="1"/>
  <c r="J162" i="17" s="1"/>
  <c r="H86" i="17"/>
  <c r="I86" i="17" s="1"/>
  <c r="J86" i="17" s="1"/>
  <c r="H55" i="17"/>
  <c r="I55" i="17" s="1"/>
  <c r="J55" i="17" s="1"/>
  <c r="H40" i="17"/>
  <c r="I40" i="17" s="1"/>
  <c r="J40" i="17" s="1"/>
  <c r="H73" i="17"/>
  <c r="I73" i="17" s="1"/>
  <c r="J73" i="17" s="1"/>
  <c r="H62" i="17"/>
  <c r="I62" i="17" s="1"/>
  <c r="J62" i="17" s="1"/>
  <c r="H60" i="17"/>
  <c r="I60" i="17" s="1"/>
  <c r="J60" i="17" s="1"/>
  <c r="H30" i="17"/>
  <c r="I30" i="17" s="1"/>
  <c r="J30" i="17" s="1"/>
  <c r="H96" i="17"/>
  <c r="I96" i="17" s="1"/>
  <c r="J96" i="17" s="1"/>
  <c r="H71" i="17"/>
  <c r="I71" i="17" s="1"/>
  <c r="J71" i="17" s="1"/>
  <c r="H76" i="17"/>
  <c r="I76" i="17" s="1"/>
  <c r="J76" i="17" s="1"/>
  <c r="H94" i="17"/>
  <c r="I94" i="17" s="1"/>
  <c r="J94" i="17" s="1"/>
  <c r="H82" i="17"/>
  <c r="I82" i="17" s="1"/>
  <c r="J82" i="17" s="1"/>
  <c r="H78" i="17"/>
  <c r="I78" i="17" s="1"/>
  <c r="J78" i="17" s="1"/>
  <c r="H51" i="17"/>
  <c r="I51" i="17" s="1"/>
  <c r="J51" i="17" s="1"/>
  <c r="H6" i="17"/>
  <c r="I6" i="17" s="1"/>
  <c r="J6" i="17" s="1"/>
  <c r="H72" i="17"/>
  <c r="I72" i="17" s="1"/>
  <c r="J72" i="17" s="1"/>
  <c r="H59" i="17"/>
  <c r="I59" i="17" s="1"/>
  <c r="J59" i="17" s="1"/>
  <c r="H122" i="17"/>
  <c r="I122" i="17" s="1"/>
  <c r="J122" i="17" s="1"/>
  <c r="H81" i="17"/>
  <c r="I81" i="17" s="1"/>
  <c r="J81" i="17" s="1"/>
  <c r="H61" i="17"/>
  <c r="I61" i="17" s="1"/>
  <c r="J61" i="17" s="1"/>
  <c r="H45" i="17"/>
  <c r="I45" i="17" s="1"/>
  <c r="J45" i="17" s="1"/>
  <c r="H77" i="17"/>
  <c r="I77" i="17" s="1"/>
  <c r="J77" i="17" s="1"/>
  <c r="H87" i="17"/>
  <c r="I87" i="17" s="1"/>
  <c r="J87" i="17" s="1"/>
  <c r="H67" i="17"/>
  <c r="I67" i="17" s="1"/>
  <c r="J67" i="17" s="1"/>
  <c r="H41" i="17"/>
  <c r="I41" i="17" s="1"/>
  <c r="J41" i="17" s="1"/>
  <c r="H34" i="17"/>
  <c r="I34" i="17" s="1"/>
  <c r="J34" i="17" s="1"/>
  <c r="H70" i="17"/>
  <c r="I70" i="17" s="1"/>
  <c r="J70" i="17" s="1"/>
  <c r="H54" i="17"/>
  <c r="I54" i="17" s="1"/>
  <c r="J54" i="17" s="1"/>
  <c r="H31" i="17"/>
  <c r="I31" i="17" s="1"/>
  <c r="J31" i="17" s="1"/>
  <c r="H75" i="17"/>
  <c r="I75" i="17" s="1"/>
  <c r="J75" i="17" s="1"/>
  <c r="H85" i="17"/>
  <c r="I85" i="17" s="1"/>
  <c r="J85" i="17" s="1"/>
  <c r="H36" i="17"/>
  <c r="I36" i="17" s="1"/>
  <c r="J36" i="17" s="1"/>
  <c r="H50" i="17"/>
  <c r="I50" i="17" s="1"/>
  <c r="J50" i="17" s="1"/>
  <c r="H56" i="17"/>
  <c r="I56" i="17" s="1"/>
  <c r="J56" i="17" s="1"/>
  <c r="H95" i="17"/>
  <c r="I95" i="17" s="1"/>
  <c r="J95" i="17" s="1"/>
  <c r="S2" i="25"/>
  <c r="T2" i="25" s="1"/>
  <c r="X21" i="25" s="1"/>
  <c r="S2" i="27" l="1"/>
  <c r="T2" i="27" s="1"/>
  <c r="X21" i="27" s="1"/>
  <c r="I2" i="17"/>
  <c r="J2" i="17" s="1"/>
  <c r="S2" i="17"/>
  <c r="T2" i="17" s="1"/>
  <c r="I2" i="5"/>
  <c r="J2" i="5" s="1"/>
  <c r="X21" i="5" s="1"/>
  <c r="X21" i="19"/>
  <c r="X22" i="3"/>
  <c r="I2" i="9"/>
  <c r="J2" i="9" s="1"/>
  <c r="X21" i="9" s="1"/>
  <c r="X22" i="5" l="1"/>
  <c r="X22" i="4"/>
  <c r="X21" i="17"/>
</calcChain>
</file>

<file path=xl/sharedStrings.xml><?xml version="1.0" encoding="utf-8"?>
<sst xmlns="http://schemas.openxmlformats.org/spreadsheetml/2006/main" count="1354" uniqueCount="104">
  <si>
    <t>Soma Lb*raio</t>
  </si>
  <si>
    <t>Soma Raio</t>
  </si>
  <si>
    <t>Lb Média (mm)</t>
  </si>
  <si>
    <t>Soma(xi-xmedio)</t>
  </si>
  <si>
    <t>CUC (%)</t>
  </si>
  <si>
    <t>Dados de Coleta de Dados - Teste de Uniformidade</t>
  </si>
  <si>
    <t>Informações Predecessoras</t>
  </si>
  <si>
    <t>Linha</t>
  </si>
  <si>
    <t>A</t>
  </si>
  <si>
    <t xml:space="preserve">Identificador </t>
  </si>
  <si>
    <t>CUC QT 1</t>
  </si>
  <si>
    <t>B</t>
  </si>
  <si>
    <t>Nome do Teste</t>
  </si>
  <si>
    <t>Horário</t>
  </si>
  <si>
    <t>Coletor</t>
  </si>
  <si>
    <t>Distância do Centro (m)</t>
  </si>
  <si>
    <t>Volume (ml)</t>
  </si>
  <si>
    <t>Área Coletor (cm²)</t>
  </si>
  <si>
    <t>Lâmina (mm)</t>
  </si>
  <si>
    <t>LB (mm) x R(m)</t>
  </si>
  <si>
    <t>Lp (mm)</t>
  </si>
  <si>
    <t>Xi - Xmedio</t>
  </si>
  <si>
    <t>Data</t>
  </si>
  <si>
    <t>Velocidade e Sentido do Vento (m/s)</t>
  </si>
  <si>
    <t>Temperatura ºC / Umidade (%)</t>
  </si>
  <si>
    <t>Dados de Evaporação</t>
  </si>
  <si>
    <t>Hora Inicial</t>
  </si>
  <si>
    <t>Volume Inicial Coletor 1 (ml)</t>
  </si>
  <si>
    <t>Volume Inicial Coletor 2 (ml)</t>
  </si>
  <si>
    <t>Volume Inicial Coletor 3 (ml)</t>
  </si>
  <si>
    <t>Hora Final</t>
  </si>
  <si>
    <t>Volume Final Coletor 1 (ml)</t>
  </si>
  <si>
    <t>Volume Final Coletor 2 (ml)</t>
  </si>
  <si>
    <t>Volume Final Coletor 3 (ml)</t>
  </si>
  <si>
    <t>Média Evaporação (ml)</t>
  </si>
  <si>
    <t>Precipitação?</t>
  </si>
  <si>
    <t>Sim</t>
  </si>
  <si>
    <t>Coletor 80mm por 102</t>
  </si>
  <si>
    <t>Area Coletor (cm²)</t>
  </si>
  <si>
    <t>CUC Médio (%)</t>
  </si>
  <si>
    <t>CUC QT 2</t>
  </si>
  <si>
    <t>Não</t>
  </si>
  <si>
    <t>2,45m/s - N - 10º</t>
  </si>
  <si>
    <t>23,3 ºC / 62,6 %</t>
  </si>
  <si>
    <t>CUC Médio Testes Qplena (%)</t>
  </si>
  <si>
    <t>GPS</t>
  </si>
  <si>
    <t>Garmin e-Trex 10</t>
  </si>
  <si>
    <t>Anemômetro, Temperatura e Umidade</t>
  </si>
  <si>
    <t xml:space="preserve">PeakMeter PM625B Digital Anemometer </t>
  </si>
  <si>
    <t>Vol Max Teste A</t>
  </si>
  <si>
    <t>Vol Max Teste B</t>
  </si>
  <si>
    <t>1 m/s - S - 172º</t>
  </si>
  <si>
    <t>23,1 ºC / 68,7 %</t>
  </si>
  <si>
    <t>CUC QT 3</t>
  </si>
  <si>
    <t>1,25m/s - N - 1º</t>
  </si>
  <si>
    <t>25,8 ºC / 55,0 %</t>
  </si>
  <si>
    <t>CUC Q0 E03</t>
  </si>
  <si>
    <t>5,00m/s - S - 175º</t>
  </si>
  <si>
    <t>30,4 ºC / 47,8 %</t>
  </si>
  <si>
    <t>CUC Q0 E06</t>
  </si>
  <si>
    <t>1,40m/s - SO - 230º</t>
  </si>
  <si>
    <t>23 ºC / 69,5 %</t>
  </si>
  <si>
    <t>CUC Q0 E09</t>
  </si>
  <si>
    <t>4,20m/s - N - 352º</t>
  </si>
  <si>
    <t>26,4 ºC / 63,5 %</t>
  </si>
  <si>
    <t>CUC Q0 E12</t>
  </si>
  <si>
    <t>6,00m/s - S - 172º</t>
  </si>
  <si>
    <t>26,9 ºC / 56,8 %</t>
  </si>
  <si>
    <t>CUC Q0 E15</t>
  </si>
  <si>
    <t>6,00m/s - NE - 60º</t>
  </si>
  <si>
    <t>23 ºC / 63,2 %</t>
  </si>
  <si>
    <t>CUC Q0 E18</t>
  </si>
  <si>
    <t>4,00m/s - N - 351º</t>
  </si>
  <si>
    <t>19,9 ºC / 74%</t>
  </si>
  <si>
    <t>CUC Q0 E21</t>
  </si>
  <si>
    <t>2,50m/s - NE - 30º</t>
  </si>
  <si>
    <t>24,8 ºC / 58%</t>
  </si>
  <si>
    <t>CUC Q0 E24</t>
  </si>
  <si>
    <t>4,0m/s - NE - 24º</t>
  </si>
  <si>
    <t>18ºC / 78,5%</t>
  </si>
  <si>
    <t>5,0m/s - NE - 40º</t>
  </si>
  <si>
    <t>CUC Q0 E27</t>
  </si>
  <si>
    <t>0,5m/s - S - 194º</t>
  </si>
  <si>
    <t>20,4ºC / 67,5%</t>
  </si>
  <si>
    <t>CUC Q0 E30</t>
  </si>
  <si>
    <t>6,0m/s - L - 74º</t>
  </si>
  <si>
    <t>24,1ºC / 61,0%</t>
  </si>
  <si>
    <t>CUC Q0 E33</t>
  </si>
  <si>
    <t>27,9ºC / 45,0%</t>
  </si>
  <si>
    <t>CUC Q0 E36</t>
  </si>
  <si>
    <t>6,0m/s -SO- 212º</t>
  </si>
  <si>
    <t>23,2ºC / 60,9%</t>
  </si>
  <si>
    <t>3 AO 18</t>
  </si>
  <si>
    <t>1,5m/s -L- 75º</t>
  </si>
  <si>
    <t>38,0ºC / 29.0%</t>
  </si>
  <si>
    <t>12 AO 27</t>
  </si>
  <si>
    <t>1.5m/s -L- 82º</t>
  </si>
  <si>
    <t>35,0ºC / 29,8%</t>
  </si>
  <si>
    <t>21 AO 36</t>
  </si>
  <si>
    <t>2.6m/s -NO- 330º</t>
  </si>
  <si>
    <t>28,7ºC / 51,0%</t>
  </si>
  <si>
    <t>TODOS</t>
  </si>
  <si>
    <t>3.0m/s -NE- 23º</t>
  </si>
  <si>
    <t>29,0ºC / 50,5%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</si>
</sst>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7"/>
      <color theme="1"/>
      <name val="Arial"/>
      <scheme val="minor"/>
    </font>
    <font>
      <sz val="8"/>
      <color theme="1"/>
      <name val="Arial"/>
      <scheme val="minor"/>
    </font>
    <font>
      <b/>
      <sz val="10"/>
      <color theme="1"/>
      <name val="Arial"/>
      <scheme val="minor"/>
    </font>
    <font>
      <b/>
      <sz val="8"/>
      <color theme="1"/>
      <name val="Arial"/>
    </font>
    <font>
      <sz val="9"/>
      <color theme="1"/>
      <name val="Arial"/>
    </font>
    <font>
      <b/>
      <sz val="8"/>
      <color theme="1"/>
      <name val="Arial"/>
      <scheme val="minor"/>
    </font>
    <font>
      <sz val="10"/>
      <color rgb="FFFF0000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2"/>
      <color rgb="FF0000FF"/>
      <name val="Arial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0" fontId="1" fillId="0" borderId="1" xfId="0" applyFont="1" applyBorder="1" applyAlignment="1">
      <alignment horizontal="center"/>
    </xf>
    <xf numFmtId="0" fontId="5" fillId="0" borderId="5" xfId="0" applyFon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4" fontId="5" fillId="0" borderId="5" xfId="0" applyNumberFormat="1" applyFont="1" applyBorder="1"/>
    <xf numFmtId="20" fontId="8" fillId="0" borderId="0" xfId="0" applyNumberFormat="1" applyFont="1"/>
    <xf numFmtId="164" fontId="1" fillId="0" borderId="0" xfId="0" applyNumberFormat="1" applyFont="1"/>
    <xf numFmtId="20" fontId="8" fillId="0" borderId="1" xfId="0" applyNumberFormat="1" applyFont="1" applyBorder="1"/>
    <xf numFmtId="0" fontId="10" fillId="0" borderId="5" xfId="0" applyFont="1" applyBorder="1"/>
    <xf numFmtId="20" fontId="1" fillId="0" borderId="0" xfId="0" applyNumberFormat="1" applyFont="1"/>
    <xf numFmtId="20" fontId="1" fillId="0" borderId="1" xfId="0" applyNumberFormat="1" applyFont="1" applyBorder="1"/>
    <xf numFmtId="20" fontId="5" fillId="0" borderId="5" xfId="0" applyNumberFormat="1" applyFont="1" applyBorder="1"/>
    <xf numFmtId="1" fontId="1" fillId="0" borderId="5" xfId="0" applyNumberFormat="1" applyFont="1" applyBorder="1"/>
    <xf numFmtId="0" fontId="8" fillId="0" borderId="5" xfId="0" applyFont="1" applyBorder="1" applyAlignment="1">
      <alignment horizontal="center"/>
    </xf>
    <xf numFmtId="0" fontId="11" fillId="0" borderId="5" xfId="0" applyFont="1" applyBorder="1"/>
    <xf numFmtId="0" fontId="8" fillId="0" borderId="5" xfId="0" applyFont="1" applyBorder="1"/>
    <xf numFmtId="0" fontId="12" fillId="0" borderId="0" xfId="0" applyFont="1"/>
    <xf numFmtId="2" fontId="12" fillId="0" borderId="0" xfId="0" applyNumberFormat="1" applyFont="1"/>
    <xf numFmtId="0" fontId="13" fillId="0" borderId="0" xfId="0" applyFont="1"/>
    <xf numFmtId="0" fontId="5" fillId="0" borderId="5" xfId="0" applyFont="1" applyBorder="1" applyAlignment="1">
      <alignment horizontal="center"/>
    </xf>
    <xf numFmtId="0" fontId="1" fillId="0" borderId="1" xfId="0" applyFont="1" applyBorder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0" xfId="0" applyFont="1"/>
    <xf numFmtId="20" fontId="5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9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0" fontId="1" fillId="0" borderId="2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5" fillId="0" borderId="8" xfId="0" applyFont="1" applyBorder="1" applyAlignment="1">
      <alignment horizontal="center" vertical="center"/>
    </xf>
    <xf numFmtId="0" fontId="4" fillId="0" borderId="11" xfId="0" applyFont="1" applyBorder="1"/>
    <xf numFmtId="0" fontId="8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74"/>
  <sheetViews>
    <sheetView tabSelected="1"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19236.772487338218</v>
      </c>
      <c r="G2" s="4">
        <f>SUM(C6:C174)</f>
        <v>6934.3099999999931</v>
      </c>
      <c r="H2" s="2">
        <f>F2/G2</f>
        <v>2.7741437125450457</v>
      </c>
      <c r="I2" s="2">
        <f>SUM(J6:J174)</f>
        <v>1734.4167021918363</v>
      </c>
      <c r="J2" s="2">
        <f>(1-(I2/(F2)))*100</f>
        <v>90.983847714924934</v>
      </c>
      <c r="K2" s="1"/>
      <c r="L2" s="1"/>
      <c r="M2" s="1"/>
      <c r="N2" s="1"/>
      <c r="O2" s="1"/>
      <c r="P2" s="2">
        <f>SUM(Q6:Q174)</f>
        <v>19229.464291295117</v>
      </c>
      <c r="Q2" s="2">
        <f>SUM(M6:M174)</f>
        <v>6895.0599999999931</v>
      </c>
      <c r="R2" s="2">
        <f>P2/Q2</f>
        <v>2.788875556020562</v>
      </c>
      <c r="S2" s="2">
        <f>SUM(T6:T174)</f>
        <v>2014.2641296565371</v>
      </c>
      <c r="T2" s="2">
        <f>(1-(S2/(P2)))*100</f>
        <v>89.525115733107739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31" t="s">
        <v>10</v>
      </c>
      <c r="F4" s="32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31" t="s">
        <v>10</v>
      </c>
      <c r="P4" s="32"/>
      <c r="V4" s="34" t="s">
        <v>12</v>
      </c>
      <c r="W4" s="36"/>
      <c r="X4" s="6" t="s">
        <v>10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45782</v>
      </c>
    </row>
    <row r="6" spans="1:24" x14ac:dyDescent="0.25">
      <c r="A6" s="10">
        <v>0.72013888888888888</v>
      </c>
      <c r="B6" s="2">
        <v>1</v>
      </c>
      <c r="C6" s="4">
        <v>4.83</v>
      </c>
      <c r="D6" s="2">
        <v>7.5</v>
      </c>
      <c r="E6" s="2">
        <v>50.26548245743669</v>
      </c>
      <c r="F6" s="11">
        <f t="shared" ref="F6:F162" si="0">(D6/E6)*10</f>
        <v>1.492077591486519</v>
      </c>
      <c r="G6" s="2">
        <f t="shared" ref="G6:G162" si="1">F6*C6</f>
        <v>7.2067347668798867</v>
      </c>
      <c r="H6" s="2">
        <f t="shared" ref="H6:H162" si="2">$H$2</f>
        <v>2.7741437125450457</v>
      </c>
      <c r="I6" s="2">
        <f t="shared" ref="I6:I162" si="3">H6*C6</f>
        <v>13.399114131592571</v>
      </c>
      <c r="J6" s="2">
        <f t="shared" ref="J6:J162" si="4">ABS(G6-I6)</f>
        <v>6.1923793647126839</v>
      </c>
      <c r="K6" s="12">
        <v>0.69027777777777777</v>
      </c>
      <c r="L6" s="2">
        <v>1</v>
      </c>
      <c r="M6" s="2">
        <v>4.58</v>
      </c>
      <c r="N6" s="2">
        <v>5</v>
      </c>
      <c r="O6" s="2">
        <v>50.26548245743669</v>
      </c>
      <c r="P6" s="11">
        <f t="shared" ref="P6:P162" si="5">(N6/O6)*10</f>
        <v>0.99471839432434594</v>
      </c>
      <c r="Q6" s="2">
        <f t="shared" ref="Q6:Q162" si="6">P6*M6</f>
        <v>4.5558102460055041</v>
      </c>
      <c r="R6" s="2">
        <f t="shared" ref="R6:R162" si="7">$R$2</f>
        <v>2.788875556020562</v>
      </c>
      <c r="S6" s="2">
        <f t="shared" ref="S6:S162" si="8">R6*M6</f>
        <v>12.773050046574173</v>
      </c>
      <c r="T6" s="2">
        <f t="shared" ref="T6:T162" si="9">ABS(Q6-S6)</f>
        <v>8.2172398005686702</v>
      </c>
      <c r="V6" s="37" t="s">
        <v>23</v>
      </c>
      <c r="W6" s="36"/>
      <c r="X6" s="13" t="s">
        <v>42</v>
      </c>
    </row>
    <row r="7" spans="1:24" x14ac:dyDescent="0.25">
      <c r="A7" s="14">
        <f t="shared" ref="A7:A43" si="10">IF(AND($A$6&lt;&gt;"",$A$44&lt;&gt;""), $A$6 + (B7 - $B$6) * (($A$44 - $A$6) / ($B$44 - $B$6)), "")</f>
        <v>0.72010233918128652</v>
      </c>
      <c r="B7" s="2">
        <f t="shared" ref="B7:B162" si="11">B6+1</f>
        <v>2</v>
      </c>
      <c r="C7" s="4">
        <f t="shared" ref="C7:C109" si="12">C6+0.5</f>
        <v>5.33</v>
      </c>
      <c r="D7" s="2">
        <v>8.5</v>
      </c>
      <c r="E7" s="2">
        <v>50.26548245743669</v>
      </c>
      <c r="F7" s="11">
        <f t="shared" si="0"/>
        <v>1.6910212703513881</v>
      </c>
      <c r="G7" s="2">
        <f t="shared" si="1"/>
        <v>9.0131433709728981</v>
      </c>
      <c r="H7" s="2">
        <f t="shared" si="2"/>
        <v>2.7741437125450457</v>
      </c>
      <c r="I7" s="2">
        <f t="shared" si="3"/>
        <v>14.786185987865094</v>
      </c>
      <c r="J7" s="2">
        <f t="shared" si="4"/>
        <v>5.7730426168921962</v>
      </c>
      <c r="K7" s="15">
        <f t="shared" ref="K7:K43" si="13">IF(AND($K$6&lt;&gt;"",$K$44&lt;&gt;""), $K$6 + (L7 - $L$6) * (($K$44 - $K$6) / ($L$44 - $L$6)), "")</f>
        <v>0.69042397660818711</v>
      </c>
      <c r="L7" s="2">
        <f t="shared" ref="L7:L162" si="14">L6+1</f>
        <v>2</v>
      </c>
      <c r="M7" s="2">
        <f t="shared" ref="M7:M109" si="15">M6+0.5</f>
        <v>5.08</v>
      </c>
      <c r="N7" s="2">
        <v>5.5</v>
      </c>
      <c r="O7" s="2">
        <v>50.26548245743669</v>
      </c>
      <c r="P7" s="11">
        <f t="shared" si="5"/>
        <v>1.0941902337567804</v>
      </c>
      <c r="Q7" s="2">
        <f t="shared" si="6"/>
        <v>5.5584863874844448</v>
      </c>
      <c r="R7" s="2">
        <f t="shared" si="7"/>
        <v>2.788875556020562</v>
      </c>
      <c r="S7" s="2">
        <f t="shared" si="8"/>
        <v>14.167487824584455</v>
      </c>
      <c r="T7" s="2">
        <f t="shared" si="9"/>
        <v>8.6090014371000105</v>
      </c>
      <c r="V7" s="37" t="s">
        <v>24</v>
      </c>
      <c r="W7" s="36"/>
      <c r="X7" s="6" t="s">
        <v>43</v>
      </c>
    </row>
    <row r="8" spans="1:24" x14ac:dyDescent="0.25">
      <c r="A8" s="14">
        <f t="shared" si="10"/>
        <v>0.72006578947368416</v>
      </c>
      <c r="B8" s="2">
        <f t="shared" si="11"/>
        <v>3</v>
      </c>
      <c r="C8" s="4">
        <f t="shared" si="12"/>
        <v>5.83</v>
      </c>
      <c r="D8" s="2">
        <v>9.5</v>
      </c>
      <c r="E8" s="2">
        <v>50.26548245743669</v>
      </c>
      <c r="F8" s="11">
        <f t="shared" si="0"/>
        <v>1.8899649492162571</v>
      </c>
      <c r="G8" s="2">
        <f t="shared" si="1"/>
        <v>11.018495653930779</v>
      </c>
      <c r="H8" s="2">
        <f t="shared" si="2"/>
        <v>2.7741437125450457</v>
      </c>
      <c r="I8" s="2">
        <f t="shared" si="3"/>
        <v>16.173257844137616</v>
      </c>
      <c r="J8" s="2">
        <f t="shared" si="4"/>
        <v>5.1547621902068368</v>
      </c>
      <c r="K8" s="15">
        <f t="shared" si="13"/>
        <v>0.69057017543859645</v>
      </c>
      <c r="L8" s="2">
        <f t="shared" si="14"/>
        <v>3</v>
      </c>
      <c r="M8" s="2">
        <f t="shared" si="15"/>
        <v>5.58</v>
      </c>
      <c r="N8" s="2">
        <v>9</v>
      </c>
      <c r="O8" s="2">
        <v>50.26548245743669</v>
      </c>
      <c r="P8" s="11">
        <f t="shared" si="5"/>
        <v>1.7904931097838226</v>
      </c>
      <c r="Q8" s="2">
        <f t="shared" si="6"/>
        <v>9.9909515525937298</v>
      </c>
      <c r="R8" s="2">
        <f t="shared" si="7"/>
        <v>2.788875556020562</v>
      </c>
      <c r="S8" s="2">
        <f t="shared" si="8"/>
        <v>15.561925602594735</v>
      </c>
      <c r="T8" s="2">
        <f t="shared" si="9"/>
        <v>5.5709740500010057</v>
      </c>
      <c r="V8" s="34" t="s">
        <v>25</v>
      </c>
      <c r="W8" s="35"/>
      <c r="X8" s="36"/>
    </row>
    <row r="9" spans="1:24" x14ac:dyDescent="0.25">
      <c r="A9" s="14">
        <f t="shared" si="10"/>
        <v>0.72002923976608191</v>
      </c>
      <c r="B9" s="2">
        <f t="shared" si="11"/>
        <v>4</v>
      </c>
      <c r="C9" s="4">
        <f t="shared" si="12"/>
        <v>6.33</v>
      </c>
      <c r="D9" s="2">
        <v>12</v>
      </c>
      <c r="E9" s="2">
        <v>50.26548245743669</v>
      </c>
      <c r="F9" s="11">
        <f t="shared" si="0"/>
        <v>2.3873241463784298</v>
      </c>
      <c r="G9" s="2">
        <f t="shared" si="1"/>
        <v>15.111761846575462</v>
      </c>
      <c r="H9" s="2">
        <f t="shared" si="2"/>
        <v>2.7741437125450457</v>
      </c>
      <c r="I9" s="2">
        <f t="shared" si="3"/>
        <v>17.56032970041014</v>
      </c>
      <c r="J9" s="2">
        <f t="shared" si="4"/>
        <v>2.4485678538346782</v>
      </c>
      <c r="K9" s="15">
        <f t="shared" si="13"/>
        <v>0.69071637426900578</v>
      </c>
      <c r="L9" s="2">
        <f t="shared" si="14"/>
        <v>4</v>
      </c>
      <c r="M9" s="2">
        <f t="shared" si="15"/>
        <v>6.08</v>
      </c>
      <c r="N9" s="2">
        <v>11.5</v>
      </c>
      <c r="O9" s="2">
        <v>50.26548245743669</v>
      </c>
      <c r="P9" s="11">
        <f t="shared" si="5"/>
        <v>2.2878523069459957</v>
      </c>
      <c r="Q9" s="2">
        <f t="shared" si="6"/>
        <v>13.910142026231654</v>
      </c>
      <c r="R9" s="2">
        <f t="shared" si="7"/>
        <v>2.788875556020562</v>
      </c>
      <c r="S9" s="2">
        <f t="shared" si="8"/>
        <v>16.956363380605016</v>
      </c>
      <c r="T9" s="2">
        <f t="shared" si="9"/>
        <v>3.0462213543733618</v>
      </c>
      <c r="V9" s="34" t="s">
        <v>26</v>
      </c>
      <c r="W9" s="36"/>
      <c r="X9" s="16">
        <v>0.64027777777777772</v>
      </c>
    </row>
    <row r="10" spans="1:24" x14ac:dyDescent="0.25">
      <c r="A10" s="14">
        <f t="shared" si="10"/>
        <v>0.71999269005847955</v>
      </c>
      <c r="B10" s="2">
        <f t="shared" si="11"/>
        <v>5</v>
      </c>
      <c r="C10" s="4">
        <f t="shared" si="12"/>
        <v>6.83</v>
      </c>
      <c r="D10" s="2">
        <v>13.5</v>
      </c>
      <c r="E10" s="2">
        <v>50.26548245743669</v>
      </c>
      <c r="F10" s="11">
        <f t="shared" si="0"/>
        <v>2.6857396646757339</v>
      </c>
      <c r="G10" s="2">
        <f t="shared" si="1"/>
        <v>18.343601909735263</v>
      </c>
      <c r="H10" s="2">
        <f t="shared" si="2"/>
        <v>2.7741437125450457</v>
      </c>
      <c r="I10" s="2">
        <f t="shared" si="3"/>
        <v>18.947401556682664</v>
      </c>
      <c r="J10" s="2">
        <f t="shared" si="4"/>
        <v>0.60379964694740096</v>
      </c>
      <c r="K10" s="15">
        <f t="shared" si="13"/>
        <v>0.69086257309941523</v>
      </c>
      <c r="L10" s="2">
        <f t="shared" si="14"/>
        <v>5</v>
      </c>
      <c r="M10" s="2">
        <f t="shared" si="15"/>
        <v>6.58</v>
      </c>
      <c r="N10" s="2">
        <v>12.5</v>
      </c>
      <c r="O10" s="2">
        <v>50.26548245743669</v>
      </c>
      <c r="P10" s="11">
        <f t="shared" si="5"/>
        <v>2.4867959858108648</v>
      </c>
      <c r="Q10" s="2">
        <f t="shared" si="6"/>
        <v>16.363117586635489</v>
      </c>
      <c r="R10" s="2">
        <f t="shared" si="7"/>
        <v>2.788875556020562</v>
      </c>
      <c r="S10" s="2">
        <f t="shared" si="8"/>
        <v>18.350801158615297</v>
      </c>
      <c r="T10" s="2">
        <f t="shared" si="9"/>
        <v>1.9876835719798081</v>
      </c>
      <c r="V10" s="34" t="s">
        <v>27</v>
      </c>
      <c r="W10" s="36"/>
      <c r="X10" s="6">
        <v>50</v>
      </c>
    </row>
    <row r="11" spans="1:24" x14ac:dyDescent="0.25">
      <c r="A11" s="14">
        <f t="shared" si="10"/>
        <v>0.71995614035087718</v>
      </c>
      <c r="B11" s="2">
        <f t="shared" si="11"/>
        <v>6</v>
      </c>
      <c r="C11" s="4">
        <f t="shared" si="12"/>
        <v>7.33</v>
      </c>
      <c r="D11" s="2">
        <v>17.5</v>
      </c>
      <c r="E11" s="2">
        <v>50.26548245743669</v>
      </c>
      <c r="F11" s="11">
        <f t="shared" si="0"/>
        <v>3.4815143801352106</v>
      </c>
      <c r="G11" s="2">
        <f t="shared" si="1"/>
        <v>25.519500406391096</v>
      </c>
      <c r="H11" s="2">
        <f t="shared" si="2"/>
        <v>2.7741437125450457</v>
      </c>
      <c r="I11" s="2">
        <f t="shared" si="3"/>
        <v>20.334473412955184</v>
      </c>
      <c r="J11" s="2">
        <f t="shared" si="4"/>
        <v>5.1850269934359119</v>
      </c>
      <c r="K11" s="15">
        <f t="shared" si="13"/>
        <v>0.69100877192982457</v>
      </c>
      <c r="L11" s="2">
        <f t="shared" si="14"/>
        <v>6</v>
      </c>
      <c r="M11" s="2">
        <f t="shared" si="15"/>
        <v>7.08</v>
      </c>
      <c r="N11" s="2">
        <v>5</v>
      </c>
      <c r="O11" s="2">
        <v>50.26548245743669</v>
      </c>
      <c r="P11" s="11">
        <f t="shared" si="5"/>
        <v>0.99471839432434594</v>
      </c>
      <c r="Q11" s="2">
        <f t="shared" si="6"/>
        <v>7.0426062318163698</v>
      </c>
      <c r="R11" s="2">
        <f t="shared" si="7"/>
        <v>2.788875556020562</v>
      </c>
      <c r="S11" s="2">
        <f t="shared" si="8"/>
        <v>19.745238936625579</v>
      </c>
      <c r="T11" s="2">
        <f t="shared" si="9"/>
        <v>12.70263270480921</v>
      </c>
      <c r="V11" s="34" t="s">
        <v>28</v>
      </c>
      <c r="W11" s="36"/>
      <c r="X11" s="6">
        <v>50</v>
      </c>
    </row>
    <row r="12" spans="1:24" x14ac:dyDescent="0.25">
      <c r="A12" s="14">
        <f t="shared" si="10"/>
        <v>0.71991959064327482</v>
      </c>
      <c r="B12" s="2">
        <f t="shared" si="11"/>
        <v>7</v>
      </c>
      <c r="C12" s="4">
        <f t="shared" si="12"/>
        <v>7.83</v>
      </c>
      <c r="D12" s="23">
        <v>20</v>
      </c>
      <c r="E12" s="2">
        <v>50.26548245743669</v>
      </c>
      <c r="F12" s="11">
        <f t="shared" si="0"/>
        <v>3.9788735772973838</v>
      </c>
      <c r="G12" s="2">
        <f t="shared" si="1"/>
        <v>31.154580110238516</v>
      </c>
      <c r="H12" s="2">
        <f t="shared" si="2"/>
        <v>2.7741437125450457</v>
      </c>
      <c r="I12" s="2">
        <f t="shared" si="3"/>
        <v>21.721545269227708</v>
      </c>
      <c r="J12" s="2">
        <f t="shared" si="4"/>
        <v>9.4330348410108087</v>
      </c>
      <c r="K12" s="15">
        <f t="shared" si="13"/>
        <v>0.69115497076023391</v>
      </c>
      <c r="L12" s="2">
        <f t="shared" si="14"/>
        <v>7</v>
      </c>
      <c r="M12" s="2">
        <f t="shared" si="15"/>
        <v>7.58</v>
      </c>
      <c r="N12" s="21">
        <v>18.5</v>
      </c>
      <c r="O12" s="2">
        <v>50.26548245743669</v>
      </c>
      <c r="P12" s="11">
        <f t="shared" si="5"/>
        <v>3.6804580590000797</v>
      </c>
      <c r="Q12" s="2">
        <f t="shared" si="6"/>
        <v>27.897872087220605</v>
      </c>
      <c r="R12" s="2">
        <f t="shared" si="7"/>
        <v>2.788875556020562</v>
      </c>
      <c r="S12" s="2">
        <f t="shared" si="8"/>
        <v>21.139676714635861</v>
      </c>
      <c r="T12" s="2">
        <f t="shared" si="9"/>
        <v>6.7581953725847441</v>
      </c>
      <c r="V12" s="34" t="s">
        <v>29</v>
      </c>
      <c r="W12" s="36"/>
      <c r="X12" s="6">
        <v>50</v>
      </c>
    </row>
    <row r="13" spans="1:24" x14ac:dyDescent="0.25">
      <c r="A13" s="14">
        <f t="shared" si="10"/>
        <v>0.71988304093567246</v>
      </c>
      <c r="B13" s="2">
        <f t="shared" si="11"/>
        <v>8</v>
      </c>
      <c r="C13" s="4">
        <f t="shared" si="12"/>
        <v>8.33</v>
      </c>
      <c r="D13" s="2">
        <v>19</v>
      </c>
      <c r="E13" s="2">
        <v>50.26548245743669</v>
      </c>
      <c r="F13" s="11">
        <f t="shared" si="0"/>
        <v>3.7799298984325143</v>
      </c>
      <c r="G13" s="2">
        <f t="shared" si="1"/>
        <v>31.486816053942842</v>
      </c>
      <c r="H13" s="2">
        <f t="shared" si="2"/>
        <v>2.7741437125450457</v>
      </c>
      <c r="I13" s="2">
        <f t="shared" si="3"/>
        <v>23.108617125500231</v>
      </c>
      <c r="J13" s="2">
        <f t="shared" si="4"/>
        <v>8.378198928442611</v>
      </c>
      <c r="K13" s="15">
        <f t="shared" si="13"/>
        <v>0.69130116959064325</v>
      </c>
      <c r="L13" s="2">
        <f t="shared" si="14"/>
        <v>8</v>
      </c>
      <c r="M13" s="2">
        <f t="shared" si="15"/>
        <v>8.08</v>
      </c>
      <c r="N13" s="2">
        <v>18.5</v>
      </c>
      <c r="O13" s="2">
        <v>50.26548245743669</v>
      </c>
      <c r="P13" s="11">
        <f t="shared" si="5"/>
        <v>3.6804580590000797</v>
      </c>
      <c r="Q13" s="2">
        <f t="shared" si="6"/>
        <v>29.738101116720646</v>
      </c>
      <c r="R13" s="2">
        <f t="shared" si="7"/>
        <v>2.788875556020562</v>
      </c>
      <c r="S13" s="2">
        <f t="shared" si="8"/>
        <v>22.53411449264614</v>
      </c>
      <c r="T13" s="2">
        <f t="shared" si="9"/>
        <v>7.2039866240745063</v>
      </c>
      <c r="V13" s="34" t="s">
        <v>30</v>
      </c>
      <c r="W13" s="36"/>
      <c r="X13" s="16">
        <v>0.72916666666666663</v>
      </c>
    </row>
    <row r="14" spans="1:24" x14ac:dyDescent="0.25">
      <c r="A14" s="14">
        <f t="shared" si="10"/>
        <v>0.71984649122807021</v>
      </c>
      <c r="B14" s="2">
        <f t="shared" si="11"/>
        <v>9</v>
      </c>
      <c r="C14" s="4">
        <f t="shared" si="12"/>
        <v>8.83</v>
      </c>
      <c r="D14" s="2">
        <v>22.5</v>
      </c>
      <c r="E14" s="2">
        <v>50.26548245743669</v>
      </c>
      <c r="F14" s="11">
        <f t="shared" si="0"/>
        <v>4.4762327744595565</v>
      </c>
      <c r="G14" s="2">
        <f t="shared" si="1"/>
        <v>39.525135398477886</v>
      </c>
      <c r="H14" s="2">
        <f t="shared" si="2"/>
        <v>2.7741437125450457</v>
      </c>
      <c r="I14" s="2">
        <f t="shared" si="3"/>
        <v>24.495688981772755</v>
      </c>
      <c r="J14" s="2">
        <f t="shared" si="4"/>
        <v>15.029446416705131</v>
      </c>
      <c r="K14" s="15">
        <f t="shared" si="13"/>
        <v>0.69144736842105259</v>
      </c>
      <c r="L14" s="2">
        <f t="shared" si="14"/>
        <v>9</v>
      </c>
      <c r="M14" s="2">
        <f t="shared" si="15"/>
        <v>8.58</v>
      </c>
      <c r="N14" s="2">
        <v>20</v>
      </c>
      <c r="O14" s="2">
        <v>50.26548245743669</v>
      </c>
      <c r="P14" s="11">
        <f t="shared" si="5"/>
        <v>3.9788735772973838</v>
      </c>
      <c r="Q14" s="2">
        <f t="shared" si="6"/>
        <v>34.138735293211553</v>
      </c>
      <c r="R14" s="2">
        <f t="shared" si="7"/>
        <v>2.788875556020562</v>
      </c>
      <c r="S14" s="2">
        <f t="shared" si="8"/>
        <v>23.928552270656422</v>
      </c>
      <c r="T14" s="2">
        <f t="shared" si="9"/>
        <v>10.210183022555132</v>
      </c>
      <c r="V14" s="34" t="s">
        <v>31</v>
      </c>
      <c r="W14" s="36"/>
      <c r="X14" s="6">
        <v>48</v>
      </c>
    </row>
    <row r="15" spans="1:24" x14ac:dyDescent="0.25">
      <c r="A15" s="14">
        <f t="shared" si="10"/>
        <v>0.71980994152046784</v>
      </c>
      <c r="B15" s="2">
        <f t="shared" si="11"/>
        <v>10</v>
      </c>
      <c r="C15" s="4">
        <f t="shared" si="12"/>
        <v>9.33</v>
      </c>
      <c r="D15" s="2">
        <v>22</v>
      </c>
      <c r="E15" s="2">
        <v>50.26548245743669</v>
      </c>
      <c r="F15" s="11">
        <f t="shared" si="0"/>
        <v>4.3767609350271215</v>
      </c>
      <c r="G15" s="2">
        <f t="shared" si="1"/>
        <v>40.835179523803042</v>
      </c>
      <c r="H15" s="2">
        <f t="shared" si="2"/>
        <v>2.7741437125450457</v>
      </c>
      <c r="I15" s="2">
        <f t="shared" si="3"/>
        <v>25.882760838045275</v>
      </c>
      <c r="J15" s="2">
        <f t="shared" si="4"/>
        <v>14.952418685757767</v>
      </c>
      <c r="K15" s="15">
        <f t="shared" si="13"/>
        <v>0.69159356725146193</v>
      </c>
      <c r="L15" s="2">
        <f t="shared" si="14"/>
        <v>10</v>
      </c>
      <c r="M15" s="2">
        <f t="shared" si="15"/>
        <v>9.08</v>
      </c>
      <c r="N15" s="2">
        <v>22.5</v>
      </c>
      <c r="O15" s="2">
        <v>50.26548245743669</v>
      </c>
      <c r="P15" s="11">
        <f t="shared" si="5"/>
        <v>4.4762327744595565</v>
      </c>
      <c r="Q15" s="2">
        <f t="shared" si="6"/>
        <v>40.644193592092776</v>
      </c>
      <c r="R15" s="2">
        <f t="shared" si="7"/>
        <v>2.788875556020562</v>
      </c>
      <c r="S15" s="2">
        <f t="shared" si="8"/>
        <v>25.322990048666703</v>
      </c>
      <c r="T15" s="2">
        <f t="shared" si="9"/>
        <v>15.321203543426073</v>
      </c>
      <c r="V15" s="34" t="s">
        <v>32</v>
      </c>
      <c r="W15" s="36"/>
      <c r="X15" s="6">
        <v>50</v>
      </c>
    </row>
    <row r="16" spans="1:24" x14ac:dyDescent="0.25">
      <c r="A16" s="14">
        <f t="shared" si="10"/>
        <v>0.71977339181286548</v>
      </c>
      <c r="B16" s="2">
        <f t="shared" si="11"/>
        <v>11</v>
      </c>
      <c r="C16" s="4">
        <f t="shared" si="12"/>
        <v>9.83</v>
      </c>
      <c r="D16" s="2">
        <v>25</v>
      </c>
      <c r="E16" s="2">
        <v>50.26548245743669</v>
      </c>
      <c r="F16" s="11">
        <f t="shared" si="0"/>
        <v>4.9735919716217296</v>
      </c>
      <c r="G16" s="2">
        <f t="shared" si="1"/>
        <v>48.890409081041604</v>
      </c>
      <c r="H16" s="2">
        <f t="shared" si="2"/>
        <v>2.7741437125450457</v>
      </c>
      <c r="I16" s="2">
        <f t="shared" si="3"/>
        <v>27.269832694317799</v>
      </c>
      <c r="J16" s="2">
        <f t="shared" si="4"/>
        <v>21.620576386723805</v>
      </c>
      <c r="K16" s="15">
        <f t="shared" si="13"/>
        <v>0.69173976608187138</v>
      </c>
      <c r="L16" s="2">
        <f t="shared" si="14"/>
        <v>11</v>
      </c>
      <c r="M16" s="2">
        <f t="shared" si="15"/>
        <v>9.58</v>
      </c>
      <c r="N16" s="2">
        <v>23.5</v>
      </c>
      <c r="O16" s="2">
        <v>50.26548245743669</v>
      </c>
      <c r="P16" s="11">
        <f t="shared" si="5"/>
        <v>4.6751764533244256</v>
      </c>
      <c r="Q16" s="2">
        <f t="shared" si="6"/>
        <v>44.788190422847997</v>
      </c>
      <c r="R16" s="2">
        <f t="shared" si="7"/>
        <v>2.788875556020562</v>
      </c>
      <c r="S16" s="2">
        <f t="shared" si="8"/>
        <v>26.717427826676985</v>
      </c>
      <c r="T16" s="2">
        <f t="shared" si="9"/>
        <v>18.070762596171011</v>
      </c>
      <c r="V16" s="34" t="s">
        <v>33</v>
      </c>
      <c r="W16" s="36"/>
      <c r="X16" s="6">
        <v>49</v>
      </c>
    </row>
    <row r="17" spans="1:24" x14ac:dyDescent="0.25">
      <c r="A17" s="14">
        <f t="shared" si="10"/>
        <v>0.71973684210526312</v>
      </c>
      <c r="B17" s="2">
        <f t="shared" si="11"/>
        <v>12</v>
      </c>
      <c r="C17" s="4">
        <f t="shared" si="12"/>
        <v>10.33</v>
      </c>
      <c r="D17" s="2">
        <v>22</v>
      </c>
      <c r="E17" s="2">
        <v>50.26548245743669</v>
      </c>
      <c r="F17" s="11">
        <f t="shared" si="0"/>
        <v>4.3767609350271215</v>
      </c>
      <c r="G17" s="2">
        <f t="shared" si="1"/>
        <v>45.211940458830163</v>
      </c>
      <c r="H17" s="2">
        <f t="shared" si="2"/>
        <v>2.7741437125450457</v>
      </c>
      <c r="I17" s="2">
        <f t="shared" si="3"/>
        <v>28.656904550590323</v>
      </c>
      <c r="J17" s="2">
        <f t="shared" si="4"/>
        <v>16.555035908239841</v>
      </c>
      <c r="K17" s="15">
        <f t="shared" si="13"/>
        <v>0.69188596491228072</v>
      </c>
      <c r="L17" s="2">
        <f t="shared" si="14"/>
        <v>12</v>
      </c>
      <c r="M17" s="2">
        <f t="shared" si="15"/>
        <v>10.08</v>
      </c>
      <c r="N17" s="2">
        <v>24.5</v>
      </c>
      <c r="O17" s="2">
        <v>50.26548245743669</v>
      </c>
      <c r="P17" s="11">
        <f t="shared" si="5"/>
        <v>4.8741201321892946</v>
      </c>
      <c r="Q17" s="2">
        <f t="shared" si="6"/>
        <v>49.131130932468089</v>
      </c>
      <c r="R17" s="2">
        <f t="shared" si="7"/>
        <v>2.788875556020562</v>
      </c>
      <c r="S17" s="2">
        <f t="shared" si="8"/>
        <v>28.111865604687264</v>
      </c>
      <c r="T17" s="2">
        <f t="shared" si="9"/>
        <v>21.019265327780825</v>
      </c>
      <c r="V17" s="38" t="s">
        <v>34</v>
      </c>
      <c r="W17" s="36"/>
      <c r="X17" s="17">
        <f>((X10-X14)+(X11-X15)+(X12-X16))/3</f>
        <v>1</v>
      </c>
    </row>
    <row r="18" spans="1:24" x14ac:dyDescent="0.25">
      <c r="A18" s="14">
        <f t="shared" si="10"/>
        <v>0.71970029239766087</v>
      </c>
      <c r="B18" s="2">
        <f t="shared" si="11"/>
        <v>13</v>
      </c>
      <c r="C18" s="4">
        <f t="shared" si="12"/>
        <v>10.83</v>
      </c>
      <c r="D18" s="2">
        <v>20.5</v>
      </c>
      <c r="E18" s="2">
        <v>50.26548245743669</v>
      </c>
      <c r="F18" s="11">
        <f t="shared" si="0"/>
        <v>4.0783454167298183</v>
      </c>
      <c r="G18" s="2">
        <f t="shared" si="1"/>
        <v>44.16848086318393</v>
      </c>
      <c r="H18" s="2">
        <f t="shared" si="2"/>
        <v>2.7741437125450457</v>
      </c>
      <c r="I18" s="2">
        <f t="shared" si="3"/>
        <v>30.043976406862846</v>
      </c>
      <c r="J18" s="2">
        <f t="shared" si="4"/>
        <v>14.124504456321084</v>
      </c>
      <c r="K18" s="15">
        <f t="shared" si="13"/>
        <v>0.69203216374269005</v>
      </c>
      <c r="L18" s="2">
        <f t="shared" si="14"/>
        <v>13</v>
      </c>
      <c r="M18" s="2">
        <f t="shared" si="15"/>
        <v>10.58</v>
      </c>
      <c r="N18" s="2">
        <v>21</v>
      </c>
      <c r="O18" s="2">
        <v>50.26548245743669</v>
      </c>
      <c r="P18" s="11">
        <f t="shared" si="5"/>
        <v>4.1778172561622533</v>
      </c>
      <c r="Q18" s="2">
        <f t="shared" si="6"/>
        <v>44.201306570196643</v>
      </c>
      <c r="R18" s="2">
        <f t="shared" si="7"/>
        <v>2.788875556020562</v>
      </c>
      <c r="S18" s="2">
        <f t="shared" si="8"/>
        <v>29.506303382697546</v>
      </c>
      <c r="T18" s="2">
        <f t="shared" si="9"/>
        <v>14.695003187499097</v>
      </c>
      <c r="V18" s="38" t="s">
        <v>35</v>
      </c>
      <c r="W18" s="36"/>
      <c r="X18" s="18" t="s">
        <v>41</v>
      </c>
    </row>
    <row r="19" spans="1:24" x14ac:dyDescent="0.25">
      <c r="A19" s="14">
        <f t="shared" si="10"/>
        <v>0.71966374269005851</v>
      </c>
      <c r="B19" s="2">
        <f t="shared" si="11"/>
        <v>14</v>
      </c>
      <c r="C19" s="4">
        <f t="shared" si="12"/>
        <v>11.33</v>
      </c>
      <c r="D19" s="2">
        <v>18.5</v>
      </c>
      <c r="E19" s="2">
        <v>50.26548245743669</v>
      </c>
      <c r="F19" s="11">
        <f t="shared" si="0"/>
        <v>3.6804580590000797</v>
      </c>
      <c r="G19" s="2">
        <f t="shared" si="1"/>
        <v>41.699589808470904</v>
      </c>
      <c r="H19" s="2">
        <f t="shared" si="2"/>
        <v>2.7741437125450457</v>
      </c>
      <c r="I19" s="2">
        <f t="shared" si="3"/>
        <v>31.431048263135366</v>
      </c>
      <c r="J19" s="2">
        <f t="shared" si="4"/>
        <v>10.268541545335538</v>
      </c>
      <c r="K19" s="15">
        <f t="shared" si="13"/>
        <v>0.69217836257309939</v>
      </c>
      <c r="L19" s="2">
        <f t="shared" si="14"/>
        <v>14</v>
      </c>
      <c r="M19" s="2">
        <f t="shared" si="15"/>
        <v>11.08</v>
      </c>
      <c r="N19" s="2">
        <v>19</v>
      </c>
      <c r="O19" s="2">
        <v>50.26548245743669</v>
      </c>
      <c r="P19" s="11">
        <f t="shared" si="5"/>
        <v>3.7799298984325143</v>
      </c>
      <c r="Q19" s="2">
        <f t="shared" si="6"/>
        <v>41.881623274632261</v>
      </c>
      <c r="R19" s="2">
        <f t="shared" si="7"/>
        <v>2.788875556020562</v>
      </c>
      <c r="S19" s="2">
        <f t="shared" si="8"/>
        <v>30.900741160707828</v>
      </c>
      <c r="T19" s="2">
        <f t="shared" si="9"/>
        <v>10.980882113924434</v>
      </c>
      <c r="V19" s="39" t="s">
        <v>37</v>
      </c>
      <c r="W19" s="35"/>
      <c r="X19" s="36"/>
    </row>
    <row r="20" spans="1:24" x14ac:dyDescent="0.25">
      <c r="A20" s="14">
        <f t="shared" si="10"/>
        <v>0.71962719298245614</v>
      </c>
      <c r="B20" s="2">
        <f t="shared" si="11"/>
        <v>15</v>
      </c>
      <c r="C20" s="4">
        <f t="shared" si="12"/>
        <v>11.83</v>
      </c>
      <c r="D20" s="2">
        <v>18.5</v>
      </c>
      <c r="E20" s="2">
        <v>50.26548245743669</v>
      </c>
      <c r="F20" s="11">
        <f t="shared" si="0"/>
        <v>3.6804580590000797</v>
      </c>
      <c r="G20" s="2">
        <f t="shared" si="1"/>
        <v>43.539818837970941</v>
      </c>
      <c r="H20" s="2">
        <f t="shared" si="2"/>
        <v>2.7741437125450457</v>
      </c>
      <c r="I20" s="2">
        <f t="shared" si="3"/>
        <v>32.818120119407894</v>
      </c>
      <c r="J20" s="2">
        <f t="shared" si="4"/>
        <v>10.721698718563047</v>
      </c>
      <c r="K20" s="15">
        <f t="shared" si="13"/>
        <v>0.69232456140350873</v>
      </c>
      <c r="L20" s="2">
        <f t="shared" si="14"/>
        <v>15</v>
      </c>
      <c r="M20" s="2">
        <f t="shared" si="15"/>
        <v>11.58</v>
      </c>
      <c r="N20" s="2">
        <v>19.5</v>
      </c>
      <c r="O20" s="2">
        <v>50.26548245743669</v>
      </c>
      <c r="P20" s="11">
        <f t="shared" si="5"/>
        <v>3.8794017378649488</v>
      </c>
      <c r="Q20" s="2">
        <f t="shared" si="6"/>
        <v>44.923472124476106</v>
      </c>
      <c r="R20" s="2">
        <f t="shared" si="7"/>
        <v>2.788875556020562</v>
      </c>
      <c r="S20" s="2">
        <f t="shared" si="8"/>
        <v>32.295178938718109</v>
      </c>
      <c r="T20" s="2">
        <f t="shared" si="9"/>
        <v>12.628293185757997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14">
        <f t="shared" si="10"/>
        <v>0.71959064327485378</v>
      </c>
      <c r="B21" s="2">
        <f t="shared" si="11"/>
        <v>16</v>
      </c>
      <c r="C21" s="4">
        <f t="shared" si="12"/>
        <v>12.33</v>
      </c>
      <c r="D21" s="2">
        <v>15.5</v>
      </c>
      <c r="E21" s="2">
        <v>50.26548245743669</v>
      </c>
      <c r="F21" s="11">
        <f t="shared" si="0"/>
        <v>3.0836270224054725</v>
      </c>
      <c r="G21" s="2">
        <f t="shared" si="1"/>
        <v>38.021121186259478</v>
      </c>
      <c r="H21" s="2">
        <f t="shared" si="2"/>
        <v>2.7741437125450457</v>
      </c>
      <c r="I21" s="2">
        <f t="shared" si="3"/>
        <v>34.205191975680414</v>
      </c>
      <c r="J21" s="2">
        <f t="shared" si="4"/>
        <v>3.8159292105790641</v>
      </c>
      <c r="K21" s="15">
        <f t="shared" si="13"/>
        <v>0.69247076023391807</v>
      </c>
      <c r="L21" s="2">
        <f t="shared" si="14"/>
        <v>16</v>
      </c>
      <c r="M21" s="2">
        <f t="shared" si="15"/>
        <v>12.08</v>
      </c>
      <c r="N21" s="2">
        <v>17.5</v>
      </c>
      <c r="O21" s="2">
        <v>50.26548245743669</v>
      </c>
      <c r="P21" s="11">
        <f t="shared" si="5"/>
        <v>3.4815143801352106</v>
      </c>
      <c r="Q21" s="2">
        <f t="shared" si="6"/>
        <v>42.056693712033344</v>
      </c>
      <c r="R21" s="2">
        <f t="shared" si="7"/>
        <v>2.788875556020562</v>
      </c>
      <c r="S21" s="2">
        <f t="shared" si="8"/>
        <v>33.689616716728388</v>
      </c>
      <c r="T21" s="2">
        <f t="shared" si="9"/>
        <v>8.3670769953049557</v>
      </c>
      <c r="V21" s="39" t="s">
        <v>39</v>
      </c>
      <c r="W21" s="36"/>
      <c r="X21" s="20">
        <f>(J2+T2)/2</f>
        <v>90.25448172401633</v>
      </c>
    </row>
    <row r="22" spans="1:24" x14ac:dyDescent="0.25">
      <c r="A22" s="14">
        <f t="shared" si="10"/>
        <v>0.71955409356725142</v>
      </c>
      <c r="B22" s="2">
        <f t="shared" si="11"/>
        <v>17</v>
      </c>
      <c r="C22" s="4">
        <f t="shared" si="12"/>
        <v>12.83</v>
      </c>
      <c r="D22" s="2">
        <v>16</v>
      </c>
      <c r="E22" s="2">
        <v>50.26548245743669</v>
      </c>
      <c r="F22" s="11">
        <f t="shared" si="0"/>
        <v>3.183098861837907</v>
      </c>
      <c r="G22" s="2">
        <f t="shared" si="1"/>
        <v>40.839158397380345</v>
      </c>
      <c r="H22" s="2">
        <f t="shared" si="2"/>
        <v>2.7741437125450457</v>
      </c>
      <c r="I22" s="2">
        <f t="shared" si="3"/>
        <v>35.592263831952934</v>
      </c>
      <c r="J22" s="2">
        <f t="shared" si="4"/>
        <v>5.2468945654274108</v>
      </c>
      <c r="K22" s="15">
        <f t="shared" si="13"/>
        <v>0.69261695906432752</v>
      </c>
      <c r="L22" s="2">
        <f t="shared" si="14"/>
        <v>17</v>
      </c>
      <c r="M22" s="2">
        <f t="shared" si="15"/>
        <v>12.58</v>
      </c>
      <c r="N22" s="2">
        <v>16</v>
      </c>
      <c r="O22" s="2">
        <v>50.26548245743669</v>
      </c>
      <c r="P22" s="11">
        <f t="shared" si="5"/>
        <v>3.183098861837907</v>
      </c>
      <c r="Q22" s="2">
        <f t="shared" si="6"/>
        <v>40.043383681920872</v>
      </c>
      <c r="R22" s="2">
        <f t="shared" si="7"/>
        <v>2.788875556020562</v>
      </c>
      <c r="S22" s="2">
        <f t="shared" si="8"/>
        <v>35.084054494738673</v>
      </c>
      <c r="T22" s="2">
        <f t="shared" si="9"/>
        <v>4.959329187182199</v>
      </c>
      <c r="V22" s="41" t="s">
        <v>44</v>
      </c>
      <c r="W22" s="42"/>
      <c r="X22" s="45">
        <f>(X21+'CUC QT 2'!X21+'CUC QT 3'!X21)/3</f>
        <v>89.851972821653575</v>
      </c>
    </row>
    <row r="23" spans="1:24" x14ac:dyDescent="0.25">
      <c r="A23" s="14">
        <f t="shared" si="10"/>
        <v>0.71951754385964917</v>
      </c>
      <c r="B23" s="2">
        <f t="shared" si="11"/>
        <v>18</v>
      </c>
      <c r="C23" s="4">
        <f t="shared" si="12"/>
        <v>13.33</v>
      </c>
      <c r="D23" s="2">
        <v>16.5</v>
      </c>
      <c r="E23" s="2">
        <v>50.26548245743669</v>
      </c>
      <c r="F23" s="11">
        <f t="shared" si="0"/>
        <v>3.2825707012703416</v>
      </c>
      <c r="G23" s="2">
        <f t="shared" si="1"/>
        <v>43.756667447933651</v>
      </c>
      <c r="H23" s="2">
        <f t="shared" si="2"/>
        <v>2.7741437125450457</v>
      </c>
      <c r="I23" s="2">
        <f t="shared" si="3"/>
        <v>36.979335688225461</v>
      </c>
      <c r="J23" s="2">
        <f t="shared" si="4"/>
        <v>6.7773317597081899</v>
      </c>
      <c r="K23" s="15">
        <f t="shared" si="13"/>
        <v>0.69276315789473686</v>
      </c>
      <c r="L23" s="2">
        <f t="shared" si="14"/>
        <v>18</v>
      </c>
      <c r="M23" s="2">
        <f t="shared" si="15"/>
        <v>13.08</v>
      </c>
      <c r="N23" s="2">
        <v>16.5</v>
      </c>
      <c r="O23" s="2">
        <v>50.26548245743669</v>
      </c>
      <c r="P23" s="11">
        <f t="shared" si="5"/>
        <v>3.2825707012703416</v>
      </c>
      <c r="Q23" s="2">
        <f t="shared" si="6"/>
        <v>42.936024772616065</v>
      </c>
      <c r="R23" s="2">
        <f t="shared" si="7"/>
        <v>2.788875556020562</v>
      </c>
      <c r="S23" s="2">
        <f t="shared" si="8"/>
        <v>36.478492272748952</v>
      </c>
      <c r="T23" s="2">
        <f t="shared" si="9"/>
        <v>6.4575324998671135</v>
      </c>
      <c r="V23" s="43"/>
      <c r="W23" s="44"/>
      <c r="X23" s="46"/>
    </row>
    <row r="24" spans="1:24" x14ac:dyDescent="0.25">
      <c r="A24" s="14">
        <f t="shared" si="10"/>
        <v>0.7194809941520468</v>
      </c>
      <c r="B24" s="2">
        <f t="shared" si="11"/>
        <v>19</v>
      </c>
      <c r="C24" s="4">
        <f t="shared" si="12"/>
        <v>13.83</v>
      </c>
      <c r="D24" s="2">
        <v>16</v>
      </c>
      <c r="E24" s="2">
        <v>50.26548245743669</v>
      </c>
      <c r="F24" s="11">
        <f t="shared" si="0"/>
        <v>3.183098861837907</v>
      </c>
      <c r="G24" s="2">
        <f t="shared" si="1"/>
        <v>44.022257259218257</v>
      </c>
      <c r="H24" s="2">
        <f t="shared" si="2"/>
        <v>2.7741437125450457</v>
      </c>
      <c r="I24" s="2">
        <f t="shared" si="3"/>
        <v>38.366407544497982</v>
      </c>
      <c r="J24" s="2">
        <f t="shared" si="4"/>
        <v>5.6558497147202758</v>
      </c>
      <c r="K24" s="15">
        <f t="shared" si="13"/>
        <v>0.6929093567251462</v>
      </c>
      <c r="L24" s="2">
        <f t="shared" si="14"/>
        <v>19</v>
      </c>
      <c r="M24" s="2">
        <f t="shared" si="15"/>
        <v>13.58</v>
      </c>
      <c r="N24" s="2">
        <v>16</v>
      </c>
      <c r="O24" s="2">
        <v>50.26548245743669</v>
      </c>
      <c r="P24" s="11">
        <f t="shared" si="5"/>
        <v>3.183098861837907</v>
      </c>
      <c r="Q24" s="2">
        <f t="shared" si="6"/>
        <v>43.226482543758777</v>
      </c>
      <c r="R24" s="2">
        <f t="shared" si="7"/>
        <v>2.788875556020562</v>
      </c>
      <c r="S24" s="2">
        <f t="shared" si="8"/>
        <v>37.87293005075923</v>
      </c>
      <c r="T24" s="2">
        <f t="shared" si="9"/>
        <v>5.3535524929995475</v>
      </c>
    </row>
    <row r="25" spans="1:24" x14ac:dyDescent="0.25">
      <c r="A25" s="14">
        <f t="shared" si="10"/>
        <v>0.71944444444444444</v>
      </c>
      <c r="B25" s="2">
        <f t="shared" si="11"/>
        <v>20</v>
      </c>
      <c r="C25" s="4">
        <f t="shared" si="12"/>
        <v>14.33</v>
      </c>
      <c r="D25" s="2">
        <v>15.5</v>
      </c>
      <c r="E25" s="2">
        <v>50.26548245743669</v>
      </c>
      <c r="F25" s="11">
        <f t="shared" si="0"/>
        <v>3.0836270224054725</v>
      </c>
      <c r="G25" s="2">
        <f t="shared" si="1"/>
        <v>44.188375231070424</v>
      </c>
      <c r="H25" s="2">
        <f t="shared" si="2"/>
        <v>2.7741437125450457</v>
      </c>
      <c r="I25" s="2">
        <f t="shared" si="3"/>
        <v>39.753479400770502</v>
      </c>
      <c r="J25" s="2">
        <f t="shared" si="4"/>
        <v>4.4348958302999222</v>
      </c>
      <c r="K25" s="15">
        <f t="shared" si="13"/>
        <v>0.69305555555555554</v>
      </c>
      <c r="L25" s="2">
        <f t="shared" si="14"/>
        <v>20</v>
      </c>
      <c r="M25" s="2">
        <f t="shared" si="15"/>
        <v>14.08</v>
      </c>
      <c r="N25" s="2">
        <v>15.5</v>
      </c>
      <c r="O25" s="2">
        <v>50.26548245743669</v>
      </c>
      <c r="P25" s="11">
        <f t="shared" si="5"/>
        <v>3.0836270224054725</v>
      </c>
      <c r="Q25" s="2">
        <f t="shared" si="6"/>
        <v>43.41746847546905</v>
      </c>
      <c r="R25" s="2">
        <f t="shared" si="7"/>
        <v>2.788875556020562</v>
      </c>
      <c r="S25" s="2">
        <f t="shared" si="8"/>
        <v>39.267367828769515</v>
      </c>
      <c r="T25" s="2">
        <f t="shared" si="9"/>
        <v>4.1501006466995349</v>
      </c>
      <c r="V25" s="38" t="s">
        <v>45</v>
      </c>
      <c r="W25" s="35"/>
      <c r="X25" s="36"/>
    </row>
    <row r="26" spans="1:24" x14ac:dyDescent="0.25">
      <c r="A26" s="14">
        <f t="shared" si="10"/>
        <v>0.71940789473684208</v>
      </c>
      <c r="B26" s="2">
        <f t="shared" si="11"/>
        <v>21</v>
      </c>
      <c r="C26" s="4">
        <f t="shared" si="12"/>
        <v>14.83</v>
      </c>
      <c r="D26" s="2">
        <v>13.5</v>
      </c>
      <c r="E26" s="2">
        <v>50.26548245743669</v>
      </c>
      <c r="F26" s="11">
        <f t="shared" si="0"/>
        <v>2.6857396646757339</v>
      </c>
      <c r="G26" s="2">
        <f t="shared" si="1"/>
        <v>39.829519227141134</v>
      </c>
      <c r="H26" s="2">
        <f t="shared" si="2"/>
        <v>2.7741437125450457</v>
      </c>
      <c r="I26" s="2">
        <f t="shared" si="3"/>
        <v>41.140551257043029</v>
      </c>
      <c r="J26" s="2">
        <f t="shared" si="4"/>
        <v>1.3110320299018952</v>
      </c>
      <c r="K26" s="15">
        <f t="shared" si="13"/>
        <v>0.69320175438596487</v>
      </c>
      <c r="L26" s="2">
        <f t="shared" si="14"/>
        <v>21</v>
      </c>
      <c r="M26" s="2">
        <f t="shared" si="15"/>
        <v>14.58</v>
      </c>
      <c r="N26" s="2">
        <v>14.5</v>
      </c>
      <c r="O26" s="2">
        <v>50.26548245743669</v>
      </c>
      <c r="P26" s="11">
        <f t="shared" si="5"/>
        <v>2.8846833435406034</v>
      </c>
      <c r="Q26" s="2">
        <f t="shared" si="6"/>
        <v>42.058683148821999</v>
      </c>
      <c r="R26" s="2">
        <f t="shared" si="7"/>
        <v>2.788875556020562</v>
      </c>
      <c r="S26" s="2">
        <f t="shared" si="8"/>
        <v>40.661805606779794</v>
      </c>
      <c r="T26" s="2">
        <f t="shared" si="9"/>
        <v>1.3968775420422048</v>
      </c>
      <c r="V26" s="40" t="s">
        <v>46</v>
      </c>
      <c r="W26" s="35"/>
      <c r="X26" s="36"/>
    </row>
    <row r="27" spans="1:24" x14ac:dyDescent="0.25">
      <c r="A27" s="14">
        <f t="shared" si="10"/>
        <v>0.71937134502923972</v>
      </c>
      <c r="B27" s="2">
        <f t="shared" si="11"/>
        <v>22</v>
      </c>
      <c r="C27" s="4">
        <f t="shared" si="12"/>
        <v>15.33</v>
      </c>
      <c r="D27" s="2">
        <v>13</v>
      </c>
      <c r="E27" s="2">
        <v>50.26548245743669</v>
      </c>
      <c r="F27" s="11">
        <f t="shared" si="0"/>
        <v>2.5862678252432989</v>
      </c>
      <c r="G27" s="2">
        <f t="shared" si="1"/>
        <v>39.64748576097977</v>
      </c>
      <c r="H27" s="2">
        <f t="shared" si="2"/>
        <v>2.7741437125450457</v>
      </c>
      <c r="I27" s="2">
        <f t="shared" si="3"/>
        <v>42.527623113315549</v>
      </c>
      <c r="J27" s="2">
        <f t="shared" si="4"/>
        <v>2.8801373523357796</v>
      </c>
      <c r="K27" s="15">
        <f t="shared" si="13"/>
        <v>0.69334795321637421</v>
      </c>
      <c r="L27" s="2">
        <f t="shared" si="14"/>
        <v>22</v>
      </c>
      <c r="M27" s="2">
        <f t="shared" si="15"/>
        <v>15.08</v>
      </c>
      <c r="N27" s="2">
        <v>12.5</v>
      </c>
      <c r="O27" s="2">
        <v>50.26548245743669</v>
      </c>
      <c r="P27" s="11">
        <f t="shared" si="5"/>
        <v>2.4867959858108648</v>
      </c>
      <c r="Q27" s="2">
        <f t="shared" si="6"/>
        <v>37.500883466027844</v>
      </c>
      <c r="R27" s="2">
        <f t="shared" si="7"/>
        <v>2.788875556020562</v>
      </c>
      <c r="S27" s="2">
        <f t="shared" si="8"/>
        <v>42.056243384790072</v>
      </c>
      <c r="T27" s="2">
        <f t="shared" si="9"/>
        <v>4.5553599187622282</v>
      </c>
      <c r="V27" s="38" t="s">
        <v>47</v>
      </c>
      <c r="W27" s="35"/>
      <c r="X27" s="36"/>
    </row>
    <row r="28" spans="1:24" x14ac:dyDescent="0.25">
      <c r="A28" s="14">
        <f t="shared" si="10"/>
        <v>0.71933479532163747</v>
      </c>
      <c r="B28" s="2">
        <f t="shared" si="11"/>
        <v>23</v>
      </c>
      <c r="C28" s="4">
        <f t="shared" si="12"/>
        <v>15.83</v>
      </c>
      <c r="D28" s="2">
        <v>13.5</v>
      </c>
      <c r="E28" s="2">
        <v>50.26548245743669</v>
      </c>
      <c r="F28" s="11">
        <f t="shared" si="0"/>
        <v>2.6857396646757339</v>
      </c>
      <c r="G28" s="2">
        <f t="shared" si="1"/>
        <v>42.51525889181687</v>
      </c>
      <c r="H28" s="2">
        <f t="shared" si="2"/>
        <v>2.7741437125450457</v>
      </c>
      <c r="I28" s="2">
        <f t="shared" si="3"/>
        <v>43.914694969588076</v>
      </c>
      <c r="J28" s="2">
        <f t="shared" si="4"/>
        <v>1.399436077771206</v>
      </c>
      <c r="K28" s="15">
        <f t="shared" si="13"/>
        <v>0.69349415204678355</v>
      </c>
      <c r="L28" s="2">
        <f t="shared" si="14"/>
        <v>23</v>
      </c>
      <c r="M28" s="2">
        <f t="shared" si="15"/>
        <v>15.58</v>
      </c>
      <c r="N28" s="2">
        <v>12</v>
      </c>
      <c r="O28" s="2">
        <v>50.26548245743669</v>
      </c>
      <c r="P28" s="11">
        <f t="shared" si="5"/>
        <v>2.3873241463784298</v>
      </c>
      <c r="Q28" s="2">
        <f t="shared" si="6"/>
        <v>37.194510200575934</v>
      </c>
      <c r="R28" s="2">
        <f t="shared" si="7"/>
        <v>2.788875556020562</v>
      </c>
      <c r="S28" s="2">
        <f t="shared" si="8"/>
        <v>43.450681162800358</v>
      </c>
      <c r="T28" s="2">
        <f t="shared" si="9"/>
        <v>6.2561709622244237</v>
      </c>
      <c r="V28" s="40" t="s">
        <v>48</v>
      </c>
      <c r="W28" s="35"/>
      <c r="X28" s="36"/>
    </row>
    <row r="29" spans="1:24" x14ac:dyDescent="0.25">
      <c r="A29" s="14">
        <f t="shared" si="10"/>
        <v>0.7192982456140351</v>
      </c>
      <c r="B29" s="2">
        <f t="shared" si="11"/>
        <v>24</v>
      </c>
      <c r="C29" s="4">
        <f t="shared" si="12"/>
        <v>16.329999999999998</v>
      </c>
      <c r="D29" s="2">
        <v>14</v>
      </c>
      <c r="E29" s="2">
        <v>50.26548245743669</v>
      </c>
      <c r="F29" s="11">
        <f t="shared" si="0"/>
        <v>2.7852115041081689</v>
      </c>
      <c r="G29" s="2">
        <f t="shared" si="1"/>
        <v>45.482503862086396</v>
      </c>
      <c r="H29" s="2">
        <f t="shared" si="2"/>
        <v>2.7741437125450457</v>
      </c>
      <c r="I29" s="2">
        <f t="shared" si="3"/>
        <v>45.301766825860589</v>
      </c>
      <c r="J29" s="2">
        <f t="shared" si="4"/>
        <v>0.18073703622580695</v>
      </c>
      <c r="K29" s="15">
        <f t="shared" si="13"/>
        <v>0.693640350877193</v>
      </c>
      <c r="L29" s="2">
        <f t="shared" si="14"/>
        <v>24</v>
      </c>
      <c r="M29" s="2">
        <f t="shared" si="15"/>
        <v>16.079999999999998</v>
      </c>
      <c r="N29" s="2">
        <v>14</v>
      </c>
      <c r="O29" s="2">
        <v>50.26548245743669</v>
      </c>
      <c r="P29" s="11">
        <f t="shared" si="5"/>
        <v>2.7852115041081689</v>
      </c>
      <c r="Q29" s="2">
        <f t="shared" si="6"/>
        <v>44.786200986059349</v>
      </c>
      <c r="R29" s="2">
        <f t="shared" si="7"/>
        <v>2.788875556020562</v>
      </c>
      <c r="S29" s="2">
        <f t="shared" si="8"/>
        <v>44.845118940810636</v>
      </c>
      <c r="T29" s="2">
        <f t="shared" si="9"/>
        <v>5.8917954751287027E-2</v>
      </c>
    </row>
    <row r="30" spans="1:24" x14ac:dyDescent="0.25">
      <c r="A30" s="14">
        <f t="shared" si="10"/>
        <v>0.71926169590643274</v>
      </c>
      <c r="B30" s="2">
        <f t="shared" si="11"/>
        <v>25</v>
      </c>
      <c r="C30" s="4">
        <f t="shared" si="12"/>
        <v>16.829999999999998</v>
      </c>
      <c r="D30" s="2">
        <v>12.5</v>
      </c>
      <c r="E30" s="2">
        <v>50.26548245743669</v>
      </c>
      <c r="F30" s="11">
        <f t="shared" si="0"/>
        <v>2.4867959858108648</v>
      </c>
      <c r="G30" s="2">
        <f t="shared" si="1"/>
        <v>41.852776441196852</v>
      </c>
      <c r="H30" s="2">
        <f t="shared" si="2"/>
        <v>2.7741437125450457</v>
      </c>
      <c r="I30" s="2">
        <f t="shared" si="3"/>
        <v>46.688838682133117</v>
      </c>
      <c r="J30" s="2">
        <f t="shared" si="4"/>
        <v>4.8360622409362648</v>
      </c>
      <c r="K30" s="15">
        <f t="shared" si="13"/>
        <v>0.69378654970760234</v>
      </c>
      <c r="L30" s="2">
        <f t="shared" si="14"/>
        <v>25</v>
      </c>
      <c r="M30" s="2">
        <f t="shared" si="15"/>
        <v>16.579999999999998</v>
      </c>
      <c r="N30" s="2">
        <v>13</v>
      </c>
      <c r="O30" s="2">
        <v>50.26548245743669</v>
      </c>
      <c r="P30" s="11">
        <f t="shared" si="5"/>
        <v>2.5862678252432989</v>
      </c>
      <c r="Q30" s="2">
        <f t="shared" si="6"/>
        <v>42.880320542533894</v>
      </c>
      <c r="R30" s="2">
        <f t="shared" si="7"/>
        <v>2.788875556020562</v>
      </c>
      <c r="S30" s="2">
        <f t="shared" si="8"/>
        <v>46.239556718820914</v>
      </c>
      <c r="T30" s="2">
        <f t="shared" si="9"/>
        <v>3.3592361762870198</v>
      </c>
      <c r="V30" s="24" t="s">
        <v>49</v>
      </c>
      <c r="W30" s="24" t="s">
        <v>50</v>
      </c>
    </row>
    <row r="31" spans="1:24" x14ac:dyDescent="0.25">
      <c r="A31" s="14">
        <f t="shared" si="10"/>
        <v>0.71922514619883038</v>
      </c>
      <c r="B31" s="2">
        <f t="shared" si="11"/>
        <v>26</v>
      </c>
      <c r="C31" s="4">
        <f t="shared" si="12"/>
        <v>17.329999999999998</v>
      </c>
      <c r="D31" s="2">
        <v>12.5</v>
      </c>
      <c r="E31" s="2">
        <v>50.26548245743669</v>
      </c>
      <c r="F31" s="11">
        <f t="shared" si="0"/>
        <v>2.4867959858108648</v>
      </c>
      <c r="G31" s="2">
        <f t="shared" si="1"/>
        <v>43.096174434102281</v>
      </c>
      <c r="H31" s="2">
        <f t="shared" si="2"/>
        <v>2.7741437125450457</v>
      </c>
      <c r="I31" s="2">
        <f t="shared" si="3"/>
        <v>48.075910538405637</v>
      </c>
      <c r="J31" s="2">
        <f t="shared" si="4"/>
        <v>4.9797361043033561</v>
      </c>
      <c r="K31" s="15">
        <f t="shared" si="13"/>
        <v>0.69393274853801168</v>
      </c>
      <c r="L31" s="2">
        <f t="shared" si="14"/>
        <v>26</v>
      </c>
      <c r="M31" s="2">
        <f t="shared" si="15"/>
        <v>17.079999999999998</v>
      </c>
      <c r="N31" s="2">
        <v>12</v>
      </c>
      <c r="O31" s="2">
        <v>50.26548245743669</v>
      </c>
      <c r="P31" s="11">
        <f t="shared" si="5"/>
        <v>2.3873241463784298</v>
      </c>
      <c r="Q31" s="2">
        <f t="shared" si="6"/>
        <v>40.775496420143575</v>
      </c>
      <c r="R31" s="2">
        <f t="shared" si="7"/>
        <v>2.788875556020562</v>
      </c>
      <c r="S31" s="2">
        <f t="shared" si="8"/>
        <v>47.633994496831193</v>
      </c>
      <c r="T31" s="2">
        <f t="shared" si="9"/>
        <v>6.8584980766876171</v>
      </c>
      <c r="V31" s="24">
        <f>MAX(D6:D162)</f>
        <v>25</v>
      </c>
      <c r="W31" s="24">
        <f>MAX(N6:N162)</f>
        <v>24.5</v>
      </c>
    </row>
    <row r="32" spans="1:24" x14ac:dyDescent="0.25">
      <c r="A32" s="14">
        <f t="shared" si="10"/>
        <v>0.71918859649122802</v>
      </c>
      <c r="B32" s="2">
        <f t="shared" si="11"/>
        <v>27</v>
      </c>
      <c r="C32" s="4">
        <f t="shared" si="12"/>
        <v>17.829999999999998</v>
      </c>
      <c r="D32" s="2">
        <v>13</v>
      </c>
      <c r="E32" s="2">
        <v>50.26548245743669</v>
      </c>
      <c r="F32" s="11">
        <f t="shared" si="0"/>
        <v>2.5862678252432989</v>
      </c>
      <c r="G32" s="2">
        <f t="shared" si="1"/>
        <v>46.113155324088012</v>
      </c>
      <c r="H32" s="2">
        <f t="shared" si="2"/>
        <v>2.7741437125450457</v>
      </c>
      <c r="I32" s="2">
        <f t="shared" si="3"/>
        <v>49.462982394678157</v>
      </c>
      <c r="J32" s="2">
        <f t="shared" si="4"/>
        <v>3.3498270705901447</v>
      </c>
      <c r="K32" s="15">
        <f t="shared" si="13"/>
        <v>0.69407894736842102</v>
      </c>
      <c r="L32" s="2">
        <f t="shared" si="14"/>
        <v>27</v>
      </c>
      <c r="M32" s="2">
        <f t="shared" si="15"/>
        <v>17.579999999999998</v>
      </c>
      <c r="N32" s="2">
        <v>12.5</v>
      </c>
      <c r="O32" s="2">
        <v>50.26548245743669</v>
      </c>
      <c r="P32" s="11">
        <f t="shared" si="5"/>
        <v>2.4867959858108648</v>
      </c>
      <c r="Q32" s="2">
        <f t="shared" si="6"/>
        <v>43.717873430555002</v>
      </c>
      <c r="R32" s="2">
        <f t="shared" si="7"/>
        <v>2.788875556020562</v>
      </c>
      <c r="S32" s="2">
        <f t="shared" si="8"/>
        <v>49.028432274841478</v>
      </c>
      <c r="T32" s="2">
        <f t="shared" si="9"/>
        <v>5.3105588442864757</v>
      </c>
      <c r="V32" s="24" t="s">
        <v>14</v>
      </c>
      <c r="W32" s="24" t="s">
        <v>14</v>
      </c>
    </row>
    <row r="33" spans="1:23" x14ac:dyDescent="0.25">
      <c r="A33" s="14">
        <f t="shared" si="10"/>
        <v>0.71915204678362576</v>
      </c>
      <c r="B33" s="2">
        <f t="shared" si="11"/>
        <v>28</v>
      </c>
      <c r="C33" s="4">
        <f t="shared" si="12"/>
        <v>18.329999999999998</v>
      </c>
      <c r="D33" s="2">
        <v>18.5</v>
      </c>
      <c r="E33" s="2">
        <v>50.26548245743669</v>
      </c>
      <c r="F33" s="11">
        <f t="shared" si="0"/>
        <v>3.6804580590000797</v>
      </c>
      <c r="G33" s="2">
        <f t="shared" si="1"/>
        <v>67.46279622147145</v>
      </c>
      <c r="H33" s="2">
        <f t="shared" si="2"/>
        <v>2.7741437125450457</v>
      </c>
      <c r="I33" s="2">
        <f t="shared" si="3"/>
        <v>50.850054250950684</v>
      </c>
      <c r="J33" s="2">
        <f t="shared" si="4"/>
        <v>16.612741970520766</v>
      </c>
      <c r="K33" s="15">
        <f t="shared" si="13"/>
        <v>0.69422514619883036</v>
      </c>
      <c r="L33" s="2">
        <f t="shared" si="14"/>
        <v>28</v>
      </c>
      <c r="M33" s="2">
        <f t="shared" si="15"/>
        <v>18.079999999999998</v>
      </c>
      <c r="N33" s="2">
        <v>13.5</v>
      </c>
      <c r="O33" s="2">
        <v>50.26548245743669</v>
      </c>
      <c r="P33" s="11">
        <f t="shared" si="5"/>
        <v>2.6857396646757339</v>
      </c>
      <c r="Q33" s="2">
        <f t="shared" si="6"/>
        <v>48.558173137337263</v>
      </c>
      <c r="R33" s="2">
        <f t="shared" si="7"/>
        <v>2.788875556020562</v>
      </c>
      <c r="S33" s="2">
        <f t="shared" si="8"/>
        <v>50.422870052851756</v>
      </c>
      <c r="T33" s="2">
        <f t="shared" si="9"/>
        <v>1.864696915514493</v>
      </c>
      <c r="V33" s="24">
        <f t="array" ref="V33">INDEX(B6:B162, MATCH(MAX(D6:D162), D6:D162, 0))</f>
        <v>11</v>
      </c>
      <c r="W33" s="24">
        <f t="array" ref="W33">INDEX(L6:L162, MATCH(MAX(N6:N162), N6:N162, 0))</f>
        <v>12</v>
      </c>
    </row>
    <row r="34" spans="1:23" x14ac:dyDescent="0.25">
      <c r="A34" s="14">
        <f t="shared" si="10"/>
        <v>0.7191154970760234</v>
      </c>
      <c r="B34" s="2">
        <f t="shared" si="11"/>
        <v>29</v>
      </c>
      <c r="C34" s="4">
        <f t="shared" si="12"/>
        <v>18.829999999999998</v>
      </c>
      <c r="D34" s="2">
        <v>13.5</v>
      </c>
      <c r="E34" s="2">
        <v>50.26548245743669</v>
      </c>
      <c r="F34" s="11">
        <f t="shared" si="0"/>
        <v>2.6857396646757339</v>
      </c>
      <c r="G34" s="2">
        <f t="shared" si="1"/>
        <v>50.572477885844066</v>
      </c>
      <c r="H34" s="2">
        <f t="shared" si="2"/>
        <v>2.7741437125450457</v>
      </c>
      <c r="I34" s="2">
        <f t="shared" si="3"/>
        <v>52.237126107223204</v>
      </c>
      <c r="J34" s="2">
        <f t="shared" si="4"/>
        <v>1.6646482213791387</v>
      </c>
      <c r="K34" s="15">
        <f t="shared" si="13"/>
        <v>0.69437134502923969</v>
      </c>
      <c r="L34" s="2">
        <f t="shared" si="14"/>
        <v>29</v>
      </c>
      <c r="M34" s="2">
        <f t="shared" si="15"/>
        <v>18.579999999999998</v>
      </c>
      <c r="N34" s="2">
        <v>14.5</v>
      </c>
      <c r="O34" s="2">
        <v>50.26548245743669</v>
      </c>
      <c r="P34" s="11">
        <f t="shared" si="5"/>
        <v>2.8846833435406034</v>
      </c>
      <c r="Q34" s="2">
        <f t="shared" si="6"/>
        <v>53.597416522984403</v>
      </c>
      <c r="R34" s="2">
        <f t="shared" si="7"/>
        <v>2.788875556020562</v>
      </c>
      <c r="S34" s="2">
        <f t="shared" si="8"/>
        <v>51.817307830862035</v>
      </c>
      <c r="T34" s="2">
        <f t="shared" si="9"/>
        <v>1.7801086921223686</v>
      </c>
    </row>
    <row r="35" spans="1:23" x14ac:dyDescent="0.25">
      <c r="A35" s="14">
        <f t="shared" si="10"/>
        <v>0.71907894736842104</v>
      </c>
      <c r="B35" s="2">
        <f t="shared" si="11"/>
        <v>30</v>
      </c>
      <c r="C35" s="4">
        <f t="shared" si="12"/>
        <v>19.329999999999998</v>
      </c>
      <c r="D35" s="2">
        <v>13.5</v>
      </c>
      <c r="E35" s="2">
        <v>50.26548245743669</v>
      </c>
      <c r="F35" s="11">
        <f t="shared" si="0"/>
        <v>2.6857396646757339</v>
      </c>
      <c r="G35" s="2">
        <f t="shared" si="1"/>
        <v>51.915347718181934</v>
      </c>
      <c r="H35" s="2">
        <f t="shared" si="2"/>
        <v>2.7741437125450457</v>
      </c>
      <c r="I35" s="2">
        <f t="shared" si="3"/>
        <v>53.624197963495725</v>
      </c>
      <c r="J35" s="2">
        <f t="shared" si="4"/>
        <v>1.7088502453137906</v>
      </c>
      <c r="K35" s="15">
        <f t="shared" si="13"/>
        <v>0.69451754385964914</v>
      </c>
      <c r="L35" s="2">
        <f t="shared" si="14"/>
        <v>30</v>
      </c>
      <c r="M35" s="2">
        <f t="shared" si="15"/>
        <v>19.079999999999998</v>
      </c>
      <c r="N35" s="2">
        <v>13.5</v>
      </c>
      <c r="O35" s="2">
        <v>50.26548245743669</v>
      </c>
      <c r="P35" s="11">
        <f t="shared" si="5"/>
        <v>2.6857396646757339</v>
      </c>
      <c r="Q35" s="2">
        <f t="shared" si="6"/>
        <v>51.243912802013</v>
      </c>
      <c r="R35" s="2">
        <f t="shared" si="7"/>
        <v>2.788875556020562</v>
      </c>
      <c r="S35" s="2">
        <f t="shared" si="8"/>
        <v>53.21174560887232</v>
      </c>
      <c r="T35" s="2">
        <f t="shared" si="9"/>
        <v>1.9678328068593203</v>
      </c>
    </row>
    <row r="36" spans="1:23" x14ac:dyDescent="0.25">
      <c r="A36" s="14">
        <f t="shared" si="10"/>
        <v>0.71904239766081868</v>
      </c>
      <c r="B36" s="2">
        <f t="shared" si="11"/>
        <v>31</v>
      </c>
      <c r="C36" s="4">
        <f t="shared" si="12"/>
        <v>19.829999999999998</v>
      </c>
      <c r="D36" s="2">
        <v>12.5</v>
      </c>
      <c r="E36" s="2">
        <v>50.26548245743669</v>
      </c>
      <c r="F36" s="11">
        <f t="shared" si="0"/>
        <v>2.4867959858108648</v>
      </c>
      <c r="G36" s="2">
        <f t="shared" si="1"/>
        <v>49.313164398629446</v>
      </c>
      <c r="H36" s="2">
        <f t="shared" si="2"/>
        <v>2.7741437125450457</v>
      </c>
      <c r="I36" s="2">
        <f t="shared" si="3"/>
        <v>55.011269819768252</v>
      </c>
      <c r="J36" s="2">
        <f t="shared" si="4"/>
        <v>5.6981054211388056</v>
      </c>
      <c r="K36" s="15">
        <f t="shared" si="13"/>
        <v>0.69466374269005848</v>
      </c>
      <c r="L36" s="2">
        <f t="shared" si="14"/>
        <v>31</v>
      </c>
      <c r="M36" s="2">
        <f t="shared" si="15"/>
        <v>19.579999999999998</v>
      </c>
      <c r="N36" s="2">
        <v>12.5</v>
      </c>
      <c r="O36" s="2">
        <v>50.26548245743669</v>
      </c>
      <c r="P36" s="11">
        <f t="shared" si="5"/>
        <v>2.4867959858108648</v>
      </c>
      <c r="Q36" s="2">
        <f t="shared" si="6"/>
        <v>48.691465402176732</v>
      </c>
      <c r="R36" s="2">
        <f t="shared" si="7"/>
        <v>2.788875556020562</v>
      </c>
      <c r="S36" s="2">
        <f t="shared" si="8"/>
        <v>54.606183386882599</v>
      </c>
      <c r="T36" s="2">
        <f t="shared" si="9"/>
        <v>5.9147179847058666</v>
      </c>
    </row>
    <row r="37" spans="1:23" x14ac:dyDescent="0.25">
      <c r="A37" s="14">
        <f t="shared" si="10"/>
        <v>0.71900584795321643</v>
      </c>
      <c r="B37" s="2">
        <f t="shared" si="11"/>
        <v>32</v>
      </c>
      <c r="C37" s="4">
        <f t="shared" si="12"/>
        <v>20.329999999999998</v>
      </c>
      <c r="D37" s="2">
        <v>13.5</v>
      </c>
      <c r="E37" s="2">
        <v>50.26548245743669</v>
      </c>
      <c r="F37" s="11">
        <f t="shared" si="0"/>
        <v>2.6857396646757339</v>
      </c>
      <c r="G37" s="2">
        <f t="shared" si="1"/>
        <v>54.601087382857663</v>
      </c>
      <c r="H37" s="2">
        <f t="shared" si="2"/>
        <v>2.7741437125450457</v>
      </c>
      <c r="I37" s="2">
        <f t="shared" si="3"/>
        <v>56.398341676040772</v>
      </c>
      <c r="J37" s="2">
        <f t="shared" si="4"/>
        <v>1.7972542931831086</v>
      </c>
      <c r="K37" s="15">
        <f t="shared" si="13"/>
        <v>0.69480994152046782</v>
      </c>
      <c r="L37" s="2">
        <f t="shared" si="14"/>
        <v>32</v>
      </c>
      <c r="M37" s="2">
        <f t="shared" si="15"/>
        <v>20.079999999999998</v>
      </c>
      <c r="N37" s="2">
        <v>11.5</v>
      </c>
      <c r="O37" s="2">
        <v>50.26548245743669</v>
      </c>
      <c r="P37" s="11">
        <f t="shared" si="5"/>
        <v>2.2878523069459957</v>
      </c>
      <c r="Q37" s="2">
        <f t="shared" si="6"/>
        <v>45.940074323475592</v>
      </c>
      <c r="R37" s="2">
        <f t="shared" si="7"/>
        <v>2.788875556020562</v>
      </c>
      <c r="S37" s="2">
        <f t="shared" si="8"/>
        <v>56.000621164892884</v>
      </c>
      <c r="T37" s="2">
        <f t="shared" si="9"/>
        <v>10.060546841417292</v>
      </c>
    </row>
    <row r="38" spans="1:23" x14ac:dyDescent="0.25">
      <c r="A38" s="14">
        <f t="shared" si="10"/>
        <v>0.71896929824561406</v>
      </c>
      <c r="B38" s="2">
        <f t="shared" si="11"/>
        <v>33</v>
      </c>
      <c r="C38" s="4">
        <f t="shared" si="12"/>
        <v>20.83</v>
      </c>
      <c r="D38" s="2">
        <v>14</v>
      </c>
      <c r="E38" s="2">
        <v>50.26548245743669</v>
      </c>
      <c r="F38" s="11">
        <f t="shared" si="0"/>
        <v>2.7852115041081689</v>
      </c>
      <c r="G38" s="2">
        <f t="shared" si="1"/>
        <v>58.015955630573153</v>
      </c>
      <c r="H38" s="2">
        <f t="shared" si="2"/>
        <v>2.7741437125450457</v>
      </c>
      <c r="I38" s="2">
        <f t="shared" si="3"/>
        <v>57.785413532313299</v>
      </c>
      <c r="J38" s="2">
        <f t="shared" si="4"/>
        <v>0.23054209825985339</v>
      </c>
      <c r="K38" s="15">
        <f t="shared" si="13"/>
        <v>0.69495614035087716</v>
      </c>
      <c r="L38" s="2">
        <f t="shared" si="14"/>
        <v>33</v>
      </c>
      <c r="M38" s="2">
        <f t="shared" si="15"/>
        <v>20.58</v>
      </c>
      <c r="N38" s="2">
        <v>19.5</v>
      </c>
      <c r="O38" s="2">
        <v>50.26548245743669</v>
      </c>
      <c r="P38" s="11">
        <f t="shared" si="5"/>
        <v>3.8794017378649488</v>
      </c>
      <c r="Q38" s="2">
        <f t="shared" si="6"/>
        <v>79.838087765260639</v>
      </c>
      <c r="R38" s="2">
        <f t="shared" si="7"/>
        <v>2.788875556020562</v>
      </c>
      <c r="S38" s="2">
        <f t="shared" si="8"/>
        <v>57.395058942903162</v>
      </c>
      <c r="T38" s="2">
        <f t="shared" si="9"/>
        <v>22.443028822357476</v>
      </c>
    </row>
    <row r="39" spans="1:23" x14ac:dyDescent="0.25">
      <c r="A39" s="14">
        <f t="shared" si="10"/>
        <v>0.7189327485380117</v>
      </c>
      <c r="B39" s="2">
        <f t="shared" si="11"/>
        <v>34</v>
      </c>
      <c r="C39" s="4">
        <f t="shared" si="12"/>
        <v>21.33</v>
      </c>
      <c r="D39" s="2">
        <v>13.5</v>
      </c>
      <c r="E39" s="2">
        <v>50.26548245743669</v>
      </c>
      <c r="F39" s="11">
        <f t="shared" si="0"/>
        <v>2.6857396646757339</v>
      </c>
      <c r="G39" s="2">
        <f t="shared" si="1"/>
        <v>57.2868270475334</v>
      </c>
      <c r="H39" s="2">
        <f t="shared" si="2"/>
        <v>2.7741437125450457</v>
      </c>
      <c r="I39" s="2">
        <f t="shared" si="3"/>
        <v>59.17248538858582</v>
      </c>
      <c r="J39" s="2">
        <f t="shared" si="4"/>
        <v>1.8856583410524195</v>
      </c>
      <c r="K39" s="15">
        <f t="shared" si="13"/>
        <v>0.6951023391812865</v>
      </c>
      <c r="L39" s="2">
        <f t="shared" si="14"/>
        <v>34</v>
      </c>
      <c r="M39" s="2">
        <f t="shared" si="15"/>
        <v>21.08</v>
      </c>
      <c r="N39" s="2">
        <v>13.5</v>
      </c>
      <c r="O39" s="2">
        <v>50.26548245743669</v>
      </c>
      <c r="P39" s="11">
        <f t="shared" si="5"/>
        <v>2.6857396646757339</v>
      </c>
      <c r="Q39" s="2">
        <f t="shared" si="6"/>
        <v>56.615392131364466</v>
      </c>
      <c r="R39" s="2">
        <f t="shared" si="7"/>
        <v>2.788875556020562</v>
      </c>
      <c r="S39" s="2">
        <f t="shared" si="8"/>
        <v>58.789496720913441</v>
      </c>
      <c r="T39" s="2">
        <f t="shared" si="9"/>
        <v>2.1741045895489748</v>
      </c>
    </row>
    <row r="40" spans="1:23" x14ac:dyDescent="0.25">
      <c r="A40" s="14">
        <f t="shared" si="10"/>
        <v>0.71889619883040934</v>
      </c>
      <c r="B40" s="2">
        <f t="shared" si="11"/>
        <v>35</v>
      </c>
      <c r="C40" s="4">
        <f t="shared" si="12"/>
        <v>21.83</v>
      </c>
      <c r="D40" s="2">
        <v>13</v>
      </c>
      <c r="E40" s="2">
        <v>50.26548245743669</v>
      </c>
      <c r="F40" s="11">
        <f t="shared" si="0"/>
        <v>2.5862678252432989</v>
      </c>
      <c r="G40" s="2">
        <f t="shared" si="1"/>
        <v>56.458226625061208</v>
      </c>
      <c r="H40" s="2">
        <f t="shared" si="2"/>
        <v>2.7741437125450457</v>
      </c>
      <c r="I40" s="2">
        <f t="shared" si="3"/>
        <v>60.55955724485834</v>
      </c>
      <c r="J40" s="2">
        <f t="shared" si="4"/>
        <v>4.1013306197971318</v>
      </c>
      <c r="K40" s="15">
        <f t="shared" si="13"/>
        <v>0.69524853801169584</v>
      </c>
      <c r="L40" s="2">
        <f t="shared" si="14"/>
        <v>35</v>
      </c>
      <c r="M40" s="2">
        <f t="shared" si="15"/>
        <v>21.58</v>
      </c>
      <c r="N40" s="2">
        <v>12.5</v>
      </c>
      <c r="O40" s="2">
        <v>50.26548245743669</v>
      </c>
      <c r="P40" s="11">
        <f t="shared" si="5"/>
        <v>2.4867959858108648</v>
      </c>
      <c r="Q40" s="2">
        <f t="shared" si="6"/>
        <v>53.665057373798462</v>
      </c>
      <c r="R40" s="2">
        <f t="shared" si="7"/>
        <v>2.788875556020562</v>
      </c>
      <c r="S40" s="2">
        <f t="shared" si="8"/>
        <v>60.183934498923726</v>
      </c>
      <c r="T40" s="2">
        <f t="shared" si="9"/>
        <v>6.5188771251252646</v>
      </c>
    </row>
    <row r="41" spans="1:23" x14ac:dyDescent="0.25">
      <c r="A41" s="14">
        <f t="shared" si="10"/>
        <v>0.71885964912280698</v>
      </c>
      <c r="B41" s="2">
        <f t="shared" si="11"/>
        <v>36</v>
      </c>
      <c r="C41" s="4">
        <f t="shared" si="12"/>
        <v>22.33</v>
      </c>
      <c r="D41" s="2">
        <v>13.5</v>
      </c>
      <c r="E41" s="2">
        <v>50.26548245743669</v>
      </c>
      <c r="F41" s="11">
        <f t="shared" si="0"/>
        <v>2.6857396646757339</v>
      </c>
      <c r="G41" s="2">
        <f t="shared" si="1"/>
        <v>59.972566712209137</v>
      </c>
      <c r="H41" s="2">
        <f t="shared" si="2"/>
        <v>2.7741437125450457</v>
      </c>
      <c r="I41" s="2">
        <f t="shared" si="3"/>
        <v>61.946629101130867</v>
      </c>
      <c r="J41" s="2">
        <f t="shared" si="4"/>
        <v>1.9740623889217304</v>
      </c>
      <c r="K41" s="15">
        <f t="shared" si="13"/>
        <v>0.69539473684210529</v>
      </c>
      <c r="L41" s="2">
        <f t="shared" si="14"/>
        <v>36</v>
      </c>
      <c r="M41" s="2">
        <f t="shared" si="15"/>
        <v>22.08</v>
      </c>
      <c r="N41" s="2">
        <v>12</v>
      </c>
      <c r="O41" s="2">
        <v>50.26548245743669</v>
      </c>
      <c r="P41" s="11">
        <f t="shared" si="5"/>
        <v>2.3873241463784298</v>
      </c>
      <c r="Q41" s="2">
        <f t="shared" si="6"/>
        <v>52.712117152035724</v>
      </c>
      <c r="R41" s="2">
        <f t="shared" si="7"/>
        <v>2.788875556020562</v>
      </c>
      <c r="S41" s="2">
        <f t="shared" si="8"/>
        <v>61.578372276934005</v>
      </c>
      <c r="T41" s="2">
        <f t="shared" si="9"/>
        <v>8.8662551248982808</v>
      </c>
    </row>
    <row r="42" spans="1:23" x14ac:dyDescent="0.25">
      <c r="A42" s="14">
        <f t="shared" si="10"/>
        <v>0.71882309941520472</v>
      </c>
      <c r="B42" s="2">
        <f t="shared" si="11"/>
        <v>37</v>
      </c>
      <c r="C42" s="4">
        <f t="shared" si="12"/>
        <v>22.83</v>
      </c>
      <c r="D42" s="2">
        <v>14.5</v>
      </c>
      <c r="E42" s="2">
        <v>50.26548245743669</v>
      </c>
      <c r="F42" s="11">
        <f t="shared" si="0"/>
        <v>2.8846833435406034</v>
      </c>
      <c r="G42" s="2">
        <f t="shared" si="1"/>
        <v>65.857320733031969</v>
      </c>
      <c r="H42" s="2">
        <f t="shared" si="2"/>
        <v>2.7741437125450457</v>
      </c>
      <c r="I42" s="2">
        <f t="shared" si="3"/>
        <v>63.333700957403387</v>
      </c>
      <c r="J42" s="2">
        <f t="shared" si="4"/>
        <v>2.5236197756285819</v>
      </c>
      <c r="K42" s="15">
        <f t="shared" si="13"/>
        <v>0.69554093567251463</v>
      </c>
      <c r="L42" s="2">
        <f t="shared" si="14"/>
        <v>37</v>
      </c>
      <c r="M42" s="2">
        <f t="shared" si="15"/>
        <v>22.58</v>
      </c>
      <c r="N42" s="2">
        <v>13</v>
      </c>
      <c r="O42" s="2">
        <v>50.26548245743669</v>
      </c>
      <c r="P42" s="11">
        <f t="shared" si="5"/>
        <v>2.5862678252432989</v>
      </c>
      <c r="Q42" s="2">
        <f t="shared" si="6"/>
        <v>58.397927493993684</v>
      </c>
      <c r="R42" s="2">
        <f t="shared" si="7"/>
        <v>2.788875556020562</v>
      </c>
      <c r="S42" s="2">
        <f t="shared" si="8"/>
        <v>62.972810054944283</v>
      </c>
      <c r="T42" s="2">
        <f t="shared" si="9"/>
        <v>4.5748825609505985</v>
      </c>
    </row>
    <row r="43" spans="1:23" x14ac:dyDescent="0.25">
      <c r="A43" s="14">
        <f t="shared" si="10"/>
        <v>0.71878654970760236</v>
      </c>
      <c r="B43" s="2">
        <f t="shared" si="11"/>
        <v>38</v>
      </c>
      <c r="C43" s="4">
        <f t="shared" si="12"/>
        <v>23.33</v>
      </c>
      <c r="D43" s="2">
        <v>14.5</v>
      </c>
      <c r="E43" s="2">
        <v>50.26548245743669</v>
      </c>
      <c r="F43" s="11">
        <f t="shared" si="0"/>
        <v>2.8846833435406034</v>
      </c>
      <c r="G43" s="2">
        <f t="shared" si="1"/>
        <v>67.299662404802277</v>
      </c>
      <c r="H43" s="2">
        <f t="shared" si="2"/>
        <v>2.7741437125450457</v>
      </c>
      <c r="I43" s="2">
        <f t="shared" si="3"/>
        <v>64.720772813675907</v>
      </c>
      <c r="J43" s="2">
        <f t="shared" si="4"/>
        <v>2.5788895911263694</v>
      </c>
      <c r="K43" s="15">
        <f t="shared" si="13"/>
        <v>0.69568713450292397</v>
      </c>
      <c r="L43" s="2">
        <f t="shared" si="14"/>
        <v>38</v>
      </c>
      <c r="M43" s="2">
        <f t="shared" si="15"/>
        <v>23.08</v>
      </c>
      <c r="N43" s="2">
        <v>14</v>
      </c>
      <c r="O43" s="2">
        <v>50.26548245743669</v>
      </c>
      <c r="P43" s="11">
        <f t="shared" si="5"/>
        <v>2.7852115041081689</v>
      </c>
      <c r="Q43" s="2">
        <f t="shared" si="6"/>
        <v>64.282681514816531</v>
      </c>
      <c r="R43" s="2">
        <f t="shared" si="7"/>
        <v>2.788875556020562</v>
      </c>
      <c r="S43" s="2">
        <f t="shared" si="8"/>
        <v>64.367247832954561</v>
      </c>
      <c r="T43" s="2">
        <f t="shared" si="9"/>
        <v>8.4566318138030283E-2</v>
      </c>
    </row>
    <row r="44" spans="1:23" x14ac:dyDescent="0.25">
      <c r="A44" s="10">
        <v>0.71875</v>
      </c>
      <c r="B44" s="2">
        <f t="shared" si="11"/>
        <v>39</v>
      </c>
      <c r="C44" s="4">
        <f t="shared" si="12"/>
        <v>23.83</v>
      </c>
      <c r="D44" s="2">
        <v>14</v>
      </c>
      <c r="E44" s="2">
        <v>50.26548245743669</v>
      </c>
      <c r="F44" s="11">
        <f t="shared" si="0"/>
        <v>2.7852115041081689</v>
      </c>
      <c r="G44" s="2">
        <f t="shared" si="1"/>
        <v>66.371590142897659</v>
      </c>
      <c r="H44" s="2">
        <f t="shared" si="2"/>
        <v>2.7741437125450457</v>
      </c>
      <c r="I44" s="2">
        <f t="shared" si="3"/>
        <v>66.107844669948435</v>
      </c>
      <c r="J44" s="2">
        <f t="shared" si="4"/>
        <v>0.26374547294922479</v>
      </c>
      <c r="K44" s="12">
        <v>0.6958333333333333</v>
      </c>
      <c r="L44" s="2">
        <f t="shared" si="14"/>
        <v>39</v>
      </c>
      <c r="M44" s="2">
        <f t="shared" si="15"/>
        <v>23.58</v>
      </c>
      <c r="N44" s="2">
        <v>13.5</v>
      </c>
      <c r="O44" s="2">
        <v>50.26548245743669</v>
      </c>
      <c r="P44" s="11">
        <f t="shared" si="5"/>
        <v>2.6857396646757339</v>
      </c>
      <c r="Q44" s="2">
        <f t="shared" si="6"/>
        <v>63.3297412930538</v>
      </c>
      <c r="R44" s="2">
        <f t="shared" si="7"/>
        <v>2.788875556020562</v>
      </c>
      <c r="S44" s="2">
        <f t="shared" si="8"/>
        <v>65.761685610964847</v>
      </c>
      <c r="T44" s="2">
        <f t="shared" si="9"/>
        <v>2.4319443179110465</v>
      </c>
    </row>
    <row r="45" spans="1:23" x14ac:dyDescent="0.25">
      <c r="A45" s="14">
        <f t="shared" ref="A45:A82" si="16">IF(AND($A$44&lt;&gt;"",$A$83&lt;&gt;""), $A$44 + (B45 - $B$44) * (($A$83 - $A$44) / ($B$83 - $B$44)), "")</f>
        <v>0.71885683760683761</v>
      </c>
      <c r="B45" s="2">
        <f t="shared" si="11"/>
        <v>40</v>
      </c>
      <c r="C45" s="4">
        <f t="shared" si="12"/>
        <v>24.33</v>
      </c>
      <c r="D45" s="2">
        <v>14</v>
      </c>
      <c r="E45" s="2">
        <v>50.26548245743669</v>
      </c>
      <c r="F45" s="11">
        <f t="shared" si="0"/>
        <v>2.7852115041081689</v>
      </c>
      <c r="G45" s="2">
        <f t="shared" si="1"/>
        <v>67.76419589495174</v>
      </c>
      <c r="H45" s="2">
        <f t="shared" si="2"/>
        <v>2.7741437125450457</v>
      </c>
      <c r="I45" s="2">
        <f t="shared" si="3"/>
        <v>67.494916526220962</v>
      </c>
      <c r="J45" s="2">
        <f t="shared" si="4"/>
        <v>0.2692793687307784</v>
      </c>
      <c r="K45" s="15">
        <f t="shared" ref="K45:K82" si="17">IF(AND($K$44&lt;&gt;"",$K$83&lt;&gt;""), $K$44 + (L45 - $L$44) * (($K$83 - $K$44) / ($L$83 - $L$44)), "")</f>
        <v>0.69597578347578348</v>
      </c>
      <c r="L45" s="2">
        <f t="shared" si="14"/>
        <v>40</v>
      </c>
      <c r="M45" s="2">
        <f t="shared" si="15"/>
        <v>24.08</v>
      </c>
      <c r="N45" s="2">
        <v>14</v>
      </c>
      <c r="O45" s="2">
        <v>50.26548245743669</v>
      </c>
      <c r="P45" s="11">
        <f t="shared" si="5"/>
        <v>2.7852115041081689</v>
      </c>
      <c r="Q45" s="2">
        <f t="shared" si="6"/>
        <v>67.067893018924707</v>
      </c>
      <c r="R45" s="2">
        <f t="shared" si="7"/>
        <v>2.788875556020562</v>
      </c>
      <c r="S45" s="2">
        <f t="shared" si="8"/>
        <v>67.156123388975132</v>
      </c>
      <c r="T45" s="2">
        <f t="shared" si="9"/>
        <v>8.8230370050425222E-2</v>
      </c>
    </row>
    <row r="46" spans="1:23" x14ac:dyDescent="0.25">
      <c r="A46" s="14">
        <f t="shared" si="16"/>
        <v>0.71896367521367521</v>
      </c>
      <c r="B46" s="2">
        <f t="shared" si="11"/>
        <v>41</v>
      </c>
      <c r="C46" s="4">
        <f t="shared" si="12"/>
        <v>24.83</v>
      </c>
      <c r="D46" s="2">
        <v>18</v>
      </c>
      <c r="E46" s="2">
        <v>50.26548245743669</v>
      </c>
      <c r="F46" s="11">
        <f t="shared" si="0"/>
        <v>3.5809862195676452</v>
      </c>
      <c r="G46" s="2">
        <f t="shared" si="1"/>
        <v>88.915887831864623</v>
      </c>
      <c r="H46" s="2">
        <f t="shared" si="2"/>
        <v>2.7741437125450457</v>
      </c>
      <c r="I46" s="2">
        <f t="shared" si="3"/>
        <v>68.881988382493475</v>
      </c>
      <c r="J46" s="2">
        <f t="shared" si="4"/>
        <v>20.033899449371148</v>
      </c>
      <c r="K46" s="15">
        <f t="shared" si="17"/>
        <v>0.69611823361823355</v>
      </c>
      <c r="L46" s="2">
        <f t="shared" si="14"/>
        <v>41</v>
      </c>
      <c r="M46" s="2">
        <f t="shared" si="15"/>
        <v>24.58</v>
      </c>
      <c r="N46" s="2">
        <v>14.5</v>
      </c>
      <c r="O46" s="2">
        <v>50.26548245743669</v>
      </c>
      <c r="P46" s="11">
        <f t="shared" si="5"/>
        <v>2.8846833435406034</v>
      </c>
      <c r="Q46" s="2">
        <f t="shared" si="6"/>
        <v>70.905516584228025</v>
      </c>
      <c r="R46" s="2">
        <f t="shared" si="7"/>
        <v>2.788875556020562</v>
      </c>
      <c r="S46" s="2">
        <f t="shared" si="8"/>
        <v>68.550561166985403</v>
      </c>
      <c r="T46" s="2">
        <f t="shared" si="9"/>
        <v>2.3549554172426213</v>
      </c>
    </row>
    <row r="47" spans="1:23" x14ac:dyDescent="0.25">
      <c r="A47" s="14">
        <f t="shared" si="16"/>
        <v>0.71907051282051282</v>
      </c>
      <c r="B47" s="2">
        <f t="shared" si="11"/>
        <v>42</v>
      </c>
      <c r="C47" s="4">
        <f t="shared" si="12"/>
        <v>25.33</v>
      </c>
      <c r="D47" s="2">
        <v>14</v>
      </c>
      <c r="E47" s="2">
        <v>50.26548245743669</v>
      </c>
      <c r="F47" s="11">
        <f t="shared" si="0"/>
        <v>2.7852115041081689</v>
      </c>
      <c r="G47" s="2">
        <f t="shared" si="1"/>
        <v>70.549407399059916</v>
      </c>
      <c r="H47" s="2">
        <f t="shared" si="2"/>
        <v>2.7741437125450457</v>
      </c>
      <c r="I47" s="2">
        <f t="shared" si="3"/>
        <v>70.269060238766002</v>
      </c>
      <c r="J47" s="2">
        <f t="shared" si="4"/>
        <v>0.28034716029391404</v>
      </c>
      <c r="K47" s="15">
        <f t="shared" si="17"/>
        <v>0.69626068376068373</v>
      </c>
      <c r="L47" s="2">
        <f t="shared" si="14"/>
        <v>42</v>
      </c>
      <c r="M47" s="2">
        <f t="shared" si="15"/>
        <v>25.08</v>
      </c>
      <c r="N47" s="2">
        <v>13.5</v>
      </c>
      <c r="O47" s="2">
        <v>50.26548245743669</v>
      </c>
      <c r="P47" s="11">
        <f t="shared" si="5"/>
        <v>2.6857396646757339</v>
      </c>
      <c r="Q47" s="2">
        <f t="shared" si="6"/>
        <v>67.358350790067405</v>
      </c>
      <c r="R47" s="2">
        <f t="shared" si="7"/>
        <v>2.788875556020562</v>
      </c>
      <c r="S47" s="2">
        <f t="shared" si="8"/>
        <v>69.944998944995689</v>
      </c>
      <c r="T47" s="2">
        <f t="shared" si="9"/>
        <v>2.5866481549282838</v>
      </c>
    </row>
    <row r="48" spans="1:23" x14ac:dyDescent="0.25">
      <c r="A48" s="14">
        <f t="shared" si="16"/>
        <v>0.71917735042735043</v>
      </c>
      <c r="B48" s="2">
        <f t="shared" si="11"/>
        <v>43</v>
      </c>
      <c r="C48" s="4">
        <f t="shared" si="12"/>
        <v>25.83</v>
      </c>
      <c r="D48" s="2">
        <v>13.5</v>
      </c>
      <c r="E48" s="2">
        <v>50.26548245743669</v>
      </c>
      <c r="F48" s="11">
        <f t="shared" si="0"/>
        <v>2.6857396646757339</v>
      </c>
      <c r="G48" s="2">
        <f t="shared" si="1"/>
        <v>69.372655538574207</v>
      </c>
      <c r="H48" s="2">
        <f t="shared" si="2"/>
        <v>2.7741437125450457</v>
      </c>
      <c r="I48" s="2">
        <f t="shared" si="3"/>
        <v>71.656132095038529</v>
      </c>
      <c r="J48" s="2">
        <f t="shared" si="4"/>
        <v>2.283476556464322</v>
      </c>
      <c r="K48" s="15">
        <f t="shared" si="17"/>
        <v>0.69640313390313391</v>
      </c>
      <c r="L48" s="2">
        <f t="shared" si="14"/>
        <v>43</v>
      </c>
      <c r="M48" s="2">
        <f t="shared" si="15"/>
        <v>25.58</v>
      </c>
      <c r="N48" s="2">
        <v>14</v>
      </c>
      <c r="O48" s="2">
        <v>50.26548245743669</v>
      </c>
      <c r="P48" s="11">
        <f t="shared" si="5"/>
        <v>2.7852115041081689</v>
      </c>
      <c r="Q48" s="2">
        <f t="shared" si="6"/>
        <v>71.24571027508695</v>
      </c>
      <c r="R48" s="2">
        <f t="shared" si="7"/>
        <v>2.788875556020562</v>
      </c>
      <c r="S48" s="2">
        <f t="shared" si="8"/>
        <v>71.339436723005974</v>
      </c>
      <c r="T48" s="2">
        <f t="shared" si="9"/>
        <v>9.3726447919024736E-2</v>
      </c>
    </row>
    <row r="49" spans="1:20" x14ac:dyDescent="0.25">
      <c r="A49" s="14">
        <f t="shared" si="16"/>
        <v>0.71928418803418803</v>
      </c>
      <c r="B49" s="2">
        <f t="shared" si="11"/>
        <v>44</v>
      </c>
      <c r="C49" s="4">
        <f t="shared" si="12"/>
        <v>26.33</v>
      </c>
      <c r="D49" s="2">
        <v>13</v>
      </c>
      <c r="E49" s="2">
        <v>50.26548245743669</v>
      </c>
      <c r="F49" s="11">
        <f t="shared" si="0"/>
        <v>2.5862678252432989</v>
      </c>
      <c r="G49" s="2">
        <f t="shared" si="1"/>
        <v>68.096431838656059</v>
      </c>
      <c r="H49" s="2">
        <f t="shared" si="2"/>
        <v>2.7741437125450457</v>
      </c>
      <c r="I49" s="2">
        <f t="shared" si="3"/>
        <v>73.043203951311042</v>
      </c>
      <c r="J49" s="2">
        <f t="shared" si="4"/>
        <v>4.9467721126549833</v>
      </c>
      <c r="K49" s="15">
        <f t="shared" si="17"/>
        <v>0.69654558404558398</v>
      </c>
      <c r="L49" s="2">
        <f t="shared" si="14"/>
        <v>44</v>
      </c>
      <c r="M49" s="2">
        <f t="shared" si="15"/>
        <v>26.08</v>
      </c>
      <c r="N49" s="2">
        <v>13</v>
      </c>
      <c r="O49" s="2">
        <v>50.26548245743669</v>
      </c>
      <c r="P49" s="11">
        <f t="shared" si="5"/>
        <v>2.5862678252432989</v>
      </c>
      <c r="Q49" s="2">
        <f t="shared" si="6"/>
        <v>67.449864882345224</v>
      </c>
      <c r="R49" s="2">
        <f t="shared" si="7"/>
        <v>2.788875556020562</v>
      </c>
      <c r="S49" s="2">
        <f t="shared" si="8"/>
        <v>72.73387450101626</v>
      </c>
      <c r="T49" s="2">
        <f t="shared" si="9"/>
        <v>5.2840096186710355</v>
      </c>
    </row>
    <row r="50" spans="1:20" x14ac:dyDescent="0.25">
      <c r="A50" s="14">
        <f t="shared" si="16"/>
        <v>0.71939102564102564</v>
      </c>
      <c r="B50" s="2">
        <f t="shared" si="11"/>
        <v>45</v>
      </c>
      <c r="C50" s="4">
        <f t="shared" si="12"/>
        <v>26.83</v>
      </c>
      <c r="D50" s="2">
        <v>18.5</v>
      </c>
      <c r="E50" s="2">
        <v>50.26548245743669</v>
      </c>
      <c r="F50" s="11">
        <f t="shared" si="0"/>
        <v>3.6804580590000797</v>
      </c>
      <c r="G50" s="2">
        <f t="shared" si="1"/>
        <v>98.746689722972135</v>
      </c>
      <c r="H50" s="2">
        <f t="shared" si="2"/>
        <v>2.7741437125450457</v>
      </c>
      <c r="I50" s="2">
        <f t="shared" si="3"/>
        <v>74.43027580758357</v>
      </c>
      <c r="J50" s="2">
        <f t="shared" si="4"/>
        <v>24.316413915388566</v>
      </c>
      <c r="K50" s="15">
        <f t="shared" si="17"/>
        <v>0.69668803418803416</v>
      </c>
      <c r="L50" s="2">
        <f t="shared" si="14"/>
        <v>45</v>
      </c>
      <c r="M50" s="2">
        <f t="shared" si="15"/>
        <v>26.58</v>
      </c>
      <c r="N50" s="2">
        <v>14</v>
      </c>
      <c r="O50" s="2">
        <v>50.26548245743669</v>
      </c>
      <c r="P50" s="11">
        <f t="shared" si="5"/>
        <v>2.7852115041081689</v>
      </c>
      <c r="Q50" s="2">
        <f t="shared" si="6"/>
        <v>74.030921779195126</v>
      </c>
      <c r="R50" s="2">
        <f t="shared" si="7"/>
        <v>2.788875556020562</v>
      </c>
      <c r="S50" s="2">
        <f t="shared" si="8"/>
        <v>74.128312279026531</v>
      </c>
      <c r="T50" s="2">
        <f t="shared" si="9"/>
        <v>9.7390499831405464E-2</v>
      </c>
    </row>
    <row r="51" spans="1:20" x14ac:dyDescent="0.25">
      <c r="A51" s="14">
        <f t="shared" si="16"/>
        <v>0.71949786324786325</v>
      </c>
      <c r="B51" s="2">
        <f t="shared" si="11"/>
        <v>46</v>
      </c>
      <c r="C51" s="4">
        <f t="shared" si="12"/>
        <v>27.33</v>
      </c>
      <c r="D51" s="2">
        <v>14</v>
      </c>
      <c r="E51" s="2">
        <v>50.26548245743669</v>
      </c>
      <c r="F51" s="11">
        <f t="shared" si="0"/>
        <v>2.7852115041081689</v>
      </c>
      <c r="G51" s="2">
        <f t="shared" si="1"/>
        <v>76.119830407276254</v>
      </c>
      <c r="H51" s="2">
        <f t="shared" si="2"/>
        <v>2.7741437125450457</v>
      </c>
      <c r="I51" s="2">
        <f t="shared" si="3"/>
        <v>75.817347663856097</v>
      </c>
      <c r="J51" s="2">
        <f t="shared" si="4"/>
        <v>0.30248274342015691</v>
      </c>
      <c r="K51" s="15">
        <f t="shared" si="17"/>
        <v>0.69683048433048433</v>
      </c>
      <c r="L51" s="2">
        <f t="shared" si="14"/>
        <v>46</v>
      </c>
      <c r="M51" s="2">
        <f t="shared" si="15"/>
        <v>27.08</v>
      </c>
      <c r="N51" s="2">
        <v>14.5</v>
      </c>
      <c r="O51" s="2">
        <v>50.26548245743669</v>
      </c>
      <c r="P51" s="11">
        <f t="shared" si="5"/>
        <v>2.8846833435406034</v>
      </c>
      <c r="Q51" s="2">
        <f t="shared" si="6"/>
        <v>78.117224943079535</v>
      </c>
      <c r="R51" s="2">
        <f t="shared" si="7"/>
        <v>2.788875556020562</v>
      </c>
      <c r="S51" s="2">
        <f t="shared" si="8"/>
        <v>75.522750057036816</v>
      </c>
      <c r="T51" s="2">
        <f t="shared" si="9"/>
        <v>2.5944748860427183</v>
      </c>
    </row>
    <row r="52" spans="1:20" x14ac:dyDescent="0.25">
      <c r="A52" s="14">
        <f t="shared" si="16"/>
        <v>0.71960470085470085</v>
      </c>
      <c r="B52" s="2">
        <f t="shared" si="11"/>
        <v>47</v>
      </c>
      <c r="C52" s="4">
        <f t="shared" si="12"/>
        <v>27.83</v>
      </c>
      <c r="D52" s="2">
        <v>14.5</v>
      </c>
      <c r="E52" s="2">
        <v>50.26548245743669</v>
      </c>
      <c r="F52" s="11">
        <f t="shared" si="0"/>
        <v>2.8846833435406034</v>
      </c>
      <c r="G52" s="2">
        <f t="shared" si="1"/>
        <v>80.280737450734989</v>
      </c>
      <c r="H52" s="2">
        <f t="shared" si="2"/>
        <v>2.7741437125450457</v>
      </c>
      <c r="I52" s="2">
        <f t="shared" si="3"/>
        <v>77.20441952012861</v>
      </c>
      <c r="J52" s="2">
        <f t="shared" si="4"/>
        <v>3.076317930606379</v>
      </c>
      <c r="K52" s="15">
        <f t="shared" si="17"/>
        <v>0.6969729344729344</v>
      </c>
      <c r="L52" s="2">
        <f t="shared" si="14"/>
        <v>47</v>
      </c>
      <c r="M52" s="2">
        <f t="shared" si="15"/>
        <v>27.58</v>
      </c>
      <c r="N52" s="2">
        <v>14</v>
      </c>
      <c r="O52" s="2">
        <v>50.26548245743669</v>
      </c>
      <c r="P52" s="11">
        <f t="shared" si="5"/>
        <v>2.7852115041081689</v>
      </c>
      <c r="Q52" s="2">
        <f t="shared" si="6"/>
        <v>76.816133283303287</v>
      </c>
      <c r="R52" s="2">
        <f t="shared" si="7"/>
        <v>2.788875556020562</v>
      </c>
      <c r="S52" s="2">
        <f t="shared" si="8"/>
        <v>76.917187835047102</v>
      </c>
      <c r="T52" s="2">
        <f t="shared" si="9"/>
        <v>0.10105455174381461</v>
      </c>
    </row>
    <row r="53" spans="1:20" x14ac:dyDescent="0.25">
      <c r="A53" s="14">
        <f t="shared" si="16"/>
        <v>0.71971153846153846</v>
      </c>
      <c r="B53" s="2">
        <f t="shared" si="11"/>
        <v>48</v>
      </c>
      <c r="C53" s="4">
        <f t="shared" si="12"/>
        <v>28.33</v>
      </c>
      <c r="D53" s="2">
        <v>14.5</v>
      </c>
      <c r="E53" s="2">
        <v>50.26548245743669</v>
      </c>
      <c r="F53" s="11">
        <f t="shared" si="0"/>
        <v>2.8846833435406034</v>
      </c>
      <c r="G53" s="2">
        <f t="shared" si="1"/>
        <v>81.723079122505283</v>
      </c>
      <c r="H53" s="2">
        <f t="shared" si="2"/>
        <v>2.7741437125450457</v>
      </c>
      <c r="I53" s="2">
        <f t="shared" si="3"/>
        <v>78.591491376401137</v>
      </c>
      <c r="J53" s="2">
        <f t="shared" si="4"/>
        <v>3.1315877461041453</v>
      </c>
      <c r="K53" s="15">
        <f t="shared" si="17"/>
        <v>0.69711538461538458</v>
      </c>
      <c r="L53" s="2">
        <f t="shared" si="14"/>
        <v>48</v>
      </c>
      <c r="M53" s="2">
        <f t="shared" si="15"/>
        <v>28.08</v>
      </c>
      <c r="N53" s="2">
        <v>13.5</v>
      </c>
      <c r="O53" s="2">
        <v>50.26548245743669</v>
      </c>
      <c r="P53" s="11">
        <f t="shared" si="5"/>
        <v>2.6857396646757339</v>
      </c>
      <c r="Q53" s="2">
        <f t="shared" si="6"/>
        <v>75.4155697840946</v>
      </c>
      <c r="R53" s="2">
        <f t="shared" si="7"/>
        <v>2.788875556020562</v>
      </c>
      <c r="S53" s="2">
        <f t="shared" si="8"/>
        <v>78.311625613057373</v>
      </c>
      <c r="T53" s="2">
        <f t="shared" si="9"/>
        <v>2.8960558289627727</v>
      </c>
    </row>
    <row r="54" spans="1:20" x14ac:dyDescent="0.25">
      <c r="A54" s="14">
        <f t="shared" si="16"/>
        <v>0.71981837606837606</v>
      </c>
      <c r="B54" s="2">
        <f t="shared" si="11"/>
        <v>49</v>
      </c>
      <c r="C54" s="4">
        <f t="shared" si="12"/>
        <v>28.83</v>
      </c>
      <c r="D54" s="2">
        <v>15</v>
      </c>
      <c r="E54" s="2">
        <v>50.26548245743669</v>
      </c>
      <c r="F54" s="11">
        <f t="shared" si="0"/>
        <v>2.9841551829730379</v>
      </c>
      <c r="G54" s="2">
        <f t="shared" si="1"/>
        <v>86.033193925112684</v>
      </c>
      <c r="H54" s="2">
        <f t="shared" si="2"/>
        <v>2.7741437125450457</v>
      </c>
      <c r="I54" s="2">
        <f t="shared" si="3"/>
        <v>79.978563232673665</v>
      </c>
      <c r="J54" s="2">
        <f t="shared" si="4"/>
        <v>6.0546306924390194</v>
      </c>
      <c r="K54" s="15">
        <f t="shared" si="17"/>
        <v>0.69725783475783476</v>
      </c>
      <c r="L54" s="2">
        <f t="shared" si="14"/>
        <v>49</v>
      </c>
      <c r="M54" s="2">
        <f t="shared" si="15"/>
        <v>28.58</v>
      </c>
      <c r="N54" s="2">
        <v>14</v>
      </c>
      <c r="O54" s="2">
        <v>50.26548245743669</v>
      </c>
      <c r="P54" s="11">
        <f t="shared" si="5"/>
        <v>2.7852115041081689</v>
      </c>
      <c r="Q54" s="2">
        <f t="shared" si="6"/>
        <v>79.601344787411463</v>
      </c>
      <c r="R54" s="2">
        <f t="shared" si="7"/>
        <v>2.788875556020562</v>
      </c>
      <c r="S54" s="2">
        <f t="shared" si="8"/>
        <v>79.706063391067659</v>
      </c>
      <c r="T54" s="2">
        <f t="shared" si="9"/>
        <v>0.10471860365619534</v>
      </c>
    </row>
    <row r="55" spans="1:20" x14ac:dyDescent="0.25">
      <c r="A55" s="14">
        <f t="shared" si="16"/>
        <v>0.71992521367521367</v>
      </c>
      <c r="B55" s="2">
        <f t="shared" si="11"/>
        <v>50</v>
      </c>
      <c r="C55" s="4">
        <f t="shared" si="12"/>
        <v>29.33</v>
      </c>
      <c r="D55" s="2">
        <v>16</v>
      </c>
      <c r="E55" s="2">
        <v>50.26548245743669</v>
      </c>
      <c r="F55" s="11">
        <f t="shared" si="0"/>
        <v>3.183098861837907</v>
      </c>
      <c r="G55" s="2">
        <f t="shared" si="1"/>
        <v>93.360289617705803</v>
      </c>
      <c r="H55" s="2">
        <f t="shared" si="2"/>
        <v>2.7741437125450457</v>
      </c>
      <c r="I55" s="2">
        <f t="shared" si="3"/>
        <v>81.365635088946178</v>
      </c>
      <c r="J55" s="2">
        <f t="shared" si="4"/>
        <v>11.994654528759625</v>
      </c>
      <c r="K55" s="15">
        <f t="shared" si="17"/>
        <v>0.69740028490028483</v>
      </c>
      <c r="L55" s="2">
        <f t="shared" si="14"/>
        <v>50</v>
      </c>
      <c r="M55" s="2">
        <f t="shared" si="15"/>
        <v>29.08</v>
      </c>
      <c r="N55" s="2">
        <v>21.5</v>
      </c>
      <c r="O55" s="2">
        <v>50.26548245743669</v>
      </c>
      <c r="P55" s="11">
        <f t="shared" si="5"/>
        <v>4.2772890955946874</v>
      </c>
      <c r="Q55" s="2">
        <f t="shared" si="6"/>
        <v>124.38356689989351</v>
      </c>
      <c r="R55" s="2">
        <f t="shared" si="7"/>
        <v>2.788875556020562</v>
      </c>
      <c r="S55" s="2">
        <f t="shared" si="8"/>
        <v>81.100501169077944</v>
      </c>
      <c r="T55" s="2">
        <f t="shared" si="9"/>
        <v>43.283065730815565</v>
      </c>
    </row>
    <row r="56" spans="1:20" x14ac:dyDescent="0.25">
      <c r="A56" s="14">
        <f t="shared" si="16"/>
        <v>0.72003205128205128</v>
      </c>
      <c r="B56" s="2">
        <f t="shared" si="11"/>
        <v>51</v>
      </c>
      <c r="C56" s="4">
        <f t="shared" si="12"/>
        <v>29.83</v>
      </c>
      <c r="D56" s="2">
        <v>14</v>
      </c>
      <c r="E56" s="2">
        <v>50.26548245743669</v>
      </c>
      <c r="F56" s="11">
        <f t="shared" si="0"/>
        <v>2.7852115041081689</v>
      </c>
      <c r="G56" s="2">
        <f t="shared" si="1"/>
        <v>83.082859167546673</v>
      </c>
      <c r="H56" s="2">
        <f t="shared" si="2"/>
        <v>2.7741437125450457</v>
      </c>
      <c r="I56" s="2">
        <f t="shared" si="3"/>
        <v>82.752706945218705</v>
      </c>
      <c r="J56" s="2">
        <f t="shared" si="4"/>
        <v>0.33015222232796759</v>
      </c>
      <c r="K56" s="15">
        <f t="shared" si="17"/>
        <v>0.69754273504273501</v>
      </c>
      <c r="L56" s="2">
        <f t="shared" si="14"/>
        <v>51</v>
      </c>
      <c r="M56" s="2">
        <f t="shared" si="15"/>
        <v>29.58</v>
      </c>
      <c r="N56" s="2">
        <v>15.5</v>
      </c>
      <c r="O56" s="2">
        <v>50.26548245743669</v>
      </c>
      <c r="P56" s="11">
        <f t="shared" si="5"/>
        <v>3.0836270224054725</v>
      </c>
      <c r="Q56" s="2">
        <f t="shared" si="6"/>
        <v>91.21368732275387</v>
      </c>
      <c r="R56" s="2">
        <f t="shared" si="7"/>
        <v>2.788875556020562</v>
      </c>
      <c r="S56" s="2">
        <f t="shared" si="8"/>
        <v>82.494938947088215</v>
      </c>
      <c r="T56" s="2">
        <f t="shared" si="9"/>
        <v>8.7187483756656547</v>
      </c>
    </row>
    <row r="57" spans="1:20" x14ac:dyDescent="0.25">
      <c r="A57" s="14">
        <f t="shared" si="16"/>
        <v>0.72013888888888888</v>
      </c>
      <c r="B57" s="2">
        <f t="shared" si="11"/>
        <v>52</v>
      </c>
      <c r="C57" s="4">
        <f t="shared" si="12"/>
        <v>30.33</v>
      </c>
      <c r="D57" s="2">
        <v>14.5</v>
      </c>
      <c r="E57" s="2">
        <v>50.26548245743669</v>
      </c>
      <c r="F57" s="11">
        <f t="shared" si="0"/>
        <v>2.8846833435406034</v>
      </c>
      <c r="G57" s="2">
        <f t="shared" si="1"/>
        <v>87.492445809586499</v>
      </c>
      <c r="H57" s="2">
        <f t="shared" si="2"/>
        <v>2.7741437125450457</v>
      </c>
      <c r="I57" s="2">
        <f t="shared" si="3"/>
        <v>84.139778801491232</v>
      </c>
      <c r="J57" s="2">
        <f t="shared" si="4"/>
        <v>3.352667008095267</v>
      </c>
      <c r="K57" s="15">
        <f t="shared" si="17"/>
        <v>0.69768518518518519</v>
      </c>
      <c r="L57" s="2">
        <f t="shared" si="14"/>
        <v>52</v>
      </c>
      <c r="M57" s="2">
        <f t="shared" si="15"/>
        <v>30.08</v>
      </c>
      <c r="N57" s="2">
        <v>14</v>
      </c>
      <c r="O57" s="2">
        <v>50.26548245743669</v>
      </c>
      <c r="P57" s="11">
        <f t="shared" si="5"/>
        <v>2.7852115041081689</v>
      </c>
      <c r="Q57" s="2">
        <f t="shared" si="6"/>
        <v>83.77916204357372</v>
      </c>
      <c r="R57" s="2">
        <f t="shared" si="7"/>
        <v>2.788875556020562</v>
      </c>
      <c r="S57" s="2">
        <f t="shared" si="8"/>
        <v>83.889376725098501</v>
      </c>
      <c r="T57" s="2">
        <f t="shared" si="9"/>
        <v>0.11021468152478064</v>
      </c>
    </row>
    <row r="58" spans="1:20" x14ac:dyDescent="0.25">
      <c r="A58" s="14">
        <f t="shared" si="16"/>
        <v>0.72024572649572649</v>
      </c>
      <c r="B58" s="2">
        <f t="shared" si="11"/>
        <v>53</v>
      </c>
      <c r="C58" s="4">
        <f t="shared" si="12"/>
        <v>30.83</v>
      </c>
      <c r="D58" s="2">
        <v>13.5</v>
      </c>
      <c r="E58" s="2">
        <v>50.26548245743669</v>
      </c>
      <c r="F58" s="11">
        <f t="shared" si="0"/>
        <v>2.6857396646757339</v>
      </c>
      <c r="G58" s="2">
        <f t="shared" si="1"/>
        <v>82.801353861952876</v>
      </c>
      <c r="H58" s="2">
        <f t="shared" si="2"/>
        <v>2.7741437125450457</v>
      </c>
      <c r="I58" s="2">
        <f t="shared" si="3"/>
        <v>85.52685065776376</v>
      </c>
      <c r="J58" s="2">
        <f t="shared" si="4"/>
        <v>2.7254967958108836</v>
      </c>
      <c r="K58" s="15">
        <f t="shared" si="17"/>
        <v>0.69782763532763525</v>
      </c>
      <c r="L58" s="2">
        <f t="shared" si="14"/>
        <v>53</v>
      </c>
      <c r="M58" s="2">
        <f t="shared" si="15"/>
        <v>30.58</v>
      </c>
      <c r="N58" s="2">
        <v>13.5</v>
      </c>
      <c r="O58" s="2">
        <v>50.26548245743669</v>
      </c>
      <c r="P58" s="11">
        <f t="shared" si="5"/>
        <v>2.6857396646757339</v>
      </c>
      <c r="Q58" s="2">
        <f t="shared" si="6"/>
        <v>82.129918945783942</v>
      </c>
      <c r="R58" s="2">
        <f t="shared" si="7"/>
        <v>2.788875556020562</v>
      </c>
      <c r="S58" s="2">
        <f t="shared" si="8"/>
        <v>85.283814503108786</v>
      </c>
      <c r="T58" s="2">
        <f t="shared" si="9"/>
        <v>3.1538955573248444</v>
      </c>
    </row>
    <row r="59" spans="1:20" x14ac:dyDescent="0.25">
      <c r="A59" s="14">
        <f t="shared" si="16"/>
        <v>0.7203525641025641</v>
      </c>
      <c r="B59" s="2">
        <f t="shared" si="11"/>
        <v>54</v>
      </c>
      <c r="C59" s="4">
        <f t="shared" si="12"/>
        <v>31.33</v>
      </c>
      <c r="D59" s="2">
        <v>14</v>
      </c>
      <c r="E59" s="2">
        <v>50.26548245743669</v>
      </c>
      <c r="F59" s="11">
        <f t="shared" si="0"/>
        <v>2.7852115041081689</v>
      </c>
      <c r="G59" s="2">
        <f t="shared" si="1"/>
        <v>87.260676423708929</v>
      </c>
      <c r="H59" s="2">
        <f t="shared" si="2"/>
        <v>2.7741437125450457</v>
      </c>
      <c r="I59" s="2">
        <f t="shared" si="3"/>
        <v>86.913922514036273</v>
      </c>
      <c r="J59" s="2">
        <f t="shared" si="4"/>
        <v>0.34675390967265685</v>
      </c>
      <c r="K59" s="15">
        <f t="shared" si="17"/>
        <v>0.69797008547008543</v>
      </c>
      <c r="L59" s="2">
        <f t="shared" si="14"/>
        <v>54</v>
      </c>
      <c r="M59" s="2">
        <f t="shared" si="15"/>
        <v>31.08</v>
      </c>
      <c r="N59" s="2">
        <v>14.5</v>
      </c>
      <c r="O59" s="2">
        <v>50.26548245743669</v>
      </c>
      <c r="P59" s="11">
        <f t="shared" si="5"/>
        <v>2.8846833435406034</v>
      </c>
      <c r="Q59" s="2">
        <f t="shared" si="6"/>
        <v>89.655958317241954</v>
      </c>
      <c r="R59" s="2">
        <f t="shared" si="7"/>
        <v>2.788875556020562</v>
      </c>
      <c r="S59" s="2">
        <f t="shared" si="8"/>
        <v>86.678252281119057</v>
      </c>
      <c r="T59" s="2">
        <f t="shared" si="9"/>
        <v>2.9777060361228962</v>
      </c>
    </row>
    <row r="60" spans="1:20" x14ac:dyDescent="0.25">
      <c r="A60" s="14">
        <f t="shared" si="16"/>
        <v>0.7204594017094017</v>
      </c>
      <c r="B60" s="2">
        <f t="shared" si="11"/>
        <v>55</v>
      </c>
      <c r="C60" s="4">
        <f t="shared" si="12"/>
        <v>31.83</v>
      </c>
      <c r="D60" s="2">
        <v>13.5</v>
      </c>
      <c r="E60" s="2">
        <v>50.26548245743669</v>
      </c>
      <c r="F60" s="11">
        <f t="shared" si="0"/>
        <v>2.6857396646757339</v>
      </c>
      <c r="G60" s="2">
        <f t="shared" si="1"/>
        <v>85.487093526628598</v>
      </c>
      <c r="H60" s="2">
        <f t="shared" si="2"/>
        <v>2.7741437125450457</v>
      </c>
      <c r="I60" s="2">
        <f t="shared" si="3"/>
        <v>88.3009943703088</v>
      </c>
      <c r="J60" s="2">
        <f t="shared" si="4"/>
        <v>2.8139008436802015</v>
      </c>
      <c r="K60" s="15">
        <f t="shared" si="17"/>
        <v>0.69811253561253561</v>
      </c>
      <c r="L60" s="2">
        <f t="shared" si="14"/>
        <v>55</v>
      </c>
      <c r="M60" s="2">
        <f t="shared" si="15"/>
        <v>31.58</v>
      </c>
      <c r="N60" s="2">
        <v>14</v>
      </c>
      <c r="O60" s="2">
        <v>50.26548245743669</v>
      </c>
      <c r="P60" s="11">
        <f t="shared" si="5"/>
        <v>2.7852115041081689</v>
      </c>
      <c r="Q60" s="2">
        <f t="shared" si="6"/>
        <v>87.956979299735963</v>
      </c>
      <c r="R60" s="2">
        <f t="shared" si="7"/>
        <v>2.788875556020562</v>
      </c>
      <c r="S60" s="2">
        <f t="shared" si="8"/>
        <v>88.072690059129343</v>
      </c>
      <c r="T60" s="2">
        <f t="shared" si="9"/>
        <v>0.11571075939338016</v>
      </c>
    </row>
    <row r="61" spans="1:20" x14ac:dyDescent="0.25">
      <c r="A61" s="14">
        <f t="shared" si="16"/>
        <v>0.72056623931623931</v>
      </c>
      <c r="B61" s="2">
        <f t="shared" si="11"/>
        <v>56</v>
      </c>
      <c r="C61" s="4">
        <f t="shared" si="12"/>
        <v>32.33</v>
      </c>
      <c r="D61" s="2">
        <v>16</v>
      </c>
      <c r="E61" s="2">
        <v>50.26548245743669</v>
      </c>
      <c r="F61" s="11">
        <f t="shared" si="0"/>
        <v>3.183098861837907</v>
      </c>
      <c r="G61" s="2">
        <f t="shared" si="1"/>
        <v>102.90958620321953</v>
      </c>
      <c r="H61" s="2">
        <f t="shared" si="2"/>
        <v>2.7741437125450457</v>
      </c>
      <c r="I61" s="2">
        <f t="shared" si="3"/>
        <v>89.688066226581327</v>
      </c>
      <c r="J61" s="2">
        <f t="shared" si="4"/>
        <v>13.221519976638206</v>
      </c>
      <c r="K61" s="15">
        <f t="shared" si="17"/>
        <v>0.69825498575498568</v>
      </c>
      <c r="L61" s="2">
        <f t="shared" si="14"/>
        <v>56</v>
      </c>
      <c r="M61" s="2">
        <f t="shared" si="15"/>
        <v>32.08</v>
      </c>
      <c r="N61" s="2">
        <v>13</v>
      </c>
      <c r="O61" s="2">
        <v>50.26548245743669</v>
      </c>
      <c r="P61" s="11">
        <f t="shared" si="5"/>
        <v>2.5862678252432989</v>
      </c>
      <c r="Q61" s="2">
        <f t="shared" si="6"/>
        <v>82.967471833805021</v>
      </c>
      <c r="R61" s="2">
        <f t="shared" si="7"/>
        <v>2.788875556020562</v>
      </c>
      <c r="S61" s="2">
        <f t="shared" si="8"/>
        <v>89.467127837139628</v>
      </c>
      <c r="T61" s="2">
        <f t="shared" si="9"/>
        <v>6.4996560033346071</v>
      </c>
    </row>
    <row r="62" spans="1:20" x14ac:dyDescent="0.25">
      <c r="A62" s="14">
        <f t="shared" si="16"/>
        <v>0.72067307692307692</v>
      </c>
      <c r="B62" s="2">
        <f t="shared" si="11"/>
        <v>57</v>
      </c>
      <c r="C62" s="4">
        <f t="shared" si="12"/>
        <v>32.83</v>
      </c>
      <c r="D62" s="2">
        <v>14</v>
      </c>
      <c r="E62" s="2">
        <v>50.26548245743669</v>
      </c>
      <c r="F62" s="11">
        <f t="shared" si="0"/>
        <v>2.7852115041081689</v>
      </c>
      <c r="G62" s="2">
        <f t="shared" si="1"/>
        <v>91.438493679871186</v>
      </c>
      <c r="H62" s="2">
        <f t="shared" si="2"/>
        <v>2.7741437125450457</v>
      </c>
      <c r="I62" s="2">
        <f t="shared" si="3"/>
        <v>91.07513808285384</v>
      </c>
      <c r="J62" s="2">
        <f t="shared" si="4"/>
        <v>0.3633555970173461</v>
      </c>
      <c r="K62" s="15">
        <f t="shared" si="17"/>
        <v>0.69839743589743586</v>
      </c>
      <c r="L62" s="2">
        <f t="shared" si="14"/>
        <v>57</v>
      </c>
      <c r="M62" s="2">
        <f t="shared" si="15"/>
        <v>32.58</v>
      </c>
      <c r="N62" s="2">
        <v>13.5</v>
      </c>
      <c r="O62" s="2">
        <v>50.26548245743669</v>
      </c>
      <c r="P62" s="11">
        <f t="shared" si="5"/>
        <v>2.6857396646757339</v>
      </c>
      <c r="Q62" s="2">
        <f t="shared" si="6"/>
        <v>87.501398275135401</v>
      </c>
      <c r="R62" s="2">
        <f t="shared" si="7"/>
        <v>2.788875556020562</v>
      </c>
      <c r="S62" s="2">
        <f t="shared" si="8"/>
        <v>90.8615656151499</v>
      </c>
      <c r="T62" s="2">
        <f t="shared" si="9"/>
        <v>3.3601673400144989</v>
      </c>
    </row>
    <row r="63" spans="1:20" x14ac:dyDescent="0.25">
      <c r="A63" s="14">
        <f t="shared" si="16"/>
        <v>0.72077991452991452</v>
      </c>
      <c r="B63" s="2">
        <f t="shared" si="11"/>
        <v>58</v>
      </c>
      <c r="C63" s="4">
        <f t="shared" si="12"/>
        <v>33.33</v>
      </c>
      <c r="D63" s="2">
        <v>14</v>
      </c>
      <c r="E63" s="2">
        <v>50.26548245743669</v>
      </c>
      <c r="F63" s="11">
        <f t="shared" si="0"/>
        <v>2.7852115041081689</v>
      </c>
      <c r="G63" s="2">
        <f t="shared" si="1"/>
        <v>92.831099431925267</v>
      </c>
      <c r="H63" s="2">
        <f t="shared" si="2"/>
        <v>2.7741437125450457</v>
      </c>
      <c r="I63" s="2">
        <f t="shared" si="3"/>
        <v>92.462209939126367</v>
      </c>
      <c r="J63" s="2">
        <f t="shared" si="4"/>
        <v>0.36888949279889971</v>
      </c>
      <c r="K63" s="15">
        <f t="shared" si="17"/>
        <v>0.69853988603988604</v>
      </c>
      <c r="L63" s="2">
        <f t="shared" si="14"/>
        <v>58</v>
      </c>
      <c r="M63" s="2">
        <f t="shared" si="15"/>
        <v>33.08</v>
      </c>
      <c r="N63" s="2">
        <v>12.5</v>
      </c>
      <c r="O63" s="2">
        <v>50.26548245743669</v>
      </c>
      <c r="P63" s="11">
        <f t="shared" si="5"/>
        <v>2.4867959858108648</v>
      </c>
      <c r="Q63" s="2">
        <f t="shared" si="6"/>
        <v>82.26321121062341</v>
      </c>
      <c r="R63" s="2">
        <f t="shared" si="7"/>
        <v>2.788875556020562</v>
      </c>
      <c r="S63" s="2">
        <f t="shared" si="8"/>
        <v>92.256003393160185</v>
      </c>
      <c r="T63" s="2">
        <f t="shared" si="9"/>
        <v>9.9927921825367747</v>
      </c>
    </row>
    <row r="64" spans="1:20" x14ac:dyDescent="0.25">
      <c r="A64" s="14">
        <f t="shared" si="16"/>
        <v>0.72088675213675213</v>
      </c>
      <c r="B64" s="2">
        <f t="shared" si="11"/>
        <v>59</v>
      </c>
      <c r="C64" s="4">
        <f t="shared" si="12"/>
        <v>33.83</v>
      </c>
      <c r="D64" s="2">
        <v>13.5</v>
      </c>
      <c r="E64" s="2">
        <v>50.26548245743669</v>
      </c>
      <c r="F64" s="11">
        <f t="shared" si="0"/>
        <v>2.6857396646757339</v>
      </c>
      <c r="G64" s="2">
        <f t="shared" si="1"/>
        <v>90.858572855980071</v>
      </c>
      <c r="H64" s="2">
        <f t="shared" si="2"/>
        <v>2.7741437125450457</v>
      </c>
      <c r="I64" s="2">
        <f t="shared" si="3"/>
        <v>93.849281795398895</v>
      </c>
      <c r="J64" s="2">
        <f t="shared" si="4"/>
        <v>2.9907089394188233</v>
      </c>
      <c r="K64" s="15">
        <f t="shared" si="17"/>
        <v>0.69868233618233611</v>
      </c>
      <c r="L64" s="2">
        <f t="shared" si="14"/>
        <v>59</v>
      </c>
      <c r="M64" s="2">
        <f t="shared" si="15"/>
        <v>33.58</v>
      </c>
      <c r="N64" s="2">
        <v>14</v>
      </c>
      <c r="O64" s="2">
        <v>50.26548245743669</v>
      </c>
      <c r="P64" s="11">
        <f t="shared" si="5"/>
        <v>2.7852115041081689</v>
      </c>
      <c r="Q64" s="2">
        <f t="shared" si="6"/>
        <v>93.5274023079523</v>
      </c>
      <c r="R64" s="2">
        <f t="shared" si="7"/>
        <v>2.788875556020562</v>
      </c>
      <c r="S64" s="2">
        <f t="shared" si="8"/>
        <v>93.650441171170471</v>
      </c>
      <c r="T64" s="2">
        <f t="shared" si="9"/>
        <v>0.12303886321817004</v>
      </c>
    </row>
    <row r="65" spans="1:20" x14ac:dyDescent="0.25">
      <c r="A65" s="14">
        <f t="shared" si="16"/>
        <v>0.72099358974358974</v>
      </c>
      <c r="B65" s="2">
        <f t="shared" si="11"/>
        <v>60</v>
      </c>
      <c r="C65" s="4">
        <f t="shared" si="12"/>
        <v>34.33</v>
      </c>
      <c r="D65" s="2">
        <v>12.5</v>
      </c>
      <c r="E65" s="2">
        <v>50.26548245743669</v>
      </c>
      <c r="F65" s="11">
        <f t="shared" si="0"/>
        <v>2.4867959858108648</v>
      </c>
      <c r="G65" s="2">
        <f t="shared" si="1"/>
        <v>85.37170619288699</v>
      </c>
      <c r="H65" s="2">
        <f t="shared" si="2"/>
        <v>2.7741437125450457</v>
      </c>
      <c r="I65" s="2">
        <f t="shared" si="3"/>
        <v>95.236353651671408</v>
      </c>
      <c r="J65" s="2">
        <f t="shared" si="4"/>
        <v>9.8646474587844182</v>
      </c>
      <c r="K65" s="15">
        <f t="shared" si="17"/>
        <v>0.69882478632478628</v>
      </c>
      <c r="L65" s="2">
        <f t="shared" si="14"/>
        <v>60</v>
      </c>
      <c r="M65" s="2">
        <f t="shared" si="15"/>
        <v>34.08</v>
      </c>
      <c r="N65" s="2">
        <v>13.5</v>
      </c>
      <c r="O65" s="2">
        <v>50.26548245743669</v>
      </c>
      <c r="P65" s="11">
        <f t="shared" si="5"/>
        <v>2.6857396646757339</v>
      </c>
      <c r="Q65" s="2">
        <f t="shared" si="6"/>
        <v>91.530007772149006</v>
      </c>
      <c r="R65" s="2">
        <f t="shared" si="7"/>
        <v>2.788875556020562</v>
      </c>
      <c r="S65" s="2">
        <f t="shared" si="8"/>
        <v>95.044878949180756</v>
      </c>
      <c r="T65" s="2">
        <f t="shared" si="9"/>
        <v>3.5148711770317504</v>
      </c>
    </row>
    <row r="66" spans="1:20" x14ac:dyDescent="0.25">
      <c r="A66" s="14">
        <f t="shared" si="16"/>
        <v>0.72110042735042734</v>
      </c>
      <c r="B66" s="2">
        <f t="shared" si="11"/>
        <v>61</v>
      </c>
      <c r="C66" s="4">
        <f t="shared" si="12"/>
        <v>34.83</v>
      </c>
      <c r="D66" s="2">
        <v>14</v>
      </c>
      <c r="E66" s="2">
        <v>50.26548245743669</v>
      </c>
      <c r="F66" s="11">
        <f t="shared" si="0"/>
        <v>2.7852115041081689</v>
      </c>
      <c r="G66" s="2">
        <f t="shared" si="1"/>
        <v>97.008916688087524</v>
      </c>
      <c r="H66" s="2">
        <f t="shared" si="2"/>
        <v>2.7741437125450457</v>
      </c>
      <c r="I66" s="2">
        <f t="shared" si="3"/>
        <v>96.623425507943935</v>
      </c>
      <c r="J66" s="2">
        <f t="shared" si="4"/>
        <v>0.38549118014358896</v>
      </c>
      <c r="K66" s="15">
        <f t="shared" si="17"/>
        <v>0.69896723646723646</v>
      </c>
      <c r="L66" s="2">
        <f t="shared" si="14"/>
        <v>61</v>
      </c>
      <c r="M66" s="2">
        <f t="shared" si="15"/>
        <v>34.58</v>
      </c>
      <c r="N66" s="2">
        <v>13.5</v>
      </c>
      <c r="O66" s="2">
        <v>50.26548245743669</v>
      </c>
      <c r="P66" s="11">
        <f t="shared" si="5"/>
        <v>2.6857396646757339</v>
      </c>
      <c r="Q66" s="2">
        <f t="shared" si="6"/>
        <v>92.872877604486874</v>
      </c>
      <c r="R66" s="2">
        <f t="shared" si="7"/>
        <v>2.788875556020562</v>
      </c>
      <c r="S66" s="2">
        <f t="shared" si="8"/>
        <v>96.439316727191027</v>
      </c>
      <c r="T66" s="2">
        <f t="shared" si="9"/>
        <v>3.5664391227041534</v>
      </c>
    </row>
    <row r="67" spans="1:20" x14ac:dyDescent="0.25">
      <c r="A67" s="14">
        <f t="shared" si="16"/>
        <v>0.72120726495726495</v>
      </c>
      <c r="B67" s="2">
        <f t="shared" si="11"/>
        <v>62</v>
      </c>
      <c r="C67" s="4">
        <f t="shared" si="12"/>
        <v>35.33</v>
      </c>
      <c r="D67" s="2">
        <v>14</v>
      </c>
      <c r="E67" s="2">
        <v>50.26548245743669</v>
      </c>
      <c r="F67" s="11">
        <f t="shared" si="0"/>
        <v>2.7852115041081689</v>
      </c>
      <c r="G67" s="2">
        <f t="shared" si="1"/>
        <v>98.401522440141605</v>
      </c>
      <c r="H67" s="2">
        <f t="shared" si="2"/>
        <v>2.7741437125450457</v>
      </c>
      <c r="I67" s="2">
        <f t="shared" si="3"/>
        <v>98.010497364216462</v>
      </c>
      <c r="J67" s="2">
        <f t="shared" si="4"/>
        <v>0.39102507592514257</v>
      </c>
      <c r="K67" s="15">
        <f t="shared" si="17"/>
        <v>0.69910968660968653</v>
      </c>
      <c r="L67" s="2">
        <f t="shared" si="14"/>
        <v>62</v>
      </c>
      <c r="M67" s="2">
        <f t="shared" si="15"/>
        <v>35.08</v>
      </c>
      <c r="N67" s="2">
        <v>14.5</v>
      </c>
      <c r="O67" s="2">
        <v>50.26548245743669</v>
      </c>
      <c r="P67" s="11">
        <f t="shared" si="5"/>
        <v>2.8846833435406034</v>
      </c>
      <c r="Q67" s="2">
        <f t="shared" si="6"/>
        <v>101.19469169140436</v>
      </c>
      <c r="R67" s="2">
        <f t="shared" si="7"/>
        <v>2.788875556020562</v>
      </c>
      <c r="S67" s="2">
        <f t="shared" si="8"/>
        <v>97.833754505201313</v>
      </c>
      <c r="T67" s="2">
        <f t="shared" si="9"/>
        <v>3.3609371862030457</v>
      </c>
    </row>
    <row r="68" spans="1:20" x14ac:dyDescent="0.25">
      <c r="A68" s="14">
        <f t="shared" si="16"/>
        <v>0.72131410256410255</v>
      </c>
      <c r="B68" s="2">
        <f t="shared" si="11"/>
        <v>63</v>
      </c>
      <c r="C68" s="4">
        <f t="shared" si="12"/>
        <v>35.83</v>
      </c>
      <c r="D68" s="2">
        <v>14</v>
      </c>
      <c r="E68" s="2">
        <v>50.26548245743669</v>
      </c>
      <c r="F68" s="11">
        <f t="shared" si="0"/>
        <v>2.7852115041081689</v>
      </c>
      <c r="G68" s="2">
        <f t="shared" si="1"/>
        <v>99.794128192195686</v>
      </c>
      <c r="H68" s="2">
        <f t="shared" si="2"/>
        <v>2.7741437125450457</v>
      </c>
      <c r="I68" s="2">
        <f t="shared" si="3"/>
        <v>99.397569220488975</v>
      </c>
      <c r="J68" s="2">
        <f t="shared" si="4"/>
        <v>0.39655897170671039</v>
      </c>
      <c r="K68" s="15">
        <f t="shared" si="17"/>
        <v>0.69925213675213671</v>
      </c>
      <c r="L68" s="2">
        <f t="shared" si="14"/>
        <v>63</v>
      </c>
      <c r="M68" s="2">
        <f t="shared" si="15"/>
        <v>35.58</v>
      </c>
      <c r="N68" s="2">
        <v>16.5</v>
      </c>
      <c r="O68" s="2">
        <v>50.26548245743669</v>
      </c>
      <c r="P68" s="11">
        <f t="shared" si="5"/>
        <v>3.2825707012703416</v>
      </c>
      <c r="Q68" s="2">
        <f t="shared" si="6"/>
        <v>116.79386555119875</v>
      </c>
      <c r="R68" s="2">
        <f t="shared" si="7"/>
        <v>2.788875556020562</v>
      </c>
      <c r="S68" s="2">
        <f t="shared" si="8"/>
        <v>99.228192283211598</v>
      </c>
      <c r="T68" s="2">
        <f t="shared" si="9"/>
        <v>17.565673267987151</v>
      </c>
    </row>
    <row r="69" spans="1:20" x14ac:dyDescent="0.25">
      <c r="A69" s="14">
        <f t="shared" si="16"/>
        <v>0.72142094017094016</v>
      </c>
      <c r="B69" s="2">
        <f t="shared" si="11"/>
        <v>64</v>
      </c>
      <c r="C69" s="4">
        <f t="shared" si="12"/>
        <v>36.33</v>
      </c>
      <c r="D69" s="2">
        <v>13</v>
      </c>
      <c r="E69" s="2">
        <v>50.26548245743669</v>
      </c>
      <c r="F69" s="11">
        <f t="shared" si="0"/>
        <v>2.5862678252432989</v>
      </c>
      <c r="G69" s="2">
        <f t="shared" si="1"/>
        <v>93.959110091089045</v>
      </c>
      <c r="H69" s="2">
        <f t="shared" si="2"/>
        <v>2.7741437125450457</v>
      </c>
      <c r="I69" s="2">
        <f t="shared" si="3"/>
        <v>100.7846410767615</v>
      </c>
      <c r="J69" s="2">
        <f t="shared" si="4"/>
        <v>6.825530985672458</v>
      </c>
      <c r="K69" s="15">
        <f t="shared" si="17"/>
        <v>0.69939458689458689</v>
      </c>
      <c r="L69" s="2">
        <f t="shared" si="14"/>
        <v>64</v>
      </c>
      <c r="M69" s="2">
        <f t="shared" si="15"/>
        <v>36.08</v>
      </c>
      <c r="N69" s="2">
        <v>14.5</v>
      </c>
      <c r="O69" s="2">
        <v>50.26548245743669</v>
      </c>
      <c r="P69" s="11">
        <f t="shared" si="5"/>
        <v>2.8846833435406034</v>
      </c>
      <c r="Q69" s="2">
        <f t="shared" si="6"/>
        <v>104.07937503494496</v>
      </c>
      <c r="R69" s="2">
        <f t="shared" si="7"/>
        <v>2.788875556020562</v>
      </c>
      <c r="S69" s="2">
        <f t="shared" si="8"/>
        <v>100.62263006122187</v>
      </c>
      <c r="T69" s="2">
        <f t="shared" si="9"/>
        <v>3.4567449737230902</v>
      </c>
    </row>
    <row r="70" spans="1:20" x14ac:dyDescent="0.25">
      <c r="A70" s="14">
        <f t="shared" si="16"/>
        <v>0.72152777777777777</v>
      </c>
      <c r="B70" s="2">
        <f t="shared" si="11"/>
        <v>65</v>
      </c>
      <c r="C70" s="4">
        <f t="shared" si="12"/>
        <v>36.83</v>
      </c>
      <c r="D70" s="2">
        <v>13.5</v>
      </c>
      <c r="E70" s="2">
        <v>50.26548245743669</v>
      </c>
      <c r="F70" s="11">
        <f t="shared" si="0"/>
        <v>2.6857396646757339</v>
      </c>
      <c r="G70" s="2">
        <f t="shared" si="1"/>
        <v>98.915791850007281</v>
      </c>
      <c r="H70" s="2">
        <f t="shared" si="2"/>
        <v>2.7741437125450457</v>
      </c>
      <c r="I70" s="2">
        <f t="shared" si="3"/>
        <v>102.17171293303403</v>
      </c>
      <c r="J70" s="2">
        <f t="shared" si="4"/>
        <v>3.2559210830267489</v>
      </c>
      <c r="K70" s="15">
        <f t="shared" si="17"/>
        <v>0.69953703703703696</v>
      </c>
      <c r="L70" s="2">
        <f t="shared" si="14"/>
        <v>65</v>
      </c>
      <c r="M70" s="2">
        <f t="shared" si="15"/>
        <v>36.58</v>
      </c>
      <c r="N70" s="2">
        <v>14.5</v>
      </c>
      <c r="O70" s="2">
        <v>50.26548245743669</v>
      </c>
      <c r="P70" s="11">
        <f t="shared" si="5"/>
        <v>2.8846833435406034</v>
      </c>
      <c r="Q70" s="2">
        <f t="shared" si="6"/>
        <v>105.52171670671527</v>
      </c>
      <c r="R70" s="2">
        <f t="shared" si="7"/>
        <v>2.788875556020562</v>
      </c>
      <c r="S70" s="2">
        <f t="shared" si="8"/>
        <v>102.01706783923215</v>
      </c>
      <c r="T70" s="2">
        <f t="shared" si="9"/>
        <v>3.5046488674831124</v>
      </c>
    </row>
    <row r="71" spans="1:20" x14ac:dyDescent="0.25">
      <c r="A71" s="14">
        <f t="shared" si="16"/>
        <v>0.72163461538461537</v>
      </c>
      <c r="B71" s="2">
        <f t="shared" si="11"/>
        <v>66</v>
      </c>
      <c r="C71" s="4">
        <f t="shared" si="12"/>
        <v>37.33</v>
      </c>
      <c r="D71" s="2">
        <v>14</v>
      </c>
      <c r="E71" s="2">
        <v>50.26548245743669</v>
      </c>
      <c r="F71" s="11">
        <f t="shared" si="0"/>
        <v>2.7852115041081689</v>
      </c>
      <c r="G71" s="2">
        <f t="shared" si="1"/>
        <v>103.97194544835794</v>
      </c>
      <c r="H71" s="2">
        <f t="shared" si="2"/>
        <v>2.7741437125450457</v>
      </c>
      <c r="I71" s="2">
        <f t="shared" si="3"/>
        <v>103.55878478930654</v>
      </c>
      <c r="J71" s="2">
        <f t="shared" si="4"/>
        <v>0.41316065905139965</v>
      </c>
      <c r="K71" s="15">
        <f t="shared" si="17"/>
        <v>0.69967948717948714</v>
      </c>
      <c r="L71" s="2">
        <f t="shared" si="14"/>
        <v>66</v>
      </c>
      <c r="M71" s="2">
        <f t="shared" si="15"/>
        <v>37.08</v>
      </c>
      <c r="N71" s="2">
        <v>12.5</v>
      </c>
      <c r="O71" s="2">
        <v>50.26548245743669</v>
      </c>
      <c r="P71" s="11">
        <f t="shared" si="5"/>
        <v>2.4867959858108648</v>
      </c>
      <c r="Q71" s="2">
        <f t="shared" si="6"/>
        <v>92.21039515386687</v>
      </c>
      <c r="R71" s="2">
        <f t="shared" si="7"/>
        <v>2.788875556020562</v>
      </c>
      <c r="S71" s="2">
        <f t="shared" si="8"/>
        <v>103.41150561724244</v>
      </c>
      <c r="T71" s="2">
        <f t="shared" si="9"/>
        <v>11.201110463375571</v>
      </c>
    </row>
    <row r="72" spans="1:20" x14ac:dyDescent="0.25">
      <c r="A72" s="14">
        <f t="shared" si="16"/>
        <v>0.72174145299145298</v>
      </c>
      <c r="B72" s="2">
        <f t="shared" si="11"/>
        <v>67</v>
      </c>
      <c r="C72" s="4">
        <f t="shared" si="12"/>
        <v>37.83</v>
      </c>
      <c r="D72" s="2">
        <v>14.5</v>
      </c>
      <c r="E72" s="2">
        <v>50.26548245743669</v>
      </c>
      <c r="F72" s="11">
        <f t="shared" si="0"/>
        <v>2.8846833435406034</v>
      </c>
      <c r="G72" s="2">
        <f t="shared" si="1"/>
        <v>109.12757088614102</v>
      </c>
      <c r="H72" s="2">
        <f t="shared" si="2"/>
        <v>2.7741437125450457</v>
      </c>
      <c r="I72" s="2">
        <f t="shared" si="3"/>
        <v>104.94585664557907</v>
      </c>
      <c r="J72" s="2">
        <f t="shared" si="4"/>
        <v>4.181714240561945</v>
      </c>
      <c r="K72" s="15">
        <f t="shared" si="17"/>
        <v>0.69982193732193732</v>
      </c>
      <c r="L72" s="2">
        <f t="shared" si="14"/>
        <v>67</v>
      </c>
      <c r="M72" s="2">
        <f t="shared" si="15"/>
        <v>37.58</v>
      </c>
      <c r="N72" s="2">
        <v>19</v>
      </c>
      <c r="O72" s="2">
        <v>50.26548245743669</v>
      </c>
      <c r="P72" s="11">
        <f t="shared" si="5"/>
        <v>3.7799298984325143</v>
      </c>
      <c r="Q72" s="2">
        <f t="shared" si="6"/>
        <v>142.04976558309389</v>
      </c>
      <c r="R72" s="2">
        <f t="shared" si="7"/>
        <v>2.788875556020562</v>
      </c>
      <c r="S72" s="2">
        <f t="shared" si="8"/>
        <v>104.80594339525271</v>
      </c>
      <c r="T72" s="2">
        <f t="shared" si="9"/>
        <v>37.243822187841175</v>
      </c>
    </row>
    <row r="73" spans="1:20" x14ac:dyDescent="0.25">
      <c r="A73" s="14">
        <f t="shared" si="16"/>
        <v>0.72184829059829059</v>
      </c>
      <c r="B73" s="2">
        <f t="shared" si="11"/>
        <v>68</v>
      </c>
      <c r="C73" s="4">
        <f t="shared" si="12"/>
        <v>38.33</v>
      </c>
      <c r="D73" s="2">
        <v>13</v>
      </c>
      <c r="E73" s="2">
        <v>50.26548245743669</v>
      </c>
      <c r="F73" s="11">
        <f t="shared" si="0"/>
        <v>2.5862678252432989</v>
      </c>
      <c r="G73" s="2">
        <f t="shared" si="1"/>
        <v>99.131645741575639</v>
      </c>
      <c r="H73" s="2">
        <f t="shared" si="2"/>
        <v>2.7741437125450457</v>
      </c>
      <c r="I73" s="2">
        <f t="shared" si="3"/>
        <v>106.3329285018516</v>
      </c>
      <c r="J73" s="2">
        <f t="shared" si="4"/>
        <v>7.2012827602759586</v>
      </c>
      <c r="K73" s="15">
        <f t="shared" si="17"/>
        <v>0.69996438746438738</v>
      </c>
      <c r="L73" s="2">
        <f t="shared" si="14"/>
        <v>68</v>
      </c>
      <c r="M73" s="2">
        <f t="shared" si="15"/>
        <v>38.08</v>
      </c>
      <c r="N73" s="2">
        <v>14</v>
      </c>
      <c r="O73" s="2">
        <v>50.26548245743669</v>
      </c>
      <c r="P73" s="11">
        <f t="shared" si="5"/>
        <v>2.7852115041081689</v>
      </c>
      <c r="Q73" s="2">
        <f t="shared" si="6"/>
        <v>106.06085407643907</v>
      </c>
      <c r="R73" s="2">
        <f t="shared" si="7"/>
        <v>2.788875556020562</v>
      </c>
      <c r="S73" s="2">
        <f t="shared" si="8"/>
        <v>106.200381173263</v>
      </c>
      <c r="T73" s="2">
        <f t="shared" si="9"/>
        <v>0.13952709682392594</v>
      </c>
    </row>
    <row r="74" spans="1:20" x14ac:dyDescent="0.25">
      <c r="A74" s="14">
        <f t="shared" si="16"/>
        <v>0.72195512820512819</v>
      </c>
      <c r="B74" s="2">
        <f t="shared" si="11"/>
        <v>69</v>
      </c>
      <c r="C74" s="4">
        <f t="shared" si="12"/>
        <v>38.83</v>
      </c>
      <c r="D74" s="2">
        <v>13.5</v>
      </c>
      <c r="E74" s="2">
        <v>50.26548245743669</v>
      </c>
      <c r="F74" s="11">
        <f t="shared" si="0"/>
        <v>2.6857396646757339</v>
      </c>
      <c r="G74" s="2">
        <f t="shared" si="1"/>
        <v>104.28727117935874</v>
      </c>
      <c r="H74" s="2">
        <f t="shared" si="2"/>
        <v>2.7741437125450457</v>
      </c>
      <c r="I74" s="2">
        <f t="shared" si="3"/>
        <v>107.72000035812412</v>
      </c>
      <c r="J74" s="2">
        <f t="shared" si="4"/>
        <v>3.4327291787653849</v>
      </c>
      <c r="K74" s="15">
        <f t="shared" si="17"/>
        <v>0.70010683760683756</v>
      </c>
      <c r="L74" s="2">
        <f t="shared" si="14"/>
        <v>69</v>
      </c>
      <c r="M74" s="2">
        <f t="shared" si="15"/>
        <v>38.58</v>
      </c>
      <c r="N74" s="2">
        <v>14.5</v>
      </c>
      <c r="O74" s="2">
        <v>50.26548245743669</v>
      </c>
      <c r="P74" s="11">
        <f t="shared" si="5"/>
        <v>2.8846833435406034</v>
      </c>
      <c r="Q74" s="2">
        <f t="shared" si="6"/>
        <v>111.29108339379647</v>
      </c>
      <c r="R74" s="2">
        <f t="shared" si="7"/>
        <v>2.788875556020562</v>
      </c>
      <c r="S74" s="2">
        <f t="shared" si="8"/>
        <v>107.59481895127328</v>
      </c>
      <c r="T74" s="2">
        <f t="shared" si="9"/>
        <v>3.6962644425231872</v>
      </c>
    </row>
    <row r="75" spans="1:20" x14ac:dyDescent="0.25">
      <c r="A75" s="14">
        <f t="shared" si="16"/>
        <v>0.7220619658119658</v>
      </c>
      <c r="B75" s="2">
        <f t="shared" si="11"/>
        <v>70</v>
      </c>
      <c r="C75" s="4">
        <f t="shared" si="12"/>
        <v>39.33</v>
      </c>
      <c r="D75" s="2">
        <v>14</v>
      </c>
      <c r="E75" s="2">
        <v>50.26548245743669</v>
      </c>
      <c r="F75" s="11">
        <f t="shared" si="0"/>
        <v>2.7852115041081689</v>
      </c>
      <c r="G75" s="2">
        <f t="shared" si="1"/>
        <v>109.54236845657428</v>
      </c>
      <c r="H75" s="2">
        <f t="shared" si="2"/>
        <v>2.7741437125450457</v>
      </c>
      <c r="I75" s="2">
        <f t="shared" si="3"/>
        <v>109.10707221439664</v>
      </c>
      <c r="J75" s="2">
        <f t="shared" si="4"/>
        <v>0.43529624217764251</v>
      </c>
      <c r="K75" s="15">
        <f t="shared" si="17"/>
        <v>0.70024928774928774</v>
      </c>
      <c r="L75" s="2">
        <f t="shared" si="14"/>
        <v>70</v>
      </c>
      <c r="M75" s="2">
        <f t="shared" si="15"/>
        <v>39.08</v>
      </c>
      <c r="N75" s="2">
        <v>14</v>
      </c>
      <c r="O75" s="2">
        <v>50.26548245743669</v>
      </c>
      <c r="P75" s="11">
        <f t="shared" si="5"/>
        <v>2.7852115041081689</v>
      </c>
      <c r="Q75" s="2">
        <f t="shared" si="6"/>
        <v>108.84606558054723</v>
      </c>
      <c r="R75" s="2">
        <f t="shared" si="7"/>
        <v>2.788875556020562</v>
      </c>
      <c r="S75" s="2">
        <f t="shared" si="8"/>
        <v>108.98925672928355</v>
      </c>
      <c r="T75" s="2">
        <f t="shared" si="9"/>
        <v>0.14319114873632088</v>
      </c>
    </row>
    <row r="76" spans="1:20" x14ac:dyDescent="0.25">
      <c r="A76" s="14">
        <f t="shared" si="16"/>
        <v>0.72216880341880341</v>
      </c>
      <c r="B76" s="2">
        <f t="shared" si="11"/>
        <v>71</v>
      </c>
      <c r="C76" s="4">
        <f t="shared" si="12"/>
        <v>39.83</v>
      </c>
      <c r="D76" s="2">
        <v>15</v>
      </c>
      <c r="E76" s="2">
        <v>50.26548245743669</v>
      </c>
      <c r="F76" s="11">
        <f t="shared" si="0"/>
        <v>2.9841551829730379</v>
      </c>
      <c r="G76" s="2">
        <f t="shared" si="1"/>
        <v>118.8589009378161</v>
      </c>
      <c r="H76" s="2">
        <f t="shared" si="2"/>
        <v>2.7741437125450457</v>
      </c>
      <c r="I76" s="2">
        <f t="shared" si="3"/>
        <v>110.49414407066917</v>
      </c>
      <c r="J76" s="2">
        <f t="shared" si="4"/>
        <v>8.3647568671469372</v>
      </c>
      <c r="K76" s="15">
        <f t="shared" si="17"/>
        <v>0.70039173789173781</v>
      </c>
      <c r="L76" s="2">
        <f t="shared" si="14"/>
        <v>71</v>
      </c>
      <c r="M76" s="2">
        <f t="shared" si="15"/>
        <v>39.58</v>
      </c>
      <c r="N76" s="2">
        <v>13.5</v>
      </c>
      <c r="O76" s="2">
        <v>50.26548245743669</v>
      </c>
      <c r="P76" s="11">
        <f t="shared" si="5"/>
        <v>2.6857396646757339</v>
      </c>
      <c r="Q76" s="2">
        <f t="shared" si="6"/>
        <v>106.30157592786554</v>
      </c>
      <c r="R76" s="2">
        <f t="shared" si="7"/>
        <v>2.788875556020562</v>
      </c>
      <c r="S76" s="2">
        <f t="shared" si="8"/>
        <v>110.38369450729384</v>
      </c>
      <c r="T76" s="2">
        <f t="shared" si="9"/>
        <v>4.0821185794282968</v>
      </c>
    </row>
    <row r="77" spans="1:20" x14ac:dyDescent="0.25">
      <c r="A77" s="14">
        <f t="shared" si="16"/>
        <v>0.72227564102564101</v>
      </c>
      <c r="B77" s="2">
        <f t="shared" si="11"/>
        <v>72</v>
      </c>
      <c r="C77" s="4">
        <f t="shared" si="12"/>
        <v>40.33</v>
      </c>
      <c r="D77" s="2">
        <v>15</v>
      </c>
      <c r="E77" s="2">
        <v>50.26548245743669</v>
      </c>
      <c r="F77" s="11">
        <f t="shared" si="0"/>
        <v>2.9841551829730379</v>
      </c>
      <c r="G77" s="2">
        <f t="shared" si="1"/>
        <v>120.35097852930261</v>
      </c>
      <c r="H77" s="2">
        <f t="shared" si="2"/>
        <v>2.7741437125450457</v>
      </c>
      <c r="I77" s="2">
        <f t="shared" si="3"/>
        <v>111.88121592694169</v>
      </c>
      <c r="J77" s="2">
        <f t="shared" si="4"/>
        <v>8.469762602360916</v>
      </c>
      <c r="K77" s="15">
        <f t="shared" si="17"/>
        <v>0.70053418803418799</v>
      </c>
      <c r="L77" s="2">
        <f t="shared" si="14"/>
        <v>72</v>
      </c>
      <c r="M77" s="2">
        <f t="shared" si="15"/>
        <v>40.08</v>
      </c>
      <c r="N77" s="2">
        <v>14.5</v>
      </c>
      <c r="O77" s="2">
        <v>50.26548245743669</v>
      </c>
      <c r="P77" s="11">
        <f t="shared" si="5"/>
        <v>2.8846833435406034</v>
      </c>
      <c r="Q77" s="2">
        <f t="shared" si="6"/>
        <v>115.61810840910738</v>
      </c>
      <c r="R77" s="2">
        <f t="shared" si="7"/>
        <v>2.788875556020562</v>
      </c>
      <c r="S77" s="2">
        <f t="shared" si="8"/>
        <v>111.77813228530412</v>
      </c>
      <c r="T77" s="2">
        <f t="shared" si="9"/>
        <v>3.8399761238032539</v>
      </c>
    </row>
    <row r="78" spans="1:20" x14ac:dyDescent="0.25">
      <c r="A78" s="14">
        <f t="shared" si="16"/>
        <v>0.72238247863247862</v>
      </c>
      <c r="B78" s="2">
        <f t="shared" si="11"/>
        <v>73</v>
      </c>
      <c r="C78" s="4">
        <f t="shared" si="12"/>
        <v>40.83</v>
      </c>
      <c r="D78" s="2">
        <v>13</v>
      </c>
      <c r="E78" s="2">
        <v>50.26548245743669</v>
      </c>
      <c r="F78" s="11">
        <f t="shared" si="0"/>
        <v>2.5862678252432989</v>
      </c>
      <c r="G78" s="2">
        <f t="shared" si="1"/>
        <v>105.59731530468389</v>
      </c>
      <c r="H78" s="2">
        <f t="shared" si="2"/>
        <v>2.7741437125450457</v>
      </c>
      <c r="I78" s="2">
        <f t="shared" si="3"/>
        <v>113.26828778321421</v>
      </c>
      <c r="J78" s="2">
        <f t="shared" si="4"/>
        <v>7.6709724785303166</v>
      </c>
      <c r="K78" s="15">
        <f t="shared" si="17"/>
        <v>0.70067663817663817</v>
      </c>
      <c r="L78" s="2">
        <f t="shared" si="14"/>
        <v>73</v>
      </c>
      <c r="M78" s="2">
        <f t="shared" si="15"/>
        <v>40.58</v>
      </c>
      <c r="N78" s="2">
        <v>13.5</v>
      </c>
      <c r="O78" s="2">
        <v>50.26548245743669</v>
      </c>
      <c r="P78" s="11">
        <f t="shared" si="5"/>
        <v>2.6857396646757339</v>
      </c>
      <c r="Q78" s="2">
        <f t="shared" si="6"/>
        <v>108.98731559254128</v>
      </c>
      <c r="R78" s="2">
        <f t="shared" si="7"/>
        <v>2.788875556020562</v>
      </c>
      <c r="S78" s="2">
        <f t="shared" si="8"/>
        <v>113.1725700633144</v>
      </c>
      <c r="T78" s="2">
        <f t="shared" si="9"/>
        <v>4.185254470773117</v>
      </c>
    </row>
    <row r="79" spans="1:20" x14ac:dyDescent="0.25">
      <c r="A79" s="14">
        <f t="shared" si="16"/>
        <v>0.72248931623931623</v>
      </c>
      <c r="B79" s="2">
        <f t="shared" si="11"/>
        <v>74</v>
      </c>
      <c r="C79" s="4">
        <f t="shared" si="12"/>
        <v>41.33</v>
      </c>
      <c r="D79" s="2">
        <v>13</v>
      </c>
      <c r="E79" s="2">
        <v>50.26548245743669</v>
      </c>
      <c r="F79" s="11">
        <f t="shared" si="0"/>
        <v>2.5862678252432989</v>
      </c>
      <c r="G79" s="2">
        <f t="shared" si="1"/>
        <v>106.89044921730554</v>
      </c>
      <c r="H79" s="2">
        <f t="shared" si="2"/>
        <v>2.7741437125450457</v>
      </c>
      <c r="I79" s="2">
        <f t="shared" si="3"/>
        <v>114.65535963948673</v>
      </c>
      <c r="J79" s="2">
        <f t="shared" si="4"/>
        <v>7.7649104221811882</v>
      </c>
      <c r="K79" s="15">
        <f t="shared" si="17"/>
        <v>0.70081908831908823</v>
      </c>
      <c r="L79" s="2">
        <f t="shared" si="14"/>
        <v>74</v>
      </c>
      <c r="M79" s="2">
        <f t="shared" si="15"/>
        <v>41.08</v>
      </c>
      <c r="N79" s="2">
        <v>13.5</v>
      </c>
      <c r="O79" s="2">
        <v>50.26548245743669</v>
      </c>
      <c r="P79" s="11">
        <f t="shared" si="5"/>
        <v>2.6857396646757339</v>
      </c>
      <c r="Q79" s="2">
        <f t="shared" si="6"/>
        <v>110.33018542487915</v>
      </c>
      <c r="R79" s="2">
        <f t="shared" si="7"/>
        <v>2.788875556020562</v>
      </c>
      <c r="S79" s="2">
        <f t="shared" si="8"/>
        <v>114.56700784132468</v>
      </c>
      <c r="T79" s="2">
        <f t="shared" si="9"/>
        <v>4.2368224164455341</v>
      </c>
    </row>
    <row r="80" spans="1:20" x14ac:dyDescent="0.25">
      <c r="A80" s="14">
        <f t="shared" si="16"/>
        <v>0.72259615384615383</v>
      </c>
      <c r="B80" s="2">
        <f t="shared" si="11"/>
        <v>75</v>
      </c>
      <c r="C80" s="4">
        <f t="shared" si="12"/>
        <v>41.83</v>
      </c>
      <c r="D80" s="2">
        <v>14</v>
      </c>
      <c r="E80" s="2">
        <v>50.26548245743669</v>
      </c>
      <c r="F80" s="11">
        <f t="shared" si="0"/>
        <v>2.7852115041081689</v>
      </c>
      <c r="G80" s="2">
        <f t="shared" si="1"/>
        <v>116.5053972168447</v>
      </c>
      <c r="H80" s="2">
        <f t="shared" si="2"/>
        <v>2.7741437125450457</v>
      </c>
      <c r="I80" s="2">
        <f t="shared" si="3"/>
        <v>116.04243149575926</v>
      </c>
      <c r="J80" s="2">
        <f t="shared" si="4"/>
        <v>0.46296572108543899</v>
      </c>
      <c r="K80" s="15">
        <f t="shared" si="17"/>
        <v>0.70096153846153841</v>
      </c>
      <c r="L80" s="2">
        <f t="shared" si="14"/>
        <v>75</v>
      </c>
      <c r="M80" s="2">
        <f t="shared" si="15"/>
        <v>41.58</v>
      </c>
      <c r="N80" s="2">
        <v>14</v>
      </c>
      <c r="O80" s="2">
        <v>50.26548245743669</v>
      </c>
      <c r="P80" s="11">
        <f t="shared" si="5"/>
        <v>2.7852115041081689</v>
      </c>
      <c r="Q80" s="2">
        <f t="shared" si="6"/>
        <v>115.80909434081765</v>
      </c>
      <c r="R80" s="2">
        <f t="shared" si="7"/>
        <v>2.788875556020562</v>
      </c>
      <c r="S80" s="2">
        <f t="shared" si="8"/>
        <v>115.96144561933497</v>
      </c>
      <c r="T80" s="2">
        <f t="shared" si="9"/>
        <v>0.15235127851731534</v>
      </c>
    </row>
    <row r="81" spans="1:20" x14ac:dyDescent="0.25">
      <c r="A81" s="14">
        <f t="shared" si="16"/>
        <v>0.72270299145299144</v>
      </c>
      <c r="B81" s="2">
        <f t="shared" si="11"/>
        <v>76</v>
      </c>
      <c r="C81" s="4">
        <f t="shared" si="12"/>
        <v>42.33</v>
      </c>
      <c r="D81" s="2">
        <v>13.5</v>
      </c>
      <c r="E81" s="2">
        <v>50.26548245743669</v>
      </c>
      <c r="F81" s="11">
        <f t="shared" si="0"/>
        <v>2.6857396646757339</v>
      </c>
      <c r="G81" s="2">
        <f t="shared" si="1"/>
        <v>113.68736000572382</v>
      </c>
      <c r="H81" s="2">
        <f t="shared" si="2"/>
        <v>2.7741437125450457</v>
      </c>
      <c r="I81" s="2">
        <f t="shared" si="3"/>
        <v>117.42950335203177</v>
      </c>
      <c r="J81" s="2">
        <f t="shared" si="4"/>
        <v>3.7421433463079552</v>
      </c>
      <c r="K81" s="15">
        <f t="shared" si="17"/>
        <v>0.70110398860398859</v>
      </c>
      <c r="L81" s="2">
        <f t="shared" si="14"/>
        <v>76</v>
      </c>
      <c r="M81" s="2">
        <f t="shared" si="15"/>
        <v>42.08</v>
      </c>
      <c r="N81" s="2">
        <v>15</v>
      </c>
      <c r="O81" s="2">
        <v>50.26548245743669</v>
      </c>
      <c r="P81" s="11">
        <f t="shared" si="5"/>
        <v>2.9841551829730379</v>
      </c>
      <c r="Q81" s="2">
        <f t="shared" si="6"/>
        <v>125.57325009950543</v>
      </c>
      <c r="R81" s="2">
        <f t="shared" si="7"/>
        <v>2.788875556020562</v>
      </c>
      <c r="S81" s="2">
        <f t="shared" si="8"/>
        <v>117.35588339734525</v>
      </c>
      <c r="T81" s="2">
        <f t="shared" si="9"/>
        <v>8.2173667021601773</v>
      </c>
    </row>
    <row r="82" spans="1:20" x14ac:dyDescent="0.25">
      <c r="A82" s="14">
        <f t="shared" si="16"/>
        <v>0.72280982905982905</v>
      </c>
      <c r="B82" s="2">
        <f t="shared" si="11"/>
        <v>77</v>
      </c>
      <c r="C82" s="4">
        <f t="shared" si="12"/>
        <v>42.83</v>
      </c>
      <c r="D82" s="2">
        <v>13</v>
      </c>
      <c r="E82" s="2">
        <v>50.26548245743669</v>
      </c>
      <c r="F82" s="11">
        <f t="shared" si="0"/>
        <v>2.5862678252432989</v>
      </c>
      <c r="G82" s="2">
        <f t="shared" si="1"/>
        <v>110.76985095517048</v>
      </c>
      <c r="H82" s="2">
        <f t="shared" si="2"/>
        <v>2.7741437125450457</v>
      </c>
      <c r="I82" s="2">
        <f t="shared" si="3"/>
        <v>118.8165752083043</v>
      </c>
      <c r="J82" s="2">
        <f t="shared" si="4"/>
        <v>8.0467242531338172</v>
      </c>
      <c r="K82" s="15">
        <f t="shared" si="17"/>
        <v>0.70124643874643866</v>
      </c>
      <c r="L82" s="2">
        <f t="shared" si="14"/>
        <v>77</v>
      </c>
      <c r="M82" s="2">
        <f t="shared" si="15"/>
        <v>42.58</v>
      </c>
      <c r="N82" s="2">
        <v>13.5</v>
      </c>
      <c r="O82" s="2">
        <v>50.26548245743669</v>
      </c>
      <c r="P82" s="11">
        <f t="shared" si="5"/>
        <v>2.6857396646757339</v>
      </c>
      <c r="Q82" s="2">
        <f t="shared" si="6"/>
        <v>114.35879492189274</v>
      </c>
      <c r="R82" s="2">
        <f t="shared" si="7"/>
        <v>2.788875556020562</v>
      </c>
      <c r="S82" s="2">
        <f t="shared" si="8"/>
        <v>118.75032117535552</v>
      </c>
      <c r="T82" s="2">
        <f t="shared" si="9"/>
        <v>4.3915262534627857</v>
      </c>
    </row>
    <row r="83" spans="1:20" x14ac:dyDescent="0.25">
      <c r="A83" s="10">
        <v>0.72291666666666665</v>
      </c>
      <c r="B83" s="2">
        <f t="shared" si="11"/>
        <v>78</v>
      </c>
      <c r="C83" s="4">
        <f t="shared" si="12"/>
        <v>43.33</v>
      </c>
      <c r="D83" s="2">
        <v>14</v>
      </c>
      <c r="E83" s="2">
        <v>50.26548245743669</v>
      </c>
      <c r="F83" s="11">
        <f t="shared" si="0"/>
        <v>2.7852115041081689</v>
      </c>
      <c r="G83" s="2">
        <f t="shared" si="1"/>
        <v>120.68321447300696</v>
      </c>
      <c r="H83" s="2">
        <f t="shared" si="2"/>
        <v>2.7741437125450457</v>
      </c>
      <c r="I83" s="2">
        <f t="shared" si="3"/>
        <v>120.20364706457683</v>
      </c>
      <c r="J83" s="2">
        <f t="shared" si="4"/>
        <v>0.47956740843012824</v>
      </c>
      <c r="K83" s="12">
        <v>0.70138888888888884</v>
      </c>
      <c r="L83" s="2">
        <f t="shared" si="14"/>
        <v>78</v>
      </c>
      <c r="M83" s="2">
        <f t="shared" si="15"/>
        <v>43.08</v>
      </c>
      <c r="N83" s="2">
        <v>12.5</v>
      </c>
      <c r="O83" s="2">
        <v>50.26548245743669</v>
      </c>
      <c r="P83" s="11">
        <f t="shared" si="5"/>
        <v>2.4867959858108648</v>
      </c>
      <c r="Q83" s="2">
        <f t="shared" si="6"/>
        <v>107.13117106873206</v>
      </c>
      <c r="R83" s="2">
        <f t="shared" si="7"/>
        <v>2.788875556020562</v>
      </c>
      <c r="S83" s="2">
        <f t="shared" si="8"/>
        <v>120.14475895336581</v>
      </c>
      <c r="T83" s="2">
        <f t="shared" si="9"/>
        <v>13.01358788463375</v>
      </c>
    </row>
    <row r="84" spans="1:20" x14ac:dyDescent="0.25">
      <c r="A84" s="14">
        <f t="shared" ref="A84:A121" si="18">IF(AND($A$83&lt;&gt;"",$A$122&lt;&gt;""), $A$83 + (B84 - $B$83) * (($A$122 - $A$83) / ($B$122 - $B$83)), "")</f>
        <v>0.72305911680911683</v>
      </c>
      <c r="B84" s="2">
        <f t="shared" si="11"/>
        <v>79</v>
      </c>
      <c r="C84" s="4">
        <f t="shared" si="12"/>
        <v>43.83</v>
      </c>
      <c r="D84" s="2">
        <v>14.5</v>
      </c>
      <c r="E84" s="2">
        <v>50.26548245743669</v>
      </c>
      <c r="F84" s="11">
        <f t="shared" si="0"/>
        <v>2.8846833435406034</v>
      </c>
      <c r="G84" s="2">
        <f t="shared" si="1"/>
        <v>126.43567094738464</v>
      </c>
      <c r="H84" s="2">
        <f t="shared" si="2"/>
        <v>2.7741437125450457</v>
      </c>
      <c r="I84" s="2">
        <f t="shared" si="3"/>
        <v>121.59071892084934</v>
      </c>
      <c r="J84" s="2">
        <f t="shared" si="4"/>
        <v>4.8449520265352959</v>
      </c>
      <c r="K84" s="15">
        <f t="shared" ref="K84:K121" si="19">IF(AND($K$83&lt;&gt;"",$K$122&lt;&gt;""), $K$83 + (L84 - $L$83) * (($K$122 - $K$83) / ($L$122 - $L$83)), "")</f>
        <v>0.70153133903133902</v>
      </c>
      <c r="L84" s="2">
        <f t="shared" si="14"/>
        <v>79</v>
      </c>
      <c r="M84" s="2">
        <f t="shared" si="15"/>
        <v>43.58</v>
      </c>
      <c r="N84" s="2">
        <v>14</v>
      </c>
      <c r="O84" s="2">
        <v>50.26548245743669</v>
      </c>
      <c r="P84" s="11">
        <f t="shared" si="5"/>
        <v>2.7852115041081689</v>
      </c>
      <c r="Q84" s="2">
        <f t="shared" si="6"/>
        <v>121.37951734903399</v>
      </c>
      <c r="R84" s="2">
        <f t="shared" si="7"/>
        <v>2.788875556020562</v>
      </c>
      <c r="S84" s="2">
        <f t="shared" si="8"/>
        <v>121.53919673137609</v>
      </c>
      <c r="T84" s="2">
        <f t="shared" si="9"/>
        <v>0.15967938234210521</v>
      </c>
    </row>
    <row r="85" spans="1:20" x14ac:dyDescent="0.25">
      <c r="A85" s="14">
        <f t="shared" si="18"/>
        <v>0.7232015669515669</v>
      </c>
      <c r="B85" s="2">
        <f t="shared" si="11"/>
        <v>80</v>
      </c>
      <c r="C85" s="4">
        <f t="shared" si="12"/>
        <v>44.33</v>
      </c>
      <c r="D85" s="2">
        <v>13.5</v>
      </c>
      <c r="E85" s="2">
        <v>50.26548245743669</v>
      </c>
      <c r="F85" s="11">
        <f t="shared" si="0"/>
        <v>2.6857396646757339</v>
      </c>
      <c r="G85" s="2">
        <f t="shared" si="1"/>
        <v>119.05883933507528</v>
      </c>
      <c r="H85" s="2">
        <f t="shared" si="2"/>
        <v>2.7741437125450457</v>
      </c>
      <c r="I85" s="2">
        <f t="shared" si="3"/>
        <v>122.97779077712187</v>
      </c>
      <c r="J85" s="2">
        <f t="shared" si="4"/>
        <v>3.9189514420465912</v>
      </c>
      <c r="K85" s="15">
        <f t="shared" si="19"/>
        <v>0.70167378917378909</v>
      </c>
      <c r="L85" s="2">
        <f t="shared" si="14"/>
        <v>80</v>
      </c>
      <c r="M85" s="2">
        <f t="shared" si="15"/>
        <v>44.08</v>
      </c>
      <c r="N85" s="2">
        <v>15</v>
      </c>
      <c r="O85" s="2">
        <v>50.26548245743669</v>
      </c>
      <c r="P85" s="11">
        <f t="shared" si="5"/>
        <v>2.9841551829730379</v>
      </c>
      <c r="Q85" s="2">
        <f t="shared" si="6"/>
        <v>131.54156046545151</v>
      </c>
      <c r="R85" s="2">
        <f t="shared" si="7"/>
        <v>2.788875556020562</v>
      </c>
      <c r="S85" s="2">
        <f t="shared" si="8"/>
        <v>122.93363450938637</v>
      </c>
      <c r="T85" s="2">
        <f t="shared" si="9"/>
        <v>8.6079259560651451</v>
      </c>
    </row>
    <row r="86" spans="1:20" x14ac:dyDescent="0.25">
      <c r="A86" s="14">
        <f t="shared" si="18"/>
        <v>0.72334401709401708</v>
      </c>
      <c r="B86" s="2">
        <f t="shared" si="11"/>
        <v>81</v>
      </c>
      <c r="C86" s="4">
        <f t="shared" si="12"/>
        <v>44.83</v>
      </c>
      <c r="D86" s="2">
        <v>13.5</v>
      </c>
      <c r="E86" s="2">
        <v>50.26548245743669</v>
      </c>
      <c r="F86" s="11">
        <f t="shared" si="0"/>
        <v>2.6857396646757339</v>
      </c>
      <c r="G86" s="2">
        <f t="shared" si="1"/>
        <v>120.40170916741314</v>
      </c>
      <c r="H86" s="2">
        <f t="shared" si="2"/>
        <v>2.7741437125450457</v>
      </c>
      <c r="I86" s="2">
        <f t="shared" si="3"/>
        <v>124.3648626333944</v>
      </c>
      <c r="J86" s="2">
        <f t="shared" si="4"/>
        <v>3.9631534659812502</v>
      </c>
      <c r="K86" s="15">
        <f t="shared" si="19"/>
        <v>0.70181623931623927</v>
      </c>
      <c r="L86" s="2">
        <f t="shared" si="14"/>
        <v>81</v>
      </c>
      <c r="M86" s="2">
        <f t="shared" si="15"/>
        <v>44.58</v>
      </c>
      <c r="N86" s="2">
        <v>0.5</v>
      </c>
      <c r="O86" s="2">
        <v>50.26548245743669</v>
      </c>
      <c r="P86" s="11">
        <f t="shared" si="5"/>
        <v>9.9471839432434594E-2</v>
      </c>
      <c r="Q86" s="2">
        <f t="shared" si="6"/>
        <v>4.4344546018979338</v>
      </c>
      <c r="R86" s="2">
        <f t="shared" si="7"/>
        <v>2.788875556020562</v>
      </c>
      <c r="S86" s="2">
        <f t="shared" si="8"/>
        <v>124.32807228739665</v>
      </c>
      <c r="T86" s="2">
        <f t="shared" si="9"/>
        <v>119.89361768549871</v>
      </c>
    </row>
    <row r="87" spans="1:20" x14ac:dyDescent="0.25">
      <c r="A87" s="14">
        <f t="shared" si="18"/>
        <v>0.72348646723646726</v>
      </c>
      <c r="B87" s="2">
        <f t="shared" si="11"/>
        <v>82</v>
      </c>
      <c r="C87" s="4">
        <f t="shared" si="12"/>
        <v>45.33</v>
      </c>
      <c r="D87" s="2">
        <v>13.5</v>
      </c>
      <c r="E87" s="2">
        <v>50.26548245743669</v>
      </c>
      <c r="F87" s="11">
        <f t="shared" si="0"/>
        <v>2.6857396646757339</v>
      </c>
      <c r="G87" s="2">
        <f t="shared" si="1"/>
        <v>121.74457899975101</v>
      </c>
      <c r="H87" s="2">
        <f t="shared" si="2"/>
        <v>2.7741437125450457</v>
      </c>
      <c r="I87" s="2">
        <f t="shared" si="3"/>
        <v>125.75193448966691</v>
      </c>
      <c r="J87" s="2">
        <f t="shared" si="4"/>
        <v>4.007355489915895</v>
      </c>
      <c r="K87" s="15">
        <f t="shared" si="19"/>
        <v>0.70195868945868944</v>
      </c>
      <c r="L87" s="2">
        <f t="shared" si="14"/>
        <v>82</v>
      </c>
      <c r="M87" s="2">
        <f t="shared" si="15"/>
        <v>45.08</v>
      </c>
      <c r="N87" s="2">
        <v>14</v>
      </c>
      <c r="O87" s="2">
        <v>50.26548245743669</v>
      </c>
      <c r="P87" s="11">
        <f t="shared" si="5"/>
        <v>2.7852115041081689</v>
      </c>
      <c r="Q87" s="2">
        <f t="shared" si="6"/>
        <v>125.55733460519625</v>
      </c>
      <c r="R87" s="2">
        <f t="shared" si="7"/>
        <v>2.788875556020562</v>
      </c>
      <c r="S87" s="2">
        <f t="shared" si="8"/>
        <v>125.72251006540694</v>
      </c>
      <c r="T87" s="2">
        <f t="shared" si="9"/>
        <v>0.16517546021069052</v>
      </c>
    </row>
    <row r="88" spans="1:20" x14ac:dyDescent="0.25">
      <c r="A88" s="14">
        <f t="shared" si="18"/>
        <v>0.72362891737891732</v>
      </c>
      <c r="B88" s="2">
        <f t="shared" si="11"/>
        <v>83</v>
      </c>
      <c r="C88" s="4">
        <f t="shared" si="12"/>
        <v>45.83</v>
      </c>
      <c r="D88" s="2">
        <v>14.5</v>
      </c>
      <c r="E88" s="2">
        <v>50.26548245743669</v>
      </c>
      <c r="F88" s="11">
        <f t="shared" si="0"/>
        <v>2.8846833435406034</v>
      </c>
      <c r="G88" s="2">
        <f t="shared" si="1"/>
        <v>132.20503763446584</v>
      </c>
      <c r="H88" s="2">
        <f t="shared" si="2"/>
        <v>2.7741437125450457</v>
      </c>
      <c r="I88" s="2">
        <f t="shared" si="3"/>
        <v>127.13900634593944</v>
      </c>
      <c r="J88" s="2">
        <f t="shared" si="4"/>
        <v>5.0660312885264034</v>
      </c>
      <c r="K88" s="15">
        <f t="shared" si="19"/>
        <v>0.70210113960113951</v>
      </c>
      <c r="L88" s="2">
        <f t="shared" si="14"/>
        <v>83</v>
      </c>
      <c r="M88" s="2">
        <f t="shared" si="15"/>
        <v>45.58</v>
      </c>
      <c r="N88" s="2">
        <v>13</v>
      </c>
      <c r="O88" s="2">
        <v>50.26548245743669</v>
      </c>
      <c r="P88" s="11">
        <f t="shared" si="5"/>
        <v>2.5862678252432989</v>
      </c>
      <c r="Q88" s="2">
        <f t="shared" si="6"/>
        <v>117.88208747458955</v>
      </c>
      <c r="R88" s="2">
        <f t="shared" si="7"/>
        <v>2.788875556020562</v>
      </c>
      <c r="S88" s="2">
        <f t="shared" si="8"/>
        <v>127.11694784341721</v>
      </c>
      <c r="T88" s="2">
        <f t="shared" si="9"/>
        <v>9.234860368827654</v>
      </c>
    </row>
    <row r="89" spans="1:20" x14ac:dyDescent="0.25">
      <c r="A89" s="14">
        <f t="shared" si="18"/>
        <v>0.7237713675213675</v>
      </c>
      <c r="B89" s="2">
        <f t="shared" si="11"/>
        <v>84</v>
      </c>
      <c r="C89" s="4">
        <f t="shared" si="12"/>
        <v>46.33</v>
      </c>
      <c r="D89" s="2">
        <v>14.5</v>
      </c>
      <c r="E89" s="2">
        <v>50.26548245743669</v>
      </c>
      <c r="F89" s="11">
        <f t="shared" si="0"/>
        <v>2.8846833435406034</v>
      </c>
      <c r="G89" s="2">
        <f t="shared" si="1"/>
        <v>133.64737930623616</v>
      </c>
      <c r="H89" s="2">
        <f t="shared" si="2"/>
        <v>2.7741437125450457</v>
      </c>
      <c r="I89" s="2">
        <f t="shared" si="3"/>
        <v>128.52607820221195</v>
      </c>
      <c r="J89" s="2">
        <f t="shared" si="4"/>
        <v>5.1213011040242122</v>
      </c>
      <c r="K89" s="15">
        <f t="shared" si="19"/>
        <v>0.70224358974358969</v>
      </c>
      <c r="L89" s="2">
        <f t="shared" si="14"/>
        <v>84</v>
      </c>
      <c r="M89" s="2">
        <f t="shared" si="15"/>
        <v>46.08</v>
      </c>
      <c r="N89" s="2">
        <v>16.5</v>
      </c>
      <c r="O89" s="2">
        <v>50.26548245743669</v>
      </c>
      <c r="P89" s="11">
        <f t="shared" si="5"/>
        <v>3.2825707012703416</v>
      </c>
      <c r="Q89" s="2">
        <f t="shared" si="6"/>
        <v>151.26085791453733</v>
      </c>
      <c r="R89" s="2">
        <f t="shared" si="7"/>
        <v>2.788875556020562</v>
      </c>
      <c r="S89" s="2">
        <f t="shared" si="8"/>
        <v>128.51138562142751</v>
      </c>
      <c r="T89" s="2">
        <f t="shared" si="9"/>
        <v>22.749472293109818</v>
      </c>
    </row>
    <row r="90" spans="1:20" x14ac:dyDescent="0.25">
      <c r="A90" s="14">
        <f t="shared" si="18"/>
        <v>0.72391381766381768</v>
      </c>
      <c r="B90" s="2">
        <f t="shared" si="11"/>
        <v>85</v>
      </c>
      <c r="C90" s="4">
        <f t="shared" si="12"/>
        <v>46.83</v>
      </c>
      <c r="D90" s="2">
        <v>13</v>
      </c>
      <c r="E90" s="2">
        <v>50.26548245743669</v>
      </c>
      <c r="F90" s="11">
        <f t="shared" si="0"/>
        <v>2.5862678252432989</v>
      </c>
      <c r="G90" s="2">
        <f t="shared" si="1"/>
        <v>121.11492225614369</v>
      </c>
      <c r="H90" s="2">
        <f t="shared" si="2"/>
        <v>2.7741437125450457</v>
      </c>
      <c r="I90" s="2">
        <f t="shared" si="3"/>
        <v>129.91315005848449</v>
      </c>
      <c r="J90" s="2">
        <f t="shared" si="4"/>
        <v>8.7982278023408043</v>
      </c>
      <c r="K90" s="15">
        <f t="shared" si="19"/>
        <v>0.70238603988603987</v>
      </c>
      <c r="L90" s="2">
        <f t="shared" si="14"/>
        <v>85</v>
      </c>
      <c r="M90" s="2">
        <f t="shared" si="15"/>
        <v>46.58</v>
      </c>
      <c r="N90" s="2">
        <v>13.5</v>
      </c>
      <c r="O90" s="2">
        <v>50.26548245743669</v>
      </c>
      <c r="P90" s="11">
        <f t="shared" si="5"/>
        <v>2.6857396646757339</v>
      </c>
      <c r="Q90" s="2">
        <f t="shared" si="6"/>
        <v>125.10175358059568</v>
      </c>
      <c r="R90" s="2">
        <f t="shared" si="7"/>
        <v>2.788875556020562</v>
      </c>
      <c r="S90" s="2">
        <f t="shared" si="8"/>
        <v>129.90582339943776</v>
      </c>
      <c r="T90" s="2">
        <f t="shared" si="9"/>
        <v>4.8040698188420805</v>
      </c>
    </row>
    <row r="91" spans="1:20" x14ac:dyDescent="0.25">
      <c r="A91" s="14">
        <f t="shared" si="18"/>
        <v>0.72405626780626775</v>
      </c>
      <c r="B91" s="2">
        <f t="shared" si="11"/>
        <v>86</v>
      </c>
      <c r="C91" s="4">
        <f t="shared" si="12"/>
        <v>47.33</v>
      </c>
      <c r="D91" s="2">
        <v>13.5</v>
      </c>
      <c r="E91" s="2">
        <v>50.26548245743669</v>
      </c>
      <c r="F91" s="11">
        <f t="shared" si="0"/>
        <v>2.6857396646757339</v>
      </c>
      <c r="G91" s="2">
        <f t="shared" si="1"/>
        <v>127.11605832910249</v>
      </c>
      <c r="H91" s="2">
        <f t="shared" si="2"/>
        <v>2.7741437125450457</v>
      </c>
      <c r="I91" s="2">
        <f t="shared" si="3"/>
        <v>131.300221914757</v>
      </c>
      <c r="J91" s="2">
        <f t="shared" si="4"/>
        <v>4.1841635856545167</v>
      </c>
      <c r="K91" s="15">
        <f t="shared" si="19"/>
        <v>0.70252849002849005</v>
      </c>
      <c r="L91" s="2">
        <f t="shared" si="14"/>
        <v>86</v>
      </c>
      <c r="M91" s="2">
        <f t="shared" si="15"/>
        <v>47.08</v>
      </c>
      <c r="N91" s="2">
        <v>14</v>
      </c>
      <c r="O91" s="2">
        <v>50.26548245743669</v>
      </c>
      <c r="P91" s="11">
        <f t="shared" si="5"/>
        <v>2.7852115041081689</v>
      </c>
      <c r="Q91" s="2">
        <f t="shared" si="6"/>
        <v>131.1277576134126</v>
      </c>
      <c r="R91" s="2">
        <f t="shared" si="7"/>
        <v>2.788875556020562</v>
      </c>
      <c r="S91" s="2">
        <f t="shared" si="8"/>
        <v>131.30026117744805</v>
      </c>
      <c r="T91" s="2">
        <f t="shared" si="9"/>
        <v>0.17250356403545197</v>
      </c>
    </row>
    <row r="92" spans="1:20" x14ac:dyDescent="0.25">
      <c r="A92" s="14">
        <f t="shared" si="18"/>
        <v>0.72419871794871793</v>
      </c>
      <c r="B92" s="2">
        <f t="shared" si="11"/>
        <v>87</v>
      </c>
      <c r="C92" s="4">
        <f t="shared" si="12"/>
        <v>47.83</v>
      </c>
      <c r="D92" s="2">
        <v>14</v>
      </c>
      <c r="E92" s="2">
        <v>50.26548245743669</v>
      </c>
      <c r="F92" s="11">
        <f t="shared" si="0"/>
        <v>2.7852115041081689</v>
      </c>
      <c r="G92" s="2">
        <f t="shared" si="1"/>
        <v>133.21666624149373</v>
      </c>
      <c r="H92" s="2">
        <f t="shared" si="2"/>
        <v>2.7741437125450457</v>
      </c>
      <c r="I92" s="2">
        <f t="shared" si="3"/>
        <v>132.68729377102952</v>
      </c>
      <c r="J92" s="2">
        <f t="shared" si="4"/>
        <v>0.52937247046421021</v>
      </c>
      <c r="K92" s="15">
        <f t="shared" si="19"/>
        <v>0.70267094017094012</v>
      </c>
      <c r="L92" s="2">
        <f t="shared" si="14"/>
        <v>87</v>
      </c>
      <c r="M92" s="2">
        <f t="shared" si="15"/>
        <v>47.58</v>
      </c>
      <c r="N92" s="2">
        <v>13.5</v>
      </c>
      <c r="O92" s="2">
        <v>50.26548245743669</v>
      </c>
      <c r="P92" s="11">
        <f t="shared" si="5"/>
        <v>2.6857396646757339</v>
      </c>
      <c r="Q92" s="2">
        <f t="shared" si="6"/>
        <v>127.78749324527142</v>
      </c>
      <c r="R92" s="2">
        <f t="shared" si="7"/>
        <v>2.788875556020562</v>
      </c>
      <c r="S92" s="2">
        <f t="shared" si="8"/>
        <v>132.69469895545834</v>
      </c>
      <c r="T92" s="2">
        <f t="shared" si="9"/>
        <v>4.9072057101869149</v>
      </c>
    </row>
    <row r="93" spans="1:20" x14ac:dyDescent="0.25">
      <c r="A93" s="14">
        <f t="shared" si="18"/>
        <v>0.72434116809116811</v>
      </c>
      <c r="B93" s="2">
        <f t="shared" si="11"/>
        <v>88</v>
      </c>
      <c r="C93" s="4">
        <f t="shared" si="12"/>
        <v>48.33</v>
      </c>
      <c r="D93" s="2">
        <v>15.5</v>
      </c>
      <c r="E93" s="2">
        <v>50.26548245743669</v>
      </c>
      <c r="F93" s="11">
        <f t="shared" si="0"/>
        <v>3.0836270224054725</v>
      </c>
      <c r="G93" s="2">
        <f t="shared" si="1"/>
        <v>149.03169399285648</v>
      </c>
      <c r="H93" s="2">
        <f t="shared" si="2"/>
        <v>2.7741437125450457</v>
      </c>
      <c r="I93" s="2">
        <f t="shared" si="3"/>
        <v>134.07436562730206</v>
      </c>
      <c r="J93" s="2">
        <f t="shared" si="4"/>
        <v>14.957328365554417</v>
      </c>
      <c r="K93" s="15">
        <f t="shared" si="19"/>
        <v>0.7028133903133903</v>
      </c>
      <c r="L93" s="2">
        <f t="shared" si="14"/>
        <v>88</v>
      </c>
      <c r="M93" s="2">
        <f t="shared" si="15"/>
        <v>48.08</v>
      </c>
      <c r="N93" s="2">
        <v>13.5</v>
      </c>
      <c r="O93" s="2">
        <v>50.26548245743669</v>
      </c>
      <c r="P93" s="11">
        <f t="shared" si="5"/>
        <v>2.6857396646757339</v>
      </c>
      <c r="Q93" s="2">
        <f t="shared" si="6"/>
        <v>129.13036307760927</v>
      </c>
      <c r="R93" s="2">
        <f t="shared" si="7"/>
        <v>2.788875556020562</v>
      </c>
      <c r="S93" s="2">
        <f t="shared" si="8"/>
        <v>134.08913673346862</v>
      </c>
      <c r="T93" s="2">
        <f t="shared" si="9"/>
        <v>4.9587736558593463</v>
      </c>
    </row>
    <row r="94" spans="1:20" x14ac:dyDescent="0.25">
      <c r="A94" s="14">
        <f t="shared" si="18"/>
        <v>0.72448361823361818</v>
      </c>
      <c r="B94" s="2">
        <f t="shared" si="11"/>
        <v>89</v>
      </c>
      <c r="C94" s="4">
        <f t="shared" si="12"/>
        <v>48.83</v>
      </c>
      <c r="D94" s="2">
        <v>13</v>
      </c>
      <c r="E94" s="2">
        <v>50.26548245743669</v>
      </c>
      <c r="F94" s="11">
        <f t="shared" si="0"/>
        <v>2.5862678252432989</v>
      </c>
      <c r="G94" s="2">
        <f t="shared" si="1"/>
        <v>126.28745790663028</v>
      </c>
      <c r="H94" s="2">
        <f t="shared" si="2"/>
        <v>2.7741437125450457</v>
      </c>
      <c r="I94" s="2">
        <f t="shared" si="3"/>
        <v>135.46143748357457</v>
      </c>
      <c r="J94" s="2">
        <f t="shared" si="4"/>
        <v>9.1739795769442907</v>
      </c>
      <c r="K94" s="15">
        <f t="shared" si="19"/>
        <v>0.70295584045584047</v>
      </c>
      <c r="L94" s="2">
        <f t="shared" si="14"/>
        <v>89</v>
      </c>
      <c r="M94" s="2">
        <f t="shared" si="15"/>
        <v>48.58</v>
      </c>
      <c r="N94" s="2">
        <v>14.5</v>
      </c>
      <c r="O94" s="2">
        <v>50.26548245743669</v>
      </c>
      <c r="P94" s="11">
        <f t="shared" si="5"/>
        <v>2.8846833435406034</v>
      </c>
      <c r="Q94" s="2">
        <f t="shared" si="6"/>
        <v>140.13791682920251</v>
      </c>
      <c r="R94" s="2">
        <f t="shared" si="7"/>
        <v>2.788875556020562</v>
      </c>
      <c r="S94" s="2">
        <f t="shared" si="8"/>
        <v>135.48357451147891</v>
      </c>
      <c r="T94" s="2">
        <f t="shared" si="9"/>
        <v>4.6543423177236036</v>
      </c>
    </row>
    <row r="95" spans="1:20" x14ac:dyDescent="0.25">
      <c r="A95" s="14">
        <f t="shared" si="18"/>
        <v>0.72462606837606836</v>
      </c>
      <c r="B95" s="2">
        <f t="shared" si="11"/>
        <v>90</v>
      </c>
      <c r="C95" s="4">
        <f t="shared" si="12"/>
        <v>49.33</v>
      </c>
      <c r="D95" s="2">
        <v>13.5</v>
      </c>
      <c r="E95" s="2">
        <v>50.26548245743669</v>
      </c>
      <c r="F95" s="11">
        <f t="shared" si="0"/>
        <v>2.6857396646757339</v>
      </c>
      <c r="G95" s="2">
        <f t="shared" si="1"/>
        <v>132.48753765845396</v>
      </c>
      <c r="H95" s="2">
        <f t="shared" si="2"/>
        <v>2.7741437125450457</v>
      </c>
      <c r="I95" s="2">
        <f t="shared" si="3"/>
        <v>136.84850933984708</v>
      </c>
      <c r="J95" s="2">
        <f t="shared" si="4"/>
        <v>4.3609716813931243</v>
      </c>
      <c r="K95" s="15">
        <f t="shared" si="19"/>
        <v>0.70309829059829054</v>
      </c>
      <c r="L95" s="2">
        <f t="shared" si="14"/>
        <v>90</v>
      </c>
      <c r="M95" s="2">
        <f t="shared" si="15"/>
        <v>49.08</v>
      </c>
      <c r="N95" s="2">
        <v>13</v>
      </c>
      <c r="O95" s="2">
        <v>50.26548245743669</v>
      </c>
      <c r="P95" s="11">
        <f t="shared" si="5"/>
        <v>2.5862678252432989</v>
      </c>
      <c r="Q95" s="2">
        <f t="shared" si="6"/>
        <v>126.9340248629411</v>
      </c>
      <c r="R95" s="2">
        <f t="shared" si="7"/>
        <v>2.788875556020562</v>
      </c>
      <c r="S95" s="2">
        <f t="shared" si="8"/>
        <v>136.87801228948919</v>
      </c>
      <c r="T95" s="2">
        <f t="shared" si="9"/>
        <v>9.943987426548091</v>
      </c>
    </row>
    <row r="96" spans="1:20" x14ac:dyDescent="0.25">
      <c r="A96" s="14">
        <f t="shared" si="18"/>
        <v>0.72476851851851853</v>
      </c>
      <c r="B96" s="2">
        <f t="shared" si="11"/>
        <v>91</v>
      </c>
      <c r="C96" s="4">
        <f t="shared" si="12"/>
        <v>49.83</v>
      </c>
      <c r="D96" s="2">
        <v>14</v>
      </c>
      <c r="E96" s="2">
        <v>50.26548245743669</v>
      </c>
      <c r="F96" s="11">
        <f t="shared" si="0"/>
        <v>2.7852115041081689</v>
      </c>
      <c r="G96" s="2">
        <f t="shared" si="1"/>
        <v>138.78708924971005</v>
      </c>
      <c r="H96" s="2">
        <f t="shared" si="2"/>
        <v>2.7741437125450457</v>
      </c>
      <c r="I96" s="2">
        <f t="shared" si="3"/>
        <v>138.23558119611963</v>
      </c>
      <c r="J96" s="2">
        <f t="shared" si="4"/>
        <v>0.55150805359042465</v>
      </c>
      <c r="K96" s="15">
        <f t="shared" si="19"/>
        <v>0.70324074074074072</v>
      </c>
      <c r="L96" s="2">
        <f t="shared" si="14"/>
        <v>91</v>
      </c>
      <c r="M96" s="2">
        <f t="shared" si="15"/>
        <v>49.58</v>
      </c>
      <c r="N96" s="2">
        <v>14.5</v>
      </c>
      <c r="O96" s="2">
        <v>50.26548245743669</v>
      </c>
      <c r="P96" s="11">
        <f t="shared" si="5"/>
        <v>2.8846833435406034</v>
      </c>
      <c r="Q96" s="2">
        <f t="shared" si="6"/>
        <v>143.02260017274313</v>
      </c>
      <c r="R96" s="2">
        <f t="shared" si="7"/>
        <v>2.788875556020562</v>
      </c>
      <c r="S96" s="2">
        <f t="shared" si="8"/>
        <v>138.27245006749945</v>
      </c>
      <c r="T96" s="2">
        <f t="shared" si="9"/>
        <v>4.7501501052436765</v>
      </c>
    </row>
    <row r="97" spans="1:20" x14ac:dyDescent="0.25">
      <c r="A97" s="14">
        <f t="shared" si="18"/>
        <v>0.7249109686609686</v>
      </c>
      <c r="B97" s="2">
        <f t="shared" si="11"/>
        <v>92</v>
      </c>
      <c r="C97" s="4">
        <f t="shared" si="12"/>
        <v>50.33</v>
      </c>
      <c r="D97" s="2">
        <v>17.5</v>
      </c>
      <c r="E97" s="2">
        <v>50.26548245743669</v>
      </c>
      <c r="F97" s="11">
        <f t="shared" si="0"/>
        <v>3.4815143801352106</v>
      </c>
      <c r="G97" s="2">
        <f t="shared" si="1"/>
        <v>175.22461875220515</v>
      </c>
      <c r="H97" s="2">
        <f t="shared" si="2"/>
        <v>2.7741437125450457</v>
      </c>
      <c r="I97" s="2">
        <f t="shared" si="3"/>
        <v>139.62265305239214</v>
      </c>
      <c r="J97" s="2">
        <f t="shared" si="4"/>
        <v>35.601965699813007</v>
      </c>
      <c r="K97" s="15">
        <f t="shared" si="19"/>
        <v>0.7033831908831909</v>
      </c>
      <c r="L97" s="2">
        <f t="shared" si="14"/>
        <v>92</v>
      </c>
      <c r="M97" s="2">
        <f t="shared" si="15"/>
        <v>50.08</v>
      </c>
      <c r="N97" s="2">
        <v>14.5</v>
      </c>
      <c r="O97" s="2">
        <v>50.26548245743669</v>
      </c>
      <c r="P97" s="11">
        <f t="shared" si="5"/>
        <v>2.8846833435406034</v>
      </c>
      <c r="Q97" s="2">
        <f t="shared" si="6"/>
        <v>144.46494184451342</v>
      </c>
      <c r="R97" s="2">
        <f t="shared" si="7"/>
        <v>2.788875556020562</v>
      </c>
      <c r="S97" s="2">
        <f t="shared" si="8"/>
        <v>139.66688784550973</v>
      </c>
      <c r="T97" s="2">
        <f t="shared" si="9"/>
        <v>4.7980539990036846</v>
      </c>
    </row>
    <row r="98" spans="1:20" x14ac:dyDescent="0.25">
      <c r="A98" s="14">
        <f t="shared" si="18"/>
        <v>0.72505341880341878</v>
      </c>
      <c r="B98" s="2">
        <f t="shared" si="11"/>
        <v>93</v>
      </c>
      <c r="C98" s="4">
        <f t="shared" si="12"/>
        <v>50.83</v>
      </c>
      <c r="D98" s="2">
        <v>14.5</v>
      </c>
      <c r="E98" s="2">
        <v>50.26548245743669</v>
      </c>
      <c r="F98" s="11">
        <f t="shared" si="0"/>
        <v>2.8846833435406034</v>
      </c>
      <c r="G98" s="2">
        <f t="shared" si="1"/>
        <v>146.62845435216886</v>
      </c>
      <c r="H98" s="2">
        <f t="shared" si="2"/>
        <v>2.7741437125450457</v>
      </c>
      <c r="I98" s="2">
        <f t="shared" si="3"/>
        <v>141.00972490866468</v>
      </c>
      <c r="J98" s="2">
        <f t="shared" si="4"/>
        <v>5.6187294435041792</v>
      </c>
      <c r="K98" s="15">
        <f t="shared" si="19"/>
        <v>0.70352564102564097</v>
      </c>
      <c r="L98" s="2">
        <f t="shared" si="14"/>
        <v>93</v>
      </c>
      <c r="M98" s="2">
        <f t="shared" si="15"/>
        <v>50.58</v>
      </c>
      <c r="N98" s="2">
        <v>15.5</v>
      </c>
      <c r="O98" s="2">
        <v>50.26548245743669</v>
      </c>
      <c r="P98" s="11">
        <f t="shared" si="5"/>
        <v>3.0836270224054725</v>
      </c>
      <c r="Q98" s="2">
        <f t="shared" si="6"/>
        <v>155.96985479326878</v>
      </c>
      <c r="R98" s="2">
        <f t="shared" si="7"/>
        <v>2.788875556020562</v>
      </c>
      <c r="S98" s="2">
        <f t="shared" si="8"/>
        <v>141.06132562352002</v>
      </c>
      <c r="T98" s="2">
        <f t="shared" si="9"/>
        <v>14.908529169748761</v>
      </c>
    </row>
    <row r="99" spans="1:20" x14ac:dyDescent="0.25">
      <c r="A99" s="14">
        <f t="shared" si="18"/>
        <v>0.72519586894586896</v>
      </c>
      <c r="B99" s="2">
        <f t="shared" si="11"/>
        <v>94</v>
      </c>
      <c r="C99" s="4">
        <f t="shared" si="12"/>
        <v>51.33</v>
      </c>
      <c r="D99" s="2">
        <v>14.5</v>
      </c>
      <c r="E99" s="2">
        <v>50.26548245743669</v>
      </c>
      <c r="F99" s="11">
        <f t="shared" si="0"/>
        <v>2.8846833435406034</v>
      </c>
      <c r="G99" s="2">
        <f t="shared" si="1"/>
        <v>148.07079602393918</v>
      </c>
      <c r="H99" s="2">
        <f t="shared" si="2"/>
        <v>2.7741437125450457</v>
      </c>
      <c r="I99" s="2">
        <f t="shared" si="3"/>
        <v>142.39679676493719</v>
      </c>
      <c r="J99" s="2">
        <f t="shared" si="4"/>
        <v>5.6739992590019881</v>
      </c>
      <c r="K99" s="15">
        <f t="shared" si="19"/>
        <v>0.70366809116809115</v>
      </c>
      <c r="L99" s="2">
        <f t="shared" si="14"/>
        <v>94</v>
      </c>
      <c r="M99" s="2">
        <f t="shared" si="15"/>
        <v>51.08</v>
      </c>
      <c r="N99" s="2">
        <v>15</v>
      </c>
      <c r="O99" s="2">
        <v>50.26548245743669</v>
      </c>
      <c r="P99" s="11">
        <f t="shared" si="5"/>
        <v>2.9841551829730379</v>
      </c>
      <c r="Q99" s="2">
        <f t="shared" si="6"/>
        <v>152.43064674626277</v>
      </c>
      <c r="R99" s="2">
        <f t="shared" si="7"/>
        <v>2.788875556020562</v>
      </c>
      <c r="S99" s="2">
        <f t="shared" si="8"/>
        <v>142.45576340153031</v>
      </c>
      <c r="T99" s="2">
        <f t="shared" si="9"/>
        <v>9.9748833447324614</v>
      </c>
    </row>
    <row r="100" spans="1:20" x14ac:dyDescent="0.25">
      <c r="A100" s="14">
        <f t="shared" si="18"/>
        <v>0.72533831908831903</v>
      </c>
      <c r="B100" s="2">
        <f t="shared" si="11"/>
        <v>95</v>
      </c>
      <c r="C100" s="4">
        <f t="shared" si="12"/>
        <v>51.83</v>
      </c>
      <c r="D100" s="2">
        <v>14.5</v>
      </c>
      <c r="E100" s="2">
        <v>50.26548245743669</v>
      </c>
      <c r="F100" s="11">
        <f t="shared" si="0"/>
        <v>2.8846833435406034</v>
      </c>
      <c r="G100" s="2">
        <f t="shared" si="1"/>
        <v>149.51313769570947</v>
      </c>
      <c r="H100" s="2">
        <f t="shared" si="2"/>
        <v>2.7741437125450457</v>
      </c>
      <c r="I100" s="2">
        <f t="shared" si="3"/>
        <v>143.78386862120971</v>
      </c>
      <c r="J100" s="2">
        <f t="shared" si="4"/>
        <v>5.7292690744997685</v>
      </c>
      <c r="K100" s="15">
        <f t="shared" si="19"/>
        <v>0.70381054131054133</v>
      </c>
      <c r="L100" s="2">
        <f t="shared" si="14"/>
        <v>95</v>
      </c>
      <c r="M100" s="2">
        <f t="shared" si="15"/>
        <v>51.58</v>
      </c>
      <c r="N100" s="2">
        <v>14</v>
      </c>
      <c r="O100" s="2">
        <v>50.26548245743669</v>
      </c>
      <c r="P100" s="11">
        <f t="shared" si="5"/>
        <v>2.7852115041081689</v>
      </c>
      <c r="Q100" s="2">
        <f t="shared" si="6"/>
        <v>143.66120938189934</v>
      </c>
      <c r="R100" s="2">
        <f t="shared" si="7"/>
        <v>2.788875556020562</v>
      </c>
      <c r="S100" s="2">
        <f t="shared" si="8"/>
        <v>143.85020117954059</v>
      </c>
      <c r="T100" s="2">
        <f t="shared" si="9"/>
        <v>0.18899179764125051</v>
      </c>
    </row>
    <row r="101" spans="1:20" x14ac:dyDescent="0.25">
      <c r="A101" s="14">
        <f t="shared" si="18"/>
        <v>0.72548076923076921</v>
      </c>
      <c r="B101" s="2">
        <f t="shared" si="11"/>
        <v>96</v>
      </c>
      <c r="C101" s="4">
        <f t="shared" si="12"/>
        <v>52.33</v>
      </c>
      <c r="D101" s="2">
        <v>13</v>
      </c>
      <c r="E101" s="2">
        <v>50.26548245743669</v>
      </c>
      <c r="F101" s="11">
        <f t="shared" si="0"/>
        <v>2.5862678252432989</v>
      </c>
      <c r="G101" s="2">
        <f t="shared" si="1"/>
        <v>135.33939529498184</v>
      </c>
      <c r="H101" s="2">
        <f t="shared" si="2"/>
        <v>2.7741437125450457</v>
      </c>
      <c r="I101" s="2">
        <f t="shared" si="3"/>
        <v>145.17094047748225</v>
      </c>
      <c r="J101" s="2">
        <f t="shared" si="4"/>
        <v>9.8315451825004061</v>
      </c>
      <c r="K101" s="15">
        <f t="shared" si="19"/>
        <v>0.70395299145299139</v>
      </c>
      <c r="L101" s="2">
        <f t="shared" si="14"/>
        <v>96</v>
      </c>
      <c r="M101" s="2">
        <f t="shared" si="15"/>
        <v>52.08</v>
      </c>
      <c r="N101" s="2">
        <v>14.5</v>
      </c>
      <c r="O101" s="2">
        <v>50.26548245743669</v>
      </c>
      <c r="P101" s="11">
        <f t="shared" si="5"/>
        <v>2.8846833435406034</v>
      </c>
      <c r="Q101" s="2">
        <f t="shared" si="6"/>
        <v>150.23430853159462</v>
      </c>
      <c r="R101" s="2">
        <f t="shared" si="7"/>
        <v>2.788875556020562</v>
      </c>
      <c r="S101" s="2">
        <f t="shared" si="8"/>
        <v>145.24463895755088</v>
      </c>
      <c r="T101" s="2">
        <f t="shared" si="9"/>
        <v>4.9896695740437451</v>
      </c>
    </row>
    <row r="102" spans="1:20" x14ac:dyDescent="0.25">
      <c r="A102" s="14">
        <f t="shared" si="18"/>
        <v>0.72562321937321939</v>
      </c>
      <c r="B102" s="2">
        <f t="shared" si="11"/>
        <v>97</v>
      </c>
      <c r="C102" s="4">
        <f t="shared" si="12"/>
        <v>52.83</v>
      </c>
      <c r="D102" s="2">
        <v>11.5</v>
      </c>
      <c r="E102" s="2">
        <v>50.26548245743669</v>
      </c>
      <c r="F102" s="11">
        <f t="shared" si="0"/>
        <v>2.2878523069459957</v>
      </c>
      <c r="G102" s="2">
        <f t="shared" si="1"/>
        <v>120.86723737595695</v>
      </c>
      <c r="H102" s="2">
        <f t="shared" si="2"/>
        <v>2.7741437125450457</v>
      </c>
      <c r="I102" s="2">
        <f t="shared" si="3"/>
        <v>146.55801233375476</v>
      </c>
      <c r="J102" s="2">
        <f t="shared" si="4"/>
        <v>25.690774957797814</v>
      </c>
      <c r="K102" s="15">
        <f t="shared" si="19"/>
        <v>0.70409544159544157</v>
      </c>
      <c r="L102" s="2">
        <f t="shared" si="14"/>
        <v>97</v>
      </c>
      <c r="M102" s="2">
        <f t="shared" si="15"/>
        <v>52.58</v>
      </c>
      <c r="N102" s="2">
        <v>15.5</v>
      </c>
      <c r="O102" s="2">
        <v>50.26548245743669</v>
      </c>
      <c r="P102" s="11">
        <f t="shared" si="5"/>
        <v>3.0836270224054725</v>
      </c>
      <c r="Q102" s="2">
        <f t="shared" si="6"/>
        <v>162.13710883807974</v>
      </c>
      <c r="R102" s="2">
        <f t="shared" si="7"/>
        <v>2.788875556020562</v>
      </c>
      <c r="S102" s="2">
        <f t="shared" si="8"/>
        <v>146.63907673556113</v>
      </c>
      <c r="T102" s="2">
        <f t="shared" si="9"/>
        <v>15.498032102518607</v>
      </c>
    </row>
    <row r="103" spans="1:20" x14ac:dyDescent="0.25">
      <c r="A103" s="14">
        <f t="shared" si="18"/>
        <v>0.72576566951566945</v>
      </c>
      <c r="B103" s="2">
        <f t="shared" si="11"/>
        <v>98</v>
      </c>
      <c r="C103" s="4">
        <f t="shared" si="12"/>
        <v>53.33</v>
      </c>
      <c r="D103" s="2">
        <v>10</v>
      </c>
      <c r="E103" s="2">
        <v>50.26548245743669</v>
      </c>
      <c r="F103" s="11">
        <f t="shared" si="0"/>
        <v>1.9894367886486919</v>
      </c>
      <c r="G103" s="2">
        <f t="shared" si="1"/>
        <v>106.09666393863473</v>
      </c>
      <c r="H103" s="2">
        <f t="shared" si="2"/>
        <v>2.7741437125450457</v>
      </c>
      <c r="I103" s="2">
        <f t="shared" si="3"/>
        <v>147.94508419002727</v>
      </c>
      <c r="J103" s="2">
        <f t="shared" si="4"/>
        <v>41.84842025139254</v>
      </c>
      <c r="K103" s="15">
        <f t="shared" si="19"/>
        <v>0.70423789173789175</v>
      </c>
      <c r="L103" s="2">
        <f t="shared" si="14"/>
        <v>98</v>
      </c>
      <c r="M103" s="2">
        <f t="shared" si="15"/>
        <v>53.08</v>
      </c>
      <c r="N103" s="2">
        <v>10.5</v>
      </c>
      <c r="O103" s="2">
        <v>50.26548245743669</v>
      </c>
      <c r="P103" s="11">
        <f t="shared" si="5"/>
        <v>2.0889086280811267</v>
      </c>
      <c r="Q103" s="2">
        <f t="shared" si="6"/>
        <v>110.8792699785462</v>
      </c>
      <c r="R103" s="2">
        <f t="shared" si="7"/>
        <v>2.788875556020562</v>
      </c>
      <c r="S103" s="2">
        <f t="shared" si="8"/>
        <v>148.03351451357142</v>
      </c>
      <c r="T103" s="2">
        <f t="shared" si="9"/>
        <v>37.154244535025214</v>
      </c>
    </row>
    <row r="104" spans="1:20" x14ac:dyDescent="0.25">
      <c r="A104" s="14">
        <f t="shared" si="18"/>
        <v>0.72590811965811963</v>
      </c>
      <c r="B104" s="2">
        <f t="shared" si="11"/>
        <v>99</v>
      </c>
      <c r="C104" s="4">
        <f t="shared" si="12"/>
        <v>53.83</v>
      </c>
      <c r="D104" s="2">
        <v>10.5</v>
      </c>
      <c r="E104" s="2">
        <v>50.26548245743669</v>
      </c>
      <c r="F104" s="11">
        <f t="shared" si="0"/>
        <v>2.0889086280811267</v>
      </c>
      <c r="G104" s="2">
        <f t="shared" si="1"/>
        <v>112.44595144960705</v>
      </c>
      <c r="H104" s="2">
        <f t="shared" si="2"/>
        <v>2.7741437125450457</v>
      </c>
      <c r="I104" s="2">
        <f t="shared" si="3"/>
        <v>149.33215604629981</v>
      </c>
      <c r="J104" s="2">
        <f t="shared" si="4"/>
        <v>36.886204596692764</v>
      </c>
      <c r="K104" s="15">
        <f t="shared" si="19"/>
        <v>0.70438034188034193</v>
      </c>
      <c r="L104" s="2">
        <f t="shared" si="14"/>
        <v>99</v>
      </c>
      <c r="M104" s="2">
        <f t="shared" si="15"/>
        <v>53.58</v>
      </c>
      <c r="N104" s="2">
        <v>11</v>
      </c>
      <c r="O104" s="2">
        <v>50.26548245743669</v>
      </c>
      <c r="P104" s="11">
        <f t="shared" si="5"/>
        <v>2.1883804675135607</v>
      </c>
      <c r="Q104" s="2">
        <f t="shared" si="6"/>
        <v>117.25342544937658</v>
      </c>
      <c r="R104" s="2">
        <f t="shared" si="7"/>
        <v>2.788875556020562</v>
      </c>
      <c r="S104" s="2">
        <f t="shared" si="8"/>
        <v>149.4279522915817</v>
      </c>
      <c r="T104" s="2">
        <f t="shared" si="9"/>
        <v>32.174526842205125</v>
      </c>
    </row>
    <row r="105" spans="1:20" x14ac:dyDescent="0.25">
      <c r="A105" s="14">
        <f t="shared" si="18"/>
        <v>0.72605056980056981</v>
      </c>
      <c r="B105" s="2">
        <f t="shared" si="11"/>
        <v>100</v>
      </c>
      <c r="C105" s="4">
        <f t="shared" si="12"/>
        <v>54.33</v>
      </c>
      <c r="D105" s="2">
        <v>10.5</v>
      </c>
      <c r="E105" s="2">
        <v>50.26548245743669</v>
      </c>
      <c r="F105" s="11">
        <f t="shared" si="0"/>
        <v>2.0889086280811267</v>
      </c>
      <c r="G105" s="2">
        <f t="shared" si="1"/>
        <v>113.4904057636476</v>
      </c>
      <c r="H105" s="2">
        <f t="shared" si="2"/>
        <v>2.7741437125450457</v>
      </c>
      <c r="I105" s="2">
        <f t="shared" si="3"/>
        <v>150.71922790257233</v>
      </c>
      <c r="J105" s="2">
        <f t="shared" si="4"/>
        <v>37.228822138924727</v>
      </c>
      <c r="K105" s="15">
        <f t="shared" si="19"/>
        <v>0.704522792022792</v>
      </c>
      <c r="L105" s="2">
        <f t="shared" si="14"/>
        <v>100</v>
      </c>
      <c r="M105" s="2">
        <f t="shared" si="15"/>
        <v>54.08</v>
      </c>
      <c r="N105" s="2">
        <v>11</v>
      </c>
      <c r="O105" s="2">
        <v>50.26548245743669</v>
      </c>
      <c r="P105" s="11">
        <f t="shared" si="5"/>
        <v>2.1883804675135607</v>
      </c>
      <c r="Q105" s="2">
        <f t="shared" si="6"/>
        <v>118.34761568313336</v>
      </c>
      <c r="R105" s="2">
        <f t="shared" si="7"/>
        <v>2.788875556020562</v>
      </c>
      <c r="S105" s="2">
        <f t="shared" si="8"/>
        <v>150.82239006959199</v>
      </c>
      <c r="T105" s="2">
        <f t="shared" si="9"/>
        <v>32.474774386458634</v>
      </c>
    </row>
    <row r="106" spans="1:20" x14ac:dyDescent="0.25">
      <c r="A106" s="14">
        <f t="shared" si="18"/>
        <v>0.72619301994301988</v>
      </c>
      <c r="B106" s="2">
        <f t="shared" si="11"/>
        <v>101</v>
      </c>
      <c r="C106" s="4">
        <f t="shared" si="12"/>
        <v>54.83</v>
      </c>
      <c r="D106" s="2">
        <v>10</v>
      </c>
      <c r="E106" s="2">
        <v>50.26548245743669</v>
      </c>
      <c r="F106" s="11">
        <f t="shared" si="0"/>
        <v>1.9894367886486919</v>
      </c>
      <c r="G106" s="2">
        <f t="shared" si="1"/>
        <v>109.08081912160777</v>
      </c>
      <c r="H106" s="2">
        <f t="shared" si="2"/>
        <v>2.7741437125450457</v>
      </c>
      <c r="I106" s="2">
        <f t="shared" si="3"/>
        <v>152.10629975884484</v>
      </c>
      <c r="J106" s="2">
        <f t="shared" si="4"/>
        <v>43.025480637237067</v>
      </c>
      <c r="K106" s="15">
        <f t="shared" si="19"/>
        <v>0.70466524216524218</v>
      </c>
      <c r="L106" s="2">
        <f t="shared" si="14"/>
        <v>101</v>
      </c>
      <c r="M106" s="2">
        <f t="shared" si="15"/>
        <v>54.58</v>
      </c>
      <c r="N106" s="2">
        <v>14.5</v>
      </c>
      <c r="O106" s="2">
        <v>50.26548245743669</v>
      </c>
      <c r="P106" s="11">
        <f t="shared" si="5"/>
        <v>2.8846833435406034</v>
      </c>
      <c r="Q106" s="2">
        <f t="shared" si="6"/>
        <v>157.44601689044612</v>
      </c>
      <c r="R106" s="2">
        <f t="shared" si="7"/>
        <v>2.788875556020562</v>
      </c>
      <c r="S106" s="2">
        <f t="shared" si="8"/>
        <v>152.21682784760227</v>
      </c>
      <c r="T106" s="2">
        <f t="shared" si="9"/>
        <v>5.2291890428438421</v>
      </c>
    </row>
    <row r="107" spans="1:20" x14ac:dyDescent="0.25">
      <c r="A107" s="14">
        <f t="shared" si="18"/>
        <v>0.72633547008547006</v>
      </c>
      <c r="B107" s="2">
        <f t="shared" si="11"/>
        <v>102</v>
      </c>
      <c r="C107" s="4">
        <f t="shared" si="12"/>
        <v>55.33</v>
      </c>
      <c r="D107" s="2">
        <v>11</v>
      </c>
      <c r="E107" s="2">
        <v>50.26548245743669</v>
      </c>
      <c r="F107" s="11">
        <f t="shared" si="0"/>
        <v>2.1883804675135607</v>
      </c>
      <c r="G107" s="2">
        <f t="shared" si="1"/>
        <v>121.08309126752532</v>
      </c>
      <c r="H107" s="2">
        <f t="shared" si="2"/>
        <v>2.7741437125450457</v>
      </c>
      <c r="I107" s="2">
        <f t="shared" si="3"/>
        <v>153.49337161511738</v>
      </c>
      <c r="J107" s="2">
        <f t="shared" si="4"/>
        <v>32.410280347592064</v>
      </c>
      <c r="K107" s="15">
        <f t="shared" si="19"/>
        <v>0.70480769230769236</v>
      </c>
      <c r="L107" s="2">
        <f t="shared" si="14"/>
        <v>102</v>
      </c>
      <c r="M107" s="2">
        <f t="shared" si="15"/>
        <v>55.08</v>
      </c>
      <c r="N107" s="2">
        <v>10.5</v>
      </c>
      <c r="O107" s="2">
        <v>50.26548245743669</v>
      </c>
      <c r="P107" s="11">
        <f t="shared" si="5"/>
        <v>2.0889086280811267</v>
      </c>
      <c r="Q107" s="2">
        <f t="shared" si="6"/>
        <v>115.05708723470845</v>
      </c>
      <c r="R107" s="2">
        <f t="shared" si="7"/>
        <v>2.788875556020562</v>
      </c>
      <c r="S107" s="2">
        <f t="shared" si="8"/>
        <v>153.61126562561256</v>
      </c>
      <c r="T107" s="2">
        <f t="shared" si="9"/>
        <v>38.554178390904113</v>
      </c>
    </row>
    <row r="108" spans="1:20" x14ac:dyDescent="0.25">
      <c r="A108" s="14">
        <f t="shared" si="18"/>
        <v>0.72647792022792024</v>
      </c>
      <c r="B108" s="2">
        <f t="shared" si="11"/>
        <v>103</v>
      </c>
      <c r="C108" s="4">
        <f t="shared" si="12"/>
        <v>55.83</v>
      </c>
      <c r="D108" s="2">
        <v>11.5</v>
      </c>
      <c r="E108" s="2">
        <v>50.26548245743669</v>
      </c>
      <c r="F108" s="11">
        <f t="shared" si="0"/>
        <v>2.2878523069459957</v>
      </c>
      <c r="G108" s="2">
        <f t="shared" si="1"/>
        <v>127.73079429679494</v>
      </c>
      <c r="H108" s="2">
        <f t="shared" si="2"/>
        <v>2.7741437125450457</v>
      </c>
      <c r="I108" s="2">
        <f t="shared" si="3"/>
        <v>154.8804434713899</v>
      </c>
      <c r="J108" s="2">
        <f t="shared" si="4"/>
        <v>27.149649174594956</v>
      </c>
      <c r="K108" s="15">
        <f t="shared" si="19"/>
        <v>0.70495014245014243</v>
      </c>
      <c r="L108" s="2">
        <f t="shared" si="14"/>
        <v>103</v>
      </c>
      <c r="M108" s="2">
        <f t="shared" si="15"/>
        <v>55.58</v>
      </c>
      <c r="N108" s="2">
        <v>11.5</v>
      </c>
      <c r="O108" s="2">
        <v>50.26548245743669</v>
      </c>
      <c r="P108" s="11">
        <f t="shared" si="5"/>
        <v>2.2878523069459957</v>
      </c>
      <c r="Q108" s="2">
        <f t="shared" si="6"/>
        <v>127.15883122005845</v>
      </c>
      <c r="R108" s="2">
        <f t="shared" si="7"/>
        <v>2.788875556020562</v>
      </c>
      <c r="S108" s="2">
        <f t="shared" si="8"/>
        <v>155.00570340362285</v>
      </c>
      <c r="T108" s="2">
        <f t="shared" si="9"/>
        <v>27.8468721835644</v>
      </c>
    </row>
    <row r="109" spans="1:20" x14ac:dyDescent="0.25">
      <c r="A109" s="14">
        <f t="shared" si="18"/>
        <v>0.72662037037037031</v>
      </c>
      <c r="B109" s="21">
        <f t="shared" si="11"/>
        <v>104</v>
      </c>
      <c r="C109" s="22">
        <f t="shared" si="12"/>
        <v>56.33</v>
      </c>
      <c r="D109" s="21">
        <v>11</v>
      </c>
      <c r="E109" s="2">
        <v>50.26548245743669</v>
      </c>
      <c r="F109" s="11">
        <f t="shared" si="0"/>
        <v>2.1883804675135607</v>
      </c>
      <c r="G109" s="2">
        <f t="shared" si="1"/>
        <v>123.27147173503887</v>
      </c>
      <c r="H109" s="2">
        <f t="shared" si="2"/>
        <v>2.7741437125450457</v>
      </c>
      <c r="I109" s="2">
        <f t="shared" si="3"/>
        <v>156.26751532766241</v>
      </c>
      <c r="J109" s="2">
        <f t="shared" si="4"/>
        <v>32.996043592623536</v>
      </c>
      <c r="K109" s="15">
        <f t="shared" si="19"/>
        <v>0.7050925925925926</v>
      </c>
      <c r="L109" s="21">
        <f t="shared" si="14"/>
        <v>104</v>
      </c>
      <c r="M109" s="21">
        <f t="shared" si="15"/>
        <v>56.08</v>
      </c>
      <c r="N109" s="21">
        <v>12</v>
      </c>
      <c r="O109" s="2">
        <v>50.26548245743669</v>
      </c>
      <c r="P109" s="11">
        <f t="shared" si="5"/>
        <v>2.3873241463784298</v>
      </c>
      <c r="Q109" s="2">
        <f t="shared" si="6"/>
        <v>133.88113812890234</v>
      </c>
      <c r="R109" s="2">
        <f t="shared" si="7"/>
        <v>2.788875556020562</v>
      </c>
      <c r="S109" s="2">
        <f t="shared" si="8"/>
        <v>156.4001411816331</v>
      </c>
      <c r="T109" s="2">
        <f t="shared" si="9"/>
        <v>22.519003052730767</v>
      </c>
    </row>
    <row r="110" spans="1:20" x14ac:dyDescent="0.25">
      <c r="A110" s="14">
        <f t="shared" si="18"/>
        <v>0.72676282051282048</v>
      </c>
      <c r="B110" s="21">
        <f t="shared" si="11"/>
        <v>105</v>
      </c>
      <c r="C110" s="22">
        <f>C109+1.5</f>
        <v>57.83</v>
      </c>
      <c r="D110" s="21">
        <v>11</v>
      </c>
      <c r="E110" s="2">
        <v>50.26548245743669</v>
      </c>
      <c r="F110" s="11">
        <f t="shared" si="0"/>
        <v>2.1883804675135607</v>
      </c>
      <c r="G110" s="2">
        <f t="shared" si="1"/>
        <v>126.55404243630922</v>
      </c>
      <c r="H110" s="2">
        <f t="shared" si="2"/>
        <v>2.7741437125450457</v>
      </c>
      <c r="I110" s="2">
        <f t="shared" si="3"/>
        <v>160.42873089647998</v>
      </c>
      <c r="J110" s="2">
        <f t="shared" si="4"/>
        <v>33.874688460170759</v>
      </c>
      <c r="K110" s="15">
        <f t="shared" si="19"/>
        <v>0.70523504273504278</v>
      </c>
      <c r="L110" s="21">
        <f t="shared" si="14"/>
        <v>105</v>
      </c>
      <c r="M110" s="21">
        <f>M109+1.5</f>
        <v>57.58</v>
      </c>
      <c r="N110" s="21">
        <v>10.5</v>
      </c>
      <c r="O110" s="2">
        <v>50.26548245743669</v>
      </c>
      <c r="P110" s="11">
        <f t="shared" si="5"/>
        <v>2.0889086280811267</v>
      </c>
      <c r="Q110" s="2">
        <f t="shared" si="6"/>
        <v>120.27935880491127</v>
      </c>
      <c r="R110" s="2">
        <f t="shared" si="7"/>
        <v>2.788875556020562</v>
      </c>
      <c r="S110" s="2">
        <f t="shared" si="8"/>
        <v>160.58345451566396</v>
      </c>
      <c r="T110" s="2">
        <f t="shared" si="9"/>
        <v>40.304095710752691</v>
      </c>
    </row>
    <row r="111" spans="1:20" x14ac:dyDescent="0.25">
      <c r="A111" s="14">
        <f t="shared" si="18"/>
        <v>0.72690527065527066</v>
      </c>
      <c r="B111" s="21">
        <f t="shared" si="11"/>
        <v>106</v>
      </c>
      <c r="C111" s="22">
        <f t="shared" ref="C111:C162" si="20">C110+0.5</f>
        <v>58.33</v>
      </c>
      <c r="D111" s="21">
        <v>11.5</v>
      </c>
      <c r="E111" s="2">
        <v>50.26548245743669</v>
      </c>
      <c r="F111" s="11">
        <f t="shared" si="0"/>
        <v>2.2878523069459957</v>
      </c>
      <c r="G111" s="2">
        <f t="shared" si="1"/>
        <v>133.45042506415993</v>
      </c>
      <c r="H111" s="2">
        <f t="shared" si="2"/>
        <v>2.7741437125450457</v>
      </c>
      <c r="I111" s="2">
        <f t="shared" si="3"/>
        <v>161.81580275275252</v>
      </c>
      <c r="J111" s="2">
        <f t="shared" si="4"/>
        <v>28.365377688592588</v>
      </c>
      <c r="K111" s="15">
        <f t="shared" si="19"/>
        <v>0.70537749287749285</v>
      </c>
      <c r="L111" s="21">
        <f t="shared" si="14"/>
        <v>106</v>
      </c>
      <c r="M111" s="21">
        <f t="shared" ref="M111:M162" si="21">M110+0.5</f>
        <v>58.08</v>
      </c>
      <c r="N111" s="21">
        <v>10.5</v>
      </c>
      <c r="O111" s="2">
        <v>50.26548245743669</v>
      </c>
      <c r="P111" s="11">
        <f t="shared" si="5"/>
        <v>2.0889086280811267</v>
      </c>
      <c r="Q111" s="2">
        <f t="shared" si="6"/>
        <v>121.32381311895183</v>
      </c>
      <c r="R111" s="2">
        <f t="shared" si="7"/>
        <v>2.788875556020562</v>
      </c>
      <c r="S111" s="2">
        <f t="shared" si="8"/>
        <v>161.97789229367424</v>
      </c>
      <c r="T111" s="2">
        <f t="shared" si="9"/>
        <v>40.654079174722412</v>
      </c>
    </row>
    <row r="112" spans="1:20" x14ac:dyDescent="0.25">
      <c r="A112" s="14">
        <f t="shared" si="18"/>
        <v>0.72704772079772073</v>
      </c>
      <c r="B112" s="2">
        <f t="shared" si="11"/>
        <v>107</v>
      </c>
      <c r="C112" s="4">
        <f t="shared" si="20"/>
        <v>58.83</v>
      </c>
      <c r="D112" s="2">
        <v>13.5</v>
      </c>
      <c r="E112" s="2">
        <v>50.26548245743669</v>
      </c>
      <c r="F112" s="11">
        <f t="shared" si="0"/>
        <v>2.6857396646757339</v>
      </c>
      <c r="G112" s="2">
        <f t="shared" si="1"/>
        <v>158.00206447287343</v>
      </c>
      <c r="H112" s="2">
        <f t="shared" si="2"/>
        <v>2.7741437125450457</v>
      </c>
      <c r="I112" s="2">
        <f t="shared" si="3"/>
        <v>163.20287460902503</v>
      </c>
      <c r="J112" s="2">
        <f t="shared" si="4"/>
        <v>5.2008101361516026</v>
      </c>
      <c r="K112" s="15">
        <f t="shared" si="19"/>
        <v>0.70551994301994303</v>
      </c>
      <c r="L112" s="2">
        <f t="shared" si="14"/>
        <v>107</v>
      </c>
      <c r="M112" s="2">
        <f t="shared" si="21"/>
        <v>58.58</v>
      </c>
      <c r="N112" s="2">
        <v>11.5</v>
      </c>
      <c r="O112" s="2">
        <v>50.26548245743669</v>
      </c>
      <c r="P112" s="11">
        <f t="shared" si="5"/>
        <v>2.2878523069459957</v>
      </c>
      <c r="Q112" s="2">
        <f t="shared" si="6"/>
        <v>134.02238814089642</v>
      </c>
      <c r="R112" s="2">
        <f t="shared" si="7"/>
        <v>2.788875556020562</v>
      </c>
      <c r="S112" s="2">
        <f t="shared" si="8"/>
        <v>163.37233007168453</v>
      </c>
      <c r="T112" s="2">
        <f t="shared" si="9"/>
        <v>29.349941930788106</v>
      </c>
    </row>
    <row r="113" spans="1:20" x14ac:dyDescent="0.25">
      <c r="A113" s="14">
        <f t="shared" si="18"/>
        <v>0.72719017094017091</v>
      </c>
      <c r="B113" s="2">
        <f t="shared" si="11"/>
        <v>108</v>
      </c>
      <c r="C113" s="4">
        <f t="shared" si="20"/>
        <v>59.33</v>
      </c>
      <c r="D113" s="2">
        <v>11.5</v>
      </c>
      <c r="E113" s="2">
        <v>50.26548245743669</v>
      </c>
      <c r="F113" s="11">
        <f t="shared" si="0"/>
        <v>2.2878523069459957</v>
      </c>
      <c r="G113" s="2">
        <f t="shared" si="1"/>
        <v>135.73827737110591</v>
      </c>
      <c r="H113" s="2">
        <f t="shared" si="2"/>
        <v>2.7741437125450457</v>
      </c>
      <c r="I113" s="2">
        <f t="shared" si="3"/>
        <v>164.58994646529754</v>
      </c>
      <c r="J113" s="2">
        <f t="shared" si="4"/>
        <v>28.851669094191635</v>
      </c>
      <c r="K113" s="15">
        <f t="shared" si="19"/>
        <v>0.70566239316239321</v>
      </c>
      <c r="L113" s="2">
        <f t="shared" si="14"/>
        <v>108</v>
      </c>
      <c r="M113" s="2">
        <f t="shared" si="21"/>
        <v>59.08</v>
      </c>
      <c r="N113" s="2">
        <v>11.5</v>
      </c>
      <c r="O113" s="2">
        <v>50.26548245743669</v>
      </c>
      <c r="P113" s="11">
        <f t="shared" si="5"/>
        <v>2.2878523069459957</v>
      </c>
      <c r="Q113" s="2">
        <f t="shared" si="6"/>
        <v>135.16631429436941</v>
      </c>
      <c r="R113" s="2">
        <f t="shared" si="7"/>
        <v>2.788875556020562</v>
      </c>
      <c r="S113" s="2">
        <f t="shared" si="8"/>
        <v>164.76676784969479</v>
      </c>
      <c r="T113" s="2">
        <f t="shared" si="9"/>
        <v>29.600453555325373</v>
      </c>
    </row>
    <row r="114" spans="1:20" x14ac:dyDescent="0.25">
      <c r="A114" s="14">
        <f t="shared" si="18"/>
        <v>0.72733262108262109</v>
      </c>
      <c r="B114" s="2">
        <f t="shared" si="11"/>
        <v>109</v>
      </c>
      <c r="C114" s="4">
        <f t="shared" si="20"/>
        <v>59.83</v>
      </c>
      <c r="D114" s="2">
        <v>11.5</v>
      </c>
      <c r="E114" s="2">
        <v>50.26548245743669</v>
      </c>
      <c r="F114" s="11">
        <f t="shared" si="0"/>
        <v>2.2878523069459957</v>
      </c>
      <c r="G114" s="2">
        <f t="shared" si="1"/>
        <v>136.88220352457893</v>
      </c>
      <c r="H114" s="2">
        <f t="shared" si="2"/>
        <v>2.7741437125450457</v>
      </c>
      <c r="I114" s="2">
        <f t="shared" si="3"/>
        <v>165.97701832157009</v>
      </c>
      <c r="J114" s="2">
        <f t="shared" si="4"/>
        <v>29.094814796991159</v>
      </c>
      <c r="K114" s="15">
        <f t="shared" si="19"/>
        <v>0.70580484330484328</v>
      </c>
      <c r="L114" s="2">
        <f t="shared" si="14"/>
        <v>109</v>
      </c>
      <c r="M114" s="2">
        <f t="shared" si="21"/>
        <v>59.58</v>
      </c>
      <c r="N114" s="2">
        <v>11.5</v>
      </c>
      <c r="O114" s="2">
        <v>50.26548245743669</v>
      </c>
      <c r="P114" s="11">
        <f t="shared" si="5"/>
        <v>2.2878523069459957</v>
      </c>
      <c r="Q114" s="2">
        <f t="shared" si="6"/>
        <v>136.31024044784243</v>
      </c>
      <c r="R114" s="2">
        <f t="shared" si="7"/>
        <v>2.788875556020562</v>
      </c>
      <c r="S114" s="2">
        <f t="shared" si="8"/>
        <v>166.16120562770507</v>
      </c>
      <c r="T114" s="2">
        <f t="shared" si="9"/>
        <v>29.850965179862641</v>
      </c>
    </row>
    <row r="115" spans="1:20" x14ac:dyDescent="0.25">
      <c r="A115" s="14">
        <f t="shared" si="18"/>
        <v>0.72747507122507116</v>
      </c>
      <c r="B115" s="2">
        <f t="shared" si="11"/>
        <v>110</v>
      </c>
      <c r="C115" s="4">
        <f t="shared" si="20"/>
        <v>60.33</v>
      </c>
      <c r="D115" s="2">
        <v>11.5</v>
      </c>
      <c r="E115" s="2">
        <v>50.26548245743669</v>
      </c>
      <c r="F115" s="11">
        <f t="shared" si="0"/>
        <v>2.2878523069459957</v>
      </c>
      <c r="G115" s="2">
        <f t="shared" si="1"/>
        <v>138.02612967805192</v>
      </c>
      <c r="H115" s="2">
        <f t="shared" si="2"/>
        <v>2.7741437125450457</v>
      </c>
      <c r="I115" s="2">
        <f t="shared" si="3"/>
        <v>167.3640901778426</v>
      </c>
      <c r="J115" s="2">
        <f t="shared" si="4"/>
        <v>29.337960499790682</v>
      </c>
      <c r="K115" s="15">
        <f t="shared" si="19"/>
        <v>0.70594729344729346</v>
      </c>
      <c r="L115" s="2">
        <f t="shared" si="14"/>
        <v>110</v>
      </c>
      <c r="M115" s="2">
        <f t="shared" si="21"/>
        <v>60.08</v>
      </c>
      <c r="N115" s="2">
        <v>10.5</v>
      </c>
      <c r="O115" s="2">
        <v>50.26548245743669</v>
      </c>
      <c r="P115" s="11">
        <f t="shared" si="5"/>
        <v>2.0889086280811267</v>
      </c>
      <c r="Q115" s="2">
        <f t="shared" si="6"/>
        <v>125.50163037511409</v>
      </c>
      <c r="R115" s="2">
        <f t="shared" si="7"/>
        <v>2.788875556020562</v>
      </c>
      <c r="S115" s="2">
        <f t="shared" si="8"/>
        <v>167.55564340571536</v>
      </c>
      <c r="T115" s="2">
        <f t="shared" si="9"/>
        <v>42.054013030601268</v>
      </c>
    </row>
    <row r="116" spans="1:20" x14ac:dyDescent="0.25">
      <c r="A116" s="14">
        <f t="shared" si="18"/>
        <v>0.72761752136752134</v>
      </c>
      <c r="B116" s="2">
        <f t="shared" si="11"/>
        <v>111</v>
      </c>
      <c r="C116" s="4">
        <f t="shared" si="20"/>
        <v>60.83</v>
      </c>
      <c r="D116" s="2">
        <v>12</v>
      </c>
      <c r="E116" s="2">
        <v>50.26548245743669</v>
      </c>
      <c r="F116" s="11">
        <f t="shared" si="0"/>
        <v>2.3873241463784298</v>
      </c>
      <c r="G116" s="2">
        <f t="shared" si="1"/>
        <v>145.22092782419989</v>
      </c>
      <c r="H116" s="2">
        <f t="shared" si="2"/>
        <v>2.7741437125450457</v>
      </c>
      <c r="I116" s="2">
        <f t="shared" si="3"/>
        <v>168.75116203411511</v>
      </c>
      <c r="J116" s="2">
        <f t="shared" si="4"/>
        <v>23.530234209915221</v>
      </c>
      <c r="K116" s="15">
        <f t="shared" si="19"/>
        <v>0.70608974358974363</v>
      </c>
      <c r="L116" s="2">
        <f t="shared" si="14"/>
        <v>111</v>
      </c>
      <c r="M116" s="2">
        <f t="shared" si="21"/>
        <v>60.58</v>
      </c>
      <c r="N116" s="2">
        <v>11.5</v>
      </c>
      <c r="O116" s="2">
        <v>50.26548245743669</v>
      </c>
      <c r="P116" s="11">
        <f t="shared" si="5"/>
        <v>2.2878523069459957</v>
      </c>
      <c r="Q116" s="2">
        <f t="shared" si="6"/>
        <v>138.59809275478841</v>
      </c>
      <c r="R116" s="2">
        <f t="shared" si="7"/>
        <v>2.788875556020562</v>
      </c>
      <c r="S116" s="2">
        <f t="shared" si="8"/>
        <v>168.95008118372564</v>
      </c>
      <c r="T116" s="2">
        <f t="shared" si="9"/>
        <v>30.351988428937233</v>
      </c>
    </row>
    <row r="117" spans="1:20" x14ac:dyDescent="0.25">
      <c r="A117" s="14">
        <f t="shared" si="18"/>
        <v>0.72775997150997151</v>
      </c>
      <c r="B117" s="2">
        <f t="shared" si="11"/>
        <v>112</v>
      </c>
      <c r="C117" s="4">
        <f t="shared" si="20"/>
        <v>61.33</v>
      </c>
      <c r="D117" s="2">
        <v>11.5</v>
      </c>
      <c r="E117" s="2">
        <v>50.26548245743669</v>
      </c>
      <c r="F117" s="11">
        <f t="shared" si="0"/>
        <v>2.2878523069459957</v>
      </c>
      <c r="G117" s="2">
        <f t="shared" si="1"/>
        <v>140.31398198499792</v>
      </c>
      <c r="H117" s="2">
        <f t="shared" si="2"/>
        <v>2.7741437125450457</v>
      </c>
      <c r="I117" s="2">
        <f t="shared" si="3"/>
        <v>170.13823389038765</v>
      </c>
      <c r="J117" s="2">
        <f t="shared" si="4"/>
        <v>29.82425190538973</v>
      </c>
      <c r="K117" s="15">
        <f t="shared" si="19"/>
        <v>0.70623219373219381</v>
      </c>
      <c r="L117" s="2">
        <f t="shared" si="14"/>
        <v>112</v>
      </c>
      <c r="M117" s="2">
        <f t="shared" si="21"/>
        <v>61.08</v>
      </c>
      <c r="N117" s="2">
        <v>12</v>
      </c>
      <c r="O117" s="2">
        <v>50.26548245743669</v>
      </c>
      <c r="P117" s="11">
        <f t="shared" si="5"/>
        <v>2.3873241463784298</v>
      </c>
      <c r="Q117" s="2">
        <f t="shared" si="6"/>
        <v>145.8177588607945</v>
      </c>
      <c r="R117" s="2">
        <f t="shared" si="7"/>
        <v>2.788875556020562</v>
      </c>
      <c r="S117" s="2">
        <f t="shared" si="8"/>
        <v>170.34451896173593</v>
      </c>
      <c r="T117" s="2">
        <f t="shared" si="9"/>
        <v>24.526760100941431</v>
      </c>
    </row>
    <row r="118" spans="1:20" x14ac:dyDescent="0.25">
      <c r="A118" s="14">
        <f t="shared" si="18"/>
        <v>0.72790242165242158</v>
      </c>
      <c r="B118" s="2">
        <f t="shared" si="11"/>
        <v>113</v>
      </c>
      <c r="C118" s="4">
        <f t="shared" si="20"/>
        <v>61.83</v>
      </c>
      <c r="D118" s="2">
        <v>12</v>
      </c>
      <c r="E118" s="2">
        <v>50.26548245743669</v>
      </c>
      <c r="F118" s="11">
        <f t="shared" si="0"/>
        <v>2.3873241463784298</v>
      </c>
      <c r="G118" s="2">
        <f t="shared" si="1"/>
        <v>147.60825197057832</v>
      </c>
      <c r="H118" s="2">
        <f t="shared" si="2"/>
        <v>2.7741437125450457</v>
      </c>
      <c r="I118" s="2">
        <f t="shared" si="3"/>
        <v>171.52530574666017</v>
      </c>
      <c r="J118" s="2">
        <f t="shared" si="4"/>
        <v>23.917053776081843</v>
      </c>
      <c r="K118" s="15">
        <f t="shared" si="19"/>
        <v>0.70637464387464388</v>
      </c>
      <c r="L118" s="2">
        <f t="shared" si="14"/>
        <v>113</v>
      </c>
      <c r="M118" s="2">
        <f t="shared" si="21"/>
        <v>61.58</v>
      </c>
      <c r="N118" s="2">
        <v>11.5</v>
      </c>
      <c r="O118" s="2">
        <v>50.26548245743669</v>
      </c>
      <c r="P118" s="11">
        <f t="shared" si="5"/>
        <v>2.2878523069459957</v>
      </c>
      <c r="Q118" s="2">
        <f t="shared" si="6"/>
        <v>140.88594506173442</v>
      </c>
      <c r="R118" s="2">
        <f t="shared" si="7"/>
        <v>2.788875556020562</v>
      </c>
      <c r="S118" s="2">
        <f t="shared" si="8"/>
        <v>171.73895673974621</v>
      </c>
      <c r="T118" s="2">
        <f t="shared" si="9"/>
        <v>30.853011678011796</v>
      </c>
    </row>
    <row r="119" spans="1:20" x14ac:dyDescent="0.25">
      <c r="A119" s="14">
        <f t="shared" si="18"/>
        <v>0.72804487179487176</v>
      </c>
      <c r="B119" s="2">
        <f t="shared" si="11"/>
        <v>114</v>
      </c>
      <c r="C119" s="4">
        <f t="shared" si="20"/>
        <v>62.33</v>
      </c>
      <c r="D119" s="2">
        <v>12</v>
      </c>
      <c r="E119" s="2">
        <v>50.26548245743669</v>
      </c>
      <c r="F119" s="11">
        <f t="shared" si="0"/>
        <v>2.3873241463784298</v>
      </c>
      <c r="G119" s="2">
        <f t="shared" si="1"/>
        <v>148.80191404376754</v>
      </c>
      <c r="H119" s="2">
        <f t="shared" si="2"/>
        <v>2.7741437125450457</v>
      </c>
      <c r="I119" s="2">
        <f t="shared" si="3"/>
        <v>172.91237760293268</v>
      </c>
      <c r="J119" s="2">
        <f t="shared" si="4"/>
        <v>24.11046355916514</v>
      </c>
      <c r="K119" s="15">
        <f t="shared" si="19"/>
        <v>0.70651709401709406</v>
      </c>
      <c r="L119" s="2">
        <f t="shared" si="14"/>
        <v>114</v>
      </c>
      <c r="M119" s="2">
        <f t="shared" si="21"/>
        <v>62.08</v>
      </c>
      <c r="N119" s="2">
        <v>11</v>
      </c>
      <c r="O119" s="2">
        <v>50.26548245743669</v>
      </c>
      <c r="P119" s="11">
        <f t="shared" si="5"/>
        <v>2.1883804675135607</v>
      </c>
      <c r="Q119" s="2">
        <f t="shared" si="6"/>
        <v>135.85465942324186</v>
      </c>
      <c r="R119" s="2">
        <f t="shared" si="7"/>
        <v>2.788875556020562</v>
      </c>
      <c r="S119" s="2">
        <f t="shared" si="8"/>
        <v>173.1333945177565</v>
      </c>
      <c r="T119" s="2">
        <f t="shared" si="9"/>
        <v>37.278735094514644</v>
      </c>
    </row>
    <row r="120" spans="1:20" x14ac:dyDescent="0.25">
      <c r="A120" s="14">
        <f t="shared" si="18"/>
        <v>0.72818732193732194</v>
      </c>
      <c r="B120" s="2">
        <f t="shared" si="11"/>
        <v>115</v>
      </c>
      <c r="C120" s="4">
        <f t="shared" si="20"/>
        <v>62.83</v>
      </c>
      <c r="D120" s="2">
        <v>12</v>
      </c>
      <c r="E120" s="2">
        <v>50.26548245743669</v>
      </c>
      <c r="F120" s="11">
        <f t="shared" si="0"/>
        <v>2.3873241463784298</v>
      </c>
      <c r="G120" s="2">
        <f t="shared" si="1"/>
        <v>149.99557611695676</v>
      </c>
      <c r="H120" s="2">
        <f t="shared" si="2"/>
        <v>2.7741437125450457</v>
      </c>
      <c r="I120" s="2">
        <f t="shared" si="3"/>
        <v>174.29944945920522</v>
      </c>
      <c r="J120" s="2">
        <f t="shared" si="4"/>
        <v>24.303873342248465</v>
      </c>
      <c r="K120" s="15">
        <f t="shared" si="19"/>
        <v>0.70665954415954424</v>
      </c>
      <c r="L120" s="2">
        <f t="shared" si="14"/>
        <v>115</v>
      </c>
      <c r="M120" s="2">
        <f t="shared" si="21"/>
        <v>62.58</v>
      </c>
      <c r="N120" s="2">
        <v>12</v>
      </c>
      <c r="O120" s="2">
        <v>50.26548245743669</v>
      </c>
      <c r="P120" s="11">
        <f t="shared" si="5"/>
        <v>2.3873241463784298</v>
      </c>
      <c r="Q120" s="2">
        <f t="shared" si="6"/>
        <v>149.39874508036215</v>
      </c>
      <c r="R120" s="2">
        <f t="shared" si="7"/>
        <v>2.788875556020562</v>
      </c>
      <c r="S120" s="2">
        <f t="shared" si="8"/>
        <v>174.52783229576676</v>
      </c>
      <c r="T120" s="2">
        <f t="shared" si="9"/>
        <v>25.12908721540461</v>
      </c>
    </row>
    <row r="121" spans="1:20" x14ac:dyDescent="0.25">
      <c r="A121" s="14">
        <f t="shared" si="18"/>
        <v>0.72832977207977201</v>
      </c>
      <c r="B121" s="2">
        <f t="shared" si="11"/>
        <v>116</v>
      </c>
      <c r="C121" s="4">
        <f t="shared" si="20"/>
        <v>63.33</v>
      </c>
      <c r="D121" s="2">
        <v>13</v>
      </c>
      <c r="E121" s="2">
        <v>50.26548245743669</v>
      </c>
      <c r="F121" s="11">
        <f t="shared" si="0"/>
        <v>2.5862678252432989</v>
      </c>
      <c r="G121" s="2">
        <f t="shared" si="1"/>
        <v>163.78834137265812</v>
      </c>
      <c r="H121" s="2">
        <f t="shared" si="2"/>
        <v>2.7741437125450457</v>
      </c>
      <c r="I121" s="2">
        <f t="shared" si="3"/>
        <v>175.68652131547773</v>
      </c>
      <c r="J121" s="2">
        <f t="shared" si="4"/>
        <v>11.89817994281961</v>
      </c>
      <c r="K121" s="15">
        <f t="shared" si="19"/>
        <v>0.70680199430199431</v>
      </c>
      <c r="L121" s="2">
        <f t="shared" si="14"/>
        <v>116</v>
      </c>
      <c r="M121" s="2">
        <f t="shared" si="21"/>
        <v>63.08</v>
      </c>
      <c r="N121" s="2">
        <v>14.5</v>
      </c>
      <c r="O121" s="2">
        <v>50.26548245743669</v>
      </c>
      <c r="P121" s="11">
        <f t="shared" si="5"/>
        <v>2.8846833435406034</v>
      </c>
      <c r="Q121" s="2">
        <f t="shared" si="6"/>
        <v>181.96582531054125</v>
      </c>
      <c r="R121" s="2">
        <f t="shared" si="7"/>
        <v>2.788875556020562</v>
      </c>
      <c r="S121" s="2">
        <f t="shared" si="8"/>
        <v>175.92227007377704</v>
      </c>
      <c r="T121" s="2">
        <f t="shared" si="9"/>
        <v>6.043555236764206</v>
      </c>
    </row>
    <row r="122" spans="1:20" x14ac:dyDescent="0.25">
      <c r="A122" s="10">
        <v>0.72847222222222219</v>
      </c>
      <c r="B122" s="2">
        <f t="shared" si="11"/>
        <v>117</v>
      </c>
      <c r="C122" s="4">
        <f t="shared" si="20"/>
        <v>63.83</v>
      </c>
      <c r="D122" s="2">
        <v>13.5</v>
      </c>
      <c r="E122" s="2">
        <v>50.26548245743669</v>
      </c>
      <c r="F122" s="11">
        <f t="shared" si="0"/>
        <v>2.6857396646757339</v>
      </c>
      <c r="G122" s="2">
        <f t="shared" si="1"/>
        <v>171.43076279625208</v>
      </c>
      <c r="H122" s="2">
        <f t="shared" si="2"/>
        <v>2.7741437125450457</v>
      </c>
      <c r="I122" s="2">
        <f t="shared" si="3"/>
        <v>177.07359317175025</v>
      </c>
      <c r="J122" s="2">
        <f t="shared" si="4"/>
        <v>5.6428303754981641</v>
      </c>
      <c r="K122" s="12">
        <v>0.70694444444444449</v>
      </c>
      <c r="L122" s="2">
        <f t="shared" si="14"/>
        <v>117</v>
      </c>
      <c r="M122" s="2">
        <f t="shared" si="21"/>
        <v>63.58</v>
      </c>
      <c r="N122" s="2">
        <v>15</v>
      </c>
      <c r="O122" s="2">
        <v>50.26548245743669</v>
      </c>
      <c r="P122" s="11">
        <f t="shared" si="5"/>
        <v>2.9841551829730379</v>
      </c>
      <c r="Q122" s="2">
        <f t="shared" si="6"/>
        <v>189.73258653342575</v>
      </c>
      <c r="R122" s="2">
        <f t="shared" si="7"/>
        <v>2.788875556020562</v>
      </c>
      <c r="S122" s="2">
        <f t="shared" si="8"/>
        <v>177.31670785178733</v>
      </c>
      <c r="T122" s="2">
        <f t="shared" si="9"/>
        <v>12.415878681638418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0.72861467236467237</v>
      </c>
      <c r="B123" s="2">
        <f t="shared" si="11"/>
        <v>118</v>
      </c>
      <c r="C123" s="4">
        <f t="shared" si="20"/>
        <v>64.33</v>
      </c>
      <c r="D123" s="2">
        <v>14.5</v>
      </c>
      <c r="E123" s="2">
        <v>50.26548245743669</v>
      </c>
      <c r="F123" s="11">
        <f t="shared" si="0"/>
        <v>2.8846833435406034</v>
      </c>
      <c r="G123" s="2">
        <f t="shared" si="1"/>
        <v>185.57167948996701</v>
      </c>
      <c r="H123" s="2">
        <f t="shared" si="2"/>
        <v>2.7741437125450457</v>
      </c>
      <c r="I123" s="2">
        <f t="shared" si="3"/>
        <v>178.46066502802279</v>
      </c>
      <c r="J123" s="2">
        <f t="shared" si="4"/>
        <v>7.1110144619442224</v>
      </c>
      <c r="K123" s="15">
        <f t="shared" ref="K123:K160" si="23">IF(AND($K$122&lt;&gt;"",$K$161&lt;&gt;""), $K$122 + (L123 - $L$122) * (($K$161 - $K$122) / ($L$161 - $L$122)), "")</f>
        <v>0.70678418803418808</v>
      </c>
      <c r="L123" s="2">
        <f t="shared" si="14"/>
        <v>118</v>
      </c>
      <c r="M123" s="2">
        <f t="shared" si="21"/>
        <v>64.08</v>
      </c>
      <c r="N123" s="2">
        <v>15</v>
      </c>
      <c r="O123" s="2">
        <v>50.26548245743669</v>
      </c>
      <c r="P123" s="11">
        <f t="shared" si="5"/>
        <v>2.9841551829730379</v>
      </c>
      <c r="Q123" s="2">
        <f t="shared" si="6"/>
        <v>191.22466412491227</v>
      </c>
      <c r="R123" s="2">
        <f t="shared" si="7"/>
        <v>2.788875556020562</v>
      </c>
      <c r="S123" s="2">
        <f t="shared" si="8"/>
        <v>178.71114562979761</v>
      </c>
      <c r="T123" s="2">
        <f t="shared" si="9"/>
        <v>12.513518495114653</v>
      </c>
    </row>
    <row r="124" spans="1:20" x14ac:dyDescent="0.25">
      <c r="A124" s="14">
        <f t="shared" si="22"/>
        <v>0.72875712250712243</v>
      </c>
      <c r="B124" s="2">
        <f t="shared" si="11"/>
        <v>119</v>
      </c>
      <c r="C124" s="4">
        <f t="shared" si="20"/>
        <v>64.83</v>
      </c>
      <c r="D124" s="2">
        <v>15.5</v>
      </c>
      <c r="E124" s="2">
        <v>50.26548245743669</v>
      </c>
      <c r="F124" s="11">
        <f t="shared" si="0"/>
        <v>3.0836270224054725</v>
      </c>
      <c r="G124" s="2">
        <f t="shared" si="1"/>
        <v>199.91153986254679</v>
      </c>
      <c r="H124" s="2">
        <f t="shared" si="2"/>
        <v>2.7741437125450457</v>
      </c>
      <c r="I124" s="2">
        <f t="shared" si="3"/>
        <v>179.8477368842953</v>
      </c>
      <c r="J124" s="2">
        <f t="shared" si="4"/>
        <v>20.063802978251488</v>
      </c>
      <c r="K124" s="15">
        <f t="shared" si="23"/>
        <v>0.70662393162393167</v>
      </c>
      <c r="L124" s="2">
        <f t="shared" si="14"/>
        <v>119</v>
      </c>
      <c r="M124" s="2">
        <f t="shared" si="21"/>
        <v>64.58</v>
      </c>
      <c r="N124" s="2">
        <v>15</v>
      </c>
      <c r="O124" s="2">
        <v>50.26548245743669</v>
      </c>
      <c r="P124" s="11">
        <f t="shared" si="5"/>
        <v>2.9841551829730379</v>
      </c>
      <c r="Q124" s="2">
        <f t="shared" si="6"/>
        <v>192.71674171639879</v>
      </c>
      <c r="R124" s="2">
        <f t="shared" si="7"/>
        <v>2.788875556020562</v>
      </c>
      <c r="S124" s="2">
        <f t="shared" si="8"/>
        <v>180.1055834078079</v>
      </c>
      <c r="T124" s="2">
        <f t="shared" si="9"/>
        <v>12.611158308590888</v>
      </c>
    </row>
    <row r="125" spans="1:20" x14ac:dyDescent="0.25">
      <c r="A125" s="14">
        <f t="shared" si="22"/>
        <v>0.72889957264957261</v>
      </c>
      <c r="B125" s="2">
        <f t="shared" si="11"/>
        <v>120</v>
      </c>
      <c r="C125" s="4">
        <f t="shared" si="20"/>
        <v>65.33</v>
      </c>
      <c r="D125" s="2">
        <v>15.5</v>
      </c>
      <c r="E125" s="2">
        <v>50.26548245743669</v>
      </c>
      <c r="F125" s="11">
        <f t="shared" si="0"/>
        <v>3.0836270224054725</v>
      </c>
      <c r="G125" s="2">
        <f t="shared" si="1"/>
        <v>201.45335337374951</v>
      </c>
      <c r="H125" s="2">
        <f t="shared" si="2"/>
        <v>2.7741437125450457</v>
      </c>
      <c r="I125" s="2">
        <f t="shared" si="3"/>
        <v>181.23480874056781</v>
      </c>
      <c r="J125" s="2">
        <f t="shared" si="4"/>
        <v>20.218544633181693</v>
      </c>
      <c r="K125" s="15">
        <f t="shared" si="23"/>
        <v>0.70646367521367526</v>
      </c>
      <c r="L125" s="2">
        <f t="shared" si="14"/>
        <v>120</v>
      </c>
      <c r="M125" s="2">
        <f t="shared" si="21"/>
        <v>65.08</v>
      </c>
      <c r="N125" s="2">
        <v>14</v>
      </c>
      <c r="O125" s="2">
        <v>50.26548245743669</v>
      </c>
      <c r="P125" s="11">
        <f t="shared" si="5"/>
        <v>2.7852115041081689</v>
      </c>
      <c r="Q125" s="2">
        <f t="shared" si="6"/>
        <v>181.26156468735962</v>
      </c>
      <c r="R125" s="2">
        <f t="shared" si="7"/>
        <v>2.788875556020562</v>
      </c>
      <c r="S125" s="2">
        <f t="shared" si="8"/>
        <v>181.50002118581818</v>
      </c>
      <c r="T125" s="2">
        <f t="shared" si="9"/>
        <v>0.23845649845856087</v>
      </c>
    </row>
    <row r="126" spans="1:20" x14ac:dyDescent="0.25">
      <c r="A126" s="14">
        <f t="shared" si="22"/>
        <v>0.72904202279202279</v>
      </c>
      <c r="B126" s="2">
        <f t="shared" si="11"/>
        <v>121</v>
      </c>
      <c r="C126" s="4">
        <f t="shared" si="20"/>
        <v>65.83</v>
      </c>
      <c r="D126" s="2">
        <v>15</v>
      </c>
      <c r="E126" s="2">
        <v>50.26548245743669</v>
      </c>
      <c r="F126" s="11">
        <f t="shared" si="0"/>
        <v>2.9841551829730379</v>
      </c>
      <c r="G126" s="2">
        <f t="shared" si="1"/>
        <v>196.44693569511509</v>
      </c>
      <c r="H126" s="2">
        <f t="shared" si="2"/>
        <v>2.7741437125450457</v>
      </c>
      <c r="I126" s="2">
        <f t="shared" si="3"/>
        <v>182.62188059684036</v>
      </c>
      <c r="J126" s="2">
        <f t="shared" si="4"/>
        <v>13.825055098274731</v>
      </c>
      <c r="K126" s="15">
        <f t="shared" si="23"/>
        <v>0.70630341880341885</v>
      </c>
      <c r="L126" s="2">
        <f t="shared" si="14"/>
        <v>121</v>
      </c>
      <c r="M126" s="2">
        <f t="shared" si="21"/>
        <v>65.58</v>
      </c>
      <c r="N126" s="2">
        <v>14.5</v>
      </c>
      <c r="O126" s="2">
        <v>50.26548245743669</v>
      </c>
      <c r="P126" s="11">
        <f t="shared" si="5"/>
        <v>2.8846833435406034</v>
      </c>
      <c r="Q126" s="2">
        <f t="shared" si="6"/>
        <v>189.17753366939277</v>
      </c>
      <c r="R126" s="2">
        <f t="shared" si="7"/>
        <v>2.788875556020562</v>
      </c>
      <c r="S126" s="2">
        <f t="shared" si="8"/>
        <v>182.89445896382844</v>
      </c>
      <c r="T126" s="2">
        <f t="shared" si="9"/>
        <v>6.2830747055643315</v>
      </c>
    </row>
    <row r="127" spans="1:20" x14ac:dyDescent="0.25">
      <c r="A127" s="14">
        <f t="shared" si="22"/>
        <v>0.72918447293447286</v>
      </c>
      <c r="B127" s="2">
        <f t="shared" si="11"/>
        <v>122</v>
      </c>
      <c r="C127" s="4">
        <f t="shared" si="20"/>
        <v>66.33</v>
      </c>
      <c r="D127" s="2">
        <v>15</v>
      </c>
      <c r="E127" s="2">
        <v>50.26548245743669</v>
      </c>
      <c r="F127" s="11">
        <f t="shared" si="0"/>
        <v>2.9841551829730379</v>
      </c>
      <c r="G127" s="2">
        <f t="shared" si="1"/>
        <v>197.93901328660161</v>
      </c>
      <c r="H127" s="2">
        <f t="shared" si="2"/>
        <v>2.7741437125450457</v>
      </c>
      <c r="I127" s="2">
        <f t="shared" si="3"/>
        <v>184.00895245311287</v>
      </c>
      <c r="J127" s="2">
        <f t="shared" si="4"/>
        <v>13.930060833488739</v>
      </c>
      <c r="K127" s="15">
        <f t="shared" si="23"/>
        <v>0.70614316239316244</v>
      </c>
      <c r="L127" s="2">
        <f t="shared" si="14"/>
        <v>122</v>
      </c>
      <c r="M127" s="2">
        <f t="shared" si="21"/>
        <v>66.08</v>
      </c>
      <c r="N127" s="2">
        <v>15</v>
      </c>
      <c r="O127" s="2">
        <v>50.26548245743669</v>
      </c>
      <c r="P127" s="11">
        <f t="shared" si="5"/>
        <v>2.9841551829730379</v>
      </c>
      <c r="Q127" s="2">
        <f t="shared" si="6"/>
        <v>197.19297449085835</v>
      </c>
      <c r="R127" s="2">
        <f t="shared" si="7"/>
        <v>2.788875556020562</v>
      </c>
      <c r="S127" s="2">
        <f t="shared" si="8"/>
        <v>184.28889674183873</v>
      </c>
      <c r="T127" s="2">
        <f t="shared" si="9"/>
        <v>12.904077749019621</v>
      </c>
    </row>
    <row r="128" spans="1:20" x14ac:dyDescent="0.25">
      <c r="A128" s="14">
        <f t="shared" si="22"/>
        <v>0.72932692307692304</v>
      </c>
      <c r="B128" s="2">
        <f t="shared" si="11"/>
        <v>123</v>
      </c>
      <c r="C128" s="4">
        <f t="shared" si="20"/>
        <v>66.83</v>
      </c>
      <c r="D128" s="2">
        <v>15.5</v>
      </c>
      <c r="E128" s="2">
        <v>50.26548245743669</v>
      </c>
      <c r="F128" s="11">
        <f t="shared" si="0"/>
        <v>3.0836270224054725</v>
      </c>
      <c r="G128" s="2">
        <f t="shared" si="1"/>
        <v>206.07879390735772</v>
      </c>
      <c r="H128" s="2">
        <f t="shared" si="2"/>
        <v>2.7741437125450457</v>
      </c>
      <c r="I128" s="2">
        <f t="shared" si="3"/>
        <v>185.39602430938541</v>
      </c>
      <c r="J128" s="2">
        <f t="shared" si="4"/>
        <v>20.68276959797231</v>
      </c>
      <c r="K128" s="15">
        <f t="shared" si="23"/>
        <v>0.70598290598290603</v>
      </c>
      <c r="L128" s="2">
        <f t="shared" si="14"/>
        <v>123</v>
      </c>
      <c r="M128" s="2">
        <f t="shared" si="21"/>
        <v>66.58</v>
      </c>
      <c r="N128" s="2">
        <v>15.5</v>
      </c>
      <c r="O128" s="2">
        <v>50.26548245743669</v>
      </c>
      <c r="P128" s="11">
        <f t="shared" si="5"/>
        <v>3.0836270224054725</v>
      </c>
      <c r="Q128" s="2">
        <f t="shared" si="6"/>
        <v>205.30788715175635</v>
      </c>
      <c r="R128" s="2">
        <f t="shared" si="7"/>
        <v>2.788875556020562</v>
      </c>
      <c r="S128" s="2">
        <f t="shared" si="8"/>
        <v>185.68333451984901</v>
      </c>
      <c r="T128" s="2">
        <f t="shared" si="9"/>
        <v>19.624552631907335</v>
      </c>
    </row>
    <row r="129" spans="1:20" x14ac:dyDescent="0.25">
      <c r="A129" s="14">
        <f t="shared" si="22"/>
        <v>0.72946937321937322</v>
      </c>
      <c r="B129" s="2">
        <f t="shared" si="11"/>
        <v>124</v>
      </c>
      <c r="C129" s="4">
        <f t="shared" si="20"/>
        <v>67.33</v>
      </c>
      <c r="D129" s="2">
        <v>17</v>
      </c>
      <c r="E129" s="2">
        <v>50.26548245743669</v>
      </c>
      <c r="F129" s="11">
        <f t="shared" si="0"/>
        <v>3.3820425407027761</v>
      </c>
      <c r="G129" s="2">
        <f t="shared" si="1"/>
        <v>227.7129242655179</v>
      </c>
      <c r="H129" s="2">
        <f t="shared" si="2"/>
        <v>2.7741437125450457</v>
      </c>
      <c r="I129" s="2">
        <f t="shared" si="3"/>
        <v>186.78309616565792</v>
      </c>
      <c r="J129" s="2">
        <f t="shared" si="4"/>
        <v>40.929828099859975</v>
      </c>
      <c r="K129" s="15">
        <f t="shared" si="23"/>
        <v>0.70582264957264962</v>
      </c>
      <c r="L129" s="2">
        <f t="shared" si="14"/>
        <v>124</v>
      </c>
      <c r="M129" s="2">
        <f t="shared" si="21"/>
        <v>67.08</v>
      </c>
      <c r="N129" s="2">
        <v>15</v>
      </c>
      <c r="O129" s="2">
        <v>50.26548245743669</v>
      </c>
      <c r="P129" s="11">
        <f t="shared" si="5"/>
        <v>2.9841551829730379</v>
      </c>
      <c r="Q129" s="2">
        <f t="shared" si="6"/>
        <v>200.17712967383139</v>
      </c>
      <c r="R129" s="2">
        <f t="shared" si="7"/>
        <v>2.788875556020562</v>
      </c>
      <c r="S129" s="2">
        <f t="shared" si="8"/>
        <v>187.0777722978593</v>
      </c>
      <c r="T129" s="2">
        <f t="shared" si="9"/>
        <v>13.09935737597209</v>
      </c>
    </row>
    <row r="130" spans="1:20" x14ac:dyDescent="0.25">
      <c r="A130" s="14">
        <f t="shared" si="22"/>
        <v>0.72961182336182329</v>
      </c>
      <c r="B130" s="2">
        <f t="shared" si="11"/>
        <v>125</v>
      </c>
      <c r="C130" s="4">
        <f t="shared" si="20"/>
        <v>67.83</v>
      </c>
      <c r="D130" s="2">
        <v>14.5</v>
      </c>
      <c r="E130" s="2">
        <v>50.26548245743669</v>
      </c>
      <c r="F130" s="11">
        <f t="shared" si="0"/>
        <v>2.8846833435406034</v>
      </c>
      <c r="G130" s="2">
        <f t="shared" si="1"/>
        <v>195.66807119235912</v>
      </c>
      <c r="H130" s="2">
        <f t="shared" si="2"/>
        <v>2.7741437125450457</v>
      </c>
      <c r="I130" s="2">
        <f t="shared" si="3"/>
        <v>188.17016802193044</v>
      </c>
      <c r="J130" s="2">
        <f t="shared" si="4"/>
        <v>7.4979031704286854</v>
      </c>
      <c r="K130" s="15">
        <f t="shared" si="23"/>
        <v>0.70566239316239321</v>
      </c>
      <c r="L130" s="2">
        <f t="shared" si="14"/>
        <v>125</v>
      </c>
      <c r="M130" s="2">
        <f t="shared" si="21"/>
        <v>67.58</v>
      </c>
      <c r="N130" s="2">
        <v>16</v>
      </c>
      <c r="O130" s="2">
        <v>50.26548245743669</v>
      </c>
      <c r="P130" s="11">
        <f t="shared" si="5"/>
        <v>3.183098861837907</v>
      </c>
      <c r="Q130" s="2">
        <f t="shared" si="6"/>
        <v>215.11382108300575</v>
      </c>
      <c r="R130" s="2">
        <f t="shared" si="7"/>
        <v>2.788875556020562</v>
      </c>
      <c r="S130" s="2">
        <f t="shared" si="8"/>
        <v>188.47221007586958</v>
      </c>
      <c r="T130" s="2">
        <f t="shared" si="9"/>
        <v>26.641611007136163</v>
      </c>
    </row>
    <row r="131" spans="1:20" x14ac:dyDescent="0.25">
      <c r="A131" s="14">
        <f t="shared" si="22"/>
        <v>0.72975427350427347</v>
      </c>
      <c r="B131" s="2">
        <f t="shared" si="11"/>
        <v>126</v>
      </c>
      <c r="C131" s="4">
        <f t="shared" si="20"/>
        <v>68.33</v>
      </c>
      <c r="D131" s="2">
        <v>14</v>
      </c>
      <c r="E131" s="2">
        <v>50.26548245743669</v>
      </c>
      <c r="F131" s="11">
        <f t="shared" si="0"/>
        <v>2.7852115041081689</v>
      </c>
      <c r="G131" s="2">
        <f t="shared" si="1"/>
        <v>190.31350207571117</v>
      </c>
      <c r="H131" s="2">
        <f t="shared" si="2"/>
        <v>2.7741437125450457</v>
      </c>
      <c r="I131" s="2">
        <f t="shared" si="3"/>
        <v>189.55723987820298</v>
      </c>
      <c r="J131" s="2">
        <f t="shared" si="4"/>
        <v>0.75626219750819246</v>
      </c>
      <c r="K131" s="15">
        <f t="shared" si="23"/>
        <v>0.7055021367521368</v>
      </c>
      <c r="L131" s="2">
        <f t="shared" si="14"/>
        <v>126</v>
      </c>
      <c r="M131" s="2">
        <f t="shared" si="21"/>
        <v>68.08</v>
      </c>
      <c r="N131" s="2">
        <v>16</v>
      </c>
      <c r="O131" s="2">
        <v>50.26548245743669</v>
      </c>
      <c r="P131" s="11">
        <f t="shared" si="5"/>
        <v>3.183098861837907</v>
      </c>
      <c r="Q131" s="2">
        <f t="shared" si="6"/>
        <v>216.70537051392469</v>
      </c>
      <c r="R131" s="2">
        <f t="shared" si="7"/>
        <v>2.788875556020562</v>
      </c>
      <c r="S131" s="2">
        <f t="shared" si="8"/>
        <v>189.86664785387987</v>
      </c>
      <c r="T131" s="2">
        <f t="shared" si="9"/>
        <v>26.838722660044823</v>
      </c>
    </row>
    <row r="132" spans="1:20" x14ac:dyDescent="0.25">
      <c r="A132" s="14">
        <f t="shared" si="22"/>
        <v>0.72989672364672364</v>
      </c>
      <c r="B132" s="2">
        <f t="shared" si="11"/>
        <v>127</v>
      </c>
      <c r="C132" s="4">
        <f t="shared" si="20"/>
        <v>68.83</v>
      </c>
      <c r="D132" s="2">
        <v>13</v>
      </c>
      <c r="E132" s="2">
        <v>50.26548245743669</v>
      </c>
      <c r="F132" s="11">
        <f t="shared" si="0"/>
        <v>2.5862678252432989</v>
      </c>
      <c r="G132" s="2">
        <f t="shared" si="1"/>
        <v>178.01281441149627</v>
      </c>
      <c r="H132" s="2">
        <f t="shared" si="2"/>
        <v>2.7741437125450457</v>
      </c>
      <c r="I132" s="2">
        <f t="shared" si="3"/>
        <v>190.94431173447549</v>
      </c>
      <c r="J132" s="2">
        <f t="shared" si="4"/>
        <v>12.931497322979226</v>
      </c>
      <c r="K132" s="15">
        <f t="shared" si="23"/>
        <v>0.70534188034188039</v>
      </c>
      <c r="L132" s="2">
        <f t="shared" si="14"/>
        <v>127</v>
      </c>
      <c r="M132" s="2">
        <f t="shared" si="21"/>
        <v>68.58</v>
      </c>
      <c r="N132" s="2">
        <v>15.5</v>
      </c>
      <c r="O132" s="2">
        <v>50.26548245743669</v>
      </c>
      <c r="P132" s="11">
        <f t="shared" si="5"/>
        <v>3.0836270224054725</v>
      </c>
      <c r="Q132" s="2">
        <f t="shared" si="6"/>
        <v>211.47514119656731</v>
      </c>
      <c r="R132" s="2">
        <f t="shared" si="7"/>
        <v>2.788875556020562</v>
      </c>
      <c r="S132" s="2">
        <f t="shared" si="8"/>
        <v>191.26108563189013</v>
      </c>
      <c r="T132" s="2">
        <f t="shared" si="9"/>
        <v>20.214055564677182</v>
      </c>
    </row>
    <row r="133" spans="1:20" x14ac:dyDescent="0.25">
      <c r="A133" s="14">
        <f t="shared" si="22"/>
        <v>0.73003917378917371</v>
      </c>
      <c r="B133" s="2">
        <f t="shared" si="11"/>
        <v>128</v>
      </c>
      <c r="C133" s="4">
        <f t="shared" si="20"/>
        <v>69.33</v>
      </c>
      <c r="D133" s="2">
        <v>14</v>
      </c>
      <c r="E133" s="2">
        <v>50.26548245743669</v>
      </c>
      <c r="F133" s="11">
        <f t="shared" si="0"/>
        <v>2.7852115041081689</v>
      </c>
      <c r="G133" s="2">
        <f t="shared" si="1"/>
        <v>193.09871357981933</v>
      </c>
      <c r="H133" s="2">
        <f t="shared" si="2"/>
        <v>2.7741437125450457</v>
      </c>
      <c r="I133" s="2">
        <f t="shared" si="3"/>
        <v>192.331383590748</v>
      </c>
      <c r="J133" s="2">
        <f t="shared" si="4"/>
        <v>0.7673299890713281</v>
      </c>
      <c r="K133" s="15">
        <f t="shared" si="23"/>
        <v>0.70518162393162398</v>
      </c>
      <c r="L133" s="2">
        <f t="shared" si="14"/>
        <v>128</v>
      </c>
      <c r="M133" s="2">
        <f t="shared" si="21"/>
        <v>69.08</v>
      </c>
      <c r="N133" s="2">
        <v>14.5</v>
      </c>
      <c r="O133" s="2">
        <v>50.26548245743669</v>
      </c>
      <c r="P133" s="11">
        <f t="shared" si="5"/>
        <v>2.8846833435406034</v>
      </c>
      <c r="Q133" s="2">
        <f t="shared" si="6"/>
        <v>199.27392537178488</v>
      </c>
      <c r="R133" s="2">
        <f t="shared" si="7"/>
        <v>2.788875556020562</v>
      </c>
      <c r="S133" s="2">
        <f t="shared" si="8"/>
        <v>192.65552340990041</v>
      </c>
      <c r="T133" s="2">
        <f t="shared" si="9"/>
        <v>6.6184019618844729</v>
      </c>
    </row>
    <row r="134" spans="1:20" x14ac:dyDescent="0.25">
      <c r="A134" s="14">
        <f t="shared" si="22"/>
        <v>0.73018162393162389</v>
      </c>
      <c r="B134" s="2">
        <f t="shared" si="11"/>
        <v>129</v>
      </c>
      <c r="C134" s="4">
        <f t="shared" si="20"/>
        <v>69.83</v>
      </c>
      <c r="D134" s="2">
        <v>14</v>
      </c>
      <c r="E134" s="2">
        <v>50.26548245743669</v>
      </c>
      <c r="F134" s="11">
        <f t="shared" si="0"/>
        <v>2.7852115041081689</v>
      </c>
      <c r="G134" s="2">
        <f t="shared" si="1"/>
        <v>194.49131933187343</v>
      </c>
      <c r="H134" s="2">
        <f t="shared" si="2"/>
        <v>2.7741437125450457</v>
      </c>
      <c r="I134" s="2">
        <f t="shared" si="3"/>
        <v>193.71845544702055</v>
      </c>
      <c r="J134" s="2">
        <f t="shared" si="4"/>
        <v>0.77286388485288171</v>
      </c>
      <c r="K134" s="15">
        <f t="shared" si="23"/>
        <v>0.70502136752136757</v>
      </c>
      <c r="L134" s="2">
        <f t="shared" si="14"/>
        <v>129</v>
      </c>
      <c r="M134" s="2">
        <f t="shared" si="21"/>
        <v>69.58</v>
      </c>
      <c r="N134" s="2">
        <v>15</v>
      </c>
      <c r="O134" s="2">
        <v>50.26548245743669</v>
      </c>
      <c r="P134" s="11">
        <f t="shared" si="5"/>
        <v>2.9841551829730379</v>
      </c>
      <c r="Q134" s="2">
        <f t="shared" si="6"/>
        <v>207.63751763126396</v>
      </c>
      <c r="R134" s="2">
        <f t="shared" si="7"/>
        <v>2.788875556020562</v>
      </c>
      <c r="S134" s="2">
        <f t="shared" si="8"/>
        <v>194.0499611879107</v>
      </c>
      <c r="T134" s="2">
        <f t="shared" si="9"/>
        <v>13.587556443353265</v>
      </c>
    </row>
    <row r="135" spans="1:20" x14ac:dyDescent="0.25">
      <c r="A135" s="14">
        <f t="shared" si="22"/>
        <v>0.73032407407407407</v>
      </c>
      <c r="B135" s="2">
        <f t="shared" si="11"/>
        <v>130</v>
      </c>
      <c r="C135" s="4">
        <f t="shared" si="20"/>
        <v>70.33</v>
      </c>
      <c r="D135" s="2">
        <v>14.5</v>
      </c>
      <c r="E135" s="2">
        <v>50.26548245743669</v>
      </c>
      <c r="F135" s="11">
        <f t="shared" si="0"/>
        <v>2.8846833435406034</v>
      </c>
      <c r="G135" s="2">
        <f t="shared" si="1"/>
        <v>202.87977955121065</v>
      </c>
      <c r="H135" s="2">
        <f t="shared" si="2"/>
        <v>2.7741437125450457</v>
      </c>
      <c r="I135" s="2">
        <f t="shared" si="3"/>
        <v>195.10552730329306</v>
      </c>
      <c r="J135" s="2">
        <f t="shared" si="4"/>
        <v>7.7742522479175875</v>
      </c>
      <c r="K135" s="15">
        <f t="shared" si="23"/>
        <v>0.70486111111111116</v>
      </c>
      <c r="L135" s="2">
        <f t="shared" si="14"/>
        <v>130</v>
      </c>
      <c r="M135" s="2">
        <f t="shared" si="21"/>
        <v>70.08</v>
      </c>
      <c r="N135" s="2">
        <v>14.5</v>
      </c>
      <c r="O135" s="2">
        <v>50.26548245743669</v>
      </c>
      <c r="P135" s="11">
        <f t="shared" si="5"/>
        <v>2.8846833435406034</v>
      </c>
      <c r="Q135" s="2">
        <f t="shared" si="6"/>
        <v>202.15860871532547</v>
      </c>
      <c r="R135" s="2">
        <f t="shared" si="7"/>
        <v>2.788875556020562</v>
      </c>
      <c r="S135" s="2">
        <f t="shared" si="8"/>
        <v>195.44439896592098</v>
      </c>
      <c r="T135" s="2">
        <f t="shared" si="9"/>
        <v>6.714209749404489</v>
      </c>
    </row>
    <row r="136" spans="1:20" x14ac:dyDescent="0.25">
      <c r="A136" s="14">
        <f t="shared" si="22"/>
        <v>0.73046652421652414</v>
      </c>
      <c r="B136" s="2">
        <f t="shared" si="11"/>
        <v>131</v>
      </c>
      <c r="C136" s="4">
        <f t="shared" si="20"/>
        <v>70.83</v>
      </c>
      <c r="D136" s="2">
        <v>13.5</v>
      </c>
      <c r="E136" s="2">
        <v>50.26548245743669</v>
      </c>
      <c r="F136" s="11">
        <f t="shared" si="0"/>
        <v>2.6857396646757339</v>
      </c>
      <c r="G136" s="2">
        <f t="shared" si="1"/>
        <v>190.23094044898224</v>
      </c>
      <c r="H136" s="2">
        <f t="shared" si="2"/>
        <v>2.7741437125450457</v>
      </c>
      <c r="I136" s="2">
        <f t="shared" si="3"/>
        <v>196.49259915956557</v>
      </c>
      <c r="J136" s="2">
        <f t="shared" si="4"/>
        <v>6.2616587105833332</v>
      </c>
      <c r="K136" s="15">
        <f t="shared" si="23"/>
        <v>0.70470085470085475</v>
      </c>
      <c r="L136" s="2">
        <f t="shared" si="14"/>
        <v>131</v>
      </c>
      <c r="M136" s="2">
        <f t="shared" si="21"/>
        <v>70.58</v>
      </c>
      <c r="N136" s="2">
        <v>14</v>
      </c>
      <c r="O136" s="2">
        <v>50.26548245743669</v>
      </c>
      <c r="P136" s="11">
        <f t="shared" si="5"/>
        <v>2.7852115041081689</v>
      </c>
      <c r="Q136" s="2">
        <f t="shared" si="6"/>
        <v>196.58022795995456</v>
      </c>
      <c r="R136" s="2">
        <f t="shared" si="7"/>
        <v>2.788875556020562</v>
      </c>
      <c r="S136" s="2">
        <f t="shared" si="8"/>
        <v>196.83883674393127</v>
      </c>
      <c r="T136" s="2">
        <f t="shared" si="9"/>
        <v>0.25860878397671172</v>
      </c>
    </row>
    <row r="137" spans="1:20" x14ac:dyDescent="0.25">
      <c r="A137" s="14">
        <f t="shared" si="22"/>
        <v>0.73060897435897432</v>
      </c>
      <c r="B137" s="2">
        <f t="shared" si="11"/>
        <v>132</v>
      </c>
      <c r="C137" s="4">
        <f t="shared" si="20"/>
        <v>71.33</v>
      </c>
      <c r="D137" s="2">
        <v>14</v>
      </c>
      <c r="E137" s="2">
        <v>50.26548245743669</v>
      </c>
      <c r="F137" s="11">
        <f t="shared" si="0"/>
        <v>2.7852115041081689</v>
      </c>
      <c r="G137" s="2">
        <f t="shared" si="1"/>
        <v>198.66913658803568</v>
      </c>
      <c r="H137" s="2">
        <f t="shared" si="2"/>
        <v>2.7741437125450457</v>
      </c>
      <c r="I137" s="2">
        <f t="shared" si="3"/>
        <v>197.87967101583811</v>
      </c>
      <c r="J137" s="2">
        <f t="shared" si="4"/>
        <v>0.78946557219757096</v>
      </c>
      <c r="K137" s="15">
        <f t="shared" si="23"/>
        <v>0.70454059829059834</v>
      </c>
      <c r="L137" s="2">
        <f t="shared" si="14"/>
        <v>132</v>
      </c>
      <c r="M137" s="2">
        <f t="shared" si="21"/>
        <v>71.08</v>
      </c>
      <c r="N137" s="2">
        <v>14.5</v>
      </c>
      <c r="O137" s="2">
        <v>50.26548245743669</v>
      </c>
      <c r="P137" s="11">
        <f t="shared" si="5"/>
        <v>2.8846833435406034</v>
      </c>
      <c r="Q137" s="2">
        <f t="shared" si="6"/>
        <v>205.04329205886609</v>
      </c>
      <c r="R137" s="2">
        <f t="shared" si="7"/>
        <v>2.788875556020562</v>
      </c>
      <c r="S137" s="2">
        <f t="shared" si="8"/>
        <v>198.23327452194155</v>
      </c>
      <c r="T137" s="2">
        <f t="shared" si="9"/>
        <v>6.8100175369245335</v>
      </c>
    </row>
    <row r="138" spans="1:20" x14ac:dyDescent="0.25">
      <c r="A138" s="14">
        <f t="shared" si="22"/>
        <v>0.7307514245014245</v>
      </c>
      <c r="B138" s="2">
        <f t="shared" si="11"/>
        <v>133</v>
      </c>
      <c r="C138" s="4">
        <f t="shared" si="20"/>
        <v>71.83</v>
      </c>
      <c r="D138" s="2">
        <v>14.5</v>
      </c>
      <c r="E138" s="2">
        <v>50.26548245743669</v>
      </c>
      <c r="F138" s="11">
        <f t="shared" si="0"/>
        <v>2.8846833435406034</v>
      </c>
      <c r="G138" s="2">
        <f t="shared" si="1"/>
        <v>207.20680456652153</v>
      </c>
      <c r="H138" s="2">
        <f t="shared" si="2"/>
        <v>2.7741437125450457</v>
      </c>
      <c r="I138" s="2">
        <f t="shared" si="3"/>
        <v>199.26674287211063</v>
      </c>
      <c r="J138" s="2">
        <f t="shared" si="4"/>
        <v>7.9400616944109004</v>
      </c>
      <c r="K138" s="15">
        <f t="shared" si="23"/>
        <v>0.70438034188034193</v>
      </c>
      <c r="L138" s="2">
        <f t="shared" si="14"/>
        <v>133</v>
      </c>
      <c r="M138" s="2">
        <f t="shared" si="21"/>
        <v>71.58</v>
      </c>
      <c r="N138" s="2">
        <v>16.5</v>
      </c>
      <c r="O138" s="2">
        <v>50.26548245743669</v>
      </c>
      <c r="P138" s="11">
        <f t="shared" si="5"/>
        <v>3.2825707012703416</v>
      </c>
      <c r="Q138" s="2">
        <f t="shared" si="6"/>
        <v>234.96641079693103</v>
      </c>
      <c r="R138" s="2">
        <f t="shared" si="7"/>
        <v>2.788875556020562</v>
      </c>
      <c r="S138" s="2">
        <f t="shared" si="8"/>
        <v>199.62771229995184</v>
      </c>
      <c r="T138" s="2">
        <f t="shared" si="9"/>
        <v>35.338698496979191</v>
      </c>
    </row>
    <row r="139" spans="1:20" x14ac:dyDescent="0.25">
      <c r="A139" s="14">
        <f t="shared" si="22"/>
        <v>0.73089387464387456</v>
      </c>
      <c r="B139" s="2">
        <f t="shared" si="11"/>
        <v>134</v>
      </c>
      <c r="C139" s="4">
        <f t="shared" si="20"/>
        <v>72.33</v>
      </c>
      <c r="D139" s="2">
        <v>14</v>
      </c>
      <c r="E139" s="2">
        <v>50.26548245743669</v>
      </c>
      <c r="F139" s="11">
        <f t="shared" si="0"/>
        <v>2.7852115041081689</v>
      </c>
      <c r="G139" s="2">
        <f t="shared" si="1"/>
        <v>201.45434809214385</v>
      </c>
      <c r="H139" s="2">
        <f t="shared" si="2"/>
        <v>2.7741437125450457</v>
      </c>
      <c r="I139" s="2">
        <f t="shared" si="3"/>
        <v>200.65381472838314</v>
      </c>
      <c r="J139" s="2">
        <f t="shared" si="4"/>
        <v>0.80053336376070661</v>
      </c>
      <c r="K139" s="15">
        <f t="shared" si="23"/>
        <v>0.70422008547008552</v>
      </c>
      <c r="L139" s="2">
        <f t="shared" si="14"/>
        <v>134</v>
      </c>
      <c r="M139" s="2">
        <f t="shared" si="21"/>
        <v>72.08</v>
      </c>
      <c r="N139" s="2">
        <v>13.5</v>
      </c>
      <c r="O139" s="2">
        <v>50.26548245743669</v>
      </c>
      <c r="P139" s="11">
        <f t="shared" si="5"/>
        <v>2.6857396646757339</v>
      </c>
      <c r="Q139" s="2">
        <f t="shared" si="6"/>
        <v>193.58811502982689</v>
      </c>
      <c r="R139" s="2">
        <f t="shared" si="7"/>
        <v>2.788875556020562</v>
      </c>
      <c r="S139" s="2">
        <f t="shared" si="8"/>
        <v>201.0221500779621</v>
      </c>
      <c r="T139" s="2">
        <f t="shared" si="9"/>
        <v>7.4340350481352004</v>
      </c>
    </row>
    <row r="140" spans="1:20" x14ac:dyDescent="0.25">
      <c r="A140" s="14">
        <f t="shared" si="22"/>
        <v>0.73103632478632474</v>
      </c>
      <c r="B140" s="2">
        <f t="shared" si="11"/>
        <v>135</v>
      </c>
      <c r="C140" s="4">
        <f t="shared" si="20"/>
        <v>72.83</v>
      </c>
      <c r="D140" s="2">
        <v>14.5</v>
      </c>
      <c r="E140" s="2">
        <v>50.26548245743669</v>
      </c>
      <c r="F140" s="11">
        <f t="shared" si="0"/>
        <v>2.8846833435406034</v>
      </c>
      <c r="G140" s="2">
        <f t="shared" si="1"/>
        <v>210.09148791006214</v>
      </c>
      <c r="H140" s="2">
        <f t="shared" si="2"/>
        <v>2.7741437125450457</v>
      </c>
      <c r="I140" s="2">
        <f t="shared" si="3"/>
        <v>202.04088658465568</v>
      </c>
      <c r="J140" s="2">
        <f t="shared" si="4"/>
        <v>8.0506013254064612</v>
      </c>
      <c r="K140" s="15">
        <f t="shared" si="23"/>
        <v>0.70405982905982911</v>
      </c>
      <c r="L140" s="2">
        <f t="shared" si="14"/>
        <v>135</v>
      </c>
      <c r="M140" s="2">
        <f t="shared" si="21"/>
        <v>72.58</v>
      </c>
      <c r="N140" s="2">
        <v>14</v>
      </c>
      <c r="O140" s="2">
        <v>50.26548245743669</v>
      </c>
      <c r="P140" s="11">
        <f t="shared" si="5"/>
        <v>2.7852115041081689</v>
      </c>
      <c r="Q140" s="2">
        <f t="shared" si="6"/>
        <v>202.15065096817088</v>
      </c>
      <c r="R140" s="2">
        <f t="shared" si="7"/>
        <v>2.788875556020562</v>
      </c>
      <c r="S140" s="2">
        <f t="shared" si="8"/>
        <v>202.41658785597238</v>
      </c>
      <c r="T140" s="2">
        <f t="shared" si="9"/>
        <v>0.2659368878015016</v>
      </c>
    </row>
    <row r="141" spans="1:20" x14ac:dyDescent="0.25">
      <c r="A141" s="14">
        <f t="shared" si="22"/>
        <v>0.73117877492877492</v>
      </c>
      <c r="B141" s="2">
        <f t="shared" si="11"/>
        <v>136</v>
      </c>
      <c r="C141" s="4">
        <f t="shared" si="20"/>
        <v>73.33</v>
      </c>
      <c r="D141" s="2">
        <v>14.5</v>
      </c>
      <c r="E141" s="2">
        <v>50.26548245743669</v>
      </c>
      <c r="F141" s="11">
        <f t="shared" si="0"/>
        <v>2.8846833435406034</v>
      </c>
      <c r="G141" s="2">
        <f t="shared" si="1"/>
        <v>211.53382958183244</v>
      </c>
      <c r="H141" s="2">
        <f t="shared" si="2"/>
        <v>2.7741437125450457</v>
      </c>
      <c r="I141" s="2">
        <f t="shared" si="3"/>
        <v>203.42795844092819</v>
      </c>
      <c r="J141" s="2">
        <f t="shared" si="4"/>
        <v>8.1058711409042417</v>
      </c>
      <c r="K141" s="15">
        <f t="shared" si="23"/>
        <v>0.7038995726495727</v>
      </c>
      <c r="L141" s="2">
        <f t="shared" si="14"/>
        <v>136</v>
      </c>
      <c r="M141" s="2">
        <f t="shared" si="21"/>
        <v>73.08</v>
      </c>
      <c r="N141" s="2">
        <v>13.5</v>
      </c>
      <c r="O141" s="2">
        <v>50.26548245743669</v>
      </c>
      <c r="P141" s="11">
        <f t="shared" si="5"/>
        <v>2.6857396646757339</v>
      </c>
      <c r="Q141" s="2">
        <f t="shared" si="6"/>
        <v>196.27385469450263</v>
      </c>
      <c r="R141" s="2">
        <f t="shared" si="7"/>
        <v>2.788875556020562</v>
      </c>
      <c r="S141" s="2">
        <f t="shared" si="8"/>
        <v>203.81102563398267</v>
      </c>
      <c r="T141" s="2">
        <f t="shared" si="9"/>
        <v>7.5371709394800348</v>
      </c>
    </row>
    <row r="142" spans="1:20" x14ac:dyDescent="0.25">
      <c r="A142" s="14">
        <f t="shared" si="22"/>
        <v>0.73132122507122499</v>
      </c>
      <c r="B142" s="2">
        <f t="shared" si="11"/>
        <v>137</v>
      </c>
      <c r="C142" s="4">
        <f t="shared" si="20"/>
        <v>73.83</v>
      </c>
      <c r="D142" s="2">
        <v>15.5</v>
      </c>
      <c r="E142" s="2">
        <v>50.26548245743669</v>
      </c>
      <c r="F142" s="11">
        <f t="shared" si="0"/>
        <v>3.0836270224054725</v>
      </c>
      <c r="G142" s="2">
        <f t="shared" si="1"/>
        <v>227.66418306419604</v>
      </c>
      <c r="H142" s="2">
        <f t="shared" si="2"/>
        <v>2.7741437125450457</v>
      </c>
      <c r="I142" s="2">
        <f t="shared" si="3"/>
        <v>204.81503029720071</v>
      </c>
      <c r="J142" s="2">
        <f t="shared" si="4"/>
        <v>22.849152766995331</v>
      </c>
      <c r="K142" s="15">
        <f t="shared" si="23"/>
        <v>0.70373931623931618</v>
      </c>
      <c r="L142" s="2">
        <f t="shared" si="14"/>
        <v>137</v>
      </c>
      <c r="M142" s="2">
        <f t="shared" si="21"/>
        <v>73.58</v>
      </c>
      <c r="N142" s="2">
        <v>15.5</v>
      </c>
      <c r="O142" s="2">
        <v>50.26548245743669</v>
      </c>
      <c r="P142" s="11">
        <f t="shared" si="5"/>
        <v>3.0836270224054725</v>
      </c>
      <c r="Q142" s="2">
        <f t="shared" si="6"/>
        <v>226.89327630859466</v>
      </c>
      <c r="R142" s="2">
        <f t="shared" si="7"/>
        <v>2.788875556020562</v>
      </c>
      <c r="S142" s="2">
        <f t="shared" si="8"/>
        <v>205.20546341199295</v>
      </c>
      <c r="T142" s="2">
        <f t="shared" si="9"/>
        <v>21.687812896601713</v>
      </c>
    </row>
    <row r="143" spans="1:20" x14ac:dyDescent="0.25">
      <c r="A143" s="14">
        <f t="shared" si="22"/>
        <v>0.73146367521367517</v>
      </c>
      <c r="B143" s="2">
        <f t="shared" si="11"/>
        <v>138</v>
      </c>
      <c r="C143" s="4">
        <f t="shared" si="20"/>
        <v>74.33</v>
      </c>
      <c r="D143" s="2">
        <v>16</v>
      </c>
      <c r="E143" s="2">
        <v>50.26548245743669</v>
      </c>
      <c r="F143" s="11">
        <f t="shared" si="0"/>
        <v>3.183098861837907</v>
      </c>
      <c r="G143" s="2">
        <f t="shared" si="1"/>
        <v>236.59973840041161</v>
      </c>
      <c r="H143" s="2">
        <f t="shared" si="2"/>
        <v>2.7741437125450457</v>
      </c>
      <c r="I143" s="2">
        <f t="shared" si="3"/>
        <v>206.20210215347325</v>
      </c>
      <c r="J143" s="2">
        <f t="shared" si="4"/>
        <v>30.397636246938362</v>
      </c>
      <c r="K143" s="15">
        <f t="shared" si="23"/>
        <v>0.70357905982905977</v>
      </c>
      <c r="L143" s="2">
        <f t="shared" si="14"/>
        <v>138</v>
      </c>
      <c r="M143" s="2">
        <f t="shared" si="21"/>
        <v>74.08</v>
      </c>
      <c r="N143" s="2">
        <v>15.5</v>
      </c>
      <c r="O143" s="2">
        <v>50.26548245743669</v>
      </c>
      <c r="P143" s="11">
        <f t="shared" si="5"/>
        <v>3.0836270224054725</v>
      </c>
      <c r="Q143" s="2">
        <f t="shared" si="6"/>
        <v>228.43508981979738</v>
      </c>
      <c r="R143" s="2">
        <f t="shared" si="7"/>
        <v>2.788875556020562</v>
      </c>
      <c r="S143" s="2">
        <f t="shared" si="8"/>
        <v>206.59990119000324</v>
      </c>
      <c r="T143" s="2">
        <f t="shared" si="9"/>
        <v>21.835188629794146</v>
      </c>
    </row>
    <row r="144" spans="1:20" x14ac:dyDescent="0.25">
      <c r="A144" s="14">
        <f t="shared" si="22"/>
        <v>0.73160612535612535</v>
      </c>
      <c r="B144" s="2">
        <f t="shared" si="11"/>
        <v>139</v>
      </c>
      <c r="C144" s="4">
        <f t="shared" si="20"/>
        <v>74.83</v>
      </c>
      <c r="D144" s="2">
        <v>16</v>
      </c>
      <c r="E144" s="2">
        <v>50.26548245743669</v>
      </c>
      <c r="F144" s="11">
        <f t="shared" si="0"/>
        <v>3.183098861837907</v>
      </c>
      <c r="G144" s="2">
        <f t="shared" si="1"/>
        <v>238.19128783133058</v>
      </c>
      <c r="H144" s="2">
        <f t="shared" si="2"/>
        <v>2.7741437125450457</v>
      </c>
      <c r="I144" s="2">
        <f t="shared" si="3"/>
        <v>207.58917400974576</v>
      </c>
      <c r="J144" s="2">
        <f t="shared" si="4"/>
        <v>30.602113821584823</v>
      </c>
      <c r="K144" s="15">
        <f t="shared" si="23"/>
        <v>0.70341880341880336</v>
      </c>
      <c r="L144" s="2">
        <f t="shared" si="14"/>
        <v>139</v>
      </c>
      <c r="M144" s="2">
        <f t="shared" si="21"/>
        <v>74.58</v>
      </c>
      <c r="N144" s="2">
        <v>15</v>
      </c>
      <c r="O144" s="2">
        <v>50.26548245743669</v>
      </c>
      <c r="P144" s="11">
        <f t="shared" si="5"/>
        <v>2.9841551829730379</v>
      </c>
      <c r="Q144" s="2">
        <f t="shared" si="6"/>
        <v>222.55829354612916</v>
      </c>
      <c r="R144" s="2">
        <f t="shared" si="7"/>
        <v>2.788875556020562</v>
      </c>
      <c r="S144" s="2">
        <f t="shared" si="8"/>
        <v>207.99433896801352</v>
      </c>
      <c r="T144" s="2">
        <f t="shared" si="9"/>
        <v>14.563954578115641</v>
      </c>
    </row>
    <row r="145" spans="1:20" x14ac:dyDescent="0.25">
      <c r="A145" s="14">
        <f t="shared" si="22"/>
        <v>0.73174857549857542</v>
      </c>
      <c r="B145" s="2">
        <f t="shared" si="11"/>
        <v>140</v>
      </c>
      <c r="C145" s="4">
        <f t="shared" si="20"/>
        <v>75.33</v>
      </c>
      <c r="D145" s="2">
        <v>15.5</v>
      </c>
      <c r="E145" s="2">
        <v>50.26548245743669</v>
      </c>
      <c r="F145" s="11">
        <f t="shared" si="0"/>
        <v>3.0836270224054725</v>
      </c>
      <c r="G145" s="2">
        <f t="shared" si="1"/>
        <v>232.28962359780425</v>
      </c>
      <c r="H145" s="2">
        <f t="shared" si="2"/>
        <v>2.7741437125450457</v>
      </c>
      <c r="I145" s="2">
        <f t="shared" si="3"/>
        <v>208.97624586601827</v>
      </c>
      <c r="J145" s="2">
        <f t="shared" si="4"/>
        <v>23.313377731785977</v>
      </c>
      <c r="K145" s="15">
        <f t="shared" si="23"/>
        <v>0.70325854700854695</v>
      </c>
      <c r="L145" s="2">
        <f t="shared" si="14"/>
        <v>140</v>
      </c>
      <c r="M145" s="2">
        <f t="shared" si="21"/>
        <v>75.08</v>
      </c>
      <c r="N145" s="2">
        <v>14.5</v>
      </c>
      <c r="O145" s="2">
        <v>50.26548245743669</v>
      </c>
      <c r="P145" s="11">
        <f t="shared" si="5"/>
        <v>2.8846833435406034</v>
      </c>
      <c r="Q145" s="2">
        <f t="shared" si="6"/>
        <v>216.58202543302849</v>
      </c>
      <c r="R145" s="2">
        <f t="shared" si="7"/>
        <v>2.788875556020562</v>
      </c>
      <c r="S145" s="2">
        <f t="shared" si="8"/>
        <v>209.38877674602378</v>
      </c>
      <c r="T145" s="2">
        <f t="shared" si="9"/>
        <v>7.1932486870047114</v>
      </c>
    </row>
    <row r="146" spans="1:20" x14ac:dyDescent="0.25">
      <c r="A146" s="14">
        <f t="shared" si="22"/>
        <v>0.73189102564102559</v>
      </c>
      <c r="B146" s="2">
        <f t="shared" si="11"/>
        <v>141</v>
      </c>
      <c r="C146" s="4">
        <f t="shared" si="20"/>
        <v>75.83</v>
      </c>
      <c r="D146" s="2">
        <v>13</v>
      </c>
      <c r="E146" s="2">
        <v>50.26548245743669</v>
      </c>
      <c r="F146" s="11">
        <f t="shared" si="0"/>
        <v>2.5862678252432989</v>
      </c>
      <c r="G146" s="2">
        <f t="shared" si="1"/>
        <v>196.11668918819936</v>
      </c>
      <c r="H146" s="2">
        <f t="shared" si="2"/>
        <v>2.7741437125450457</v>
      </c>
      <c r="I146" s="2">
        <f t="shared" si="3"/>
        <v>210.36331772229082</v>
      </c>
      <c r="J146" s="2">
        <f t="shared" si="4"/>
        <v>14.246628534091457</v>
      </c>
      <c r="K146" s="15">
        <f t="shared" si="23"/>
        <v>0.70309829059829054</v>
      </c>
      <c r="L146" s="2">
        <f t="shared" si="14"/>
        <v>141</v>
      </c>
      <c r="M146" s="2">
        <f t="shared" si="21"/>
        <v>75.58</v>
      </c>
      <c r="N146" s="2">
        <v>15</v>
      </c>
      <c r="O146" s="2">
        <v>50.26548245743669</v>
      </c>
      <c r="P146" s="11">
        <f t="shared" si="5"/>
        <v>2.9841551829730379</v>
      </c>
      <c r="Q146" s="2">
        <f t="shared" si="6"/>
        <v>225.5424487291022</v>
      </c>
      <c r="R146" s="2">
        <f t="shared" si="7"/>
        <v>2.788875556020562</v>
      </c>
      <c r="S146" s="2">
        <f t="shared" si="8"/>
        <v>210.78321452403407</v>
      </c>
      <c r="T146" s="2">
        <f t="shared" si="9"/>
        <v>14.75923420506814</v>
      </c>
    </row>
    <row r="147" spans="1:20" x14ac:dyDescent="0.25">
      <c r="A147" s="14">
        <f t="shared" si="22"/>
        <v>0.73203347578347577</v>
      </c>
      <c r="B147" s="2">
        <f t="shared" si="11"/>
        <v>142</v>
      </c>
      <c r="C147" s="4">
        <f t="shared" si="20"/>
        <v>76.33</v>
      </c>
      <c r="D147" s="2">
        <v>14</v>
      </c>
      <c r="E147" s="2">
        <v>50.26548245743669</v>
      </c>
      <c r="F147" s="11">
        <f t="shared" si="0"/>
        <v>2.7852115041081689</v>
      </c>
      <c r="G147" s="2">
        <f t="shared" si="1"/>
        <v>212.59519410857652</v>
      </c>
      <c r="H147" s="2">
        <f t="shared" si="2"/>
        <v>2.7741437125450457</v>
      </c>
      <c r="I147" s="2">
        <f t="shared" si="3"/>
        <v>211.75038957856333</v>
      </c>
      <c r="J147" s="2">
        <f t="shared" si="4"/>
        <v>0.84480453001319233</v>
      </c>
      <c r="K147" s="15">
        <f t="shared" si="23"/>
        <v>0.70293803418803413</v>
      </c>
      <c r="L147" s="2">
        <f t="shared" si="14"/>
        <v>142</v>
      </c>
      <c r="M147" s="2">
        <f t="shared" si="21"/>
        <v>76.08</v>
      </c>
      <c r="N147" s="2">
        <v>15.5</v>
      </c>
      <c r="O147" s="2">
        <v>50.26548245743669</v>
      </c>
      <c r="P147" s="11">
        <f t="shared" si="5"/>
        <v>3.0836270224054725</v>
      </c>
      <c r="Q147" s="2">
        <f t="shared" si="6"/>
        <v>234.60234386460834</v>
      </c>
      <c r="R147" s="2">
        <f t="shared" si="7"/>
        <v>2.788875556020562</v>
      </c>
      <c r="S147" s="2">
        <f t="shared" si="8"/>
        <v>212.17765230204435</v>
      </c>
      <c r="T147" s="2">
        <f t="shared" si="9"/>
        <v>22.424691562563993</v>
      </c>
    </row>
    <row r="148" spans="1:20" x14ac:dyDescent="0.25">
      <c r="A148" s="14">
        <f t="shared" si="22"/>
        <v>0.73217592592592584</v>
      </c>
      <c r="B148" s="2">
        <f t="shared" si="11"/>
        <v>143</v>
      </c>
      <c r="C148" s="4">
        <f t="shared" si="20"/>
        <v>76.83</v>
      </c>
      <c r="D148" s="2">
        <v>14.5</v>
      </c>
      <c r="E148" s="2">
        <v>50.26548245743669</v>
      </c>
      <c r="F148" s="11">
        <f t="shared" si="0"/>
        <v>2.8846833435406034</v>
      </c>
      <c r="G148" s="2">
        <f t="shared" si="1"/>
        <v>221.63022128422455</v>
      </c>
      <c r="H148" s="2">
        <f t="shared" si="2"/>
        <v>2.7741437125450457</v>
      </c>
      <c r="I148" s="2">
        <f t="shared" si="3"/>
        <v>213.13746143483584</v>
      </c>
      <c r="J148" s="2">
        <f t="shared" si="4"/>
        <v>8.4927598493887047</v>
      </c>
      <c r="K148" s="15">
        <f t="shared" si="23"/>
        <v>0.70277777777777772</v>
      </c>
      <c r="L148" s="2">
        <f t="shared" si="14"/>
        <v>143</v>
      </c>
      <c r="M148" s="2">
        <f t="shared" si="21"/>
        <v>76.58</v>
      </c>
      <c r="N148" s="2">
        <v>15.5</v>
      </c>
      <c r="O148" s="2">
        <v>50.26548245743669</v>
      </c>
      <c r="P148" s="11">
        <f t="shared" si="5"/>
        <v>3.0836270224054725</v>
      </c>
      <c r="Q148" s="2">
        <f t="shared" si="6"/>
        <v>236.14415737581109</v>
      </c>
      <c r="R148" s="2">
        <f t="shared" si="7"/>
        <v>2.788875556020562</v>
      </c>
      <c r="S148" s="2">
        <f t="shared" si="8"/>
        <v>213.57209008005464</v>
      </c>
      <c r="T148" s="2">
        <f t="shared" si="9"/>
        <v>22.572067295756455</v>
      </c>
    </row>
    <row r="149" spans="1:20" x14ac:dyDescent="0.25">
      <c r="A149" s="14">
        <f t="shared" si="22"/>
        <v>0.73231837606837602</v>
      </c>
      <c r="B149" s="2">
        <f t="shared" si="11"/>
        <v>144</v>
      </c>
      <c r="C149" s="4">
        <f t="shared" si="20"/>
        <v>77.33</v>
      </c>
      <c r="D149" s="2">
        <v>14.5</v>
      </c>
      <c r="E149" s="2">
        <v>50.26548245743669</v>
      </c>
      <c r="F149" s="11">
        <f t="shared" si="0"/>
        <v>2.8846833435406034</v>
      </c>
      <c r="G149" s="2">
        <f t="shared" si="1"/>
        <v>223.07256295599487</v>
      </c>
      <c r="H149" s="2">
        <f t="shared" si="2"/>
        <v>2.7741437125450457</v>
      </c>
      <c r="I149" s="2">
        <f t="shared" si="3"/>
        <v>214.52453329110838</v>
      </c>
      <c r="J149" s="2">
        <f t="shared" si="4"/>
        <v>8.5480296648864851</v>
      </c>
      <c r="K149" s="15">
        <f t="shared" si="23"/>
        <v>0.70261752136752131</v>
      </c>
      <c r="L149" s="2">
        <f t="shared" si="14"/>
        <v>144</v>
      </c>
      <c r="M149" s="2">
        <f t="shared" si="21"/>
        <v>77.08</v>
      </c>
      <c r="N149" s="2">
        <v>14.5</v>
      </c>
      <c r="O149" s="2">
        <v>50.26548245743669</v>
      </c>
      <c r="P149" s="11">
        <f t="shared" si="5"/>
        <v>2.8846833435406034</v>
      </c>
      <c r="Q149" s="2">
        <f t="shared" si="6"/>
        <v>222.35139212010969</v>
      </c>
      <c r="R149" s="2">
        <f t="shared" si="7"/>
        <v>2.788875556020562</v>
      </c>
      <c r="S149" s="2">
        <f t="shared" si="8"/>
        <v>214.96652785806492</v>
      </c>
      <c r="T149" s="2">
        <f t="shared" si="9"/>
        <v>7.384864262044772</v>
      </c>
    </row>
    <row r="150" spans="1:20" x14ac:dyDescent="0.25">
      <c r="A150" s="14">
        <f t="shared" si="22"/>
        <v>0.7324608262108262</v>
      </c>
      <c r="B150" s="2">
        <f t="shared" si="11"/>
        <v>145</v>
      </c>
      <c r="C150" s="4">
        <f t="shared" si="20"/>
        <v>77.83</v>
      </c>
      <c r="D150" s="2">
        <v>14.5</v>
      </c>
      <c r="E150" s="2">
        <v>50.26548245743669</v>
      </c>
      <c r="F150" s="11">
        <f t="shared" si="0"/>
        <v>2.8846833435406034</v>
      </c>
      <c r="G150" s="2">
        <f t="shared" si="1"/>
        <v>224.51490462776516</v>
      </c>
      <c r="H150" s="2">
        <f t="shared" si="2"/>
        <v>2.7741437125450457</v>
      </c>
      <c r="I150" s="2">
        <f t="shared" si="3"/>
        <v>215.9116051473809</v>
      </c>
      <c r="J150" s="2">
        <f t="shared" si="4"/>
        <v>8.6032994803842655</v>
      </c>
      <c r="K150" s="15">
        <f t="shared" si="23"/>
        <v>0.7024572649572649</v>
      </c>
      <c r="L150" s="2">
        <f t="shared" si="14"/>
        <v>145</v>
      </c>
      <c r="M150" s="2">
        <f t="shared" si="21"/>
        <v>77.58</v>
      </c>
      <c r="N150" s="2">
        <v>14.5</v>
      </c>
      <c r="O150" s="2">
        <v>50.26548245743669</v>
      </c>
      <c r="P150" s="11">
        <f t="shared" si="5"/>
        <v>2.8846833435406034</v>
      </c>
      <c r="Q150" s="2">
        <f t="shared" si="6"/>
        <v>223.79373379188002</v>
      </c>
      <c r="R150" s="2">
        <f t="shared" si="7"/>
        <v>2.788875556020562</v>
      </c>
      <c r="S150" s="2">
        <f t="shared" si="8"/>
        <v>216.36096563607521</v>
      </c>
      <c r="T150" s="2">
        <f t="shared" si="9"/>
        <v>7.4327681558048084</v>
      </c>
    </row>
    <row r="151" spans="1:20" x14ac:dyDescent="0.25">
      <c r="A151" s="14">
        <f t="shared" si="22"/>
        <v>0.73260327635327627</v>
      </c>
      <c r="B151" s="2">
        <f t="shared" si="11"/>
        <v>146</v>
      </c>
      <c r="C151" s="4">
        <f t="shared" si="20"/>
        <v>78.33</v>
      </c>
      <c r="D151" s="2">
        <v>14</v>
      </c>
      <c r="E151" s="2">
        <v>50.26548245743669</v>
      </c>
      <c r="F151" s="11">
        <f t="shared" si="0"/>
        <v>2.7852115041081689</v>
      </c>
      <c r="G151" s="2">
        <f t="shared" si="1"/>
        <v>218.16561711679287</v>
      </c>
      <c r="H151" s="2">
        <f t="shared" si="2"/>
        <v>2.7741437125450457</v>
      </c>
      <c r="I151" s="2">
        <f t="shared" si="3"/>
        <v>217.29867700365341</v>
      </c>
      <c r="J151" s="2">
        <f t="shared" si="4"/>
        <v>0.86694011313946362</v>
      </c>
      <c r="K151" s="15">
        <f t="shared" si="23"/>
        <v>0.70229700854700849</v>
      </c>
      <c r="L151" s="2">
        <f t="shared" si="14"/>
        <v>146</v>
      </c>
      <c r="M151" s="2">
        <f t="shared" si="21"/>
        <v>78.08</v>
      </c>
      <c r="N151" s="2">
        <v>16</v>
      </c>
      <c r="O151" s="2">
        <v>50.26548245743669</v>
      </c>
      <c r="P151" s="11">
        <f t="shared" si="5"/>
        <v>3.183098861837907</v>
      </c>
      <c r="Q151" s="2">
        <f t="shared" si="6"/>
        <v>248.53635913230377</v>
      </c>
      <c r="R151" s="2">
        <f t="shared" si="7"/>
        <v>2.788875556020562</v>
      </c>
      <c r="S151" s="2">
        <f t="shared" si="8"/>
        <v>217.75540341408549</v>
      </c>
      <c r="T151" s="2">
        <f t="shared" si="9"/>
        <v>30.78095571821828</v>
      </c>
    </row>
    <row r="152" spans="1:20" x14ac:dyDescent="0.25">
      <c r="A152" s="14">
        <f t="shared" si="22"/>
        <v>0.73274572649572645</v>
      </c>
      <c r="B152" s="2">
        <f t="shared" si="11"/>
        <v>147</v>
      </c>
      <c r="C152" s="4">
        <f t="shared" si="20"/>
        <v>78.83</v>
      </c>
      <c r="D152" s="2">
        <v>14</v>
      </c>
      <c r="E152" s="2">
        <v>50.26548245743669</v>
      </c>
      <c r="F152" s="11">
        <f t="shared" si="0"/>
        <v>2.7852115041081689</v>
      </c>
      <c r="G152" s="2">
        <f t="shared" si="1"/>
        <v>219.55822286884694</v>
      </c>
      <c r="H152" s="2">
        <f t="shared" si="2"/>
        <v>2.7741437125450457</v>
      </c>
      <c r="I152" s="2">
        <f t="shared" si="3"/>
        <v>218.68574885992595</v>
      </c>
      <c r="J152" s="2">
        <f t="shared" si="4"/>
        <v>0.87247400892098881</v>
      </c>
      <c r="K152" s="15">
        <f t="shared" si="23"/>
        <v>0.70213675213675208</v>
      </c>
      <c r="L152" s="2">
        <f t="shared" si="14"/>
        <v>147</v>
      </c>
      <c r="M152" s="2">
        <f t="shared" si="21"/>
        <v>78.58</v>
      </c>
      <c r="N152" s="2">
        <v>14.5</v>
      </c>
      <c r="O152" s="2">
        <v>50.26548245743669</v>
      </c>
      <c r="P152" s="11">
        <f t="shared" si="5"/>
        <v>2.8846833435406034</v>
      </c>
      <c r="Q152" s="2">
        <f t="shared" si="6"/>
        <v>226.6784171354206</v>
      </c>
      <c r="R152" s="2">
        <f t="shared" si="7"/>
        <v>2.788875556020562</v>
      </c>
      <c r="S152" s="2">
        <f t="shared" si="8"/>
        <v>219.14984119209575</v>
      </c>
      <c r="T152" s="2">
        <f t="shared" si="9"/>
        <v>7.5285759433248529</v>
      </c>
    </row>
    <row r="153" spans="1:20" x14ac:dyDescent="0.25">
      <c r="A153" s="14">
        <f t="shared" si="22"/>
        <v>0.73288817663817662</v>
      </c>
      <c r="B153" s="2">
        <f t="shared" si="11"/>
        <v>148</v>
      </c>
      <c r="C153" s="4">
        <f t="shared" si="20"/>
        <v>79.33</v>
      </c>
      <c r="D153" s="2">
        <v>15</v>
      </c>
      <c r="E153" s="2">
        <v>50.26548245743669</v>
      </c>
      <c r="F153" s="11">
        <f t="shared" si="0"/>
        <v>2.9841551829730379</v>
      </c>
      <c r="G153" s="2">
        <f t="shared" si="1"/>
        <v>236.73303066525111</v>
      </c>
      <c r="H153" s="2">
        <f t="shared" si="2"/>
        <v>2.7741437125450457</v>
      </c>
      <c r="I153" s="2">
        <f t="shared" si="3"/>
        <v>220.07282071619846</v>
      </c>
      <c r="J153" s="2">
        <f t="shared" si="4"/>
        <v>16.660209949052643</v>
      </c>
      <c r="K153" s="15">
        <f t="shared" si="23"/>
        <v>0.70197649572649568</v>
      </c>
      <c r="L153" s="2">
        <f t="shared" si="14"/>
        <v>148</v>
      </c>
      <c r="M153" s="2">
        <f t="shared" si="21"/>
        <v>79.08</v>
      </c>
      <c r="N153" s="2">
        <v>15</v>
      </c>
      <c r="O153" s="2">
        <v>50.26548245743669</v>
      </c>
      <c r="P153" s="11">
        <f t="shared" si="5"/>
        <v>2.9841551829730379</v>
      </c>
      <c r="Q153" s="2">
        <f t="shared" si="6"/>
        <v>235.98699186950785</v>
      </c>
      <c r="R153" s="2">
        <f t="shared" si="7"/>
        <v>2.788875556020562</v>
      </c>
      <c r="S153" s="2">
        <f t="shared" si="8"/>
        <v>220.54427897010603</v>
      </c>
      <c r="T153" s="2">
        <f t="shared" si="9"/>
        <v>15.442712899401812</v>
      </c>
    </row>
    <row r="154" spans="1:20" x14ac:dyDescent="0.25">
      <c r="A154" s="14">
        <f t="shared" si="22"/>
        <v>0.73303062678062669</v>
      </c>
      <c r="B154" s="2">
        <f t="shared" si="11"/>
        <v>149</v>
      </c>
      <c r="C154" s="4">
        <f t="shared" si="20"/>
        <v>79.83</v>
      </c>
      <c r="D154" s="2">
        <v>16.5</v>
      </c>
      <c r="E154" s="2">
        <v>50.26548245743669</v>
      </c>
      <c r="F154" s="11">
        <f t="shared" si="0"/>
        <v>3.2825707012703416</v>
      </c>
      <c r="G154" s="2">
        <f t="shared" si="1"/>
        <v>262.04761908241136</v>
      </c>
      <c r="H154" s="2">
        <f t="shared" si="2"/>
        <v>2.7741437125450457</v>
      </c>
      <c r="I154" s="2">
        <f t="shared" si="3"/>
        <v>221.45989257247098</v>
      </c>
      <c r="J154" s="2">
        <f t="shared" si="4"/>
        <v>40.587726509940381</v>
      </c>
      <c r="K154" s="15">
        <f t="shared" si="23"/>
        <v>0.70181623931623927</v>
      </c>
      <c r="L154" s="2">
        <f t="shared" si="14"/>
        <v>149</v>
      </c>
      <c r="M154" s="2">
        <f t="shared" si="21"/>
        <v>79.58</v>
      </c>
      <c r="N154" s="2">
        <v>14.5</v>
      </c>
      <c r="O154" s="2">
        <v>50.26548245743669</v>
      </c>
      <c r="P154" s="11">
        <f t="shared" si="5"/>
        <v>2.8846833435406034</v>
      </c>
      <c r="Q154" s="2">
        <f t="shared" si="6"/>
        <v>229.56310047896122</v>
      </c>
      <c r="R154" s="2">
        <f t="shared" si="7"/>
        <v>2.788875556020562</v>
      </c>
      <c r="S154" s="2">
        <f t="shared" si="8"/>
        <v>221.93871674811632</v>
      </c>
      <c r="T154" s="2">
        <f t="shared" si="9"/>
        <v>7.6243837308448974</v>
      </c>
    </row>
    <row r="155" spans="1:20" x14ac:dyDescent="0.25">
      <c r="A155" s="14">
        <f t="shared" si="22"/>
        <v>0.73317307692307687</v>
      </c>
      <c r="B155" s="2">
        <f t="shared" si="11"/>
        <v>150</v>
      </c>
      <c r="C155" s="4">
        <f t="shared" si="20"/>
        <v>80.33</v>
      </c>
      <c r="D155" s="2">
        <v>16</v>
      </c>
      <c r="E155" s="2">
        <v>50.26548245743669</v>
      </c>
      <c r="F155" s="11">
        <f t="shared" si="0"/>
        <v>3.183098861837907</v>
      </c>
      <c r="G155" s="2">
        <f t="shared" si="1"/>
        <v>255.69833157143907</v>
      </c>
      <c r="H155" s="2">
        <f t="shared" si="2"/>
        <v>2.7741437125450457</v>
      </c>
      <c r="I155" s="2">
        <f t="shared" si="3"/>
        <v>222.84696442874352</v>
      </c>
      <c r="J155" s="2">
        <f t="shared" si="4"/>
        <v>32.851367142695551</v>
      </c>
      <c r="K155" s="15">
        <f t="shared" si="23"/>
        <v>0.70165598290598286</v>
      </c>
      <c r="L155" s="2">
        <f t="shared" si="14"/>
        <v>150</v>
      </c>
      <c r="M155" s="2">
        <f t="shared" si="21"/>
        <v>80.08</v>
      </c>
      <c r="N155" s="2">
        <v>17.5</v>
      </c>
      <c r="O155" s="2">
        <v>50.26548245743669</v>
      </c>
      <c r="P155" s="11">
        <f t="shared" si="5"/>
        <v>3.4815143801352106</v>
      </c>
      <c r="Q155" s="2">
        <f t="shared" si="6"/>
        <v>278.79967156122768</v>
      </c>
      <c r="R155" s="2">
        <f t="shared" si="7"/>
        <v>2.788875556020562</v>
      </c>
      <c r="S155" s="2">
        <f t="shared" si="8"/>
        <v>223.33315452612661</v>
      </c>
      <c r="T155" s="2">
        <f t="shared" si="9"/>
        <v>55.466517035101077</v>
      </c>
    </row>
    <row r="156" spans="1:20" x14ac:dyDescent="0.25">
      <c r="A156" s="14">
        <f t="shared" si="22"/>
        <v>0.73331552706552705</v>
      </c>
      <c r="B156" s="2">
        <f t="shared" si="11"/>
        <v>151</v>
      </c>
      <c r="C156" s="4">
        <f t="shared" si="20"/>
        <v>80.83</v>
      </c>
      <c r="D156" s="2">
        <v>16</v>
      </c>
      <c r="E156" s="2">
        <v>50.26548245743669</v>
      </c>
      <c r="F156" s="11">
        <f t="shared" si="0"/>
        <v>3.183098861837907</v>
      </c>
      <c r="G156" s="2">
        <f t="shared" si="1"/>
        <v>257.28988100235802</v>
      </c>
      <c r="H156" s="2">
        <f t="shared" si="2"/>
        <v>2.7741437125450457</v>
      </c>
      <c r="I156" s="2">
        <f t="shared" si="3"/>
        <v>224.23403628501603</v>
      </c>
      <c r="J156" s="2">
        <f t="shared" si="4"/>
        <v>33.055844717341984</v>
      </c>
      <c r="K156" s="15">
        <f t="shared" si="23"/>
        <v>0.70149572649572645</v>
      </c>
      <c r="L156" s="2">
        <f t="shared" si="14"/>
        <v>151</v>
      </c>
      <c r="M156" s="2">
        <f t="shared" si="21"/>
        <v>80.58</v>
      </c>
      <c r="N156" s="2">
        <v>18</v>
      </c>
      <c r="O156" s="2">
        <v>50.26548245743669</v>
      </c>
      <c r="P156" s="11">
        <f t="shared" si="5"/>
        <v>3.5809862195676452</v>
      </c>
      <c r="Q156" s="2">
        <f t="shared" si="6"/>
        <v>288.55586957276086</v>
      </c>
      <c r="R156" s="2">
        <f t="shared" si="7"/>
        <v>2.788875556020562</v>
      </c>
      <c r="S156" s="2">
        <f t="shared" si="8"/>
        <v>224.72759230413689</v>
      </c>
      <c r="T156" s="2">
        <f t="shared" si="9"/>
        <v>63.828277268623964</v>
      </c>
    </row>
    <row r="157" spans="1:20" x14ac:dyDescent="0.25">
      <c r="A157" s="14">
        <f t="shared" si="22"/>
        <v>0.73345797720797712</v>
      </c>
      <c r="B157" s="2">
        <f t="shared" si="11"/>
        <v>152</v>
      </c>
      <c r="C157" s="4">
        <f t="shared" si="20"/>
        <v>81.33</v>
      </c>
      <c r="D157" s="2">
        <v>15</v>
      </c>
      <c r="E157" s="2">
        <v>50.26548245743669</v>
      </c>
      <c r="F157" s="11">
        <f t="shared" si="0"/>
        <v>2.9841551829730379</v>
      </c>
      <c r="G157" s="2">
        <f t="shared" si="1"/>
        <v>242.70134103119716</v>
      </c>
      <c r="H157" s="2">
        <f t="shared" si="2"/>
        <v>2.7741437125450457</v>
      </c>
      <c r="I157" s="2">
        <f t="shared" si="3"/>
        <v>225.62110814128854</v>
      </c>
      <c r="J157" s="2">
        <f t="shared" si="4"/>
        <v>17.080232889908615</v>
      </c>
      <c r="K157" s="15">
        <f t="shared" si="23"/>
        <v>0.70133547008547004</v>
      </c>
      <c r="L157" s="2">
        <f t="shared" si="14"/>
        <v>152</v>
      </c>
      <c r="M157" s="2">
        <f t="shared" si="21"/>
        <v>81.08</v>
      </c>
      <c r="N157" s="2">
        <v>15.5</v>
      </c>
      <c r="O157" s="2">
        <v>50.26548245743669</v>
      </c>
      <c r="P157" s="11">
        <f t="shared" si="5"/>
        <v>3.0836270224054725</v>
      </c>
      <c r="Q157" s="2">
        <f t="shared" si="6"/>
        <v>250.0204789766357</v>
      </c>
      <c r="R157" s="2">
        <f t="shared" si="7"/>
        <v>2.788875556020562</v>
      </c>
      <c r="S157" s="2">
        <f t="shared" si="8"/>
        <v>226.12203008214718</v>
      </c>
      <c r="T157" s="2">
        <f t="shared" si="9"/>
        <v>23.898448894488524</v>
      </c>
    </row>
    <row r="158" spans="1:20" x14ac:dyDescent="0.25">
      <c r="A158" s="14">
        <f t="shared" si="22"/>
        <v>0.7336004273504273</v>
      </c>
      <c r="B158" s="2">
        <f t="shared" si="11"/>
        <v>153</v>
      </c>
      <c r="C158" s="4">
        <f t="shared" si="20"/>
        <v>81.83</v>
      </c>
      <c r="D158" s="2">
        <v>13</v>
      </c>
      <c r="E158" s="2">
        <v>50.26548245743669</v>
      </c>
      <c r="F158" s="11">
        <f t="shared" si="0"/>
        <v>2.5862678252432989</v>
      </c>
      <c r="G158" s="2">
        <f t="shared" si="1"/>
        <v>211.63429613965914</v>
      </c>
      <c r="H158" s="2">
        <f t="shared" si="2"/>
        <v>2.7741437125450457</v>
      </c>
      <c r="I158" s="2">
        <f t="shared" si="3"/>
        <v>227.00817999756109</v>
      </c>
      <c r="J158" s="2">
        <f t="shared" si="4"/>
        <v>15.373883857901944</v>
      </c>
      <c r="K158" s="15">
        <f t="shared" si="23"/>
        <v>0.70117521367521363</v>
      </c>
      <c r="L158" s="2">
        <f t="shared" si="14"/>
        <v>153</v>
      </c>
      <c r="M158" s="2">
        <f t="shared" si="21"/>
        <v>81.58</v>
      </c>
      <c r="N158" s="2">
        <v>14.5</v>
      </c>
      <c r="O158" s="2">
        <v>50.26548245743669</v>
      </c>
      <c r="P158" s="11">
        <f t="shared" si="5"/>
        <v>2.8846833435406034</v>
      </c>
      <c r="Q158" s="2">
        <f t="shared" si="6"/>
        <v>235.33246716604242</v>
      </c>
      <c r="R158" s="2">
        <f t="shared" si="7"/>
        <v>2.788875556020562</v>
      </c>
      <c r="S158" s="2">
        <f t="shared" si="8"/>
        <v>227.51646786015743</v>
      </c>
      <c r="T158" s="2">
        <f t="shared" si="9"/>
        <v>7.8159993058849864</v>
      </c>
    </row>
    <row r="159" spans="1:20" x14ac:dyDescent="0.25">
      <c r="A159" s="14">
        <f t="shared" si="22"/>
        <v>0.73374287749287748</v>
      </c>
      <c r="B159" s="2">
        <f t="shared" si="11"/>
        <v>154</v>
      </c>
      <c r="C159" s="4">
        <f t="shared" si="20"/>
        <v>82.33</v>
      </c>
      <c r="D159" s="2">
        <v>16.5</v>
      </c>
      <c r="E159" s="2">
        <v>50.26548245743669</v>
      </c>
      <c r="F159" s="11">
        <f t="shared" si="0"/>
        <v>3.2825707012703416</v>
      </c>
      <c r="G159" s="2">
        <f t="shared" si="1"/>
        <v>270.25404583558719</v>
      </c>
      <c r="H159" s="2">
        <f t="shared" si="2"/>
        <v>2.7741437125450457</v>
      </c>
      <c r="I159" s="2">
        <f t="shared" si="3"/>
        <v>228.3952518538336</v>
      </c>
      <c r="J159" s="2">
        <f t="shared" si="4"/>
        <v>41.858793981753593</v>
      </c>
      <c r="K159" s="15">
        <f t="shared" si="23"/>
        <v>0.70101495726495722</v>
      </c>
      <c r="L159" s="2">
        <f t="shared" si="14"/>
        <v>154</v>
      </c>
      <c r="M159" s="2">
        <f t="shared" si="21"/>
        <v>82.08</v>
      </c>
      <c r="N159" s="2">
        <v>14.5</v>
      </c>
      <c r="O159" s="2">
        <v>50.26548245743669</v>
      </c>
      <c r="P159" s="11">
        <f t="shared" si="5"/>
        <v>2.8846833435406034</v>
      </c>
      <c r="Q159" s="2">
        <f t="shared" si="6"/>
        <v>236.77480883781271</v>
      </c>
      <c r="R159" s="2">
        <f t="shared" si="7"/>
        <v>2.788875556020562</v>
      </c>
      <c r="S159" s="2">
        <f t="shared" si="8"/>
        <v>228.91090563816772</v>
      </c>
      <c r="T159" s="2">
        <f t="shared" si="9"/>
        <v>7.8639031996449944</v>
      </c>
    </row>
    <row r="160" spans="1:20" x14ac:dyDescent="0.25">
      <c r="A160" s="14">
        <f t="shared" si="22"/>
        <v>0.73388532763532754</v>
      </c>
      <c r="B160" s="2">
        <f t="shared" si="11"/>
        <v>155</v>
      </c>
      <c r="C160" s="4">
        <f t="shared" si="20"/>
        <v>82.83</v>
      </c>
      <c r="D160" s="2">
        <v>13.5</v>
      </c>
      <c r="E160" s="2">
        <v>50.26548245743669</v>
      </c>
      <c r="F160" s="11">
        <f t="shared" si="0"/>
        <v>2.6857396646757339</v>
      </c>
      <c r="G160" s="2">
        <f t="shared" si="1"/>
        <v>222.45981642509102</v>
      </c>
      <c r="H160" s="2">
        <f t="shared" si="2"/>
        <v>2.7741437125450457</v>
      </c>
      <c r="I160" s="2">
        <f t="shared" si="3"/>
        <v>229.78232371010614</v>
      </c>
      <c r="J160" s="2">
        <f t="shared" si="4"/>
        <v>7.3225072850151207</v>
      </c>
      <c r="K160" s="15">
        <f t="shared" si="23"/>
        <v>0.70085470085470081</v>
      </c>
      <c r="L160" s="2">
        <f t="shared" si="14"/>
        <v>155</v>
      </c>
      <c r="M160" s="2">
        <f t="shared" si="21"/>
        <v>82.58</v>
      </c>
      <c r="N160" s="2">
        <v>13</v>
      </c>
      <c r="O160" s="2">
        <v>50.26548245743669</v>
      </c>
      <c r="P160" s="11">
        <f t="shared" si="5"/>
        <v>2.5862678252432989</v>
      </c>
      <c r="Q160" s="2">
        <f t="shared" si="6"/>
        <v>213.57399700859162</v>
      </c>
      <c r="R160" s="2">
        <f t="shared" si="7"/>
        <v>2.788875556020562</v>
      </c>
      <c r="S160" s="2">
        <f t="shared" si="8"/>
        <v>230.305343416178</v>
      </c>
      <c r="T160" s="2">
        <f t="shared" si="9"/>
        <v>16.731346407586386</v>
      </c>
    </row>
    <row r="161" spans="1:20" x14ac:dyDescent="0.25">
      <c r="A161" s="10">
        <v>0.73402777777777772</v>
      </c>
      <c r="B161" s="2">
        <f t="shared" si="11"/>
        <v>156</v>
      </c>
      <c r="C161" s="4">
        <f t="shared" si="20"/>
        <v>83.33</v>
      </c>
      <c r="D161" s="2">
        <v>12</v>
      </c>
      <c r="E161" s="2">
        <v>50.26548245743669</v>
      </c>
      <c r="F161" s="11">
        <f t="shared" si="0"/>
        <v>2.3873241463784298</v>
      </c>
      <c r="G161" s="2">
        <f t="shared" si="1"/>
        <v>198.93572111771456</v>
      </c>
      <c r="H161" s="2">
        <f t="shared" si="2"/>
        <v>2.7741437125450457</v>
      </c>
      <c r="I161" s="2">
        <f t="shared" si="3"/>
        <v>231.16939556637865</v>
      </c>
      <c r="J161" s="2">
        <f t="shared" si="4"/>
        <v>32.23367444866409</v>
      </c>
      <c r="K161" s="12">
        <v>0.7006944444444444</v>
      </c>
      <c r="L161" s="2">
        <f t="shared" si="14"/>
        <v>156</v>
      </c>
      <c r="M161" s="2">
        <f t="shared" si="21"/>
        <v>83.08</v>
      </c>
      <c r="N161" s="2">
        <v>13</v>
      </c>
      <c r="O161" s="2">
        <v>50.26548245743669</v>
      </c>
      <c r="P161" s="11">
        <f t="shared" si="5"/>
        <v>2.5862678252432989</v>
      </c>
      <c r="Q161" s="2">
        <f t="shared" si="6"/>
        <v>214.86713092121326</v>
      </c>
      <c r="R161" s="2">
        <f t="shared" si="7"/>
        <v>2.788875556020562</v>
      </c>
      <c r="S161" s="2">
        <f t="shared" si="8"/>
        <v>231.69978119418829</v>
      </c>
      <c r="T161" s="2">
        <f t="shared" si="9"/>
        <v>16.83265027297503</v>
      </c>
    </row>
    <row r="162" spans="1:20" x14ac:dyDescent="0.25">
      <c r="A162" s="14">
        <v>0.73402777777777772</v>
      </c>
      <c r="B162" s="2">
        <f t="shared" si="11"/>
        <v>157</v>
      </c>
      <c r="C162" s="4">
        <f t="shared" si="20"/>
        <v>83.83</v>
      </c>
      <c r="D162" s="2">
        <v>12.5</v>
      </c>
      <c r="E162" s="2">
        <v>50.26548245743669</v>
      </c>
      <c r="F162" s="11">
        <f t="shared" si="0"/>
        <v>2.4867959858108648</v>
      </c>
      <c r="G162" s="2">
        <f t="shared" si="1"/>
        <v>208.4681074905248</v>
      </c>
      <c r="H162" s="2">
        <f t="shared" si="2"/>
        <v>2.7741437125450457</v>
      </c>
      <c r="I162" s="2">
        <f t="shared" si="3"/>
        <v>232.55646742265117</v>
      </c>
      <c r="J162" s="2">
        <f t="shared" si="4"/>
        <v>24.088359932126366</v>
      </c>
      <c r="K162" s="15">
        <v>0.7006944444444444</v>
      </c>
      <c r="L162" s="2">
        <f t="shared" si="14"/>
        <v>157</v>
      </c>
      <c r="M162" s="2">
        <f t="shared" si="21"/>
        <v>83.58</v>
      </c>
      <c r="N162" s="2">
        <v>10.5</v>
      </c>
      <c r="O162" s="2">
        <v>50.26548245743669</v>
      </c>
      <c r="P162" s="11">
        <f t="shared" si="5"/>
        <v>2.0889086280811267</v>
      </c>
      <c r="Q162" s="2">
        <f t="shared" si="6"/>
        <v>174.59098313502056</v>
      </c>
      <c r="R162" s="2">
        <f t="shared" si="7"/>
        <v>2.788875556020562</v>
      </c>
      <c r="S162" s="2">
        <f t="shared" si="8"/>
        <v>233.09421897219858</v>
      </c>
      <c r="T162" s="2">
        <f t="shared" si="9"/>
        <v>58.503235837178011</v>
      </c>
    </row>
    <row r="163" spans="1:20" x14ac:dyDescent="0.25">
      <c r="C163" s="4"/>
      <c r="F163" s="11"/>
      <c r="K163" s="15"/>
      <c r="P163" s="11"/>
    </row>
    <row r="164" spans="1:20" x14ac:dyDescent="0.25">
      <c r="C164" s="4"/>
      <c r="F164" s="11"/>
      <c r="K164" s="25"/>
      <c r="P164" s="11"/>
    </row>
    <row r="165" spans="1:20" x14ac:dyDescent="0.25">
      <c r="C165" s="4"/>
      <c r="F165" s="11"/>
      <c r="K165" s="25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31">
    <mergeCell ref="V28:X28"/>
    <mergeCell ref="V18:W18"/>
    <mergeCell ref="V19:X19"/>
    <mergeCell ref="W20:X20"/>
    <mergeCell ref="V21:W21"/>
    <mergeCell ref="V22:W23"/>
    <mergeCell ref="X22:X23"/>
    <mergeCell ref="V25:X25"/>
    <mergeCell ref="V15:W15"/>
    <mergeCell ref="V16:W16"/>
    <mergeCell ref="V17:W17"/>
    <mergeCell ref="V26:X26"/>
    <mergeCell ref="V27:X27"/>
    <mergeCell ref="V10:W10"/>
    <mergeCell ref="V11:W11"/>
    <mergeCell ref="V12:W12"/>
    <mergeCell ref="V13:W13"/>
    <mergeCell ref="V14:W14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E4:F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174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18755.080104886652</v>
      </c>
      <c r="G2" s="4">
        <f>SUM(C6:C174)</f>
        <v>6934.3099999999931</v>
      </c>
      <c r="H2" s="2">
        <f>F2/G2</f>
        <v>2.7046786349163323</v>
      </c>
      <c r="I2" s="2">
        <f>SUM(J6:J174)</f>
        <v>1810.9761674428403</v>
      </c>
      <c r="J2" s="2">
        <f>(1-(I2/(F2)))*100</f>
        <v>90.344076605831248</v>
      </c>
      <c r="K2" s="1"/>
      <c r="L2" s="1"/>
      <c r="M2" s="1"/>
      <c r="N2" s="1"/>
      <c r="O2" s="1"/>
      <c r="P2" s="2">
        <f>SUM(Q6:Q174)</f>
        <v>18591.3086737267</v>
      </c>
      <c r="Q2" s="2">
        <f>SUM(M6:M174)</f>
        <v>6895.0599999999931</v>
      </c>
      <c r="R2" s="2">
        <f>P2/Q2</f>
        <v>2.6963229723492934</v>
      </c>
      <c r="S2" s="2">
        <f>SUM(T6:T174)</f>
        <v>2089.1238390540648</v>
      </c>
      <c r="T2" s="2">
        <f>(1-(S2/(P2)))*100</f>
        <v>88.762900580493181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31" t="s">
        <v>40</v>
      </c>
      <c r="F4" s="32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31" t="s">
        <v>40</v>
      </c>
      <c r="P4" s="32"/>
      <c r="V4" s="34" t="s">
        <v>12</v>
      </c>
      <c r="W4" s="36"/>
      <c r="X4" s="6" t="s">
        <v>40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45783</v>
      </c>
    </row>
    <row r="6" spans="1:24" x14ac:dyDescent="0.25">
      <c r="A6" s="10">
        <v>0.42222222222222222</v>
      </c>
      <c r="B6" s="2">
        <v>1</v>
      </c>
      <c r="C6" s="4">
        <v>4.83</v>
      </c>
      <c r="D6" s="2">
        <v>8</v>
      </c>
      <c r="E6" s="2">
        <v>50.26548245743669</v>
      </c>
      <c r="F6" s="11">
        <f t="shared" ref="F6:F162" si="0">(D6/E6)*10</f>
        <v>1.5915494309189535</v>
      </c>
      <c r="G6" s="2">
        <f t="shared" ref="G6:G162" si="1">F6*C6</f>
        <v>7.6871837513385453</v>
      </c>
      <c r="H6" s="2">
        <f t="shared" ref="H6:H162" si="2">$H$2</f>
        <v>2.7046786349163323</v>
      </c>
      <c r="I6" s="2">
        <f t="shared" ref="I6:I162" si="3">H6*C6</f>
        <v>13.063597806645886</v>
      </c>
      <c r="J6" s="2">
        <f t="shared" ref="J6:J162" si="4">ABS(G6-I6)</f>
        <v>5.3764140553073405</v>
      </c>
      <c r="K6" s="12">
        <v>0.39374999999999999</v>
      </c>
      <c r="L6" s="2">
        <v>1</v>
      </c>
      <c r="M6" s="2">
        <v>4.58</v>
      </c>
      <c r="N6" s="2">
        <v>8</v>
      </c>
      <c r="O6" s="2">
        <v>50.26548245743669</v>
      </c>
      <c r="P6" s="11">
        <f t="shared" ref="P6:P162" si="5">(N6/O6)*10</f>
        <v>1.5915494309189535</v>
      </c>
      <c r="Q6" s="2">
        <f t="shared" ref="Q6:Q162" si="6">P6*M6</f>
        <v>7.2892963936088071</v>
      </c>
      <c r="R6" s="2">
        <f t="shared" ref="R6:R162" si="7">$R$2</f>
        <v>2.6963229723492934</v>
      </c>
      <c r="S6" s="2">
        <f t="shared" ref="S6:S162" si="8">R6*M6</f>
        <v>12.349159213359764</v>
      </c>
      <c r="T6" s="2">
        <f t="shared" ref="T6:T162" si="9">ABS(Q6-S6)</f>
        <v>5.0598628197509568</v>
      </c>
      <c r="V6" s="37" t="s">
        <v>23</v>
      </c>
      <c r="W6" s="36"/>
      <c r="X6" s="13" t="s">
        <v>51</v>
      </c>
    </row>
    <row r="7" spans="1:24" x14ac:dyDescent="0.25">
      <c r="A7" s="14">
        <f t="shared" ref="A7:A43" si="10">IF(AND($A$6&lt;&gt;"",$A$44&lt;&gt;""), $A$6 + (B7 - $B$6) * (($A$44 - $A$6) / ($B$44 - $B$6)), "")</f>
        <v>0.42240497076023392</v>
      </c>
      <c r="B7" s="2">
        <f t="shared" ref="B7:B162" si="11">B6+1</f>
        <v>2</v>
      </c>
      <c r="C7" s="4">
        <f t="shared" ref="C7:C109" si="12">C6+0.5</f>
        <v>5.33</v>
      </c>
      <c r="D7" s="2">
        <v>9</v>
      </c>
      <c r="E7" s="2">
        <v>50.26548245743669</v>
      </c>
      <c r="F7" s="11">
        <f t="shared" si="0"/>
        <v>1.7904931097838226</v>
      </c>
      <c r="G7" s="2">
        <f t="shared" si="1"/>
        <v>9.5433282751477737</v>
      </c>
      <c r="H7" s="2">
        <f t="shared" si="2"/>
        <v>2.7046786349163323</v>
      </c>
      <c r="I7" s="2">
        <f t="shared" si="3"/>
        <v>14.415937124104051</v>
      </c>
      <c r="J7" s="2">
        <f t="shared" si="4"/>
        <v>4.8726088489562773</v>
      </c>
      <c r="K7" s="15">
        <f t="shared" ref="K7:K43" si="13">IF(AND($K$6&lt;&gt;"",$K$44&lt;&gt;""), $K$6 + (L7 - $L$6) * (($K$44 - $K$6) / ($L$44 - $L$6)), "")</f>
        <v>0.39395102339181287</v>
      </c>
      <c r="L7" s="2">
        <f t="shared" ref="L7:L162" si="14">L6+1</f>
        <v>2</v>
      </c>
      <c r="M7" s="2">
        <f t="shared" ref="M7:M109" si="15">M6+0.5</f>
        <v>5.08</v>
      </c>
      <c r="N7" s="2">
        <v>8</v>
      </c>
      <c r="O7" s="2">
        <v>50.26548245743669</v>
      </c>
      <c r="P7" s="11">
        <f t="shared" si="5"/>
        <v>1.5915494309189535</v>
      </c>
      <c r="Q7" s="2">
        <f t="shared" si="6"/>
        <v>8.0850711090682843</v>
      </c>
      <c r="R7" s="2">
        <f t="shared" si="7"/>
        <v>2.6963229723492934</v>
      </c>
      <c r="S7" s="2">
        <f t="shared" si="8"/>
        <v>13.69732069953441</v>
      </c>
      <c r="T7" s="2">
        <f t="shared" si="9"/>
        <v>5.612249590466126</v>
      </c>
      <c r="V7" s="37" t="s">
        <v>24</v>
      </c>
      <c r="W7" s="36"/>
      <c r="X7" s="6" t="s">
        <v>52</v>
      </c>
    </row>
    <row r="8" spans="1:24" x14ac:dyDescent="0.25">
      <c r="A8" s="14">
        <f t="shared" si="10"/>
        <v>0.42258771929824562</v>
      </c>
      <c r="B8" s="2">
        <f t="shared" si="11"/>
        <v>3</v>
      </c>
      <c r="C8" s="4">
        <f t="shared" si="12"/>
        <v>5.83</v>
      </c>
      <c r="D8" s="2">
        <v>11</v>
      </c>
      <c r="E8" s="2">
        <v>50.26548245743669</v>
      </c>
      <c r="F8" s="11">
        <f t="shared" si="0"/>
        <v>2.1883804675135607</v>
      </c>
      <c r="G8" s="2">
        <f t="shared" si="1"/>
        <v>12.75825812560406</v>
      </c>
      <c r="H8" s="2">
        <f t="shared" si="2"/>
        <v>2.7046786349163323</v>
      </c>
      <c r="I8" s="2">
        <f t="shared" si="3"/>
        <v>15.768276441562218</v>
      </c>
      <c r="J8" s="2">
        <f t="shared" si="4"/>
        <v>3.0100183159581579</v>
      </c>
      <c r="K8" s="15">
        <f t="shared" si="13"/>
        <v>0.3941520467836257</v>
      </c>
      <c r="L8" s="2">
        <f t="shared" si="14"/>
        <v>3</v>
      </c>
      <c r="M8" s="2">
        <f t="shared" si="15"/>
        <v>5.58</v>
      </c>
      <c r="N8" s="2">
        <v>10</v>
      </c>
      <c r="O8" s="2">
        <v>50.26548245743669</v>
      </c>
      <c r="P8" s="11">
        <f t="shared" si="5"/>
        <v>1.9894367886486919</v>
      </c>
      <c r="Q8" s="2">
        <f t="shared" si="6"/>
        <v>11.101057280659701</v>
      </c>
      <c r="R8" s="2">
        <f t="shared" si="7"/>
        <v>2.6963229723492934</v>
      </c>
      <c r="S8" s="2">
        <f t="shared" si="8"/>
        <v>15.045482185709057</v>
      </c>
      <c r="T8" s="2">
        <f t="shared" si="9"/>
        <v>3.9444249050493561</v>
      </c>
      <c r="V8" s="34" t="s">
        <v>25</v>
      </c>
      <c r="W8" s="35"/>
      <c r="X8" s="36"/>
    </row>
    <row r="9" spans="1:24" x14ac:dyDescent="0.25">
      <c r="A9" s="14">
        <f t="shared" si="10"/>
        <v>0.42277046783625732</v>
      </c>
      <c r="B9" s="2">
        <f t="shared" si="11"/>
        <v>4</v>
      </c>
      <c r="C9" s="4">
        <f t="shared" si="12"/>
        <v>6.33</v>
      </c>
      <c r="D9" s="2">
        <v>13.5</v>
      </c>
      <c r="E9" s="2">
        <v>50.26548245743669</v>
      </c>
      <c r="F9" s="11">
        <f t="shared" si="0"/>
        <v>2.6857396646757339</v>
      </c>
      <c r="G9" s="2">
        <f t="shared" si="1"/>
        <v>17.000732077397394</v>
      </c>
      <c r="H9" s="2">
        <f t="shared" si="2"/>
        <v>2.7046786349163323</v>
      </c>
      <c r="I9" s="2">
        <f t="shared" si="3"/>
        <v>17.120615759020385</v>
      </c>
      <c r="J9" s="2">
        <f t="shared" si="4"/>
        <v>0.11988368162299068</v>
      </c>
      <c r="K9" s="15">
        <f t="shared" si="13"/>
        <v>0.39435307017543858</v>
      </c>
      <c r="L9" s="2">
        <f t="shared" si="14"/>
        <v>4</v>
      </c>
      <c r="M9" s="2">
        <f t="shared" si="15"/>
        <v>6.08</v>
      </c>
      <c r="N9" s="2">
        <v>13</v>
      </c>
      <c r="O9" s="2">
        <v>50.26548245743669</v>
      </c>
      <c r="P9" s="11">
        <f t="shared" si="5"/>
        <v>2.5862678252432989</v>
      </c>
      <c r="Q9" s="2">
        <f t="shared" si="6"/>
        <v>15.724508377479257</v>
      </c>
      <c r="R9" s="2">
        <f t="shared" si="7"/>
        <v>2.6963229723492934</v>
      </c>
      <c r="S9" s="2">
        <f t="shared" si="8"/>
        <v>16.393643671883705</v>
      </c>
      <c r="T9" s="2">
        <f t="shared" si="9"/>
        <v>0.66913529440444819</v>
      </c>
      <c r="V9" s="34" t="s">
        <v>26</v>
      </c>
      <c r="W9" s="36"/>
      <c r="X9" s="16">
        <v>0.34791666666666665</v>
      </c>
    </row>
    <row r="10" spans="1:24" x14ac:dyDescent="0.25">
      <c r="A10" s="14">
        <f t="shared" si="10"/>
        <v>0.42295321637426903</v>
      </c>
      <c r="B10" s="2">
        <f t="shared" si="11"/>
        <v>5</v>
      </c>
      <c r="C10" s="4">
        <f t="shared" si="12"/>
        <v>6.83</v>
      </c>
      <c r="D10" s="2">
        <v>15.5</v>
      </c>
      <c r="E10" s="2">
        <v>50.26548245743669</v>
      </c>
      <c r="F10" s="11">
        <f t="shared" si="0"/>
        <v>3.0836270224054725</v>
      </c>
      <c r="G10" s="2">
        <f t="shared" si="1"/>
        <v>21.061172563029377</v>
      </c>
      <c r="H10" s="2">
        <f t="shared" si="2"/>
        <v>2.7046786349163323</v>
      </c>
      <c r="I10" s="2">
        <f t="shared" si="3"/>
        <v>18.472955076478549</v>
      </c>
      <c r="J10" s="2">
        <f t="shared" si="4"/>
        <v>2.5882174865508283</v>
      </c>
      <c r="K10" s="15">
        <f t="shared" si="13"/>
        <v>0.39455409356725146</v>
      </c>
      <c r="L10" s="2">
        <f t="shared" si="14"/>
        <v>5</v>
      </c>
      <c r="M10" s="2">
        <f t="shared" si="15"/>
        <v>6.58</v>
      </c>
      <c r="N10" s="2">
        <v>14</v>
      </c>
      <c r="O10" s="2">
        <v>50.26548245743669</v>
      </c>
      <c r="P10" s="11">
        <f t="shared" si="5"/>
        <v>2.7852115041081689</v>
      </c>
      <c r="Q10" s="2">
        <f t="shared" si="6"/>
        <v>18.326691697031752</v>
      </c>
      <c r="R10" s="2">
        <f t="shared" si="7"/>
        <v>2.6963229723492934</v>
      </c>
      <c r="S10" s="2">
        <f t="shared" si="8"/>
        <v>17.741805158058352</v>
      </c>
      <c r="T10" s="2">
        <f t="shared" si="9"/>
        <v>0.58488653897340015</v>
      </c>
      <c r="V10" s="34" t="s">
        <v>27</v>
      </c>
      <c r="W10" s="36"/>
      <c r="X10" s="6">
        <v>50</v>
      </c>
    </row>
    <row r="11" spans="1:24" x14ac:dyDescent="0.25">
      <c r="A11" s="14">
        <f t="shared" si="10"/>
        <v>0.42313596491228067</v>
      </c>
      <c r="B11" s="2">
        <f t="shared" si="11"/>
        <v>6</v>
      </c>
      <c r="C11" s="4">
        <f t="shared" si="12"/>
        <v>7.33</v>
      </c>
      <c r="D11" s="2">
        <v>20</v>
      </c>
      <c r="E11" s="2">
        <v>50.26548245743669</v>
      </c>
      <c r="F11" s="11">
        <f t="shared" si="0"/>
        <v>3.9788735772973838</v>
      </c>
      <c r="G11" s="2">
        <f t="shared" si="1"/>
        <v>29.165143321589824</v>
      </c>
      <c r="H11" s="2">
        <f t="shared" si="2"/>
        <v>2.7046786349163323</v>
      </c>
      <c r="I11" s="2">
        <f t="shared" si="3"/>
        <v>19.825294393936716</v>
      </c>
      <c r="J11" s="2">
        <f t="shared" si="4"/>
        <v>9.339848927653108</v>
      </c>
      <c r="K11" s="15">
        <f t="shared" si="13"/>
        <v>0.39475511695906434</v>
      </c>
      <c r="L11" s="2">
        <f t="shared" si="14"/>
        <v>6</v>
      </c>
      <c r="M11" s="2">
        <f t="shared" si="15"/>
        <v>7.08</v>
      </c>
      <c r="N11" s="2">
        <v>16.5</v>
      </c>
      <c r="O11" s="2">
        <v>50.26548245743669</v>
      </c>
      <c r="P11" s="11">
        <f t="shared" si="5"/>
        <v>3.2825707012703416</v>
      </c>
      <c r="Q11" s="2">
        <f t="shared" si="6"/>
        <v>23.240600564994018</v>
      </c>
      <c r="R11" s="2">
        <f t="shared" si="7"/>
        <v>2.6963229723492934</v>
      </c>
      <c r="S11" s="2">
        <f t="shared" si="8"/>
        <v>19.089966644232998</v>
      </c>
      <c r="T11" s="2">
        <f t="shared" si="9"/>
        <v>4.1506339207610203</v>
      </c>
      <c r="V11" s="34" t="s">
        <v>28</v>
      </c>
      <c r="W11" s="36"/>
      <c r="X11" s="6">
        <v>50</v>
      </c>
    </row>
    <row r="12" spans="1:24" x14ac:dyDescent="0.25">
      <c r="A12" s="14">
        <f t="shared" si="10"/>
        <v>0.42331871345029237</v>
      </c>
      <c r="B12" s="2">
        <f t="shared" si="11"/>
        <v>7</v>
      </c>
      <c r="C12" s="4">
        <f t="shared" si="12"/>
        <v>7.83</v>
      </c>
      <c r="D12" s="23">
        <v>20.5</v>
      </c>
      <c r="E12" s="2">
        <v>50.26548245743669</v>
      </c>
      <c r="F12" s="11">
        <f t="shared" si="0"/>
        <v>4.0783454167298183</v>
      </c>
      <c r="G12" s="2">
        <f t="shared" si="1"/>
        <v>31.933444612994478</v>
      </c>
      <c r="H12" s="2">
        <f t="shared" si="2"/>
        <v>2.7046786349163323</v>
      </c>
      <c r="I12" s="2">
        <f t="shared" si="3"/>
        <v>21.177633711394883</v>
      </c>
      <c r="J12" s="2">
        <f t="shared" si="4"/>
        <v>10.755810901599595</v>
      </c>
      <c r="K12" s="15">
        <f t="shared" si="13"/>
        <v>0.39495614035087717</v>
      </c>
      <c r="L12" s="2">
        <f t="shared" si="14"/>
        <v>7</v>
      </c>
      <c r="M12" s="2">
        <f t="shared" si="15"/>
        <v>7.58</v>
      </c>
      <c r="N12" s="23">
        <v>23.5</v>
      </c>
      <c r="O12" s="2">
        <v>50.26548245743669</v>
      </c>
      <c r="P12" s="11">
        <f t="shared" si="5"/>
        <v>4.6751764533244256</v>
      </c>
      <c r="Q12" s="2">
        <f t="shared" si="6"/>
        <v>35.437837516199146</v>
      </c>
      <c r="R12" s="2">
        <f t="shared" si="7"/>
        <v>2.6963229723492934</v>
      </c>
      <c r="S12" s="2">
        <f t="shared" si="8"/>
        <v>20.438128130407645</v>
      </c>
      <c r="T12" s="2">
        <f t="shared" si="9"/>
        <v>14.999709385791501</v>
      </c>
      <c r="V12" s="34" t="s">
        <v>29</v>
      </c>
      <c r="W12" s="36"/>
      <c r="X12" s="6">
        <v>50</v>
      </c>
    </row>
    <row r="13" spans="1:24" x14ac:dyDescent="0.25">
      <c r="A13" s="14">
        <f t="shared" si="10"/>
        <v>0.42350146198830407</v>
      </c>
      <c r="B13" s="2">
        <f t="shared" si="11"/>
        <v>8</v>
      </c>
      <c r="C13" s="4">
        <f t="shared" si="12"/>
        <v>8.33</v>
      </c>
      <c r="D13" s="2">
        <v>21.5</v>
      </c>
      <c r="E13" s="2">
        <v>50.26548245743669</v>
      </c>
      <c r="F13" s="11">
        <f t="shared" si="0"/>
        <v>4.2772890955946874</v>
      </c>
      <c r="G13" s="2">
        <f t="shared" si="1"/>
        <v>35.62981816630375</v>
      </c>
      <c r="H13" s="2">
        <f t="shared" si="2"/>
        <v>2.7046786349163323</v>
      </c>
      <c r="I13" s="2">
        <f t="shared" si="3"/>
        <v>22.52997302885305</v>
      </c>
      <c r="J13" s="2">
        <f t="shared" si="4"/>
        <v>13.0998451374507</v>
      </c>
      <c r="K13" s="15">
        <f t="shared" si="13"/>
        <v>0.39515716374269005</v>
      </c>
      <c r="L13" s="2">
        <f t="shared" si="14"/>
        <v>8</v>
      </c>
      <c r="M13" s="2">
        <f t="shared" si="15"/>
        <v>8.08</v>
      </c>
      <c r="N13" s="2">
        <v>21.5</v>
      </c>
      <c r="O13" s="2">
        <v>50.26548245743669</v>
      </c>
      <c r="P13" s="11">
        <f t="shared" si="5"/>
        <v>4.2772890955946874</v>
      </c>
      <c r="Q13" s="2">
        <f t="shared" si="6"/>
        <v>34.560495892405072</v>
      </c>
      <c r="R13" s="2">
        <f t="shared" si="7"/>
        <v>2.6963229723492934</v>
      </c>
      <c r="S13" s="2">
        <f t="shared" si="8"/>
        <v>21.786289616582291</v>
      </c>
      <c r="T13" s="2">
        <f t="shared" si="9"/>
        <v>12.774206275822781</v>
      </c>
      <c r="V13" s="34" t="s">
        <v>30</v>
      </c>
      <c r="W13" s="36"/>
      <c r="X13" s="16">
        <v>0.44722222222222224</v>
      </c>
    </row>
    <row r="14" spans="1:24" x14ac:dyDescent="0.25">
      <c r="A14" s="14">
        <f t="shared" si="10"/>
        <v>0.42368421052631577</v>
      </c>
      <c r="B14" s="2">
        <f t="shared" si="11"/>
        <v>9</v>
      </c>
      <c r="C14" s="4">
        <f t="shared" si="12"/>
        <v>8.83</v>
      </c>
      <c r="D14" s="2">
        <v>22.5</v>
      </c>
      <c r="E14" s="2">
        <v>50.26548245743669</v>
      </c>
      <c r="F14" s="11">
        <f t="shared" si="0"/>
        <v>4.4762327744595565</v>
      </c>
      <c r="G14" s="2">
        <f t="shared" si="1"/>
        <v>39.525135398477886</v>
      </c>
      <c r="H14" s="2">
        <f t="shared" si="2"/>
        <v>2.7046786349163323</v>
      </c>
      <c r="I14" s="2">
        <f t="shared" si="3"/>
        <v>23.882312346311213</v>
      </c>
      <c r="J14" s="2">
        <f t="shared" si="4"/>
        <v>15.642823052166673</v>
      </c>
      <c r="K14" s="15">
        <f t="shared" si="13"/>
        <v>0.39535818713450294</v>
      </c>
      <c r="L14" s="2">
        <f t="shared" si="14"/>
        <v>9</v>
      </c>
      <c r="M14" s="2">
        <f t="shared" si="15"/>
        <v>8.58</v>
      </c>
      <c r="N14" s="2">
        <v>22.5</v>
      </c>
      <c r="O14" s="2">
        <v>50.26548245743669</v>
      </c>
      <c r="P14" s="11">
        <f t="shared" si="5"/>
        <v>4.4762327744595565</v>
      </c>
      <c r="Q14" s="2">
        <f t="shared" si="6"/>
        <v>38.406077204862996</v>
      </c>
      <c r="R14" s="2">
        <f t="shared" si="7"/>
        <v>2.6963229723492934</v>
      </c>
      <c r="S14" s="2">
        <f t="shared" si="8"/>
        <v>23.134451102756938</v>
      </c>
      <c r="T14" s="2">
        <f t="shared" si="9"/>
        <v>15.271626102106058</v>
      </c>
      <c r="V14" s="34" t="s">
        <v>31</v>
      </c>
      <c r="W14" s="36"/>
      <c r="X14" s="6">
        <v>49</v>
      </c>
    </row>
    <row r="15" spans="1:24" x14ac:dyDescent="0.25">
      <c r="A15" s="14">
        <f t="shared" si="10"/>
        <v>0.42386695906432748</v>
      </c>
      <c r="B15" s="2">
        <f t="shared" si="11"/>
        <v>10</v>
      </c>
      <c r="C15" s="4">
        <f t="shared" si="12"/>
        <v>9.33</v>
      </c>
      <c r="D15" s="2">
        <v>23.5</v>
      </c>
      <c r="E15" s="2">
        <v>50.26548245743669</v>
      </c>
      <c r="F15" s="11">
        <f t="shared" si="0"/>
        <v>4.6751764533244256</v>
      </c>
      <c r="G15" s="2">
        <f t="shared" si="1"/>
        <v>43.619396309516894</v>
      </c>
      <c r="H15" s="2">
        <f t="shared" si="2"/>
        <v>2.7046786349163323</v>
      </c>
      <c r="I15" s="2">
        <f t="shared" si="3"/>
        <v>25.23465166376938</v>
      </c>
      <c r="J15" s="2">
        <f t="shared" si="4"/>
        <v>18.384744645747514</v>
      </c>
      <c r="K15" s="15">
        <f t="shared" si="13"/>
        <v>0.39555921052631576</v>
      </c>
      <c r="L15" s="2">
        <f t="shared" si="14"/>
        <v>10</v>
      </c>
      <c r="M15" s="2">
        <f t="shared" si="15"/>
        <v>9.08</v>
      </c>
      <c r="N15" s="2">
        <v>23</v>
      </c>
      <c r="O15" s="2">
        <v>50.26548245743669</v>
      </c>
      <c r="P15" s="11">
        <f t="shared" si="5"/>
        <v>4.5757046138919915</v>
      </c>
      <c r="Q15" s="2">
        <f t="shared" si="6"/>
        <v>41.54739789413928</v>
      </c>
      <c r="R15" s="2">
        <f t="shared" si="7"/>
        <v>2.6963229723492934</v>
      </c>
      <c r="S15" s="2">
        <f t="shared" si="8"/>
        <v>24.482612588931584</v>
      </c>
      <c r="T15" s="2">
        <f t="shared" si="9"/>
        <v>17.064785305207696</v>
      </c>
      <c r="V15" s="34" t="s">
        <v>32</v>
      </c>
      <c r="W15" s="36"/>
      <c r="X15" s="6">
        <v>49</v>
      </c>
    </row>
    <row r="16" spans="1:24" x14ac:dyDescent="0.25">
      <c r="A16" s="14">
        <f t="shared" si="10"/>
        <v>0.42404970760233918</v>
      </c>
      <c r="B16" s="2">
        <f t="shared" si="11"/>
        <v>11</v>
      </c>
      <c r="C16" s="4">
        <f t="shared" si="12"/>
        <v>9.83</v>
      </c>
      <c r="D16" s="2">
        <v>27</v>
      </c>
      <c r="E16" s="2">
        <v>50.26548245743669</v>
      </c>
      <c r="F16" s="11">
        <f t="shared" si="0"/>
        <v>5.3714793293514678</v>
      </c>
      <c r="G16" s="2">
        <f t="shared" si="1"/>
        <v>52.801641807524931</v>
      </c>
      <c r="H16" s="2">
        <f t="shared" si="2"/>
        <v>2.7046786349163323</v>
      </c>
      <c r="I16" s="2">
        <f t="shared" si="3"/>
        <v>26.586990981227547</v>
      </c>
      <c r="J16" s="2">
        <f t="shared" si="4"/>
        <v>26.214650826297383</v>
      </c>
      <c r="K16" s="15">
        <f t="shared" si="13"/>
        <v>0.39576023391812865</v>
      </c>
      <c r="L16" s="2">
        <f t="shared" si="14"/>
        <v>11</v>
      </c>
      <c r="M16" s="2">
        <f t="shared" si="15"/>
        <v>9.58</v>
      </c>
      <c r="N16" s="2">
        <v>26</v>
      </c>
      <c r="O16" s="2">
        <v>50.26548245743669</v>
      </c>
      <c r="P16" s="11">
        <f t="shared" si="5"/>
        <v>5.1725356504865978</v>
      </c>
      <c r="Q16" s="2">
        <f t="shared" si="6"/>
        <v>49.552891531661608</v>
      </c>
      <c r="R16" s="2">
        <f t="shared" si="7"/>
        <v>2.6963229723492934</v>
      </c>
      <c r="S16" s="2">
        <f t="shared" si="8"/>
        <v>25.83077407510623</v>
      </c>
      <c r="T16" s="2">
        <f t="shared" si="9"/>
        <v>23.722117456555377</v>
      </c>
      <c r="V16" s="34" t="s">
        <v>33</v>
      </c>
      <c r="W16" s="36"/>
      <c r="X16" s="6">
        <v>49</v>
      </c>
    </row>
    <row r="17" spans="1:24" x14ac:dyDescent="0.25">
      <c r="A17" s="14">
        <f t="shared" si="10"/>
        <v>0.42423245614035088</v>
      </c>
      <c r="B17" s="2">
        <f t="shared" si="11"/>
        <v>12</v>
      </c>
      <c r="C17" s="4">
        <f t="shared" si="12"/>
        <v>10.33</v>
      </c>
      <c r="D17" s="2">
        <v>22.5</v>
      </c>
      <c r="E17" s="2">
        <v>50.26548245743669</v>
      </c>
      <c r="F17" s="11">
        <f t="shared" si="0"/>
        <v>4.4762327744595565</v>
      </c>
      <c r="G17" s="2">
        <f t="shared" si="1"/>
        <v>46.23948456016722</v>
      </c>
      <c r="H17" s="2">
        <f t="shared" si="2"/>
        <v>2.7046786349163323</v>
      </c>
      <c r="I17" s="2">
        <f t="shared" si="3"/>
        <v>27.939330298685714</v>
      </c>
      <c r="J17" s="2">
        <f t="shared" si="4"/>
        <v>18.300154261481506</v>
      </c>
      <c r="K17" s="15">
        <f t="shared" si="13"/>
        <v>0.39596125730994153</v>
      </c>
      <c r="L17" s="2">
        <f t="shared" si="14"/>
        <v>12</v>
      </c>
      <c r="M17" s="2">
        <f t="shared" si="15"/>
        <v>10.08</v>
      </c>
      <c r="N17" s="2">
        <v>24</v>
      </c>
      <c r="O17" s="2">
        <v>50.26548245743669</v>
      </c>
      <c r="P17" s="11">
        <f t="shared" si="5"/>
        <v>4.7746482927568596</v>
      </c>
      <c r="Q17" s="2">
        <f t="shared" si="6"/>
        <v>48.128454790989146</v>
      </c>
      <c r="R17" s="2">
        <f t="shared" si="7"/>
        <v>2.6963229723492934</v>
      </c>
      <c r="S17" s="2">
        <f t="shared" si="8"/>
        <v>27.178935561280877</v>
      </c>
      <c r="T17" s="2">
        <f t="shared" si="9"/>
        <v>20.949519229708269</v>
      </c>
      <c r="V17" s="38" t="s">
        <v>34</v>
      </c>
      <c r="W17" s="36"/>
      <c r="X17" s="17">
        <f>((X10-X14)+(X11-X15)+(X12-X16))/3</f>
        <v>1</v>
      </c>
    </row>
    <row r="18" spans="1:24" x14ac:dyDescent="0.25">
      <c r="A18" s="14">
        <f t="shared" si="10"/>
        <v>0.42441520467836258</v>
      </c>
      <c r="B18" s="2">
        <f t="shared" si="11"/>
        <v>13</v>
      </c>
      <c r="C18" s="4">
        <f t="shared" si="12"/>
        <v>10.83</v>
      </c>
      <c r="D18" s="2">
        <v>20.5</v>
      </c>
      <c r="E18" s="2">
        <v>50.26548245743669</v>
      </c>
      <c r="F18" s="11">
        <f t="shared" si="0"/>
        <v>4.0783454167298183</v>
      </c>
      <c r="G18" s="2">
        <f t="shared" si="1"/>
        <v>44.16848086318393</v>
      </c>
      <c r="H18" s="2">
        <f t="shared" si="2"/>
        <v>2.7046786349163323</v>
      </c>
      <c r="I18" s="2">
        <f t="shared" si="3"/>
        <v>29.291669616143878</v>
      </c>
      <c r="J18" s="2">
        <f t="shared" si="4"/>
        <v>14.876811247040052</v>
      </c>
      <c r="K18" s="15">
        <f t="shared" si="13"/>
        <v>0.39616228070175441</v>
      </c>
      <c r="L18" s="2">
        <f t="shared" si="14"/>
        <v>13</v>
      </c>
      <c r="M18" s="2">
        <f t="shared" si="15"/>
        <v>10.58</v>
      </c>
      <c r="N18" s="2">
        <v>21.5</v>
      </c>
      <c r="O18" s="2">
        <v>50.26548245743669</v>
      </c>
      <c r="P18" s="11">
        <f t="shared" si="5"/>
        <v>4.2772890955946874</v>
      </c>
      <c r="Q18" s="2">
        <f t="shared" si="6"/>
        <v>45.253718631391791</v>
      </c>
      <c r="R18" s="2">
        <f t="shared" si="7"/>
        <v>2.6963229723492934</v>
      </c>
      <c r="S18" s="2">
        <f t="shared" si="8"/>
        <v>28.527097047455523</v>
      </c>
      <c r="T18" s="2">
        <f t="shared" si="9"/>
        <v>16.726621583936268</v>
      </c>
      <c r="V18" s="38" t="s">
        <v>35</v>
      </c>
      <c r="W18" s="36"/>
      <c r="X18" s="18" t="s">
        <v>41</v>
      </c>
    </row>
    <row r="19" spans="1:24" x14ac:dyDescent="0.25">
      <c r="A19" s="14">
        <f t="shared" si="10"/>
        <v>0.42459795321637428</v>
      </c>
      <c r="B19" s="2">
        <f t="shared" si="11"/>
        <v>14</v>
      </c>
      <c r="C19" s="4">
        <f t="shared" si="12"/>
        <v>11.33</v>
      </c>
      <c r="D19" s="2">
        <v>20</v>
      </c>
      <c r="E19" s="2">
        <v>50.26548245743669</v>
      </c>
      <c r="F19" s="11">
        <f t="shared" si="0"/>
        <v>3.9788735772973838</v>
      </c>
      <c r="G19" s="2">
        <f t="shared" si="1"/>
        <v>45.080637630779357</v>
      </c>
      <c r="H19" s="2">
        <f t="shared" si="2"/>
        <v>2.7046786349163323</v>
      </c>
      <c r="I19" s="2">
        <f t="shared" si="3"/>
        <v>30.644008933602045</v>
      </c>
      <c r="J19" s="2">
        <f t="shared" si="4"/>
        <v>14.436628697177312</v>
      </c>
      <c r="K19" s="15">
        <f t="shared" si="13"/>
        <v>0.39636330409356724</v>
      </c>
      <c r="L19" s="2">
        <f t="shared" si="14"/>
        <v>14</v>
      </c>
      <c r="M19" s="2">
        <f t="shared" si="15"/>
        <v>11.08</v>
      </c>
      <c r="N19" s="2">
        <v>20.5</v>
      </c>
      <c r="O19" s="2">
        <v>50.26548245743669</v>
      </c>
      <c r="P19" s="11">
        <f t="shared" si="5"/>
        <v>4.0783454167298183</v>
      </c>
      <c r="Q19" s="2">
        <f t="shared" si="6"/>
        <v>45.188067217366388</v>
      </c>
      <c r="R19" s="2">
        <f t="shared" si="7"/>
        <v>2.6963229723492934</v>
      </c>
      <c r="S19" s="2">
        <f t="shared" si="8"/>
        <v>29.87525853363017</v>
      </c>
      <c r="T19" s="2">
        <f t="shared" si="9"/>
        <v>15.312808683736218</v>
      </c>
      <c r="V19" s="39" t="s">
        <v>37</v>
      </c>
      <c r="W19" s="35"/>
      <c r="X19" s="36"/>
    </row>
    <row r="20" spans="1:24" x14ac:dyDescent="0.25">
      <c r="A20" s="14">
        <f t="shared" si="10"/>
        <v>0.42478070175438598</v>
      </c>
      <c r="B20" s="2">
        <f t="shared" si="11"/>
        <v>15</v>
      </c>
      <c r="C20" s="4">
        <f t="shared" si="12"/>
        <v>11.83</v>
      </c>
      <c r="D20" s="2">
        <v>19.5</v>
      </c>
      <c r="E20" s="2">
        <v>50.26548245743669</v>
      </c>
      <c r="F20" s="11">
        <f t="shared" si="0"/>
        <v>3.8794017378649488</v>
      </c>
      <c r="G20" s="2">
        <f t="shared" si="1"/>
        <v>45.893322558942344</v>
      </c>
      <c r="H20" s="2">
        <f t="shared" si="2"/>
        <v>2.7046786349163323</v>
      </c>
      <c r="I20" s="2">
        <f t="shared" si="3"/>
        <v>31.996348251060212</v>
      </c>
      <c r="J20" s="2">
        <f t="shared" si="4"/>
        <v>13.896974307882132</v>
      </c>
      <c r="K20" s="15">
        <f t="shared" si="13"/>
        <v>0.39656432748538012</v>
      </c>
      <c r="L20" s="2">
        <f t="shared" si="14"/>
        <v>15</v>
      </c>
      <c r="M20" s="2">
        <f t="shared" si="15"/>
        <v>11.58</v>
      </c>
      <c r="N20" s="2">
        <v>19.5</v>
      </c>
      <c r="O20" s="2">
        <v>50.26548245743669</v>
      </c>
      <c r="P20" s="11">
        <f t="shared" si="5"/>
        <v>3.8794017378649488</v>
      </c>
      <c r="Q20" s="2">
        <f t="shared" si="6"/>
        <v>44.923472124476106</v>
      </c>
      <c r="R20" s="2">
        <f t="shared" si="7"/>
        <v>2.6963229723492934</v>
      </c>
      <c r="S20" s="2">
        <f t="shared" si="8"/>
        <v>31.223420019804816</v>
      </c>
      <c r="T20" s="2">
        <f t="shared" si="9"/>
        <v>13.70005210467129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14">
        <f t="shared" si="10"/>
        <v>0.42496345029239763</v>
      </c>
      <c r="B21" s="2">
        <f t="shared" si="11"/>
        <v>16</v>
      </c>
      <c r="C21" s="4">
        <f t="shared" si="12"/>
        <v>12.33</v>
      </c>
      <c r="D21" s="2">
        <v>16.5</v>
      </c>
      <c r="E21" s="2">
        <v>50.26548245743669</v>
      </c>
      <c r="F21" s="11">
        <f t="shared" si="0"/>
        <v>3.2825707012703416</v>
      </c>
      <c r="G21" s="2">
        <f t="shared" si="1"/>
        <v>40.474096746663314</v>
      </c>
      <c r="H21" s="2">
        <f t="shared" si="2"/>
        <v>2.7046786349163323</v>
      </c>
      <c r="I21" s="2">
        <f t="shared" si="3"/>
        <v>33.348687568518379</v>
      </c>
      <c r="J21" s="2">
        <f t="shared" si="4"/>
        <v>7.1254091781449347</v>
      </c>
      <c r="K21" s="15">
        <f t="shared" si="13"/>
        <v>0.396765350877193</v>
      </c>
      <c r="L21" s="2">
        <f t="shared" si="14"/>
        <v>16</v>
      </c>
      <c r="M21" s="2">
        <f t="shared" si="15"/>
        <v>12.08</v>
      </c>
      <c r="N21" s="2">
        <v>15.5</v>
      </c>
      <c r="O21" s="2">
        <v>50.26548245743669</v>
      </c>
      <c r="P21" s="11">
        <f t="shared" si="5"/>
        <v>3.0836270224054725</v>
      </c>
      <c r="Q21" s="2">
        <f t="shared" si="6"/>
        <v>37.250214430658104</v>
      </c>
      <c r="R21" s="2">
        <f t="shared" si="7"/>
        <v>2.6963229723492934</v>
      </c>
      <c r="S21" s="2">
        <f t="shared" si="8"/>
        <v>32.571581505979466</v>
      </c>
      <c r="T21" s="2">
        <f t="shared" si="9"/>
        <v>4.678632924678638</v>
      </c>
      <c r="V21" s="39" t="s">
        <v>39</v>
      </c>
      <c r="W21" s="36"/>
      <c r="X21" s="20">
        <f>(J2+T2)/2</f>
        <v>89.553488593162214</v>
      </c>
    </row>
    <row r="22" spans="1:24" x14ac:dyDescent="0.25">
      <c r="A22" s="14">
        <f t="shared" si="10"/>
        <v>0.42514619883040933</v>
      </c>
      <c r="B22" s="2">
        <f t="shared" si="11"/>
        <v>17</v>
      </c>
      <c r="C22" s="4">
        <f t="shared" si="12"/>
        <v>12.83</v>
      </c>
      <c r="D22" s="2">
        <v>17.5</v>
      </c>
      <c r="E22" s="2">
        <v>50.26548245743669</v>
      </c>
      <c r="F22" s="11">
        <f t="shared" si="0"/>
        <v>3.4815143801352106</v>
      </c>
      <c r="G22" s="2">
        <f t="shared" si="1"/>
        <v>44.667829497134754</v>
      </c>
      <c r="H22" s="2">
        <f t="shared" si="2"/>
        <v>2.7046786349163323</v>
      </c>
      <c r="I22" s="2">
        <f t="shared" si="3"/>
        <v>34.701026885976546</v>
      </c>
      <c r="J22" s="2">
        <f t="shared" si="4"/>
        <v>9.966802611158208</v>
      </c>
      <c r="K22" s="15">
        <f t="shared" si="13"/>
        <v>0.39696637426900583</v>
      </c>
      <c r="L22" s="2">
        <f t="shared" si="14"/>
        <v>17</v>
      </c>
      <c r="M22" s="2">
        <f t="shared" si="15"/>
        <v>12.58</v>
      </c>
      <c r="N22" s="2">
        <v>17</v>
      </c>
      <c r="O22" s="2">
        <v>50.26548245743669</v>
      </c>
      <c r="P22" s="11">
        <f t="shared" si="5"/>
        <v>3.3820425407027761</v>
      </c>
      <c r="Q22" s="2">
        <f t="shared" si="6"/>
        <v>42.54609516204092</v>
      </c>
      <c r="R22" s="2">
        <f t="shared" si="7"/>
        <v>2.6963229723492934</v>
      </c>
      <c r="S22" s="2">
        <f t="shared" si="8"/>
        <v>33.919742992154113</v>
      </c>
      <c r="T22" s="2">
        <f t="shared" si="9"/>
        <v>8.6263521698868075</v>
      </c>
      <c r="V22" s="47" t="s">
        <v>44</v>
      </c>
      <c r="W22" s="42"/>
      <c r="X22" s="45">
        <f>'CUC QT 1'!X22</f>
        <v>89.851972821653575</v>
      </c>
    </row>
    <row r="23" spans="1:24" x14ac:dyDescent="0.25">
      <c r="A23" s="14">
        <f t="shared" si="10"/>
        <v>0.42532894736842103</v>
      </c>
      <c r="B23" s="2">
        <f t="shared" si="11"/>
        <v>18</v>
      </c>
      <c r="C23" s="4">
        <f t="shared" si="12"/>
        <v>13.33</v>
      </c>
      <c r="D23" s="2">
        <v>16</v>
      </c>
      <c r="E23" s="2">
        <v>50.26548245743669</v>
      </c>
      <c r="F23" s="11">
        <f t="shared" si="0"/>
        <v>3.183098861837907</v>
      </c>
      <c r="G23" s="2">
        <f t="shared" si="1"/>
        <v>42.430707828299298</v>
      </c>
      <c r="H23" s="2">
        <f t="shared" si="2"/>
        <v>2.7046786349163323</v>
      </c>
      <c r="I23" s="2">
        <f t="shared" si="3"/>
        <v>36.053366203434713</v>
      </c>
      <c r="J23" s="2">
        <f t="shared" si="4"/>
        <v>6.3773416248645844</v>
      </c>
      <c r="K23" s="15">
        <f t="shared" si="13"/>
        <v>0.39716739766081871</v>
      </c>
      <c r="L23" s="2">
        <f t="shared" si="14"/>
        <v>18</v>
      </c>
      <c r="M23" s="2">
        <f t="shared" si="15"/>
        <v>13.08</v>
      </c>
      <c r="N23" s="2">
        <v>18</v>
      </c>
      <c r="O23" s="2">
        <v>50.26548245743669</v>
      </c>
      <c r="P23" s="11">
        <f t="shared" si="5"/>
        <v>3.5809862195676452</v>
      </c>
      <c r="Q23" s="2">
        <f t="shared" si="6"/>
        <v>46.8392997519448</v>
      </c>
      <c r="R23" s="2">
        <f t="shared" si="7"/>
        <v>2.6963229723492934</v>
      </c>
      <c r="S23" s="2">
        <f t="shared" si="8"/>
        <v>35.267904478328759</v>
      </c>
      <c r="T23" s="2">
        <f t="shared" si="9"/>
        <v>11.571395273616041</v>
      </c>
      <c r="V23" s="43"/>
      <c r="W23" s="44"/>
      <c r="X23" s="46"/>
    </row>
    <row r="24" spans="1:24" x14ac:dyDescent="0.25">
      <c r="A24" s="14">
        <f t="shared" si="10"/>
        <v>0.42551169590643273</v>
      </c>
      <c r="B24" s="2">
        <f t="shared" si="11"/>
        <v>19</v>
      </c>
      <c r="C24" s="4">
        <f t="shared" si="12"/>
        <v>13.83</v>
      </c>
      <c r="D24" s="2">
        <v>15.5</v>
      </c>
      <c r="E24" s="2">
        <v>50.26548245743669</v>
      </c>
      <c r="F24" s="11">
        <f t="shared" si="0"/>
        <v>3.0836270224054725</v>
      </c>
      <c r="G24" s="2">
        <f t="shared" si="1"/>
        <v>42.646561719867684</v>
      </c>
      <c r="H24" s="2">
        <f t="shared" si="2"/>
        <v>2.7046786349163323</v>
      </c>
      <c r="I24" s="2">
        <f t="shared" si="3"/>
        <v>37.405705520892873</v>
      </c>
      <c r="J24" s="2">
        <f t="shared" si="4"/>
        <v>5.2408561989748108</v>
      </c>
      <c r="K24" s="15">
        <f t="shared" si="13"/>
        <v>0.39736842105263159</v>
      </c>
      <c r="L24" s="2">
        <f t="shared" si="14"/>
        <v>19</v>
      </c>
      <c r="M24" s="2">
        <f t="shared" si="15"/>
        <v>13.58</v>
      </c>
      <c r="N24" s="2">
        <v>16.5</v>
      </c>
      <c r="O24" s="2">
        <v>50.26548245743669</v>
      </c>
      <c r="P24" s="11">
        <f t="shared" si="5"/>
        <v>3.2825707012703416</v>
      </c>
      <c r="Q24" s="2">
        <f t="shared" si="6"/>
        <v>44.577310123251237</v>
      </c>
      <c r="R24" s="2">
        <f t="shared" si="7"/>
        <v>2.6963229723492934</v>
      </c>
      <c r="S24" s="2">
        <f t="shared" si="8"/>
        <v>36.616065964503406</v>
      </c>
      <c r="T24" s="2">
        <f t="shared" si="9"/>
        <v>7.9612441587478315</v>
      </c>
    </row>
    <row r="25" spans="1:24" x14ac:dyDescent="0.25">
      <c r="A25" s="14">
        <f t="shared" si="10"/>
        <v>0.42569444444444443</v>
      </c>
      <c r="B25" s="2">
        <f t="shared" si="11"/>
        <v>20</v>
      </c>
      <c r="C25" s="4">
        <f t="shared" si="12"/>
        <v>14.33</v>
      </c>
      <c r="D25" s="2">
        <v>15</v>
      </c>
      <c r="E25" s="2">
        <v>50.26548245743669</v>
      </c>
      <c r="F25" s="11">
        <f t="shared" si="0"/>
        <v>2.9841551829730379</v>
      </c>
      <c r="G25" s="2">
        <f t="shared" si="1"/>
        <v>42.762943772003631</v>
      </c>
      <c r="H25" s="2">
        <f t="shared" si="2"/>
        <v>2.7046786349163323</v>
      </c>
      <c r="I25" s="2">
        <f t="shared" si="3"/>
        <v>38.75804483835104</v>
      </c>
      <c r="J25" s="2">
        <f t="shared" si="4"/>
        <v>4.0048989336525906</v>
      </c>
      <c r="K25" s="15">
        <f t="shared" si="13"/>
        <v>0.39756944444444442</v>
      </c>
      <c r="L25" s="2">
        <f t="shared" si="14"/>
        <v>20</v>
      </c>
      <c r="M25" s="2">
        <f t="shared" si="15"/>
        <v>14.08</v>
      </c>
      <c r="N25" s="2">
        <v>26</v>
      </c>
      <c r="O25" s="2">
        <v>50.26548245743669</v>
      </c>
      <c r="P25" s="11">
        <f t="shared" si="5"/>
        <v>5.1725356504865978</v>
      </c>
      <c r="Q25" s="2">
        <f t="shared" si="6"/>
        <v>72.829301958851303</v>
      </c>
      <c r="R25" s="2">
        <f t="shared" si="7"/>
        <v>2.6963229723492934</v>
      </c>
      <c r="S25" s="2">
        <f t="shared" si="8"/>
        <v>37.964227450678052</v>
      </c>
      <c r="T25" s="2">
        <f t="shared" si="9"/>
        <v>34.865074508173251</v>
      </c>
      <c r="V25" s="38" t="s">
        <v>45</v>
      </c>
      <c r="W25" s="35"/>
      <c r="X25" s="36"/>
    </row>
    <row r="26" spans="1:24" x14ac:dyDescent="0.25">
      <c r="A26" s="14">
        <f t="shared" si="10"/>
        <v>0.42587719298245613</v>
      </c>
      <c r="B26" s="2">
        <f t="shared" si="11"/>
        <v>21</v>
      </c>
      <c r="C26" s="4">
        <f t="shared" si="12"/>
        <v>14.83</v>
      </c>
      <c r="D26" s="2">
        <v>13.5</v>
      </c>
      <c r="E26" s="2">
        <v>50.26548245743669</v>
      </c>
      <c r="F26" s="11">
        <f t="shared" si="0"/>
        <v>2.6857396646757339</v>
      </c>
      <c r="G26" s="2">
        <f t="shared" si="1"/>
        <v>39.829519227141134</v>
      </c>
      <c r="H26" s="2">
        <f t="shared" si="2"/>
        <v>2.7046786349163323</v>
      </c>
      <c r="I26" s="2">
        <f t="shared" si="3"/>
        <v>40.110384155809207</v>
      </c>
      <c r="J26" s="2">
        <f t="shared" si="4"/>
        <v>0.28086492866807333</v>
      </c>
      <c r="K26" s="15">
        <f t="shared" si="13"/>
        <v>0.3977704678362573</v>
      </c>
      <c r="L26" s="2">
        <f t="shared" si="14"/>
        <v>21</v>
      </c>
      <c r="M26" s="2">
        <f t="shared" si="15"/>
        <v>14.58</v>
      </c>
      <c r="N26" s="2">
        <v>14</v>
      </c>
      <c r="O26" s="2">
        <v>50.26548245743669</v>
      </c>
      <c r="P26" s="11">
        <f t="shared" si="5"/>
        <v>2.7852115041081689</v>
      </c>
      <c r="Q26" s="2">
        <f t="shared" si="6"/>
        <v>40.608383729897099</v>
      </c>
      <c r="R26" s="2">
        <f t="shared" si="7"/>
        <v>2.6963229723492934</v>
      </c>
      <c r="S26" s="2">
        <f t="shared" si="8"/>
        <v>39.312388936852699</v>
      </c>
      <c r="T26" s="2">
        <f t="shared" si="9"/>
        <v>1.2959947930444002</v>
      </c>
      <c r="V26" s="40" t="s">
        <v>46</v>
      </c>
      <c r="W26" s="35"/>
      <c r="X26" s="36"/>
    </row>
    <row r="27" spans="1:24" x14ac:dyDescent="0.25">
      <c r="A27" s="14">
        <f t="shared" si="10"/>
        <v>0.42605994152046783</v>
      </c>
      <c r="B27" s="2">
        <f t="shared" si="11"/>
        <v>22</v>
      </c>
      <c r="C27" s="4">
        <f t="shared" si="12"/>
        <v>15.33</v>
      </c>
      <c r="D27" s="2">
        <v>14</v>
      </c>
      <c r="E27" s="2">
        <v>50.26548245743669</v>
      </c>
      <c r="F27" s="11">
        <f t="shared" si="0"/>
        <v>2.7852115041081689</v>
      </c>
      <c r="G27" s="2">
        <f t="shared" si="1"/>
        <v>42.697292357978228</v>
      </c>
      <c r="H27" s="2">
        <f t="shared" si="2"/>
        <v>2.7046786349163323</v>
      </c>
      <c r="I27" s="2">
        <f t="shared" si="3"/>
        <v>41.462723473267374</v>
      </c>
      <c r="J27" s="2">
        <f t="shared" si="4"/>
        <v>1.2345688847108534</v>
      </c>
      <c r="K27" s="15">
        <f t="shared" si="13"/>
        <v>0.39797149122807018</v>
      </c>
      <c r="L27" s="2">
        <f t="shared" si="14"/>
        <v>22</v>
      </c>
      <c r="M27" s="2">
        <f t="shared" si="15"/>
        <v>15.08</v>
      </c>
      <c r="N27" s="2">
        <v>14</v>
      </c>
      <c r="O27" s="2">
        <v>50.26548245743669</v>
      </c>
      <c r="P27" s="11">
        <f t="shared" si="5"/>
        <v>2.7852115041081689</v>
      </c>
      <c r="Q27" s="2">
        <f t="shared" si="6"/>
        <v>42.000989481951187</v>
      </c>
      <c r="R27" s="2">
        <f t="shared" si="7"/>
        <v>2.6963229723492934</v>
      </c>
      <c r="S27" s="2">
        <f t="shared" si="8"/>
        <v>40.660550423027345</v>
      </c>
      <c r="T27" s="2">
        <f t="shared" si="9"/>
        <v>1.3404390589238417</v>
      </c>
      <c r="V27" s="38" t="s">
        <v>47</v>
      </c>
      <c r="W27" s="35"/>
      <c r="X27" s="36"/>
    </row>
    <row r="28" spans="1:24" x14ac:dyDescent="0.25">
      <c r="A28" s="14">
        <f t="shared" si="10"/>
        <v>0.42624269005847953</v>
      </c>
      <c r="B28" s="2">
        <f t="shared" si="11"/>
        <v>23</v>
      </c>
      <c r="C28" s="4">
        <f t="shared" si="12"/>
        <v>15.83</v>
      </c>
      <c r="D28" s="2">
        <v>15</v>
      </c>
      <c r="E28" s="2">
        <v>50.26548245743669</v>
      </c>
      <c r="F28" s="11">
        <f t="shared" si="0"/>
        <v>2.9841551829730379</v>
      </c>
      <c r="G28" s="2">
        <f t="shared" si="1"/>
        <v>47.239176546463192</v>
      </c>
      <c r="H28" s="2">
        <f t="shared" si="2"/>
        <v>2.7046786349163323</v>
      </c>
      <c r="I28" s="2">
        <f t="shared" si="3"/>
        <v>42.815062790725541</v>
      </c>
      <c r="J28" s="2">
        <f t="shared" si="4"/>
        <v>4.4241137557376504</v>
      </c>
      <c r="K28" s="15">
        <f t="shared" si="13"/>
        <v>0.39817251461988307</v>
      </c>
      <c r="L28" s="2">
        <f t="shared" si="14"/>
        <v>23</v>
      </c>
      <c r="M28" s="2">
        <f t="shared" si="15"/>
        <v>15.58</v>
      </c>
      <c r="N28" s="2">
        <v>14</v>
      </c>
      <c r="O28" s="2">
        <v>50.26548245743669</v>
      </c>
      <c r="P28" s="11">
        <f t="shared" si="5"/>
        <v>2.7852115041081689</v>
      </c>
      <c r="Q28" s="2">
        <f t="shared" si="6"/>
        <v>43.393595234005268</v>
      </c>
      <c r="R28" s="2">
        <f t="shared" si="7"/>
        <v>2.6963229723492934</v>
      </c>
      <c r="S28" s="2">
        <f t="shared" si="8"/>
        <v>42.008711909201992</v>
      </c>
      <c r="T28" s="2">
        <f t="shared" si="9"/>
        <v>1.3848833248032761</v>
      </c>
      <c r="V28" s="40" t="s">
        <v>48</v>
      </c>
      <c r="W28" s="35"/>
      <c r="X28" s="36"/>
    </row>
    <row r="29" spans="1:24" x14ac:dyDescent="0.25">
      <c r="A29" s="14">
        <f t="shared" si="10"/>
        <v>0.42642543859649124</v>
      </c>
      <c r="B29" s="2">
        <f t="shared" si="11"/>
        <v>24</v>
      </c>
      <c r="C29" s="4">
        <f t="shared" si="12"/>
        <v>16.329999999999998</v>
      </c>
      <c r="D29" s="2">
        <v>15</v>
      </c>
      <c r="E29" s="2">
        <v>50.26548245743669</v>
      </c>
      <c r="F29" s="11">
        <f t="shared" si="0"/>
        <v>2.9841551829730379</v>
      </c>
      <c r="G29" s="2">
        <f t="shared" si="1"/>
        <v>48.731254137949705</v>
      </c>
      <c r="H29" s="2">
        <f t="shared" si="2"/>
        <v>2.7046786349163323</v>
      </c>
      <c r="I29" s="2">
        <f t="shared" si="3"/>
        <v>44.167402108183701</v>
      </c>
      <c r="J29" s="2">
        <f t="shared" si="4"/>
        <v>4.5638520297660037</v>
      </c>
      <c r="K29" s="15">
        <f t="shared" si="13"/>
        <v>0.39837353801169589</v>
      </c>
      <c r="L29" s="2">
        <f t="shared" si="14"/>
        <v>24</v>
      </c>
      <c r="M29" s="2">
        <f t="shared" si="15"/>
        <v>16.079999999999998</v>
      </c>
      <c r="N29" s="2">
        <v>15.5</v>
      </c>
      <c r="O29" s="2">
        <v>50.26548245743669</v>
      </c>
      <c r="P29" s="11">
        <f t="shared" si="5"/>
        <v>3.0836270224054725</v>
      </c>
      <c r="Q29" s="2">
        <f t="shared" si="6"/>
        <v>49.584722520279989</v>
      </c>
      <c r="R29" s="2">
        <f t="shared" si="7"/>
        <v>2.6963229723492934</v>
      </c>
      <c r="S29" s="2">
        <f t="shared" si="8"/>
        <v>43.356873395376631</v>
      </c>
      <c r="T29" s="2">
        <f t="shared" si="9"/>
        <v>6.2278491249033578</v>
      </c>
    </row>
    <row r="30" spans="1:24" x14ac:dyDescent="0.25">
      <c r="A30" s="14">
        <f t="shared" si="10"/>
        <v>0.42660818713450288</v>
      </c>
      <c r="B30" s="2">
        <f t="shared" si="11"/>
        <v>25</v>
      </c>
      <c r="C30" s="4">
        <f t="shared" si="12"/>
        <v>16.829999999999998</v>
      </c>
      <c r="D30" s="2">
        <v>14.5</v>
      </c>
      <c r="E30" s="2">
        <v>50.26548245743669</v>
      </c>
      <c r="F30" s="11">
        <f t="shared" si="0"/>
        <v>2.8846833435406034</v>
      </c>
      <c r="G30" s="2">
        <f t="shared" si="1"/>
        <v>48.549220671788348</v>
      </c>
      <c r="H30" s="2">
        <f t="shared" si="2"/>
        <v>2.7046786349163323</v>
      </c>
      <c r="I30" s="2">
        <f t="shared" si="3"/>
        <v>45.519741425641868</v>
      </c>
      <c r="J30" s="2">
        <f t="shared" si="4"/>
        <v>3.0294792461464795</v>
      </c>
      <c r="K30" s="15">
        <f t="shared" si="13"/>
        <v>0.39857456140350878</v>
      </c>
      <c r="L30" s="2">
        <f t="shared" si="14"/>
        <v>25</v>
      </c>
      <c r="M30" s="2">
        <f t="shared" si="15"/>
        <v>16.579999999999998</v>
      </c>
      <c r="N30" s="2">
        <v>15</v>
      </c>
      <c r="O30" s="2">
        <v>50.26548245743669</v>
      </c>
      <c r="P30" s="11">
        <f t="shared" si="5"/>
        <v>2.9841551829730379</v>
      </c>
      <c r="Q30" s="2">
        <f t="shared" si="6"/>
        <v>49.477292933692965</v>
      </c>
      <c r="R30" s="2">
        <f t="shared" si="7"/>
        <v>2.6963229723492934</v>
      </c>
      <c r="S30" s="2">
        <f t="shared" si="8"/>
        <v>44.705034881551278</v>
      </c>
      <c r="T30" s="2">
        <f t="shared" si="9"/>
        <v>4.7722580521416873</v>
      </c>
      <c r="V30" s="24" t="s">
        <v>49</v>
      </c>
      <c r="W30" s="24" t="s">
        <v>50</v>
      </c>
    </row>
    <row r="31" spans="1:24" x14ac:dyDescent="0.25">
      <c r="A31" s="14">
        <f t="shared" si="10"/>
        <v>0.42679093567251458</v>
      </c>
      <c r="B31" s="2">
        <f t="shared" si="11"/>
        <v>26</v>
      </c>
      <c r="C31" s="4">
        <f t="shared" si="12"/>
        <v>17.329999999999998</v>
      </c>
      <c r="D31" s="2">
        <v>15</v>
      </c>
      <c r="E31" s="2">
        <v>50.26548245743669</v>
      </c>
      <c r="F31" s="11">
        <f t="shared" si="0"/>
        <v>2.9841551829730379</v>
      </c>
      <c r="G31" s="2">
        <f t="shared" si="1"/>
        <v>51.715409320922745</v>
      </c>
      <c r="H31" s="2">
        <f t="shared" si="2"/>
        <v>2.7046786349163323</v>
      </c>
      <c r="I31" s="2">
        <f t="shared" si="3"/>
        <v>46.872080743100035</v>
      </c>
      <c r="J31" s="2">
        <f t="shared" si="4"/>
        <v>4.8433285778227102</v>
      </c>
      <c r="K31" s="15">
        <f t="shared" si="13"/>
        <v>0.39877558479532166</v>
      </c>
      <c r="L31" s="2">
        <f t="shared" si="14"/>
        <v>26</v>
      </c>
      <c r="M31" s="2">
        <f t="shared" si="15"/>
        <v>17.079999999999998</v>
      </c>
      <c r="N31" s="2">
        <v>14.5</v>
      </c>
      <c r="O31" s="2">
        <v>50.26548245743669</v>
      </c>
      <c r="P31" s="11">
        <f t="shared" si="5"/>
        <v>2.8846833435406034</v>
      </c>
      <c r="Q31" s="2">
        <f t="shared" si="6"/>
        <v>49.270391507673502</v>
      </c>
      <c r="R31" s="2">
        <f t="shared" si="7"/>
        <v>2.6963229723492934</v>
      </c>
      <c r="S31" s="2">
        <f t="shared" si="8"/>
        <v>46.053196367725924</v>
      </c>
      <c r="T31" s="2">
        <f t="shared" si="9"/>
        <v>3.2171951399475773</v>
      </c>
      <c r="V31" s="24">
        <f>MAX(D6:D162)</f>
        <v>27</v>
      </c>
      <c r="W31" s="24">
        <f>MAX(N6:N162)</f>
        <v>26</v>
      </c>
    </row>
    <row r="32" spans="1:24" x14ac:dyDescent="0.25">
      <c r="A32" s="14">
        <f t="shared" si="10"/>
        <v>0.42697368421052628</v>
      </c>
      <c r="B32" s="2">
        <f t="shared" si="11"/>
        <v>27</v>
      </c>
      <c r="C32" s="4">
        <f t="shared" si="12"/>
        <v>17.829999999999998</v>
      </c>
      <c r="D32" s="2">
        <v>14.5</v>
      </c>
      <c r="E32" s="2">
        <v>50.26548245743669</v>
      </c>
      <c r="F32" s="11">
        <f t="shared" si="0"/>
        <v>2.8846833435406034</v>
      </c>
      <c r="G32" s="2">
        <f t="shared" si="1"/>
        <v>51.433904015328956</v>
      </c>
      <c r="H32" s="2">
        <f t="shared" si="2"/>
        <v>2.7046786349163323</v>
      </c>
      <c r="I32" s="2">
        <f t="shared" si="3"/>
        <v>48.224420060558202</v>
      </c>
      <c r="J32" s="2">
        <f t="shared" si="4"/>
        <v>3.2094839547707537</v>
      </c>
      <c r="K32" s="15">
        <f t="shared" si="13"/>
        <v>0.39897660818713448</v>
      </c>
      <c r="L32" s="2">
        <f t="shared" si="14"/>
        <v>27</v>
      </c>
      <c r="M32" s="2">
        <f t="shared" si="15"/>
        <v>17.579999999999998</v>
      </c>
      <c r="N32" s="2">
        <v>14.5</v>
      </c>
      <c r="O32" s="2">
        <v>50.26548245743669</v>
      </c>
      <c r="P32" s="11">
        <f t="shared" si="5"/>
        <v>2.8846833435406034</v>
      </c>
      <c r="Q32" s="2">
        <f t="shared" si="6"/>
        <v>50.712733179443802</v>
      </c>
      <c r="R32" s="2">
        <f t="shared" si="7"/>
        <v>2.6963229723492934</v>
      </c>
      <c r="S32" s="2">
        <f t="shared" si="8"/>
        <v>47.401357853900571</v>
      </c>
      <c r="T32" s="2">
        <f t="shared" si="9"/>
        <v>3.3113753255432314</v>
      </c>
      <c r="V32" s="24" t="s">
        <v>14</v>
      </c>
      <c r="W32" s="24" t="s">
        <v>14</v>
      </c>
    </row>
    <row r="33" spans="1:23" x14ac:dyDescent="0.25">
      <c r="A33" s="14">
        <f t="shared" si="10"/>
        <v>0.42715643274853798</v>
      </c>
      <c r="B33" s="2">
        <f t="shared" si="11"/>
        <v>28</v>
      </c>
      <c r="C33" s="4">
        <f t="shared" si="12"/>
        <v>18.329999999999998</v>
      </c>
      <c r="D33" s="2">
        <v>16</v>
      </c>
      <c r="E33" s="2">
        <v>50.26548245743669</v>
      </c>
      <c r="F33" s="11">
        <f t="shared" si="0"/>
        <v>3.183098861837907</v>
      </c>
      <c r="G33" s="2">
        <f t="shared" si="1"/>
        <v>58.346202137488831</v>
      </c>
      <c r="H33" s="2">
        <f t="shared" si="2"/>
        <v>2.7046786349163323</v>
      </c>
      <c r="I33" s="2">
        <f t="shared" si="3"/>
        <v>49.576759378016369</v>
      </c>
      <c r="J33" s="2">
        <f t="shared" si="4"/>
        <v>8.7694427594724615</v>
      </c>
      <c r="K33" s="15">
        <f t="shared" si="13"/>
        <v>0.39917763157894737</v>
      </c>
      <c r="L33" s="2">
        <f t="shared" si="14"/>
        <v>28</v>
      </c>
      <c r="M33" s="2">
        <f t="shared" si="15"/>
        <v>18.079999999999998</v>
      </c>
      <c r="N33" s="2">
        <v>14.5</v>
      </c>
      <c r="O33" s="2">
        <v>50.26548245743669</v>
      </c>
      <c r="P33" s="11">
        <f t="shared" si="5"/>
        <v>2.8846833435406034</v>
      </c>
      <c r="Q33" s="2">
        <f t="shared" si="6"/>
        <v>52.155074851214103</v>
      </c>
      <c r="R33" s="2">
        <f t="shared" si="7"/>
        <v>2.6963229723492934</v>
      </c>
      <c r="S33" s="2">
        <f t="shared" si="8"/>
        <v>48.749519340075217</v>
      </c>
      <c r="T33" s="2">
        <f t="shared" si="9"/>
        <v>3.4055555111388855</v>
      </c>
      <c r="V33" s="24">
        <f t="array" ref="V33">INDEX(B6:B162, MATCH(MAX(D6:D162), D6:D162, 0))</f>
        <v>11</v>
      </c>
      <c r="W33" s="24">
        <f t="array" ref="W33">INDEX(L6:L162, MATCH(MAX(N6:N162), N6:N162, 0))</f>
        <v>11</v>
      </c>
    </row>
    <row r="34" spans="1:23" x14ac:dyDescent="0.25">
      <c r="A34" s="14">
        <f t="shared" si="10"/>
        <v>0.42733918128654969</v>
      </c>
      <c r="B34" s="2">
        <f t="shared" si="11"/>
        <v>29</v>
      </c>
      <c r="C34" s="4">
        <f t="shared" si="12"/>
        <v>18.829999999999998</v>
      </c>
      <c r="D34" s="2">
        <v>13.5</v>
      </c>
      <c r="E34" s="2">
        <v>50.26548245743669</v>
      </c>
      <c r="F34" s="11">
        <f t="shared" si="0"/>
        <v>2.6857396646757339</v>
      </c>
      <c r="G34" s="2">
        <f t="shared" si="1"/>
        <v>50.572477885844066</v>
      </c>
      <c r="H34" s="2">
        <f t="shared" si="2"/>
        <v>2.7046786349163323</v>
      </c>
      <c r="I34" s="2">
        <f t="shared" si="3"/>
        <v>50.929098695474536</v>
      </c>
      <c r="J34" s="2">
        <f t="shared" si="4"/>
        <v>0.3566208096304706</v>
      </c>
      <c r="K34" s="15">
        <f t="shared" si="13"/>
        <v>0.39937865497076025</v>
      </c>
      <c r="L34" s="2">
        <f t="shared" si="14"/>
        <v>29</v>
      </c>
      <c r="M34" s="2">
        <f t="shared" si="15"/>
        <v>18.579999999999998</v>
      </c>
      <c r="N34" s="2">
        <v>15.5</v>
      </c>
      <c r="O34" s="2">
        <v>50.26548245743669</v>
      </c>
      <c r="P34" s="11">
        <f t="shared" si="5"/>
        <v>3.0836270224054725</v>
      </c>
      <c r="Q34" s="2">
        <f t="shared" si="6"/>
        <v>57.293790076293675</v>
      </c>
      <c r="R34" s="2">
        <f t="shared" si="7"/>
        <v>2.6963229723492934</v>
      </c>
      <c r="S34" s="2">
        <f t="shared" si="8"/>
        <v>50.097680826249864</v>
      </c>
      <c r="T34" s="2">
        <f t="shared" si="9"/>
        <v>7.1961092500438113</v>
      </c>
    </row>
    <row r="35" spans="1:23" x14ac:dyDescent="0.25">
      <c r="A35" s="14">
        <f t="shared" si="10"/>
        <v>0.42752192982456139</v>
      </c>
      <c r="B35" s="2">
        <f t="shared" si="11"/>
        <v>30</v>
      </c>
      <c r="C35" s="4">
        <f t="shared" si="12"/>
        <v>19.329999999999998</v>
      </c>
      <c r="D35" s="2">
        <v>14.5</v>
      </c>
      <c r="E35" s="2">
        <v>50.26548245743669</v>
      </c>
      <c r="F35" s="11">
        <f t="shared" si="0"/>
        <v>2.8846833435406034</v>
      </c>
      <c r="G35" s="2">
        <f t="shared" si="1"/>
        <v>55.760929030639858</v>
      </c>
      <c r="H35" s="2">
        <f t="shared" si="2"/>
        <v>2.7046786349163323</v>
      </c>
      <c r="I35" s="2">
        <f t="shared" si="3"/>
        <v>52.281438012932696</v>
      </c>
      <c r="J35" s="2">
        <f t="shared" si="4"/>
        <v>3.4794910177071614</v>
      </c>
      <c r="K35" s="15">
        <f t="shared" si="13"/>
        <v>0.39957967836257313</v>
      </c>
      <c r="L35" s="2">
        <f t="shared" si="14"/>
        <v>30</v>
      </c>
      <c r="M35" s="2">
        <f t="shared" si="15"/>
        <v>19.079999999999998</v>
      </c>
      <c r="N35" s="2">
        <v>14</v>
      </c>
      <c r="O35" s="2">
        <v>50.26548245743669</v>
      </c>
      <c r="P35" s="11">
        <f t="shared" si="5"/>
        <v>2.7852115041081689</v>
      </c>
      <c r="Q35" s="2">
        <f t="shared" si="6"/>
        <v>53.141835498383855</v>
      </c>
      <c r="R35" s="2">
        <f t="shared" si="7"/>
        <v>2.6963229723492934</v>
      </c>
      <c r="S35" s="2">
        <f t="shared" si="8"/>
        <v>51.445842312424517</v>
      </c>
      <c r="T35" s="2">
        <f t="shared" si="9"/>
        <v>1.6959931859593382</v>
      </c>
    </row>
    <row r="36" spans="1:23" x14ac:dyDescent="0.25">
      <c r="A36" s="14">
        <f t="shared" si="10"/>
        <v>0.42770467836257309</v>
      </c>
      <c r="B36" s="2">
        <f t="shared" si="11"/>
        <v>31</v>
      </c>
      <c r="C36" s="4">
        <f t="shared" si="12"/>
        <v>19.829999999999998</v>
      </c>
      <c r="D36" s="2">
        <v>14</v>
      </c>
      <c r="E36" s="2">
        <v>50.26548245743669</v>
      </c>
      <c r="F36" s="11">
        <f t="shared" si="0"/>
        <v>2.7852115041081689</v>
      </c>
      <c r="G36" s="2">
        <f t="shared" si="1"/>
        <v>55.230744126464984</v>
      </c>
      <c r="H36" s="2">
        <f t="shared" si="2"/>
        <v>2.7046786349163323</v>
      </c>
      <c r="I36" s="2">
        <f t="shared" si="3"/>
        <v>53.633777330390863</v>
      </c>
      <c r="J36" s="2">
        <f t="shared" si="4"/>
        <v>1.5969667960741205</v>
      </c>
      <c r="K36" s="15">
        <f t="shared" si="13"/>
        <v>0.39978070175438596</v>
      </c>
      <c r="L36" s="2">
        <f t="shared" si="14"/>
        <v>31</v>
      </c>
      <c r="M36" s="2">
        <f t="shared" si="15"/>
        <v>19.579999999999998</v>
      </c>
      <c r="N36" s="2">
        <v>14</v>
      </c>
      <c r="O36" s="2">
        <v>50.26548245743669</v>
      </c>
      <c r="P36" s="11">
        <f t="shared" si="5"/>
        <v>2.7852115041081689</v>
      </c>
      <c r="Q36" s="2">
        <f t="shared" si="6"/>
        <v>54.534441250437943</v>
      </c>
      <c r="R36" s="2">
        <f t="shared" si="7"/>
        <v>2.6963229723492934</v>
      </c>
      <c r="S36" s="2">
        <f t="shared" si="8"/>
        <v>52.794003798599164</v>
      </c>
      <c r="T36" s="2">
        <f t="shared" si="9"/>
        <v>1.7404374518387797</v>
      </c>
    </row>
    <row r="37" spans="1:23" x14ac:dyDescent="0.25">
      <c r="A37" s="14">
        <f t="shared" si="10"/>
        <v>0.42788742690058479</v>
      </c>
      <c r="B37" s="2">
        <f t="shared" si="11"/>
        <v>32</v>
      </c>
      <c r="C37" s="4">
        <f t="shared" si="12"/>
        <v>20.329999999999998</v>
      </c>
      <c r="D37" s="2">
        <v>15</v>
      </c>
      <c r="E37" s="2">
        <v>50.26548245743669</v>
      </c>
      <c r="F37" s="11">
        <f t="shared" si="0"/>
        <v>2.9841551829730379</v>
      </c>
      <c r="G37" s="2">
        <f t="shared" si="1"/>
        <v>60.667874869841853</v>
      </c>
      <c r="H37" s="2">
        <f t="shared" si="2"/>
        <v>2.7046786349163323</v>
      </c>
      <c r="I37" s="2">
        <f t="shared" si="3"/>
        <v>54.98611664784903</v>
      </c>
      <c r="J37" s="2">
        <f t="shared" si="4"/>
        <v>5.6817582219928227</v>
      </c>
      <c r="K37" s="15">
        <f t="shared" si="13"/>
        <v>0.39998172514619884</v>
      </c>
      <c r="L37" s="2">
        <f t="shared" si="14"/>
        <v>32</v>
      </c>
      <c r="M37" s="2">
        <f t="shared" si="15"/>
        <v>20.079999999999998</v>
      </c>
      <c r="N37" s="2">
        <v>14</v>
      </c>
      <c r="O37" s="2">
        <v>50.26548245743669</v>
      </c>
      <c r="P37" s="11">
        <f t="shared" si="5"/>
        <v>2.7852115041081689</v>
      </c>
      <c r="Q37" s="2">
        <f t="shared" si="6"/>
        <v>55.927047002492024</v>
      </c>
      <c r="R37" s="2">
        <f t="shared" si="7"/>
        <v>2.6963229723492934</v>
      </c>
      <c r="S37" s="2">
        <f t="shared" si="8"/>
        <v>54.14216528477381</v>
      </c>
      <c r="T37" s="2">
        <f t="shared" si="9"/>
        <v>1.7848817177182141</v>
      </c>
    </row>
    <row r="38" spans="1:23" x14ac:dyDescent="0.25">
      <c r="A38" s="14">
        <f t="shared" si="10"/>
        <v>0.42807017543859649</v>
      </c>
      <c r="B38" s="2">
        <f t="shared" si="11"/>
        <v>33</v>
      </c>
      <c r="C38" s="4">
        <f t="shared" si="12"/>
        <v>20.83</v>
      </c>
      <c r="D38" s="2">
        <v>15</v>
      </c>
      <c r="E38" s="2">
        <v>50.26548245743669</v>
      </c>
      <c r="F38" s="11">
        <f t="shared" si="0"/>
        <v>2.9841551829730379</v>
      </c>
      <c r="G38" s="2">
        <f t="shared" si="1"/>
        <v>62.159952461328373</v>
      </c>
      <c r="H38" s="2">
        <f t="shared" si="2"/>
        <v>2.7046786349163323</v>
      </c>
      <c r="I38" s="2">
        <f t="shared" si="3"/>
        <v>56.338455965307197</v>
      </c>
      <c r="J38" s="2">
        <f t="shared" si="4"/>
        <v>5.8214964960211759</v>
      </c>
      <c r="K38" s="15">
        <f t="shared" si="13"/>
        <v>0.40018274853801172</v>
      </c>
      <c r="L38" s="2">
        <f t="shared" si="14"/>
        <v>33</v>
      </c>
      <c r="M38" s="2">
        <f t="shared" si="15"/>
        <v>20.58</v>
      </c>
      <c r="N38" s="2">
        <v>14.5</v>
      </c>
      <c r="O38" s="2">
        <v>50.26548245743669</v>
      </c>
      <c r="P38" s="11">
        <f t="shared" si="5"/>
        <v>2.8846833435406034</v>
      </c>
      <c r="Q38" s="2">
        <f t="shared" si="6"/>
        <v>59.366783210065613</v>
      </c>
      <c r="R38" s="2">
        <f t="shared" si="7"/>
        <v>2.6963229723492934</v>
      </c>
      <c r="S38" s="2">
        <f t="shared" si="8"/>
        <v>55.490326770948457</v>
      </c>
      <c r="T38" s="2">
        <f t="shared" si="9"/>
        <v>3.8764564391171561</v>
      </c>
    </row>
    <row r="39" spans="1:23" x14ac:dyDescent="0.25">
      <c r="A39" s="14">
        <f t="shared" si="10"/>
        <v>0.42825292397660819</v>
      </c>
      <c r="B39" s="2">
        <f t="shared" si="11"/>
        <v>34</v>
      </c>
      <c r="C39" s="4">
        <f t="shared" si="12"/>
        <v>21.33</v>
      </c>
      <c r="D39" s="2">
        <v>14.5</v>
      </c>
      <c r="E39" s="2">
        <v>50.26548245743669</v>
      </c>
      <c r="F39" s="11">
        <f t="shared" si="0"/>
        <v>2.8846833435406034</v>
      </c>
      <c r="G39" s="2">
        <f t="shared" si="1"/>
        <v>61.530295717721067</v>
      </c>
      <c r="H39" s="2">
        <f t="shared" si="2"/>
        <v>2.7046786349163323</v>
      </c>
      <c r="I39" s="2">
        <f t="shared" si="3"/>
        <v>57.690795282765365</v>
      </c>
      <c r="J39" s="2">
        <f t="shared" si="4"/>
        <v>3.8395004349557027</v>
      </c>
      <c r="K39" s="15">
        <f t="shared" si="13"/>
        <v>0.40038377192982455</v>
      </c>
      <c r="L39" s="2">
        <f t="shared" si="14"/>
        <v>34</v>
      </c>
      <c r="M39" s="2">
        <f t="shared" si="15"/>
        <v>21.08</v>
      </c>
      <c r="N39" s="2">
        <v>14</v>
      </c>
      <c r="O39" s="2">
        <v>50.26548245743669</v>
      </c>
      <c r="P39" s="11">
        <f t="shared" si="5"/>
        <v>2.7852115041081689</v>
      </c>
      <c r="Q39" s="2">
        <f t="shared" si="6"/>
        <v>58.712258506600193</v>
      </c>
      <c r="R39" s="2">
        <f t="shared" si="7"/>
        <v>2.6963229723492934</v>
      </c>
      <c r="S39" s="2">
        <f t="shared" si="8"/>
        <v>56.838488257123103</v>
      </c>
      <c r="T39" s="2">
        <f t="shared" si="9"/>
        <v>1.87377024947709</v>
      </c>
    </row>
    <row r="40" spans="1:23" x14ac:dyDescent="0.25">
      <c r="A40" s="14">
        <f t="shared" si="10"/>
        <v>0.42843567251461984</v>
      </c>
      <c r="B40" s="2">
        <f t="shared" si="11"/>
        <v>35</v>
      </c>
      <c r="C40" s="4">
        <f t="shared" si="12"/>
        <v>21.83</v>
      </c>
      <c r="D40" s="2">
        <v>13.5</v>
      </c>
      <c r="E40" s="2">
        <v>50.26548245743669</v>
      </c>
      <c r="F40" s="11">
        <f t="shared" si="0"/>
        <v>2.6857396646757339</v>
      </c>
      <c r="G40" s="2">
        <f t="shared" si="1"/>
        <v>58.629696879871268</v>
      </c>
      <c r="H40" s="2">
        <f t="shared" si="2"/>
        <v>2.7046786349163323</v>
      </c>
      <c r="I40" s="2">
        <f t="shared" si="3"/>
        <v>59.043134600223532</v>
      </c>
      <c r="J40" s="2">
        <f t="shared" si="4"/>
        <v>0.41343772035226323</v>
      </c>
      <c r="K40" s="15">
        <f t="shared" si="13"/>
        <v>0.40058479532163743</v>
      </c>
      <c r="L40" s="2">
        <f t="shared" si="14"/>
        <v>35</v>
      </c>
      <c r="M40" s="2">
        <f t="shared" si="15"/>
        <v>21.58</v>
      </c>
      <c r="N40" s="2">
        <v>13.5</v>
      </c>
      <c r="O40" s="2">
        <v>50.26548245743669</v>
      </c>
      <c r="P40" s="11">
        <f t="shared" si="5"/>
        <v>2.6857396646757339</v>
      </c>
      <c r="Q40" s="2">
        <f t="shared" si="6"/>
        <v>57.958261963702334</v>
      </c>
      <c r="R40" s="2">
        <f t="shared" si="7"/>
        <v>2.6963229723492934</v>
      </c>
      <c r="S40" s="2">
        <f t="shared" si="8"/>
        <v>58.18664974329775</v>
      </c>
      <c r="T40" s="2">
        <f t="shared" si="9"/>
        <v>0.22838777959541545</v>
      </c>
    </row>
    <row r="41" spans="1:23" x14ac:dyDescent="0.25">
      <c r="A41" s="14">
        <f t="shared" si="10"/>
        <v>0.42861842105263154</v>
      </c>
      <c r="B41" s="2">
        <f t="shared" si="11"/>
        <v>36</v>
      </c>
      <c r="C41" s="4">
        <f t="shared" si="12"/>
        <v>22.33</v>
      </c>
      <c r="D41" s="2">
        <v>14.5</v>
      </c>
      <c r="E41" s="2">
        <v>50.26548245743669</v>
      </c>
      <c r="F41" s="11">
        <f t="shared" si="0"/>
        <v>2.8846833435406034</v>
      </c>
      <c r="G41" s="2">
        <f t="shared" si="1"/>
        <v>64.414979061261675</v>
      </c>
      <c r="H41" s="2">
        <f t="shared" si="2"/>
        <v>2.7046786349163323</v>
      </c>
      <c r="I41" s="2">
        <f t="shared" si="3"/>
        <v>60.395473917681699</v>
      </c>
      <c r="J41" s="2">
        <f t="shared" si="4"/>
        <v>4.0195051435799769</v>
      </c>
      <c r="K41" s="15">
        <f t="shared" si="13"/>
        <v>0.40078581871345031</v>
      </c>
      <c r="L41" s="2">
        <f t="shared" si="14"/>
        <v>36</v>
      </c>
      <c r="M41" s="2">
        <f t="shared" si="15"/>
        <v>22.08</v>
      </c>
      <c r="N41" s="2">
        <v>14</v>
      </c>
      <c r="O41" s="2">
        <v>50.26548245743669</v>
      </c>
      <c r="P41" s="11">
        <f t="shared" si="5"/>
        <v>2.7852115041081689</v>
      </c>
      <c r="Q41" s="2">
        <f t="shared" si="6"/>
        <v>61.497470010708362</v>
      </c>
      <c r="R41" s="2">
        <f t="shared" si="7"/>
        <v>2.6963229723492934</v>
      </c>
      <c r="S41" s="2">
        <f t="shared" si="8"/>
        <v>59.534811229472396</v>
      </c>
      <c r="T41" s="2">
        <f t="shared" si="9"/>
        <v>1.9626587812359659</v>
      </c>
    </row>
    <row r="42" spans="1:23" x14ac:dyDescent="0.25">
      <c r="A42" s="14">
        <f t="shared" si="10"/>
        <v>0.42880116959064324</v>
      </c>
      <c r="B42" s="2">
        <f t="shared" si="11"/>
        <v>37</v>
      </c>
      <c r="C42" s="4">
        <f t="shared" si="12"/>
        <v>22.83</v>
      </c>
      <c r="D42" s="2">
        <v>15</v>
      </c>
      <c r="E42" s="2">
        <v>50.26548245743669</v>
      </c>
      <c r="F42" s="11">
        <f t="shared" si="0"/>
        <v>2.9841551829730379</v>
      </c>
      <c r="G42" s="2">
        <f t="shared" si="1"/>
        <v>68.128262827274455</v>
      </c>
      <c r="H42" s="2">
        <f t="shared" si="2"/>
        <v>2.7046786349163323</v>
      </c>
      <c r="I42" s="2">
        <f t="shared" si="3"/>
        <v>61.747813235139866</v>
      </c>
      <c r="J42" s="2">
        <f t="shared" si="4"/>
        <v>6.380449592134589</v>
      </c>
      <c r="K42" s="15">
        <f t="shared" si="13"/>
        <v>0.4009868421052632</v>
      </c>
      <c r="L42" s="2">
        <f t="shared" si="14"/>
        <v>37</v>
      </c>
      <c r="M42" s="2">
        <f t="shared" si="15"/>
        <v>22.58</v>
      </c>
      <c r="N42" s="2">
        <v>19.5</v>
      </c>
      <c r="O42" s="2">
        <v>50.26548245743669</v>
      </c>
      <c r="P42" s="11">
        <f t="shared" si="5"/>
        <v>3.8794017378649488</v>
      </c>
      <c r="Q42" s="2">
        <f t="shared" si="6"/>
        <v>87.596891240990544</v>
      </c>
      <c r="R42" s="2">
        <f t="shared" si="7"/>
        <v>2.6963229723492934</v>
      </c>
      <c r="S42" s="2">
        <f t="shared" si="8"/>
        <v>60.882972715647043</v>
      </c>
      <c r="T42" s="2">
        <f t="shared" si="9"/>
        <v>26.713918525343502</v>
      </c>
    </row>
    <row r="43" spans="1:23" x14ac:dyDescent="0.25">
      <c r="A43" s="14">
        <f t="shared" si="10"/>
        <v>0.42898391812865494</v>
      </c>
      <c r="B43" s="2">
        <f t="shared" si="11"/>
        <v>38</v>
      </c>
      <c r="C43" s="4">
        <f t="shared" si="12"/>
        <v>23.33</v>
      </c>
      <c r="D43" s="2">
        <v>14</v>
      </c>
      <c r="E43" s="2">
        <v>50.26548245743669</v>
      </c>
      <c r="F43" s="11">
        <f t="shared" si="0"/>
        <v>2.7852115041081689</v>
      </c>
      <c r="G43" s="2">
        <f t="shared" si="1"/>
        <v>64.978984390843578</v>
      </c>
      <c r="H43" s="2">
        <f t="shared" si="2"/>
        <v>2.7046786349163323</v>
      </c>
      <c r="I43" s="2">
        <f t="shared" si="3"/>
        <v>63.100152552598026</v>
      </c>
      <c r="J43" s="2">
        <f t="shared" si="4"/>
        <v>1.8788318382455529</v>
      </c>
      <c r="K43" s="15">
        <f t="shared" si="13"/>
        <v>0.40118786549707602</v>
      </c>
      <c r="L43" s="2">
        <f t="shared" si="14"/>
        <v>38</v>
      </c>
      <c r="M43" s="2">
        <f t="shared" si="15"/>
        <v>23.08</v>
      </c>
      <c r="N43" s="2">
        <v>14.5</v>
      </c>
      <c r="O43" s="2">
        <v>50.26548245743669</v>
      </c>
      <c r="P43" s="11">
        <f t="shared" si="5"/>
        <v>2.8846833435406034</v>
      </c>
      <c r="Q43" s="2">
        <f t="shared" si="6"/>
        <v>66.578491568917116</v>
      </c>
      <c r="R43" s="2">
        <f t="shared" si="7"/>
        <v>2.6963229723492934</v>
      </c>
      <c r="S43" s="2">
        <f t="shared" si="8"/>
        <v>62.231134201821689</v>
      </c>
      <c r="T43" s="2">
        <f t="shared" si="9"/>
        <v>4.3473573670954266</v>
      </c>
    </row>
    <row r="44" spans="1:23" x14ac:dyDescent="0.25">
      <c r="A44" s="10">
        <v>0.42916666666666664</v>
      </c>
      <c r="B44" s="2">
        <f t="shared" si="11"/>
        <v>39</v>
      </c>
      <c r="C44" s="4">
        <f t="shared" si="12"/>
        <v>23.83</v>
      </c>
      <c r="D44" s="2">
        <v>13.5</v>
      </c>
      <c r="E44" s="2">
        <v>50.26548245743669</v>
      </c>
      <c r="F44" s="11">
        <f t="shared" si="0"/>
        <v>2.6857396646757339</v>
      </c>
      <c r="G44" s="2">
        <f t="shared" si="1"/>
        <v>64.001176209222734</v>
      </c>
      <c r="H44" s="2">
        <f t="shared" si="2"/>
        <v>2.7046786349163323</v>
      </c>
      <c r="I44" s="2">
        <f t="shared" si="3"/>
        <v>64.452491870056193</v>
      </c>
      <c r="J44" s="2">
        <f t="shared" si="4"/>
        <v>0.45131566083345831</v>
      </c>
      <c r="K44" s="12">
        <v>0.40138888888888891</v>
      </c>
      <c r="L44" s="2">
        <f t="shared" si="14"/>
        <v>39</v>
      </c>
      <c r="M44" s="2">
        <f t="shared" si="15"/>
        <v>23.58</v>
      </c>
      <c r="N44" s="2">
        <v>14</v>
      </c>
      <c r="O44" s="2">
        <v>50.26548245743669</v>
      </c>
      <c r="P44" s="11">
        <f t="shared" si="5"/>
        <v>2.7852115041081689</v>
      </c>
      <c r="Q44" s="2">
        <f t="shared" si="6"/>
        <v>65.675287266870612</v>
      </c>
      <c r="R44" s="2">
        <f t="shared" si="7"/>
        <v>2.6963229723492934</v>
      </c>
      <c r="S44" s="2">
        <f t="shared" si="8"/>
        <v>63.579295687996336</v>
      </c>
      <c r="T44" s="2">
        <f t="shared" si="9"/>
        <v>2.0959915788742762</v>
      </c>
    </row>
    <row r="45" spans="1:23" x14ac:dyDescent="0.25">
      <c r="A45" s="14">
        <f t="shared" ref="A45:A82" si="16">IF(AND($A$44&lt;&gt;"",$A$83&lt;&gt;""), $A$44 + (B45 - $B$44) * (($A$83 - $A$44) / ($B$83 - $B$44)), "")</f>
        <v>0.42929131054131053</v>
      </c>
      <c r="B45" s="2">
        <f t="shared" si="11"/>
        <v>40</v>
      </c>
      <c r="C45" s="4">
        <f t="shared" si="12"/>
        <v>24.33</v>
      </c>
      <c r="D45" s="2">
        <v>14</v>
      </c>
      <c r="E45" s="2">
        <v>50.26548245743669</v>
      </c>
      <c r="F45" s="11">
        <f t="shared" si="0"/>
        <v>2.7852115041081689</v>
      </c>
      <c r="G45" s="2">
        <f t="shared" si="1"/>
        <v>67.76419589495174</v>
      </c>
      <c r="H45" s="2">
        <f t="shared" si="2"/>
        <v>2.7046786349163323</v>
      </c>
      <c r="I45" s="2">
        <f t="shared" si="3"/>
        <v>65.804831187514367</v>
      </c>
      <c r="J45" s="2">
        <f t="shared" si="4"/>
        <v>1.9593647074373735</v>
      </c>
      <c r="K45" s="15">
        <f t="shared" ref="K45:K82" si="17">IF(AND($K$44&lt;&gt;"",$K$83&lt;&gt;""), $K$44 + (L45 - $L$44) * (($K$83 - $K$44) / ($L$83 - $L$44)), "")</f>
        <v>0.40154914529914532</v>
      </c>
      <c r="L45" s="2">
        <f t="shared" si="14"/>
        <v>40</v>
      </c>
      <c r="M45" s="2">
        <f t="shared" si="15"/>
        <v>24.08</v>
      </c>
      <c r="N45" s="2">
        <v>14.5</v>
      </c>
      <c r="O45" s="2">
        <v>50.26548245743669</v>
      </c>
      <c r="P45" s="11">
        <f t="shared" si="5"/>
        <v>2.8846833435406034</v>
      </c>
      <c r="Q45" s="2">
        <f t="shared" si="6"/>
        <v>69.463174912457731</v>
      </c>
      <c r="R45" s="2">
        <f t="shared" si="7"/>
        <v>2.6963229723492934</v>
      </c>
      <c r="S45" s="2">
        <f t="shared" si="8"/>
        <v>64.927457174170982</v>
      </c>
      <c r="T45" s="2">
        <f t="shared" si="9"/>
        <v>4.5357177382867491</v>
      </c>
    </row>
    <row r="46" spans="1:23" x14ac:dyDescent="0.25">
      <c r="A46" s="14">
        <f t="shared" si="16"/>
        <v>0.42941595441595437</v>
      </c>
      <c r="B46" s="2">
        <f t="shared" si="11"/>
        <v>41</v>
      </c>
      <c r="C46" s="4">
        <f t="shared" si="12"/>
        <v>24.83</v>
      </c>
      <c r="D46" s="2">
        <v>17</v>
      </c>
      <c r="E46" s="2">
        <v>50.26548245743669</v>
      </c>
      <c r="F46" s="11">
        <f t="shared" si="0"/>
        <v>3.3820425407027761</v>
      </c>
      <c r="G46" s="2">
        <f t="shared" si="1"/>
        <v>83.976116285649923</v>
      </c>
      <c r="H46" s="2">
        <f t="shared" si="2"/>
        <v>2.7046786349163323</v>
      </c>
      <c r="I46" s="2">
        <f t="shared" si="3"/>
        <v>67.157170504972527</v>
      </c>
      <c r="J46" s="2">
        <f t="shared" si="4"/>
        <v>16.818945780677396</v>
      </c>
      <c r="K46" s="15">
        <f t="shared" si="17"/>
        <v>0.40170940170940173</v>
      </c>
      <c r="L46" s="2">
        <f t="shared" si="14"/>
        <v>41</v>
      </c>
      <c r="M46" s="2">
        <f t="shared" si="15"/>
        <v>24.58</v>
      </c>
      <c r="N46" s="2">
        <v>14.5</v>
      </c>
      <c r="O46" s="2">
        <v>50.26548245743669</v>
      </c>
      <c r="P46" s="11">
        <f t="shared" si="5"/>
        <v>2.8846833435406034</v>
      </c>
      <c r="Q46" s="2">
        <f t="shared" si="6"/>
        <v>70.905516584228025</v>
      </c>
      <c r="R46" s="2">
        <f t="shared" si="7"/>
        <v>2.6963229723492934</v>
      </c>
      <c r="S46" s="2">
        <f t="shared" si="8"/>
        <v>66.275618660345629</v>
      </c>
      <c r="T46" s="2">
        <f t="shared" si="9"/>
        <v>4.6298979238823961</v>
      </c>
    </row>
    <row r="47" spans="1:23" x14ac:dyDescent="0.25">
      <c r="A47" s="14">
        <f t="shared" si="16"/>
        <v>0.42954059829059826</v>
      </c>
      <c r="B47" s="2">
        <f t="shared" si="11"/>
        <v>42</v>
      </c>
      <c r="C47" s="4">
        <f t="shared" si="12"/>
        <v>25.33</v>
      </c>
      <c r="D47" s="2">
        <v>13.5</v>
      </c>
      <c r="E47" s="2">
        <v>50.26548245743669</v>
      </c>
      <c r="F47" s="11">
        <f t="shared" si="0"/>
        <v>2.6857396646757339</v>
      </c>
      <c r="G47" s="2">
        <f t="shared" si="1"/>
        <v>68.029785706236339</v>
      </c>
      <c r="H47" s="2">
        <f t="shared" si="2"/>
        <v>2.7046786349163323</v>
      </c>
      <c r="I47" s="2">
        <f t="shared" si="3"/>
        <v>68.509509822430687</v>
      </c>
      <c r="J47" s="2">
        <f t="shared" si="4"/>
        <v>0.47972411619434752</v>
      </c>
      <c r="K47" s="15">
        <f t="shared" si="17"/>
        <v>0.40186965811965814</v>
      </c>
      <c r="L47" s="2">
        <f t="shared" si="14"/>
        <v>42</v>
      </c>
      <c r="M47" s="2">
        <f t="shared" si="15"/>
        <v>25.08</v>
      </c>
      <c r="N47" s="2">
        <v>15.5</v>
      </c>
      <c r="O47" s="2">
        <v>50.26548245743669</v>
      </c>
      <c r="P47" s="11">
        <f t="shared" si="5"/>
        <v>3.0836270224054725</v>
      </c>
      <c r="Q47" s="2">
        <f t="shared" si="6"/>
        <v>77.337365721929245</v>
      </c>
      <c r="R47" s="2">
        <f t="shared" si="7"/>
        <v>2.6963229723492934</v>
      </c>
      <c r="S47" s="2">
        <f t="shared" si="8"/>
        <v>67.623780146520275</v>
      </c>
      <c r="T47" s="2">
        <f t="shared" si="9"/>
        <v>9.7135855754089704</v>
      </c>
    </row>
    <row r="48" spans="1:23" x14ac:dyDescent="0.25">
      <c r="A48" s="14">
        <f t="shared" si="16"/>
        <v>0.42966524216524216</v>
      </c>
      <c r="B48" s="2">
        <f t="shared" si="11"/>
        <v>43</v>
      </c>
      <c r="C48" s="4">
        <f t="shared" si="12"/>
        <v>25.83</v>
      </c>
      <c r="D48" s="2">
        <v>13</v>
      </c>
      <c r="E48" s="2">
        <v>50.26548245743669</v>
      </c>
      <c r="F48" s="11">
        <f t="shared" si="0"/>
        <v>2.5862678252432989</v>
      </c>
      <c r="G48" s="2">
        <f t="shared" si="1"/>
        <v>66.803297926034404</v>
      </c>
      <c r="H48" s="2">
        <f t="shared" si="2"/>
        <v>2.7046786349163323</v>
      </c>
      <c r="I48" s="2">
        <f t="shared" si="3"/>
        <v>69.861849139888861</v>
      </c>
      <c r="J48" s="2">
        <f t="shared" si="4"/>
        <v>3.0585512138544573</v>
      </c>
      <c r="K48" s="15">
        <f t="shared" si="17"/>
        <v>0.40202991452991454</v>
      </c>
      <c r="L48" s="2">
        <f t="shared" si="14"/>
        <v>43</v>
      </c>
      <c r="M48" s="2">
        <f t="shared" si="15"/>
        <v>25.58</v>
      </c>
      <c r="N48" s="2">
        <v>13.5</v>
      </c>
      <c r="O48" s="2">
        <v>50.26548245743669</v>
      </c>
      <c r="P48" s="11">
        <f t="shared" si="5"/>
        <v>2.6857396646757339</v>
      </c>
      <c r="Q48" s="2">
        <f t="shared" si="6"/>
        <v>68.701220622405273</v>
      </c>
      <c r="R48" s="2">
        <f t="shared" si="7"/>
        <v>2.6963229723492934</v>
      </c>
      <c r="S48" s="2">
        <f t="shared" si="8"/>
        <v>68.971941632694922</v>
      </c>
      <c r="T48" s="2">
        <f t="shared" si="9"/>
        <v>0.27072101028964823</v>
      </c>
    </row>
    <row r="49" spans="1:20" x14ac:dyDescent="0.25">
      <c r="A49" s="14">
        <f t="shared" si="16"/>
        <v>0.42978988603988599</v>
      </c>
      <c r="B49" s="2">
        <f t="shared" si="11"/>
        <v>44</v>
      </c>
      <c r="C49" s="4">
        <f t="shared" si="12"/>
        <v>26.33</v>
      </c>
      <c r="D49" s="2">
        <v>14</v>
      </c>
      <c r="E49" s="2">
        <v>50.26548245743669</v>
      </c>
      <c r="F49" s="11">
        <f t="shared" si="0"/>
        <v>2.7852115041081689</v>
      </c>
      <c r="G49" s="2">
        <f t="shared" si="1"/>
        <v>73.334618903168078</v>
      </c>
      <c r="H49" s="2">
        <f t="shared" si="2"/>
        <v>2.7046786349163323</v>
      </c>
      <c r="I49" s="2">
        <f t="shared" si="3"/>
        <v>71.214188457347021</v>
      </c>
      <c r="J49" s="2">
        <f t="shared" si="4"/>
        <v>2.1204304458210572</v>
      </c>
      <c r="K49" s="15">
        <f t="shared" si="17"/>
        <v>0.40219017094017095</v>
      </c>
      <c r="L49" s="2">
        <f t="shared" si="14"/>
        <v>44</v>
      </c>
      <c r="M49" s="2">
        <f t="shared" si="15"/>
        <v>26.08</v>
      </c>
      <c r="N49" s="2">
        <v>15</v>
      </c>
      <c r="O49" s="2">
        <v>50.26548245743669</v>
      </c>
      <c r="P49" s="11">
        <f t="shared" si="5"/>
        <v>2.9841551829730379</v>
      </c>
      <c r="Q49" s="2">
        <f t="shared" si="6"/>
        <v>77.826767171936822</v>
      </c>
      <c r="R49" s="2">
        <f t="shared" si="7"/>
        <v>2.6963229723492934</v>
      </c>
      <c r="S49" s="2">
        <f t="shared" si="8"/>
        <v>70.320103118869568</v>
      </c>
      <c r="T49" s="2">
        <f t="shared" si="9"/>
        <v>7.5066640530672544</v>
      </c>
    </row>
    <row r="50" spans="1:20" x14ac:dyDescent="0.25">
      <c r="A50" s="14">
        <f t="shared" si="16"/>
        <v>0.42991452991452989</v>
      </c>
      <c r="B50" s="2">
        <f t="shared" si="11"/>
        <v>45</v>
      </c>
      <c r="C50" s="4">
        <f t="shared" si="12"/>
        <v>26.83</v>
      </c>
      <c r="D50" s="2">
        <v>18.5</v>
      </c>
      <c r="E50" s="2">
        <v>50.26548245743669</v>
      </c>
      <c r="F50" s="11">
        <f t="shared" si="0"/>
        <v>3.6804580590000797</v>
      </c>
      <c r="G50" s="2">
        <f t="shared" si="1"/>
        <v>98.746689722972135</v>
      </c>
      <c r="H50" s="2">
        <f t="shared" si="2"/>
        <v>2.7046786349163323</v>
      </c>
      <c r="I50" s="2">
        <f t="shared" si="3"/>
        <v>72.566527774805195</v>
      </c>
      <c r="J50" s="2">
        <f t="shared" si="4"/>
        <v>26.180161948166941</v>
      </c>
      <c r="K50" s="15">
        <f t="shared" si="17"/>
        <v>0.40235042735042736</v>
      </c>
      <c r="L50" s="2">
        <f t="shared" si="14"/>
        <v>45</v>
      </c>
      <c r="M50" s="2">
        <f t="shared" si="15"/>
        <v>26.58</v>
      </c>
      <c r="N50" s="2">
        <v>15</v>
      </c>
      <c r="O50" s="2">
        <v>50.26548245743669</v>
      </c>
      <c r="P50" s="11">
        <f t="shared" si="5"/>
        <v>2.9841551829730379</v>
      </c>
      <c r="Q50" s="2">
        <f t="shared" si="6"/>
        <v>79.318844763423343</v>
      </c>
      <c r="R50" s="2">
        <f t="shared" si="7"/>
        <v>2.6963229723492934</v>
      </c>
      <c r="S50" s="2">
        <f t="shared" si="8"/>
        <v>71.668264605044214</v>
      </c>
      <c r="T50" s="2">
        <f t="shared" si="9"/>
        <v>7.6505801583791282</v>
      </c>
    </row>
    <row r="51" spans="1:20" x14ac:dyDescent="0.25">
      <c r="A51" s="14">
        <f t="shared" si="16"/>
        <v>0.43003917378917378</v>
      </c>
      <c r="B51" s="2">
        <f t="shared" si="11"/>
        <v>46</v>
      </c>
      <c r="C51" s="4">
        <f t="shared" si="12"/>
        <v>27.33</v>
      </c>
      <c r="D51" s="2">
        <v>14</v>
      </c>
      <c r="E51" s="2">
        <v>50.26548245743669</v>
      </c>
      <c r="F51" s="11">
        <f t="shared" si="0"/>
        <v>2.7852115041081689</v>
      </c>
      <c r="G51" s="2">
        <f t="shared" si="1"/>
        <v>76.119830407276254</v>
      </c>
      <c r="H51" s="2">
        <f t="shared" si="2"/>
        <v>2.7046786349163323</v>
      </c>
      <c r="I51" s="2">
        <f t="shared" si="3"/>
        <v>73.918867092263355</v>
      </c>
      <c r="J51" s="2">
        <f t="shared" si="4"/>
        <v>2.2009633150128991</v>
      </c>
      <c r="K51" s="15">
        <f t="shared" si="17"/>
        <v>0.40251068376068377</v>
      </c>
      <c r="L51" s="2">
        <f t="shared" si="14"/>
        <v>46</v>
      </c>
      <c r="M51" s="2">
        <f t="shared" si="15"/>
        <v>27.08</v>
      </c>
      <c r="N51" s="2">
        <v>14.5</v>
      </c>
      <c r="O51" s="2">
        <v>50.26548245743669</v>
      </c>
      <c r="P51" s="11">
        <f t="shared" si="5"/>
        <v>2.8846833435406034</v>
      </c>
      <c r="Q51" s="2">
        <f t="shared" si="6"/>
        <v>78.117224943079535</v>
      </c>
      <c r="R51" s="2">
        <f t="shared" si="7"/>
        <v>2.6963229723492934</v>
      </c>
      <c r="S51" s="2">
        <f t="shared" si="8"/>
        <v>73.016426091218861</v>
      </c>
      <c r="T51" s="2">
        <f t="shared" si="9"/>
        <v>5.1007988518606737</v>
      </c>
    </row>
    <row r="52" spans="1:20" x14ac:dyDescent="0.25">
      <c r="A52" s="14">
        <f t="shared" si="16"/>
        <v>0.43016381766381767</v>
      </c>
      <c r="B52" s="2">
        <f t="shared" si="11"/>
        <v>47</v>
      </c>
      <c r="C52" s="4">
        <f t="shared" si="12"/>
        <v>27.83</v>
      </c>
      <c r="D52" s="2">
        <v>14</v>
      </c>
      <c r="E52" s="2">
        <v>50.26548245743669</v>
      </c>
      <c r="F52" s="11">
        <f t="shared" si="0"/>
        <v>2.7852115041081689</v>
      </c>
      <c r="G52" s="2">
        <f t="shared" si="1"/>
        <v>77.512436159330335</v>
      </c>
      <c r="H52" s="2">
        <f t="shared" si="2"/>
        <v>2.7046786349163323</v>
      </c>
      <c r="I52" s="2">
        <f t="shared" si="3"/>
        <v>75.271206409721529</v>
      </c>
      <c r="J52" s="2">
        <f t="shared" si="4"/>
        <v>2.2412297496088058</v>
      </c>
      <c r="K52" s="15">
        <f t="shared" si="17"/>
        <v>0.40267094017094018</v>
      </c>
      <c r="L52" s="2">
        <f t="shared" si="14"/>
        <v>47</v>
      </c>
      <c r="M52" s="2">
        <f t="shared" si="15"/>
        <v>27.58</v>
      </c>
      <c r="N52" s="2">
        <v>14.5</v>
      </c>
      <c r="O52" s="2">
        <v>50.26548245743669</v>
      </c>
      <c r="P52" s="11">
        <f t="shared" si="5"/>
        <v>2.8846833435406034</v>
      </c>
      <c r="Q52" s="2">
        <f t="shared" si="6"/>
        <v>79.559566614849842</v>
      </c>
      <c r="R52" s="2">
        <f t="shared" si="7"/>
        <v>2.6963229723492934</v>
      </c>
      <c r="S52" s="2">
        <f t="shared" si="8"/>
        <v>74.364587577393507</v>
      </c>
      <c r="T52" s="2">
        <f t="shared" si="9"/>
        <v>5.1949790374563349</v>
      </c>
    </row>
    <row r="53" spans="1:20" x14ac:dyDescent="0.25">
      <c r="A53" s="14">
        <f t="shared" si="16"/>
        <v>0.43028846153846151</v>
      </c>
      <c r="B53" s="2">
        <f t="shared" si="11"/>
        <v>48</v>
      </c>
      <c r="C53" s="4">
        <f t="shared" si="12"/>
        <v>28.33</v>
      </c>
      <c r="D53" s="2">
        <v>15</v>
      </c>
      <c r="E53" s="2">
        <v>50.26548245743669</v>
      </c>
      <c r="F53" s="11">
        <f t="shared" si="0"/>
        <v>2.9841551829730379</v>
      </c>
      <c r="G53" s="2">
        <f t="shared" si="1"/>
        <v>84.541116333626164</v>
      </c>
      <c r="H53" s="2">
        <f t="shared" si="2"/>
        <v>2.7046786349163323</v>
      </c>
      <c r="I53" s="2">
        <f t="shared" si="3"/>
        <v>76.623545727179689</v>
      </c>
      <c r="J53" s="2">
        <f t="shared" si="4"/>
        <v>7.9175706064464748</v>
      </c>
      <c r="K53" s="15">
        <f t="shared" si="17"/>
        <v>0.40283119658119659</v>
      </c>
      <c r="L53" s="2">
        <f t="shared" si="14"/>
        <v>48</v>
      </c>
      <c r="M53" s="2">
        <f t="shared" si="15"/>
        <v>28.08</v>
      </c>
      <c r="N53" s="2">
        <v>16</v>
      </c>
      <c r="O53" s="2">
        <v>50.26548245743669</v>
      </c>
      <c r="P53" s="11">
        <f t="shared" si="5"/>
        <v>3.183098861837907</v>
      </c>
      <c r="Q53" s="2">
        <f t="shared" si="6"/>
        <v>89.381416040408425</v>
      </c>
      <c r="R53" s="2">
        <f t="shared" si="7"/>
        <v>2.6963229723492934</v>
      </c>
      <c r="S53" s="2">
        <f t="shared" si="8"/>
        <v>75.712749063568154</v>
      </c>
      <c r="T53" s="2">
        <f t="shared" si="9"/>
        <v>13.668666976840271</v>
      </c>
    </row>
    <row r="54" spans="1:20" x14ac:dyDescent="0.25">
      <c r="A54" s="14">
        <f t="shared" si="16"/>
        <v>0.4304131054131054</v>
      </c>
      <c r="B54" s="2">
        <f t="shared" si="11"/>
        <v>49</v>
      </c>
      <c r="C54" s="4">
        <f t="shared" si="12"/>
        <v>28.83</v>
      </c>
      <c r="D54" s="2">
        <v>15.5</v>
      </c>
      <c r="E54" s="2">
        <v>50.26548245743669</v>
      </c>
      <c r="F54" s="11">
        <f t="shared" si="0"/>
        <v>3.0836270224054725</v>
      </c>
      <c r="G54" s="2">
        <f t="shared" si="1"/>
        <v>88.900967055949764</v>
      </c>
      <c r="H54" s="2">
        <f t="shared" si="2"/>
        <v>2.7046786349163323</v>
      </c>
      <c r="I54" s="2">
        <f t="shared" si="3"/>
        <v>77.975885044637863</v>
      </c>
      <c r="J54" s="2">
        <f t="shared" si="4"/>
        <v>10.9250820113119</v>
      </c>
      <c r="K54" s="15">
        <f t="shared" si="17"/>
        <v>0.402991452991453</v>
      </c>
      <c r="L54" s="2">
        <f t="shared" si="14"/>
        <v>49</v>
      </c>
      <c r="M54" s="2">
        <f t="shared" si="15"/>
        <v>28.58</v>
      </c>
      <c r="N54" s="2">
        <v>16</v>
      </c>
      <c r="O54" s="2">
        <v>50.26548245743669</v>
      </c>
      <c r="P54" s="11">
        <f t="shared" si="5"/>
        <v>3.183098861837907</v>
      </c>
      <c r="Q54" s="2">
        <f t="shared" si="6"/>
        <v>90.97296547132737</v>
      </c>
      <c r="R54" s="2">
        <f t="shared" si="7"/>
        <v>2.6963229723492934</v>
      </c>
      <c r="S54" s="2">
        <f t="shared" si="8"/>
        <v>77.0609105497428</v>
      </c>
      <c r="T54" s="2">
        <f t="shared" si="9"/>
        <v>13.91205492158457</v>
      </c>
    </row>
    <row r="55" spans="1:20" x14ac:dyDescent="0.25">
      <c r="A55" s="14">
        <f t="shared" si="16"/>
        <v>0.43053774928774929</v>
      </c>
      <c r="B55" s="2">
        <f t="shared" si="11"/>
        <v>50</v>
      </c>
      <c r="C55" s="4">
        <f t="shared" si="12"/>
        <v>29.33</v>
      </c>
      <c r="D55" s="2">
        <v>15.5</v>
      </c>
      <c r="E55" s="2">
        <v>50.26548245743669</v>
      </c>
      <c r="F55" s="11">
        <f t="shared" si="0"/>
        <v>3.0836270224054725</v>
      </c>
      <c r="G55" s="2">
        <f t="shared" si="1"/>
        <v>90.442780567152496</v>
      </c>
      <c r="H55" s="2">
        <f t="shared" si="2"/>
        <v>2.7046786349163323</v>
      </c>
      <c r="I55" s="2">
        <f t="shared" si="3"/>
        <v>79.328224362096023</v>
      </c>
      <c r="J55" s="2">
        <f t="shared" si="4"/>
        <v>11.114556205056473</v>
      </c>
      <c r="K55" s="15">
        <f t="shared" si="17"/>
        <v>0.40315170940170941</v>
      </c>
      <c r="L55" s="2">
        <f t="shared" si="14"/>
        <v>50</v>
      </c>
      <c r="M55" s="2">
        <f t="shared" si="15"/>
        <v>29.08</v>
      </c>
      <c r="N55" s="2">
        <v>15</v>
      </c>
      <c r="O55" s="2">
        <v>50.26548245743669</v>
      </c>
      <c r="P55" s="11">
        <f t="shared" si="5"/>
        <v>2.9841551829730379</v>
      </c>
      <c r="Q55" s="2">
        <f t="shared" si="6"/>
        <v>86.779232720855944</v>
      </c>
      <c r="R55" s="2">
        <f t="shared" si="7"/>
        <v>2.6963229723492934</v>
      </c>
      <c r="S55" s="2">
        <f t="shared" si="8"/>
        <v>78.409072035917447</v>
      </c>
      <c r="T55" s="2">
        <f t="shared" si="9"/>
        <v>8.3701606849384973</v>
      </c>
    </row>
    <row r="56" spans="1:20" x14ac:dyDescent="0.25">
      <c r="A56" s="14">
        <f t="shared" si="16"/>
        <v>0.43066239316239313</v>
      </c>
      <c r="B56" s="2">
        <f t="shared" si="11"/>
        <v>51</v>
      </c>
      <c r="C56" s="4">
        <f t="shared" si="12"/>
        <v>29.83</v>
      </c>
      <c r="D56" s="2">
        <v>14.5</v>
      </c>
      <c r="E56" s="2">
        <v>50.26548245743669</v>
      </c>
      <c r="F56" s="11">
        <f t="shared" si="0"/>
        <v>2.8846833435406034</v>
      </c>
      <c r="G56" s="2">
        <f t="shared" si="1"/>
        <v>86.050104137816191</v>
      </c>
      <c r="H56" s="2">
        <f t="shared" si="2"/>
        <v>2.7046786349163323</v>
      </c>
      <c r="I56" s="2">
        <f t="shared" si="3"/>
        <v>80.680563679554183</v>
      </c>
      <c r="J56" s="2">
        <f t="shared" si="4"/>
        <v>5.3695404582620085</v>
      </c>
      <c r="K56" s="15">
        <f t="shared" si="17"/>
        <v>0.40331196581196582</v>
      </c>
      <c r="L56" s="2">
        <f t="shared" si="14"/>
        <v>51</v>
      </c>
      <c r="M56" s="2">
        <f t="shared" si="15"/>
        <v>29.58</v>
      </c>
      <c r="N56" s="2">
        <v>14</v>
      </c>
      <c r="O56" s="2">
        <v>50.26548245743669</v>
      </c>
      <c r="P56" s="11">
        <f t="shared" si="5"/>
        <v>2.7852115041081689</v>
      </c>
      <c r="Q56" s="2">
        <f t="shared" si="6"/>
        <v>82.386556291519625</v>
      </c>
      <c r="R56" s="2">
        <f t="shared" si="7"/>
        <v>2.6963229723492934</v>
      </c>
      <c r="S56" s="2">
        <f t="shared" si="8"/>
        <v>79.757233522092093</v>
      </c>
      <c r="T56" s="2">
        <f t="shared" si="9"/>
        <v>2.6293227694275316</v>
      </c>
    </row>
    <row r="57" spans="1:20" x14ac:dyDescent="0.25">
      <c r="A57" s="14">
        <f t="shared" si="16"/>
        <v>0.43078703703703702</v>
      </c>
      <c r="B57" s="2">
        <f t="shared" si="11"/>
        <v>52</v>
      </c>
      <c r="C57" s="4">
        <f t="shared" si="12"/>
        <v>30.33</v>
      </c>
      <c r="D57" s="2">
        <v>13.5</v>
      </c>
      <c r="E57" s="2">
        <v>50.26548245743669</v>
      </c>
      <c r="F57" s="11">
        <f t="shared" si="0"/>
        <v>2.6857396646757339</v>
      </c>
      <c r="G57" s="2">
        <f t="shared" si="1"/>
        <v>81.458484029615008</v>
      </c>
      <c r="H57" s="2">
        <f t="shared" si="2"/>
        <v>2.7046786349163323</v>
      </c>
      <c r="I57" s="2">
        <f t="shared" si="3"/>
        <v>82.032902997012357</v>
      </c>
      <c r="J57" s="2">
        <f t="shared" si="4"/>
        <v>0.57441896739734943</v>
      </c>
      <c r="K57" s="15">
        <f t="shared" si="17"/>
        <v>0.40347222222222223</v>
      </c>
      <c r="L57" s="2">
        <f t="shared" si="14"/>
        <v>52</v>
      </c>
      <c r="M57" s="2">
        <f t="shared" si="15"/>
        <v>30.08</v>
      </c>
      <c r="N57" s="2">
        <v>14</v>
      </c>
      <c r="O57" s="2">
        <v>50.26548245743669</v>
      </c>
      <c r="P57" s="11">
        <f t="shared" si="5"/>
        <v>2.7852115041081689</v>
      </c>
      <c r="Q57" s="2">
        <f t="shared" si="6"/>
        <v>83.77916204357372</v>
      </c>
      <c r="R57" s="2">
        <f t="shared" si="7"/>
        <v>2.6963229723492934</v>
      </c>
      <c r="S57" s="2">
        <f t="shared" si="8"/>
        <v>81.10539500826674</v>
      </c>
      <c r="T57" s="2">
        <f t="shared" si="9"/>
        <v>2.6737670353069802</v>
      </c>
    </row>
    <row r="58" spans="1:20" x14ac:dyDescent="0.25">
      <c r="A58" s="14">
        <f t="shared" si="16"/>
        <v>0.43091168091168092</v>
      </c>
      <c r="B58" s="2">
        <f t="shared" si="11"/>
        <v>53</v>
      </c>
      <c r="C58" s="4">
        <f t="shared" si="12"/>
        <v>30.83</v>
      </c>
      <c r="D58" s="2">
        <v>14.5</v>
      </c>
      <c r="E58" s="2">
        <v>50.26548245743669</v>
      </c>
      <c r="F58" s="11">
        <f t="shared" si="0"/>
        <v>2.8846833435406034</v>
      </c>
      <c r="G58" s="2">
        <f t="shared" si="1"/>
        <v>88.934787481356793</v>
      </c>
      <c r="H58" s="2">
        <f t="shared" si="2"/>
        <v>2.7046786349163323</v>
      </c>
      <c r="I58" s="2">
        <f t="shared" si="3"/>
        <v>83.385242314470517</v>
      </c>
      <c r="J58" s="2">
        <f t="shared" si="4"/>
        <v>5.5495451668862756</v>
      </c>
      <c r="K58" s="15">
        <f t="shared" si="17"/>
        <v>0.40363247863247864</v>
      </c>
      <c r="L58" s="2">
        <f t="shared" si="14"/>
        <v>53</v>
      </c>
      <c r="M58" s="2">
        <f t="shared" si="15"/>
        <v>30.58</v>
      </c>
      <c r="N58" s="2">
        <v>20.5</v>
      </c>
      <c r="O58" s="2">
        <v>50.26548245743669</v>
      </c>
      <c r="P58" s="11">
        <f t="shared" si="5"/>
        <v>4.0783454167298183</v>
      </c>
      <c r="Q58" s="2">
        <f t="shared" si="6"/>
        <v>124.71580284359784</v>
      </c>
      <c r="R58" s="2">
        <f t="shared" si="7"/>
        <v>2.6963229723492934</v>
      </c>
      <c r="S58" s="2">
        <f t="shared" si="8"/>
        <v>82.453556494441386</v>
      </c>
      <c r="T58" s="2">
        <f t="shared" si="9"/>
        <v>42.262246349156456</v>
      </c>
    </row>
    <row r="59" spans="1:20" x14ac:dyDescent="0.25">
      <c r="A59" s="14">
        <f t="shared" si="16"/>
        <v>0.43103632478632475</v>
      </c>
      <c r="B59" s="2">
        <f t="shared" si="11"/>
        <v>54</v>
      </c>
      <c r="C59" s="4">
        <f t="shared" si="12"/>
        <v>31.33</v>
      </c>
      <c r="D59" s="2">
        <v>14.5</v>
      </c>
      <c r="E59" s="2">
        <v>50.26548245743669</v>
      </c>
      <c r="F59" s="11">
        <f t="shared" si="0"/>
        <v>2.8846833435406034</v>
      </c>
      <c r="G59" s="2">
        <f t="shared" si="1"/>
        <v>90.3771291531271</v>
      </c>
      <c r="H59" s="2">
        <f t="shared" si="2"/>
        <v>2.7046786349163323</v>
      </c>
      <c r="I59" s="2">
        <f t="shared" si="3"/>
        <v>84.737581631928691</v>
      </c>
      <c r="J59" s="2">
        <f t="shared" si="4"/>
        <v>5.6395475211984092</v>
      </c>
      <c r="K59" s="15">
        <f t="shared" si="17"/>
        <v>0.40379273504273505</v>
      </c>
      <c r="L59" s="2">
        <f t="shared" si="14"/>
        <v>54</v>
      </c>
      <c r="M59" s="2">
        <f t="shared" si="15"/>
        <v>31.08</v>
      </c>
      <c r="N59" s="2">
        <v>15.5</v>
      </c>
      <c r="O59" s="2">
        <v>50.26548245743669</v>
      </c>
      <c r="P59" s="11">
        <f t="shared" si="5"/>
        <v>3.0836270224054725</v>
      </c>
      <c r="Q59" s="2">
        <f t="shared" si="6"/>
        <v>95.839127856362083</v>
      </c>
      <c r="R59" s="2">
        <f t="shared" si="7"/>
        <v>2.6963229723492934</v>
      </c>
      <c r="S59" s="2">
        <f t="shared" si="8"/>
        <v>83.801717980616033</v>
      </c>
      <c r="T59" s="2">
        <f t="shared" si="9"/>
        <v>12.03740987574605</v>
      </c>
    </row>
    <row r="60" spans="1:20" x14ac:dyDescent="0.25">
      <c r="A60" s="14">
        <f t="shared" si="16"/>
        <v>0.43116096866096865</v>
      </c>
      <c r="B60" s="2">
        <f t="shared" si="11"/>
        <v>55</v>
      </c>
      <c r="C60" s="4">
        <f t="shared" si="12"/>
        <v>31.83</v>
      </c>
      <c r="D60" s="2">
        <v>15</v>
      </c>
      <c r="E60" s="2">
        <v>50.26548245743669</v>
      </c>
      <c r="F60" s="11">
        <f t="shared" si="0"/>
        <v>2.9841551829730379</v>
      </c>
      <c r="G60" s="2">
        <f t="shared" si="1"/>
        <v>94.985659474031792</v>
      </c>
      <c r="H60" s="2">
        <f t="shared" si="2"/>
        <v>2.7046786349163323</v>
      </c>
      <c r="I60" s="2">
        <f t="shared" si="3"/>
        <v>86.089920949386851</v>
      </c>
      <c r="J60" s="2">
        <f t="shared" si="4"/>
        <v>8.8957385246449405</v>
      </c>
      <c r="K60" s="15">
        <f t="shared" si="17"/>
        <v>0.40395299145299146</v>
      </c>
      <c r="L60" s="2">
        <f t="shared" si="14"/>
        <v>55</v>
      </c>
      <c r="M60" s="2">
        <f t="shared" si="15"/>
        <v>31.58</v>
      </c>
      <c r="N60" s="2">
        <v>14.5</v>
      </c>
      <c r="O60" s="2">
        <v>50.26548245743669</v>
      </c>
      <c r="P60" s="11">
        <f t="shared" si="5"/>
        <v>2.8846833435406034</v>
      </c>
      <c r="Q60" s="2">
        <f t="shared" si="6"/>
        <v>91.098299989012247</v>
      </c>
      <c r="R60" s="2">
        <f t="shared" si="7"/>
        <v>2.6963229723492934</v>
      </c>
      <c r="S60" s="2">
        <f t="shared" si="8"/>
        <v>85.149879466790679</v>
      </c>
      <c r="T60" s="2">
        <f t="shared" si="9"/>
        <v>5.9484205222215678</v>
      </c>
    </row>
    <row r="61" spans="1:20" x14ac:dyDescent="0.25">
      <c r="A61" s="14">
        <f t="shared" si="16"/>
        <v>0.43128561253561254</v>
      </c>
      <c r="B61" s="2">
        <f t="shared" si="11"/>
        <v>56</v>
      </c>
      <c r="C61" s="4">
        <f t="shared" si="12"/>
        <v>32.33</v>
      </c>
      <c r="D61" s="2">
        <v>14</v>
      </c>
      <c r="E61" s="2">
        <v>50.26548245743669</v>
      </c>
      <c r="F61" s="11">
        <f t="shared" si="0"/>
        <v>2.7852115041081689</v>
      </c>
      <c r="G61" s="2">
        <f t="shared" si="1"/>
        <v>90.045887927817091</v>
      </c>
      <c r="H61" s="2">
        <f t="shared" si="2"/>
        <v>2.7046786349163323</v>
      </c>
      <c r="I61" s="2">
        <f t="shared" si="3"/>
        <v>87.442260266845025</v>
      </c>
      <c r="J61" s="2">
        <f t="shared" si="4"/>
        <v>2.6036276609720659</v>
      </c>
      <c r="K61" s="15">
        <f t="shared" si="17"/>
        <v>0.40411324786324787</v>
      </c>
      <c r="L61" s="2">
        <f t="shared" si="14"/>
        <v>56</v>
      </c>
      <c r="M61" s="2">
        <f t="shared" si="15"/>
        <v>32.08</v>
      </c>
      <c r="N61" s="2">
        <v>14.5</v>
      </c>
      <c r="O61" s="2">
        <v>50.26548245743669</v>
      </c>
      <c r="P61" s="11">
        <f t="shared" si="5"/>
        <v>2.8846833435406034</v>
      </c>
      <c r="Q61" s="2">
        <f t="shared" si="6"/>
        <v>92.540641660782555</v>
      </c>
      <c r="R61" s="2">
        <f t="shared" si="7"/>
        <v>2.6963229723492934</v>
      </c>
      <c r="S61" s="2">
        <f t="shared" si="8"/>
        <v>86.498040952965326</v>
      </c>
      <c r="T61" s="2">
        <f t="shared" si="9"/>
        <v>6.042600707817229</v>
      </c>
    </row>
    <row r="62" spans="1:20" x14ac:dyDescent="0.25">
      <c r="A62" s="14">
        <f t="shared" si="16"/>
        <v>0.43141025641025638</v>
      </c>
      <c r="B62" s="2">
        <f t="shared" si="11"/>
        <v>57</v>
      </c>
      <c r="C62" s="4">
        <f t="shared" si="12"/>
        <v>32.83</v>
      </c>
      <c r="D62" s="2">
        <v>15</v>
      </c>
      <c r="E62" s="2">
        <v>50.26548245743669</v>
      </c>
      <c r="F62" s="11">
        <f t="shared" si="0"/>
        <v>2.9841551829730379</v>
      </c>
      <c r="G62" s="2">
        <f t="shared" si="1"/>
        <v>97.969814657004832</v>
      </c>
      <c r="H62" s="2">
        <f t="shared" si="2"/>
        <v>2.7046786349163323</v>
      </c>
      <c r="I62" s="2">
        <f t="shared" si="3"/>
        <v>88.794599584303185</v>
      </c>
      <c r="J62" s="2">
        <f t="shared" si="4"/>
        <v>9.175215072701647</v>
      </c>
      <c r="K62" s="15">
        <f t="shared" si="17"/>
        <v>0.40427350427350428</v>
      </c>
      <c r="L62" s="2">
        <f t="shared" si="14"/>
        <v>57</v>
      </c>
      <c r="M62" s="2">
        <f t="shared" si="15"/>
        <v>32.58</v>
      </c>
      <c r="N62" s="2">
        <v>15</v>
      </c>
      <c r="O62" s="2">
        <v>50.26548245743669</v>
      </c>
      <c r="P62" s="11">
        <f t="shared" si="5"/>
        <v>2.9841551829730379</v>
      </c>
      <c r="Q62" s="2">
        <f t="shared" si="6"/>
        <v>97.223775861261572</v>
      </c>
      <c r="R62" s="2">
        <f t="shared" si="7"/>
        <v>2.6963229723492934</v>
      </c>
      <c r="S62" s="2">
        <f t="shared" si="8"/>
        <v>87.846202439139972</v>
      </c>
      <c r="T62" s="2">
        <f t="shared" si="9"/>
        <v>9.3775734221215998</v>
      </c>
    </row>
    <row r="63" spans="1:20" x14ac:dyDescent="0.25">
      <c r="A63" s="14">
        <f t="shared" si="16"/>
        <v>0.43153490028490027</v>
      </c>
      <c r="B63" s="2">
        <f t="shared" si="11"/>
        <v>58</v>
      </c>
      <c r="C63" s="4">
        <f t="shared" si="12"/>
        <v>33.33</v>
      </c>
      <c r="D63" s="2">
        <v>15</v>
      </c>
      <c r="E63" s="2">
        <v>50.26548245743669</v>
      </c>
      <c r="F63" s="11">
        <f t="shared" si="0"/>
        <v>2.9841551829730379</v>
      </c>
      <c r="G63" s="2">
        <f t="shared" si="1"/>
        <v>99.461892248491353</v>
      </c>
      <c r="H63" s="2">
        <f t="shared" si="2"/>
        <v>2.7046786349163323</v>
      </c>
      <c r="I63" s="2">
        <f t="shared" si="3"/>
        <v>90.146938901761345</v>
      </c>
      <c r="J63" s="2">
        <f t="shared" si="4"/>
        <v>9.3149533467300074</v>
      </c>
      <c r="K63" s="15">
        <f t="shared" si="17"/>
        <v>0.40443376068376069</v>
      </c>
      <c r="L63" s="2">
        <f t="shared" si="14"/>
        <v>58</v>
      </c>
      <c r="M63" s="2">
        <f t="shared" si="15"/>
        <v>33.08</v>
      </c>
      <c r="N63" s="2">
        <v>14.5</v>
      </c>
      <c r="O63" s="2">
        <v>50.26548245743669</v>
      </c>
      <c r="P63" s="11">
        <f t="shared" si="5"/>
        <v>2.8846833435406034</v>
      </c>
      <c r="Q63" s="2">
        <f t="shared" si="6"/>
        <v>95.425325004323156</v>
      </c>
      <c r="R63" s="2">
        <f t="shared" si="7"/>
        <v>2.6963229723492934</v>
      </c>
      <c r="S63" s="2">
        <f t="shared" si="8"/>
        <v>89.194363925314619</v>
      </c>
      <c r="T63" s="2">
        <f t="shared" si="9"/>
        <v>6.2309610790085372</v>
      </c>
    </row>
    <row r="64" spans="1:20" x14ac:dyDescent="0.25">
      <c r="A64" s="14">
        <f t="shared" si="16"/>
        <v>0.43165954415954416</v>
      </c>
      <c r="B64" s="2">
        <f t="shared" si="11"/>
        <v>59</v>
      </c>
      <c r="C64" s="4">
        <f t="shared" si="12"/>
        <v>33.83</v>
      </c>
      <c r="D64" s="2">
        <v>14</v>
      </c>
      <c r="E64" s="2">
        <v>50.26548245743669</v>
      </c>
      <c r="F64" s="11">
        <f t="shared" si="0"/>
        <v>2.7852115041081689</v>
      </c>
      <c r="G64" s="2">
        <f t="shared" si="1"/>
        <v>94.223705183979348</v>
      </c>
      <c r="H64" s="2">
        <f t="shared" si="2"/>
        <v>2.7046786349163323</v>
      </c>
      <c r="I64" s="2">
        <f t="shared" si="3"/>
        <v>91.499278219219519</v>
      </c>
      <c r="J64" s="2">
        <f t="shared" si="4"/>
        <v>2.7244269647598287</v>
      </c>
      <c r="K64" s="15">
        <f t="shared" si="17"/>
        <v>0.4045940170940171</v>
      </c>
      <c r="L64" s="2">
        <f t="shared" si="14"/>
        <v>59</v>
      </c>
      <c r="M64" s="2">
        <f t="shared" si="15"/>
        <v>33.58</v>
      </c>
      <c r="N64" s="2">
        <v>14.5</v>
      </c>
      <c r="O64" s="2">
        <v>50.26548245743669</v>
      </c>
      <c r="P64" s="11">
        <f t="shared" si="5"/>
        <v>2.8846833435406034</v>
      </c>
      <c r="Q64" s="2">
        <f t="shared" si="6"/>
        <v>96.867666676093464</v>
      </c>
      <c r="R64" s="2">
        <f t="shared" si="7"/>
        <v>2.6963229723492934</v>
      </c>
      <c r="S64" s="2">
        <f t="shared" si="8"/>
        <v>90.542525411489265</v>
      </c>
      <c r="T64" s="2">
        <f t="shared" si="9"/>
        <v>6.3251412646041985</v>
      </c>
    </row>
    <row r="65" spans="1:20" x14ac:dyDescent="0.25">
      <c r="A65" s="14">
        <f t="shared" si="16"/>
        <v>0.43178418803418805</v>
      </c>
      <c r="B65" s="2">
        <f t="shared" si="11"/>
        <v>60</v>
      </c>
      <c r="C65" s="4">
        <f t="shared" si="12"/>
        <v>34.33</v>
      </c>
      <c r="D65" s="2">
        <v>15</v>
      </c>
      <c r="E65" s="2">
        <v>50.26548245743669</v>
      </c>
      <c r="F65" s="11">
        <f t="shared" si="0"/>
        <v>2.9841551829730379</v>
      </c>
      <c r="G65" s="2">
        <f t="shared" si="1"/>
        <v>102.44604743146439</v>
      </c>
      <c r="H65" s="2">
        <f t="shared" si="2"/>
        <v>2.7046786349163323</v>
      </c>
      <c r="I65" s="2">
        <f t="shared" si="3"/>
        <v>92.851617536677679</v>
      </c>
      <c r="J65" s="2">
        <f t="shared" si="4"/>
        <v>9.5944298947867139</v>
      </c>
      <c r="K65" s="15">
        <f t="shared" si="17"/>
        <v>0.40475427350427351</v>
      </c>
      <c r="L65" s="2">
        <f t="shared" si="14"/>
        <v>60</v>
      </c>
      <c r="M65" s="2">
        <f t="shared" si="15"/>
        <v>34.08</v>
      </c>
      <c r="N65" s="2">
        <v>14.5</v>
      </c>
      <c r="O65" s="2">
        <v>50.26548245743669</v>
      </c>
      <c r="P65" s="11">
        <f t="shared" si="5"/>
        <v>2.8846833435406034</v>
      </c>
      <c r="Q65" s="2">
        <f t="shared" si="6"/>
        <v>98.310008347863757</v>
      </c>
      <c r="R65" s="2">
        <f t="shared" si="7"/>
        <v>2.6963229723492934</v>
      </c>
      <c r="S65" s="2">
        <f t="shared" si="8"/>
        <v>91.890686897663912</v>
      </c>
      <c r="T65" s="2">
        <f t="shared" si="9"/>
        <v>6.4193214501998455</v>
      </c>
    </row>
    <row r="66" spans="1:20" x14ac:dyDescent="0.25">
      <c r="A66" s="14">
        <f t="shared" si="16"/>
        <v>0.43190883190883189</v>
      </c>
      <c r="B66" s="2">
        <f t="shared" si="11"/>
        <v>61</v>
      </c>
      <c r="C66" s="4">
        <f t="shared" si="12"/>
        <v>34.83</v>
      </c>
      <c r="D66" s="2">
        <v>15</v>
      </c>
      <c r="E66" s="2">
        <v>50.26548245743669</v>
      </c>
      <c r="F66" s="11">
        <f t="shared" si="0"/>
        <v>2.9841551829730379</v>
      </c>
      <c r="G66" s="2">
        <f t="shared" si="1"/>
        <v>103.93812502295091</v>
      </c>
      <c r="H66" s="2">
        <f t="shared" si="2"/>
        <v>2.7046786349163323</v>
      </c>
      <c r="I66" s="2">
        <f t="shared" si="3"/>
        <v>94.203956854135853</v>
      </c>
      <c r="J66" s="2">
        <f t="shared" si="4"/>
        <v>9.7341681688150601</v>
      </c>
      <c r="K66" s="15">
        <f t="shared" si="17"/>
        <v>0.40491452991452992</v>
      </c>
      <c r="L66" s="2">
        <f t="shared" si="14"/>
        <v>61</v>
      </c>
      <c r="M66" s="2">
        <f t="shared" si="15"/>
        <v>34.58</v>
      </c>
      <c r="N66" s="2">
        <v>15</v>
      </c>
      <c r="O66" s="2">
        <v>50.26548245743669</v>
      </c>
      <c r="P66" s="11">
        <f t="shared" si="5"/>
        <v>2.9841551829730379</v>
      </c>
      <c r="Q66" s="2">
        <f t="shared" si="6"/>
        <v>103.19208622720765</v>
      </c>
      <c r="R66" s="2">
        <f t="shared" si="7"/>
        <v>2.6963229723492934</v>
      </c>
      <c r="S66" s="2">
        <f t="shared" si="8"/>
        <v>93.238848383838558</v>
      </c>
      <c r="T66" s="2">
        <f t="shared" si="9"/>
        <v>9.9532378433690951</v>
      </c>
    </row>
    <row r="67" spans="1:20" x14ac:dyDescent="0.25">
      <c r="A67" s="14">
        <f t="shared" si="16"/>
        <v>0.43203347578347578</v>
      </c>
      <c r="B67" s="2">
        <f t="shared" si="11"/>
        <v>62</v>
      </c>
      <c r="C67" s="4">
        <f t="shared" si="12"/>
        <v>35.33</v>
      </c>
      <c r="D67" s="2">
        <v>14.5</v>
      </c>
      <c r="E67" s="2">
        <v>50.26548245743669</v>
      </c>
      <c r="F67" s="11">
        <f t="shared" si="0"/>
        <v>2.8846833435406034</v>
      </c>
      <c r="G67" s="2">
        <f t="shared" si="1"/>
        <v>101.91586252728952</v>
      </c>
      <c r="H67" s="2">
        <f t="shared" si="2"/>
        <v>2.7046786349163323</v>
      </c>
      <c r="I67" s="2">
        <f t="shared" si="3"/>
        <v>95.556296171594013</v>
      </c>
      <c r="J67" s="2">
        <f t="shared" si="4"/>
        <v>6.359566355695506</v>
      </c>
      <c r="K67" s="15">
        <f t="shared" si="17"/>
        <v>0.40507478632478633</v>
      </c>
      <c r="L67" s="2">
        <f t="shared" si="14"/>
        <v>62</v>
      </c>
      <c r="M67" s="2">
        <f t="shared" si="15"/>
        <v>35.08</v>
      </c>
      <c r="N67" s="2">
        <v>14</v>
      </c>
      <c r="O67" s="2">
        <v>50.26548245743669</v>
      </c>
      <c r="P67" s="11">
        <f t="shared" si="5"/>
        <v>2.7852115041081689</v>
      </c>
      <c r="Q67" s="2">
        <f t="shared" si="6"/>
        <v>97.705219564114557</v>
      </c>
      <c r="R67" s="2">
        <f t="shared" si="7"/>
        <v>2.6963229723492934</v>
      </c>
      <c r="S67" s="2">
        <f t="shared" si="8"/>
        <v>94.587009870013205</v>
      </c>
      <c r="T67" s="2">
        <f t="shared" si="9"/>
        <v>3.1182096941013526</v>
      </c>
    </row>
    <row r="68" spans="1:20" x14ac:dyDescent="0.25">
      <c r="A68" s="14">
        <f t="shared" si="16"/>
        <v>0.43215811965811968</v>
      </c>
      <c r="B68" s="2">
        <f t="shared" si="11"/>
        <v>63</v>
      </c>
      <c r="C68" s="4">
        <f t="shared" si="12"/>
        <v>35.83</v>
      </c>
      <c r="D68" s="2">
        <v>15</v>
      </c>
      <c r="E68" s="2">
        <v>50.26548245743669</v>
      </c>
      <c r="F68" s="11">
        <f t="shared" si="0"/>
        <v>2.9841551829730379</v>
      </c>
      <c r="G68" s="2">
        <f t="shared" si="1"/>
        <v>106.92228020592394</v>
      </c>
      <c r="H68" s="2">
        <f t="shared" si="2"/>
        <v>2.7046786349163323</v>
      </c>
      <c r="I68" s="2">
        <f t="shared" si="3"/>
        <v>96.908635489052187</v>
      </c>
      <c r="J68" s="2">
        <f t="shared" si="4"/>
        <v>10.013644716871752</v>
      </c>
      <c r="K68" s="15">
        <f t="shared" si="17"/>
        <v>0.40523504273504274</v>
      </c>
      <c r="L68" s="2">
        <f t="shared" si="14"/>
        <v>63</v>
      </c>
      <c r="M68" s="2">
        <f t="shared" si="15"/>
        <v>35.58</v>
      </c>
      <c r="N68" s="2">
        <v>14.5</v>
      </c>
      <c r="O68" s="2">
        <v>50.26548245743669</v>
      </c>
      <c r="P68" s="11">
        <f t="shared" si="5"/>
        <v>2.8846833435406034</v>
      </c>
      <c r="Q68" s="2">
        <f t="shared" si="6"/>
        <v>102.63703336317467</v>
      </c>
      <c r="R68" s="2">
        <f t="shared" si="7"/>
        <v>2.6963229723492934</v>
      </c>
      <c r="S68" s="2">
        <f t="shared" si="8"/>
        <v>95.935171356187851</v>
      </c>
      <c r="T68" s="2">
        <f t="shared" si="9"/>
        <v>6.7018620069868149</v>
      </c>
    </row>
    <row r="69" spans="1:20" x14ac:dyDescent="0.25">
      <c r="A69" s="14">
        <f t="shared" si="16"/>
        <v>0.43228276353276351</v>
      </c>
      <c r="B69" s="2">
        <f t="shared" si="11"/>
        <v>64</v>
      </c>
      <c r="C69" s="4">
        <f t="shared" si="12"/>
        <v>36.33</v>
      </c>
      <c r="D69" s="2">
        <v>15</v>
      </c>
      <c r="E69" s="2">
        <v>50.26548245743669</v>
      </c>
      <c r="F69" s="11">
        <f t="shared" si="0"/>
        <v>2.9841551829730379</v>
      </c>
      <c r="G69" s="2">
        <f t="shared" si="1"/>
        <v>108.41435779741046</v>
      </c>
      <c r="H69" s="2">
        <f t="shared" si="2"/>
        <v>2.7046786349163323</v>
      </c>
      <c r="I69" s="2">
        <f t="shared" si="3"/>
        <v>98.260974806510347</v>
      </c>
      <c r="J69" s="2">
        <f t="shared" si="4"/>
        <v>10.153382990900113</v>
      </c>
      <c r="K69" s="15">
        <f t="shared" si="17"/>
        <v>0.40539529914529915</v>
      </c>
      <c r="L69" s="2">
        <f t="shared" si="14"/>
        <v>64</v>
      </c>
      <c r="M69" s="2">
        <f t="shared" si="15"/>
        <v>36.08</v>
      </c>
      <c r="N69" s="2">
        <v>14.5</v>
      </c>
      <c r="O69" s="2">
        <v>50.26548245743669</v>
      </c>
      <c r="P69" s="11">
        <f t="shared" si="5"/>
        <v>2.8846833435406034</v>
      </c>
      <c r="Q69" s="2">
        <f t="shared" si="6"/>
        <v>104.07937503494496</v>
      </c>
      <c r="R69" s="2">
        <f t="shared" si="7"/>
        <v>2.6963229723492934</v>
      </c>
      <c r="S69" s="2">
        <f t="shared" si="8"/>
        <v>97.283332842362498</v>
      </c>
      <c r="T69" s="2">
        <f t="shared" si="9"/>
        <v>6.7960421925824619</v>
      </c>
    </row>
    <row r="70" spans="1:20" x14ac:dyDescent="0.25">
      <c r="A70" s="14">
        <f t="shared" si="16"/>
        <v>0.43240740740740741</v>
      </c>
      <c r="B70" s="2">
        <f t="shared" si="11"/>
        <v>65</v>
      </c>
      <c r="C70" s="4">
        <f t="shared" si="12"/>
        <v>36.83</v>
      </c>
      <c r="D70" s="2">
        <v>14</v>
      </c>
      <c r="E70" s="2">
        <v>50.26548245743669</v>
      </c>
      <c r="F70" s="11">
        <f t="shared" si="0"/>
        <v>2.7852115041081689</v>
      </c>
      <c r="G70" s="2">
        <f t="shared" si="1"/>
        <v>102.57933969630386</v>
      </c>
      <c r="H70" s="2">
        <f t="shared" si="2"/>
        <v>2.7046786349163323</v>
      </c>
      <c r="I70" s="2">
        <f t="shared" si="3"/>
        <v>99.613314123968522</v>
      </c>
      <c r="J70" s="2">
        <f t="shared" si="4"/>
        <v>2.9660255723353401</v>
      </c>
      <c r="K70" s="15">
        <f t="shared" si="17"/>
        <v>0.40555555555555556</v>
      </c>
      <c r="L70" s="2">
        <f t="shared" si="14"/>
        <v>65</v>
      </c>
      <c r="M70" s="2">
        <f t="shared" si="15"/>
        <v>36.58</v>
      </c>
      <c r="N70" s="2">
        <v>14.5</v>
      </c>
      <c r="O70" s="2">
        <v>50.26548245743669</v>
      </c>
      <c r="P70" s="11">
        <f t="shared" si="5"/>
        <v>2.8846833435406034</v>
      </c>
      <c r="Q70" s="2">
        <f t="shared" si="6"/>
        <v>105.52171670671527</v>
      </c>
      <c r="R70" s="2">
        <f t="shared" si="7"/>
        <v>2.6963229723492934</v>
      </c>
      <c r="S70" s="2">
        <f t="shared" si="8"/>
        <v>98.631494328537144</v>
      </c>
      <c r="T70" s="2">
        <f t="shared" si="9"/>
        <v>6.8902223781781231</v>
      </c>
    </row>
    <row r="71" spans="1:20" x14ac:dyDescent="0.25">
      <c r="A71" s="14">
        <f t="shared" si="16"/>
        <v>0.4325320512820513</v>
      </c>
      <c r="B71" s="2">
        <f t="shared" si="11"/>
        <v>66</v>
      </c>
      <c r="C71" s="4">
        <f t="shared" si="12"/>
        <v>37.33</v>
      </c>
      <c r="D71" s="2">
        <v>15</v>
      </c>
      <c r="E71" s="2">
        <v>50.26548245743669</v>
      </c>
      <c r="F71" s="11">
        <f t="shared" si="0"/>
        <v>2.9841551829730379</v>
      </c>
      <c r="G71" s="2">
        <f t="shared" si="1"/>
        <v>111.3985129803835</v>
      </c>
      <c r="H71" s="2">
        <f t="shared" si="2"/>
        <v>2.7046786349163323</v>
      </c>
      <c r="I71" s="2">
        <f t="shared" si="3"/>
        <v>100.96565344142668</v>
      </c>
      <c r="J71" s="2">
        <f t="shared" si="4"/>
        <v>10.432859538956819</v>
      </c>
      <c r="K71" s="15">
        <f t="shared" si="17"/>
        <v>0.40571581196581197</v>
      </c>
      <c r="L71" s="2">
        <f t="shared" si="14"/>
        <v>66</v>
      </c>
      <c r="M71" s="2">
        <f t="shared" si="15"/>
        <v>37.08</v>
      </c>
      <c r="N71" s="2">
        <v>15</v>
      </c>
      <c r="O71" s="2">
        <v>50.26548245743669</v>
      </c>
      <c r="P71" s="11">
        <f t="shared" si="5"/>
        <v>2.9841551829730379</v>
      </c>
      <c r="Q71" s="2">
        <f t="shared" si="6"/>
        <v>110.65247418464024</v>
      </c>
      <c r="R71" s="2">
        <f t="shared" si="7"/>
        <v>2.6963229723492934</v>
      </c>
      <c r="S71" s="2">
        <f t="shared" si="8"/>
        <v>99.979655814711791</v>
      </c>
      <c r="T71" s="2">
        <f t="shared" si="9"/>
        <v>10.67281836992845</v>
      </c>
    </row>
    <row r="72" spans="1:20" x14ac:dyDescent="0.25">
      <c r="A72" s="14">
        <f t="shared" si="16"/>
        <v>0.43265669515669514</v>
      </c>
      <c r="B72" s="2">
        <f t="shared" si="11"/>
        <v>67</v>
      </c>
      <c r="C72" s="4">
        <f t="shared" si="12"/>
        <v>37.83</v>
      </c>
      <c r="D72" s="2">
        <v>14.5</v>
      </c>
      <c r="E72" s="2">
        <v>50.26548245743669</v>
      </c>
      <c r="F72" s="11">
        <f t="shared" si="0"/>
        <v>2.8846833435406034</v>
      </c>
      <c r="G72" s="2">
        <f t="shared" si="1"/>
        <v>109.12757088614102</v>
      </c>
      <c r="H72" s="2">
        <f t="shared" si="2"/>
        <v>2.7046786349163323</v>
      </c>
      <c r="I72" s="2">
        <f t="shared" si="3"/>
        <v>102.31799275888484</v>
      </c>
      <c r="J72" s="2">
        <f t="shared" si="4"/>
        <v>6.8095781272561737</v>
      </c>
      <c r="K72" s="15">
        <f t="shared" si="17"/>
        <v>0.40587606837606838</v>
      </c>
      <c r="L72" s="2">
        <f t="shared" si="14"/>
        <v>67</v>
      </c>
      <c r="M72" s="2">
        <f t="shared" si="15"/>
        <v>37.58</v>
      </c>
      <c r="N72" s="2">
        <v>14.5</v>
      </c>
      <c r="O72" s="2">
        <v>50.26548245743669</v>
      </c>
      <c r="P72" s="11">
        <f t="shared" si="5"/>
        <v>2.8846833435406034</v>
      </c>
      <c r="Q72" s="2">
        <f t="shared" si="6"/>
        <v>108.40640005025587</v>
      </c>
      <c r="R72" s="2">
        <f t="shared" si="7"/>
        <v>2.6963229723492934</v>
      </c>
      <c r="S72" s="2">
        <f t="shared" si="8"/>
        <v>101.32781730088644</v>
      </c>
      <c r="T72" s="2">
        <f t="shared" si="9"/>
        <v>7.0785827493694313</v>
      </c>
    </row>
    <row r="73" spans="1:20" x14ac:dyDescent="0.25">
      <c r="A73" s="14">
        <f t="shared" si="16"/>
        <v>0.43278133903133903</v>
      </c>
      <c r="B73" s="2">
        <f t="shared" si="11"/>
        <v>68</v>
      </c>
      <c r="C73" s="4">
        <f t="shared" si="12"/>
        <v>38.33</v>
      </c>
      <c r="D73" s="2">
        <v>14</v>
      </c>
      <c r="E73" s="2">
        <v>50.26548245743669</v>
      </c>
      <c r="F73" s="11">
        <f t="shared" si="0"/>
        <v>2.7852115041081689</v>
      </c>
      <c r="G73" s="2">
        <f t="shared" si="1"/>
        <v>106.7571569524661</v>
      </c>
      <c r="H73" s="2">
        <f t="shared" si="2"/>
        <v>2.7046786349163323</v>
      </c>
      <c r="I73" s="2">
        <f t="shared" si="3"/>
        <v>103.67033207634302</v>
      </c>
      <c r="J73" s="2">
        <f t="shared" si="4"/>
        <v>3.0868248761230888</v>
      </c>
      <c r="K73" s="15">
        <f t="shared" si="17"/>
        <v>0.40603632478632479</v>
      </c>
      <c r="L73" s="2">
        <f t="shared" si="14"/>
        <v>68</v>
      </c>
      <c r="M73" s="2">
        <f t="shared" si="15"/>
        <v>38.08</v>
      </c>
      <c r="N73" s="21">
        <v>17</v>
      </c>
      <c r="O73" s="2">
        <v>50.26548245743669</v>
      </c>
      <c r="P73" s="11">
        <f t="shared" si="5"/>
        <v>3.3820425407027761</v>
      </c>
      <c r="Q73" s="2">
        <f t="shared" si="6"/>
        <v>128.78817994996172</v>
      </c>
      <c r="R73" s="2">
        <f t="shared" si="7"/>
        <v>2.6963229723492934</v>
      </c>
      <c r="S73" s="2">
        <f t="shared" si="8"/>
        <v>102.67597878706108</v>
      </c>
      <c r="T73" s="2">
        <f t="shared" si="9"/>
        <v>26.112201162900632</v>
      </c>
    </row>
    <row r="74" spans="1:20" x14ac:dyDescent="0.25">
      <c r="A74" s="14">
        <f t="shared" si="16"/>
        <v>0.43290598290598292</v>
      </c>
      <c r="B74" s="2">
        <f t="shared" si="11"/>
        <v>69</v>
      </c>
      <c r="C74" s="4">
        <f t="shared" si="12"/>
        <v>38.83</v>
      </c>
      <c r="D74" s="2">
        <v>14</v>
      </c>
      <c r="E74" s="2">
        <v>50.26548245743669</v>
      </c>
      <c r="F74" s="11">
        <f t="shared" si="0"/>
        <v>2.7852115041081689</v>
      </c>
      <c r="G74" s="2">
        <f t="shared" si="1"/>
        <v>108.1497627045202</v>
      </c>
      <c r="H74" s="2">
        <f t="shared" si="2"/>
        <v>2.7046786349163323</v>
      </c>
      <c r="I74" s="2">
        <f t="shared" si="3"/>
        <v>105.02267139380118</v>
      </c>
      <c r="J74" s="2">
        <f t="shared" si="4"/>
        <v>3.1270913107190239</v>
      </c>
      <c r="K74" s="15">
        <f t="shared" si="17"/>
        <v>0.4061965811965812</v>
      </c>
      <c r="L74" s="2">
        <f t="shared" si="14"/>
        <v>69</v>
      </c>
      <c r="M74" s="2">
        <f t="shared" si="15"/>
        <v>38.58</v>
      </c>
      <c r="N74" s="2">
        <v>14.5</v>
      </c>
      <c r="O74" s="2">
        <v>50.26548245743669</v>
      </c>
      <c r="P74" s="11">
        <f t="shared" si="5"/>
        <v>2.8846833435406034</v>
      </c>
      <c r="Q74" s="2">
        <f t="shared" si="6"/>
        <v>111.29108339379647</v>
      </c>
      <c r="R74" s="2">
        <f t="shared" si="7"/>
        <v>2.6963229723492934</v>
      </c>
      <c r="S74" s="2">
        <f t="shared" si="8"/>
        <v>104.02414027323573</v>
      </c>
      <c r="T74" s="2">
        <f t="shared" si="9"/>
        <v>7.2669431205607395</v>
      </c>
    </row>
    <row r="75" spans="1:20" x14ac:dyDescent="0.25">
      <c r="A75" s="14">
        <f t="shared" si="16"/>
        <v>0.43303062678062676</v>
      </c>
      <c r="B75" s="2">
        <f t="shared" si="11"/>
        <v>70</v>
      </c>
      <c r="C75" s="4">
        <f t="shared" si="12"/>
        <v>39.33</v>
      </c>
      <c r="D75" s="2">
        <v>14.5</v>
      </c>
      <c r="E75" s="2">
        <v>50.26548245743669</v>
      </c>
      <c r="F75" s="11">
        <f t="shared" si="0"/>
        <v>2.8846833435406034</v>
      </c>
      <c r="G75" s="2">
        <f t="shared" si="1"/>
        <v>113.45459590145192</v>
      </c>
      <c r="H75" s="2">
        <f t="shared" si="2"/>
        <v>2.7046786349163323</v>
      </c>
      <c r="I75" s="2">
        <f t="shared" si="3"/>
        <v>106.37501071125935</v>
      </c>
      <c r="J75" s="2">
        <f t="shared" si="4"/>
        <v>7.0795851901925744</v>
      </c>
      <c r="K75" s="15">
        <f t="shared" si="17"/>
        <v>0.40635683760683761</v>
      </c>
      <c r="L75" s="2">
        <f t="shared" si="14"/>
        <v>70</v>
      </c>
      <c r="M75" s="2">
        <f t="shared" si="15"/>
        <v>39.08</v>
      </c>
      <c r="N75" s="2">
        <v>18.5</v>
      </c>
      <c r="O75" s="2">
        <v>50.26548245743669</v>
      </c>
      <c r="P75" s="11">
        <f t="shared" si="5"/>
        <v>3.6804580590000797</v>
      </c>
      <c r="Q75" s="2">
        <f t="shared" si="6"/>
        <v>143.83230094572312</v>
      </c>
      <c r="R75" s="2">
        <f t="shared" si="7"/>
        <v>2.6963229723492934</v>
      </c>
      <c r="S75" s="2">
        <f t="shared" si="8"/>
        <v>105.37230175941038</v>
      </c>
      <c r="T75" s="2">
        <f t="shared" si="9"/>
        <v>38.459999186312743</v>
      </c>
    </row>
    <row r="76" spans="1:20" x14ac:dyDescent="0.25">
      <c r="A76" s="14">
        <f t="shared" si="16"/>
        <v>0.43315527065527065</v>
      </c>
      <c r="B76" s="2">
        <f t="shared" si="11"/>
        <v>71</v>
      </c>
      <c r="C76" s="4">
        <f t="shared" si="12"/>
        <v>39.83</v>
      </c>
      <c r="D76" s="2">
        <v>14.5</v>
      </c>
      <c r="E76" s="2">
        <v>50.26548245743669</v>
      </c>
      <c r="F76" s="11">
        <f t="shared" si="0"/>
        <v>2.8846833435406034</v>
      </c>
      <c r="G76" s="2">
        <f t="shared" si="1"/>
        <v>114.89693757322223</v>
      </c>
      <c r="H76" s="2">
        <f t="shared" si="2"/>
        <v>2.7046786349163323</v>
      </c>
      <c r="I76" s="2">
        <f t="shared" si="3"/>
        <v>107.72735002871751</v>
      </c>
      <c r="J76" s="2">
        <f t="shared" si="4"/>
        <v>7.1695875445047221</v>
      </c>
      <c r="K76" s="15">
        <f t="shared" si="17"/>
        <v>0.40651709401709402</v>
      </c>
      <c r="L76" s="2">
        <f t="shared" si="14"/>
        <v>71</v>
      </c>
      <c r="M76" s="2">
        <f t="shared" si="15"/>
        <v>39.58</v>
      </c>
      <c r="N76" s="2">
        <v>14</v>
      </c>
      <c r="O76" s="2">
        <v>50.26548245743669</v>
      </c>
      <c r="P76" s="11">
        <f t="shared" si="5"/>
        <v>2.7852115041081689</v>
      </c>
      <c r="Q76" s="2">
        <f t="shared" si="6"/>
        <v>110.23867133260131</v>
      </c>
      <c r="R76" s="2">
        <f t="shared" si="7"/>
        <v>2.6963229723492934</v>
      </c>
      <c r="S76" s="2">
        <f t="shared" si="8"/>
        <v>106.72046324558502</v>
      </c>
      <c r="T76" s="2">
        <f t="shared" si="9"/>
        <v>3.5182080870162906</v>
      </c>
    </row>
    <row r="77" spans="1:20" x14ac:dyDescent="0.25">
      <c r="A77" s="14">
        <f t="shared" si="16"/>
        <v>0.43327991452991454</v>
      </c>
      <c r="B77" s="2">
        <f t="shared" si="11"/>
        <v>72</v>
      </c>
      <c r="C77" s="4">
        <f t="shared" si="12"/>
        <v>40.33</v>
      </c>
      <c r="D77" s="2">
        <v>13</v>
      </c>
      <c r="E77" s="2">
        <v>50.26548245743669</v>
      </c>
      <c r="F77" s="11">
        <f t="shared" si="0"/>
        <v>2.5862678252432989</v>
      </c>
      <c r="G77" s="2">
        <f t="shared" si="1"/>
        <v>104.30418139206225</v>
      </c>
      <c r="H77" s="2">
        <f t="shared" si="2"/>
        <v>2.7046786349163323</v>
      </c>
      <c r="I77" s="2">
        <f t="shared" si="3"/>
        <v>109.07968934617568</v>
      </c>
      <c r="J77" s="2">
        <f t="shared" si="4"/>
        <v>4.7755079541134364</v>
      </c>
      <c r="K77" s="15">
        <f t="shared" si="17"/>
        <v>0.40667735042735043</v>
      </c>
      <c r="L77" s="2">
        <f t="shared" si="14"/>
        <v>72</v>
      </c>
      <c r="M77" s="2">
        <f t="shared" si="15"/>
        <v>40.08</v>
      </c>
      <c r="N77" s="2">
        <v>12</v>
      </c>
      <c r="O77" s="2">
        <v>50.26548245743669</v>
      </c>
      <c r="P77" s="11">
        <f t="shared" si="5"/>
        <v>2.3873241463784298</v>
      </c>
      <c r="Q77" s="2">
        <f t="shared" si="6"/>
        <v>95.683951786847459</v>
      </c>
      <c r="R77" s="2">
        <f t="shared" si="7"/>
        <v>2.6963229723492934</v>
      </c>
      <c r="S77" s="2">
        <f t="shared" si="8"/>
        <v>108.06862473175967</v>
      </c>
      <c r="T77" s="2">
        <f t="shared" si="9"/>
        <v>12.384672944912211</v>
      </c>
    </row>
    <row r="78" spans="1:20" x14ac:dyDescent="0.25">
      <c r="A78" s="14">
        <f t="shared" si="16"/>
        <v>0.43340455840455844</v>
      </c>
      <c r="B78" s="2">
        <f t="shared" si="11"/>
        <v>73</v>
      </c>
      <c r="C78" s="4">
        <f t="shared" si="12"/>
        <v>40.83</v>
      </c>
      <c r="D78" s="2">
        <v>13.5</v>
      </c>
      <c r="E78" s="2">
        <v>50.26548245743669</v>
      </c>
      <c r="F78" s="11">
        <f t="shared" si="0"/>
        <v>2.6857396646757339</v>
      </c>
      <c r="G78" s="2">
        <f t="shared" si="1"/>
        <v>109.65875050871021</v>
      </c>
      <c r="H78" s="2">
        <f t="shared" si="2"/>
        <v>2.7046786349163323</v>
      </c>
      <c r="I78" s="2">
        <f t="shared" si="3"/>
        <v>110.43202866363384</v>
      </c>
      <c r="J78" s="2">
        <f t="shared" si="4"/>
        <v>0.77327815492363072</v>
      </c>
      <c r="K78" s="15">
        <f t="shared" si="17"/>
        <v>0.40683760683760684</v>
      </c>
      <c r="L78" s="2">
        <f t="shared" si="14"/>
        <v>73</v>
      </c>
      <c r="M78" s="2">
        <f t="shared" si="15"/>
        <v>40.58</v>
      </c>
      <c r="N78" s="2">
        <v>14</v>
      </c>
      <c r="O78" s="2">
        <v>50.26548245743669</v>
      </c>
      <c r="P78" s="11">
        <f t="shared" si="5"/>
        <v>2.7852115041081689</v>
      </c>
      <c r="Q78" s="2">
        <f t="shared" si="6"/>
        <v>113.02388283670949</v>
      </c>
      <c r="R78" s="2">
        <f t="shared" si="7"/>
        <v>2.6963229723492934</v>
      </c>
      <c r="S78" s="2">
        <f t="shared" si="8"/>
        <v>109.41678621793432</v>
      </c>
      <c r="T78" s="2">
        <f t="shared" si="9"/>
        <v>3.6070966187751736</v>
      </c>
    </row>
    <row r="79" spans="1:20" x14ac:dyDescent="0.25">
      <c r="A79" s="14">
        <f t="shared" si="16"/>
        <v>0.43352920227920227</v>
      </c>
      <c r="B79" s="2">
        <f t="shared" si="11"/>
        <v>74</v>
      </c>
      <c r="C79" s="4">
        <f t="shared" si="12"/>
        <v>41.33</v>
      </c>
      <c r="D79" s="2">
        <v>14.5</v>
      </c>
      <c r="E79" s="2">
        <v>50.26548245743669</v>
      </c>
      <c r="F79" s="11">
        <f t="shared" si="0"/>
        <v>2.8846833435406034</v>
      </c>
      <c r="G79" s="2">
        <f t="shared" si="1"/>
        <v>119.22396258853314</v>
      </c>
      <c r="H79" s="2">
        <f t="shared" si="2"/>
        <v>2.7046786349163323</v>
      </c>
      <c r="I79" s="2">
        <f t="shared" si="3"/>
        <v>111.784367981092</v>
      </c>
      <c r="J79" s="2">
        <f t="shared" si="4"/>
        <v>7.439594607441137</v>
      </c>
      <c r="K79" s="15">
        <f t="shared" si="17"/>
        <v>0.40699786324786325</v>
      </c>
      <c r="L79" s="2">
        <f t="shared" si="14"/>
        <v>74</v>
      </c>
      <c r="M79" s="2">
        <f t="shared" si="15"/>
        <v>41.08</v>
      </c>
      <c r="N79" s="2">
        <v>15.5</v>
      </c>
      <c r="O79" s="2">
        <v>50.26548245743669</v>
      </c>
      <c r="P79" s="11">
        <f t="shared" si="5"/>
        <v>3.0836270224054725</v>
      </c>
      <c r="Q79" s="2">
        <f t="shared" si="6"/>
        <v>126.6753980804168</v>
      </c>
      <c r="R79" s="2">
        <f t="shared" si="7"/>
        <v>2.6963229723492934</v>
      </c>
      <c r="S79" s="2">
        <f t="shared" si="8"/>
        <v>110.76494770410896</v>
      </c>
      <c r="T79" s="2">
        <f t="shared" si="9"/>
        <v>15.910450376307836</v>
      </c>
    </row>
    <row r="80" spans="1:20" x14ac:dyDescent="0.25">
      <c r="A80" s="14">
        <f t="shared" si="16"/>
        <v>0.43365384615384617</v>
      </c>
      <c r="B80" s="2">
        <f t="shared" si="11"/>
        <v>75</v>
      </c>
      <c r="C80" s="4">
        <f t="shared" si="12"/>
        <v>41.83</v>
      </c>
      <c r="D80" s="2">
        <v>14.5</v>
      </c>
      <c r="E80" s="2">
        <v>50.26548245743669</v>
      </c>
      <c r="F80" s="11">
        <f t="shared" si="0"/>
        <v>2.8846833435406034</v>
      </c>
      <c r="G80" s="2">
        <f t="shared" si="1"/>
        <v>120.66630426030343</v>
      </c>
      <c r="H80" s="2">
        <f t="shared" si="2"/>
        <v>2.7046786349163323</v>
      </c>
      <c r="I80" s="2">
        <f t="shared" si="3"/>
        <v>113.13670729855018</v>
      </c>
      <c r="J80" s="2">
        <f t="shared" si="4"/>
        <v>7.5295969617532563</v>
      </c>
      <c r="K80" s="15">
        <f t="shared" si="17"/>
        <v>0.40715811965811965</v>
      </c>
      <c r="L80" s="2">
        <f t="shared" si="14"/>
        <v>75</v>
      </c>
      <c r="M80" s="2">
        <f t="shared" si="15"/>
        <v>41.58</v>
      </c>
      <c r="N80" s="2">
        <v>14</v>
      </c>
      <c r="O80" s="2">
        <v>50.26548245743669</v>
      </c>
      <c r="P80" s="11">
        <f t="shared" si="5"/>
        <v>2.7852115041081689</v>
      </c>
      <c r="Q80" s="2">
        <f t="shared" si="6"/>
        <v>115.80909434081765</v>
      </c>
      <c r="R80" s="2">
        <f t="shared" si="7"/>
        <v>2.6963229723492934</v>
      </c>
      <c r="S80" s="2">
        <f t="shared" si="8"/>
        <v>112.11310919028361</v>
      </c>
      <c r="T80" s="2">
        <f t="shared" si="9"/>
        <v>3.6959851505340424</v>
      </c>
    </row>
    <row r="81" spans="1:20" x14ac:dyDescent="0.25">
      <c r="A81" s="14">
        <f t="shared" si="16"/>
        <v>0.43377849002849006</v>
      </c>
      <c r="B81" s="2">
        <f t="shared" si="11"/>
        <v>76</v>
      </c>
      <c r="C81" s="4">
        <f t="shared" si="12"/>
        <v>42.33</v>
      </c>
      <c r="D81" s="2">
        <v>14</v>
      </c>
      <c r="E81" s="2">
        <v>50.26548245743669</v>
      </c>
      <c r="F81" s="11">
        <f t="shared" si="0"/>
        <v>2.7852115041081689</v>
      </c>
      <c r="G81" s="2">
        <f t="shared" si="1"/>
        <v>117.89800296889878</v>
      </c>
      <c r="H81" s="2">
        <f t="shared" si="2"/>
        <v>2.7046786349163323</v>
      </c>
      <c r="I81" s="2">
        <f t="shared" si="3"/>
        <v>114.48904661600834</v>
      </c>
      <c r="J81" s="2">
        <f t="shared" si="4"/>
        <v>3.4089563528904421</v>
      </c>
      <c r="K81" s="15">
        <f t="shared" si="17"/>
        <v>0.40731837606837606</v>
      </c>
      <c r="L81" s="2">
        <f t="shared" si="14"/>
        <v>76</v>
      </c>
      <c r="M81" s="2">
        <f t="shared" si="15"/>
        <v>42.08</v>
      </c>
      <c r="N81" s="2">
        <v>13</v>
      </c>
      <c r="O81" s="2">
        <v>50.26548245743669</v>
      </c>
      <c r="P81" s="11">
        <f t="shared" si="5"/>
        <v>2.5862678252432989</v>
      </c>
      <c r="Q81" s="2">
        <f t="shared" si="6"/>
        <v>108.83015008623801</v>
      </c>
      <c r="R81" s="2">
        <f t="shared" si="7"/>
        <v>2.6963229723492934</v>
      </c>
      <c r="S81" s="2">
        <f t="shared" si="8"/>
        <v>113.46127067645826</v>
      </c>
      <c r="T81" s="2">
        <f t="shared" si="9"/>
        <v>4.6311205902202488</v>
      </c>
    </row>
    <row r="82" spans="1:20" x14ac:dyDescent="0.25">
      <c r="A82" s="14">
        <f t="shared" si="16"/>
        <v>0.4339031339031339</v>
      </c>
      <c r="B82" s="2">
        <f t="shared" si="11"/>
        <v>77</v>
      </c>
      <c r="C82" s="4">
        <f t="shared" si="12"/>
        <v>42.83</v>
      </c>
      <c r="D82" s="2">
        <v>14</v>
      </c>
      <c r="E82" s="2">
        <v>50.26548245743669</v>
      </c>
      <c r="F82" s="11">
        <f t="shared" si="0"/>
        <v>2.7852115041081689</v>
      </c>
      <c r="G82" s="2">
        <f t="shared" si="1"/>
        <v>119.29060872095287</v>
      </c>
      <c r="H82" s="2">
        <f t="shared" si="2"/>
        <v>2.7046786349163323</v>
      </c>
      <c r="I82" s="2">
        <f t="shared" si="3"/>
        <v>115.84138593346651</v>
      </c>
      <c r="J82" s="2">
        <f t="shared" si="4"/>
        <v>3.449222787486363</v>
      </c>
      <c r="K82" s="15">
        <f t="shared" si="17"/>
        <v>0.40747863247863247</v>
      </c>
      <c r="L82" s="2">
        <f t="shared" si="14"/>
        <v>77</v>
      </c>
      <c r="M82" s="2">
        <f t="shared" si="15"/>
        <v>42.58</v>
      </c>
      <c r="N82" s="2">
        <v>14.5</v>
      </c>
      <c r="O82" s="2">
        <v>50.26548245743669</v>
      </c>
      <c r="P82" s="11">
        <f t="shared" si="5"/>
        <v>2.8846833435406034</v>
      </c>
      <c r="Q82" s="2">
        <f t="shared" si="6"/>
        <v>122.82981676795889</v>
      </c>
      <c r="R82" s="2">
        <f t="shared" si="7"/>
        <v>2.6963229723492934</v>
      </c>
      <c r="S82" s="2">
        <f t="shared" si="8"/>
        <v>114.8094321626329</v>
      </c>
      <c r="T82" s="2">
        <f t="shared" si="9"/>
        <v>8.0203846053259866</v>
      </c>
    </row>
    <row r="83" spans="1:20" x14ac:dyDescent="0.25">
      <c r="A83" s="10">
        <v>0.43402777777777779</v>
      </c>
      <c r="B83" s="2">
        <f t="shared" si="11"/>
        <v>78</v>
      </c>
      <c r="C83" s="4">
        <f t="shared" si="12"/>
        <v>43.33</v>
      </c>
      <c r="D83" s="2">
        <v>14.5</v>
      </c>
      <c r="E83" s="2">
        <v>50.26548245743669</v>
      </c>
      <c r="F83" s="11">
        <f t="shared" si="0"/>
        <v>2.8846833435406034</v>
      </c>
      <c r="G83" s="2">
        <f t="shared" si="1"/>
        <v>124.99332927561434</v>
      </c>
      <c r="H83" s="2">
        <f t="shared" si="2"/>
        <v>2.7046786349163323</v>
      </c>
      <c r="I83" s="2">
        <f t="shared" si="3"/>
        <v>117.19372525092467</v>
      </c>
      <c r="J83" s="2">
        <f t="shared" si="4"/>
        <v>7.7996040246896712</v>
      </c>
      <c r="K83" s="12">
        <v>0.40763888888888888</v>
      </c>
      <c r="L83" s="2">
        <f t="shared" si="14"/>
        <v>78</v>
      </c>
      <c r="M83" s="2">
        <f t="shared" si="15"/>
        <v>43.08</v>
      </c>
      <c r="N83" s="2">
        <v>14</v>
      </c>
      <c r="O83" s="2">
        <v>50.26548245743669</v>
      </c>
      <c r="P83" s="11">
        <f t="shared" si="5"/>
        <v>2.7852115041081689</v>
      </c>
      <c r="Q83" s="2">
        <f t="shared" si="6"/>
        <v>119.98691159697991</v>
      </c>
      <c r="R83" s="2">
        <f t="shared" si="7"/>
        <v>2.6963229723492934</v>
      </c>
      <c r="S83" s="2">
        <f t="shared" si="8"/>
        <v>116.15759364880756</v>
      </c>
      <c r="T83" s="2">
        <f t="shared" si="9"/>
        <v>3.8293179481723456</v>
      </c>
    </row>
    <row r="84" spans="1:20" x14ac:dyDescent="0.25">
      <c r="A84" s="14">
        <f t="shared" ref="A84:A121" si="18">IF(AND($A$83&lt;&gt;"",$A$122&lt;&gt;""), $A$83 + (B84 - $B$83) * (($A$122 - $A$83) / ($B$122 - $B$83)), "")</f>
        <v>0.43420584045584049</v>
      </c>
      <c r="B84" s="2">
        <f t="shared" si="11"/>
        <v>79</v>
      </c>
      <c r="C84" s="4">
        <f t="shared" si="12"/>
        <v>43.83</v>
      </c>
      <c r="D84" s="2">
        <v>13.5</v>
      </c>
      <c r="E84" s="2">
        <v>50.26548245743669</v>
      </c>
      <c r="F84" s="11">
        <f t="shared" si="0"/>
        <v>2.6857396646757339</v>
      </c>
      <c r="G84" s="2">
        <f t="shared" si="1"/>
        <v>117.71596950273741</v>
      </c>
      <c r="H84" s="2">
        <f t="shared" si="2"/>
        <v>2.7046786349163323</v>
      </c>
      <c r="I84" s="2">
        <f t="shared" si="3"/>
        <v>118.54606456838285</v>
      </c>
      <c r="J84" s="2">
        <f t="shared" si="4"/>
        <v>0.83009506564543756</v>
      </c>
      <c r="K84" s="15">
        <f t="shared" ref="K84:K121" si="19">IF(AND($K$83&lt;&gt;"",$K$122&lt;&gt;""), $K$83 + (L84 - $L$83) * (($K$122 - $K$83) / ($L$122 - $L$83)), "")</f>
        <v>0.40781695156695158</v>
      </c>
      <c r="L84" s="2">
        <f t="shared" si="14"/>
        <v>79</v>
      </c>
      <c r="M84" s="2">
        <f t="shared" si="15"/>
        <v>43.58</v>
      </c>
      <c r="N84" s="2">
        <v>13</v>
      </c>
      <c r="O84" s="2">
        <v>50.26548245743669</v>
      </c>
      <c r="P84" s="11">
        <f t="shared" si="5"/>
        <v>2.5862678252432989</v>
      </c>
      <c r="Q84" s="2">
        <f t="shared" si="6"/>
        <v>112.70955182410296</v>
      </c>
      <c r="R84" s="2">
        <f t="shared" si="7"/>
        <v>2.6963229723492934</v>
      </c>
      <c r="S84" s="2">
        <f t="shared" si="8"/>
        <v>117.50575513498221</v>
      </c>
      <c r="T84" s="2">
        <f t="shared" si="9"/>
        <v>4.7962033108792497</v>
      </c>
    </row>
    <row r="85" spans="1:20" x14ac:dyDescent="0.25">
      <c r="A85" s="14">
        <f t="shared" si="18"/>
        <v>0.43438390313390313</v>
      </c>
      <c r="B85" s="2">
        <f t="shared" si="11"/>
        <v>80</v>
      </c>
      <c r="C85" s="4">
        <f t="shared" si="12"/>
        <v>44.33</v>
      </c>
      <c r="D85" s="2">
        <v>13</v>
      </c>
      <c r="E85" s="2">
        <v>50.26548245743669</v>
      </c>
      <c r="F85" s="11">
        <f t="shared" si="0"/>
        <v>2.5862678252432989</v>
      </c>
      <c r="G85" s="2">
        <f t="shared" si="1"/>
        <v>114.64925269303544</v>
      </c>
      <c r="H85" s="2">
        <f t="shared" si="2"/>
        <v>2.7046786349163323</v>
      </c>
      <c r="I85" s="2">
        <f t="shared" si="3"/>
        <v>119.89840388584101</v>
      </c>
      <c r="J85" s="2">
        <f t="shared" si="4"/>
        <v>5.2491511928055701</v>
      </c>
      <c r="K85" s="15">
        <f t="shared" si="19"/>
        <v>0.40799501424501422</v>
      </c>
      <c r="L85" s="2">
        <f t="shared" si="14"/>
        <v>80</v>
      </c>
      <c r="M85" s="2">
        <f t="shared" si="15"/>
        <v>44.08</v>
      </c>
      <c r="N85" s="2">
        <v>13.5</v>
      </c>
      <c r="O85" s="2">
        <v>50.26548245743669</v>
      </c>
      <c r="P85" s="11">
        <f t="shared" si="5"/>
        <v>2.6857396646757339</v>
      </c>
      <c r="Q85" s="2">
        <f t="shared" si="6"/>
        <v>118.38740441890634</v>
      </c>
      <c r="R85" s="2">
        <f t="shared" si="7"/>
        <v>2.6963229723492934</v>
      </c>
      <c r="S85" s="2">
        <f t="shared" si="8"/>
        <v>118.85391662115686</v>
      </c>
      <c r="T85" s="2">
        <f t="shared" si="9"/>
        <v>0.46651220225051304</v>
      </c>
    </row>
    <row r="86" spans="1:20" x14ac:dyDescent="0.25">
      <c r="A86" s="14">
        <f t="shared" si="18"/>
        <v>0.43456196581196582</v>
      </c>
      <c r="B86" s="2">
        <f t="shared" si="11"/>
        <v>81</v>
      </c>
      <c r="C86" s="4">
        <f t="shared" si="12"/>
        <v>44.83</v>
      </c>
      <c r="D86" s="2">
        <v>13</v>
      </c>
      <c r="E86" s="2">
        <v>50.26548245743669</v>
      </c>
      <c r="F86" s="11">
        <f t="shared" si="0"/>
        <v>2.5862678252432989</v>
      </c>
      <c r="G86" s="2">
        <f t="shared" si="1"/>
        <v>115.94238660565709</v>
      </c>
      <c r="H86" s="2">
        <f t="shared" si="2"/>
        <v>2.7046786349163323</v>
      </c>
      <c r="I86" s="2">
        <f t="shared" si="3"/>
        <v>121.25074320329918</v>
      </c>
      <c r="J86" s="2">
        <f t="shared" si="4"/>
        <v>5.3083565976420886</v>
      </c>
      <c r="K86" s="15">
        <f t="shared" si="19"/>
        <v>0.40817307692307692</v>
      </c>
      <c r="L86" s="2">
        <f t="shared" si="14"/>
        <v>81</v>
      </c>
      <c r="M86" s="2">
        <f t="shared" si="15"/>
        <v>44.58</v>
      </c>
      <c r="N86" s="2">
        <v>14</v>
      </c>
      <c r="O86" s="2">
        <v>50.26548245743669</v>
      </c>
      <c r="P86" s="11">
        <f t="shared" si="5"/>
        <v>2.7852115041081689</v>
      </c>
      <c r="Q86" s="2">
        <f t="shared" si="6"/>
        <v>124.16472885314217</v>
      </c>
      <c r="R86" s="2">
        <f t="shared" si="7"/>
        <v>2.6963229723492934</v>
      </c>
      <c r="S86" s="2">
        <f t="shared" si="8"/>
        <v>120.2020781073315</v>
      </c>
      <c r="T86" s="2">
        <f t="shared" si="9"/>
        <v>3.962650745810663</v>
      </c>
    </row>
    <row r="87" spans="1:20" x14ac:dyDescent="0.25">
      <c r="A87" s="14">
        <f t="shared" si="18"/>
        <v>0.43474002849002852</v>
      </c>
      <c r="B87" s="2">
        <f t="shared" si="11"/>
        <v>82</v>
      </c>
      <c r="C87" s="4">
        <f t="shared" si="12"/>
        <v>45.33</v>
      </c>
      <c r="D87" s="2">
        <v>13</v>
      </c>
      <c r="E87" s="2">
        <v>50.26548245743669</v>
      </c>
      <c r="F87" s="11">
        <f t="shared" si="0"/>
        <v>2.5862678252432989</v>
      </c>
      <c r="G87" s="2">
        <f t="shared" si="1"/>
        <v>117.23552051827873</v>
      </c>
      <c r="H87" s="2">
        <f t="shared" si="2"/>
        <v>2.7046786349163323</v>
      </c>
      <c r="I87" s="2">
        <f t="shared" si="3"/>
        <v>122.60308252075734</v>
      </c>
      <c r="J87" s="2">
        <f t="shared" si="4"/>
        <v>5.367562002478607</v>
      </c>
      <c r="K87" s="15">
        <f t="shared" si="19"/>
        <v>0.40835113960113961</v>
      </c>
      <c r="L87" s="2">
        <f t="shared" si="14"/>
        <v>82</v>
      </c>
      <c r="M87" s="2">
        <f t="shared" si="15"/>
        <v>45.08</v>
      </c>
      <c r="N87" s="2">
        <v>13.5</v>
      </c>
      <c r="O87" s="2">
        <v>50.26548245743669</v>
      </c>
      <c r="P87" s="11">
        <f t="shared" si="5"/>
        <v>2.6857396646757339</v>
      </c>
      <c r="Q87" s="2">
        <f t="shared" si="6"/>
        <v>121.07314408358208</v>
      </c>
      <c r="R87" s="2">
        <f t="shared" si="7"/>
        <v>2.6963229723492934</v>
      </c>
      <c r="S87" s="2">
        <f t="shared" si="8"/>
        <v>121.55023959350615</v>
      </c>
      <c r="T87" s="2">
        <f t="shared" si="9"/>
        <v>0.47709550992406946</v>
      </c>
    </row>
    <row r="88" spans="1:20" x14ac:dyDescent="0.25">
      <c r="A88" s="14">
        <f t="shared" si="18"/>
        <v>0.43491809116809116</v>
      </c>
      <c r="B88" s="2">
        <f t="shared" si="11"/>
        <v>83</v>
      </c>
      <c r="C88" s="4">
        <f t="shared" si="12"/>
        <v>45.83</v>
      </c>
      <c r="D88" s="2">
        <v>14.5</v>
      </c>
      <c r="E88" s="2">
        <v>50.26548245743669</v>
      </c>
      <c r="F88" s="11">
        <f t="shared" si="0"/>
        <v>2.8846833435406034</v>
      </c>
      <c r="G88" s="2">
        <f t="shared" si="1"/>
        <v>132.20503763446584</v>
      </c>
      <c r="H88" s="2">
        <f t="shared" si="2"/>
        <v>2.7046786349163323</v>
      </c>
      <c r="I88" s="2">
        <f t="shared" si="3"/>
        <v>123.9554218382155</v>
      </c>
      <c r="J88" s="2">
        <f t="shared" si="4"/>
        <v>8.2496157962503389</v>
      </c>
      <c r="K88" s="15">
        <f t="shared" si="19"/>
        <v>0.40852920227920225</v>
      </c>
      <c r="L88" s="2">
        <f t="shared" si="14"/>
        <v>83</v>
      </c>
      <c r="M88" s="2">
        <f t="shared" si="15"/>
        <v>45.58</v>
      </c>
      <c r="N88" s="2">
        <v>14.5</v>
      </c>
      <c r="O88" s="2">
        <v>50.26548245743669</v>
      </c>
      <c r="P88" s="11">
        <f t="shared" si="5"/>
        <v>2.8846833435406034</v>
      </c>
      <c r="Q88" s="2">
        <f t="shared" si="6"/>
        <v>131.48386679858069</v>
      </c>
      <c r="R88" s="2">
        <f t="shared" si="7"/>
        <v>2.6963229723492934</v>
      </c>
      <c r="S88" s="2">
        <f t="shared" si="8"/>
        <v>122.8984010796808</v>
      </c>
      <c r="T88" s="2">
        <f t="shared" si="9"/>
        <v>8.5854657188998971</v>
      </c>
    </row>
    <row r="89" spans="1:20" x14ac:dyDescent="0.25">
      <c r="A89" s="14">
        <f t="shared" si="18"/>
        <v>0.43509615384615385</v>
      </c>
      <c r="B89" s="2">
        <f t="shared" si="11"/>
        <v>84</v>
      </c>
      <c r="C89" s="4">
        <f t="shared" si="12"/>
        <v>46.33</v>
      </c>
      <c r="D89" s="2">
        <v>15.5</v>
      </c>
      <c r="E89" s="2">
        <v>50.26548245743669</v>
      </c>
      <c r="F89" s="11">
        <f t="shared" si="0"/>
        <v>3.0836270224054725</v>
      </c>
      <c r="G89" s="2">
        <f t="shared" si="1"/>
        <v>142.86443994804554</v>
      </c>
      <c r="H89" s="2">
        <f t="shared" si="2"/>
        <v>2.7046786349163323</v>
      </c>
      <c r="I89" s="2">
        <f t="shared" si="3"/>
        <v>125.30776115567367</v>
      </c>
      <c r="J89" s="2">
        <f t="shared" si="4"/>
        <v>17.556678792371869</v>
      </c>
      <c r="K89" s="15">
        <f t="shared" si="19"/>
        <v>0.40870726495726495</v>
      </c>
      <c r="L89" s="2">
        <f t="shared" si="14"/>
        <v>84</v>
      </c>
      <c r="M89" s="2">
        <f t="shared" si="15"/>
        <v>46.08</v>
      </c>
      <c r="N89" s="2">
        <v>14</v>
      </c>
      <c r="O89" s="2">
        <v>50.26548245743669</v>
      </c>
      <c r="P89" s="11">
        <f t="shared" si="5"/>
        <v>2.7852115041081689</v>
      </c>
      <c r="Q89" s="2">
        <f t="shared" si="6"/>
        <v>128.34254610930441</v>
      </c>
      <c r="R89" s="2">
        <f t="shared" si="7"/>
        <v>2.6963229723492934</v>
      </c>
      <c r="S89" s="2">
        <f t="shared" si="8"/>
        <v>124.24656256585544</v>
      </c>
      <c r="T89" s="2">
        <f t="shared" si="9"/>
        <v>4.0959835434489662</v>
      </c>
    </row>
    <row r="90" spans="1:20" x14ac:dyDescent="0.25">
      <c r="A90" s="14">
        <f t="shared" si="18"/>
        <v>0.43527421652421655</v>
      </c>
      <c r="B90" s="2">
        <f t="shared" si="11"/>
        <v>85</v>
      </c>
      <c r="C90" s="4">
        <f t="shared" si="12"/>
        <v>46.83</v>
      </c>
      <c r="D90" s="2">
        <v>15</v>
      </c>
      <c r="E90" s="2">
        <v>50.26548245743669</v>
      </c>
      <c r="F90" s="11">
        <f t="shared" si="0"/>
        <v>2.9841551829730379</v>
      </c>
      <c r="G90" s="2">
        <f t="shared" si="1"/>
        <v>139.74798721862737</v>
      </c>
      <c r="H90" s="2">
        <f t="shared" si="2"/>
        <v>2.7046786349163323</v>
      </c>
      <c r="I90" s="2">
        <f t="shared" si="3"/>
        <v>126.66010047313183</v>
      </c>
      <c r="J90" s="2">
        <f t="shared" si="4"/>
        <v>13.087886745495538</v>
      </c>
      <c r="K90" s="15">
        <f t="shared" si="19"/>
        <v>0.40888532763532764</v>
      </c>
      <c r="L90" s="2">
        <f t="shared" si="14"/>
        <v>85</v>
      </c>
      <c r="M90" s="2">
        <f t="shared" si="15"/>
        <v>46.58</v>
      </c>
      <c r="N90" s="2">
        <v>13</v>
      </c>
      <c r="O90" s="2">
        <v>50.26548245743669</v>
      </c>
      <c r="P90" s="11">
        <f t="shared" si="5"/>
        <v>2.5862678252432989</v>
      </c>
      <c r="Q90" s="2">
        <f t="shared" si="6"/>
        <v>120.46835529983287</v>
      </c>
      <c r="R90" s="2">
        <f t="shared" si="7"/>
        <v>2.6963229723492934</v>
      </c>
      <c r="S90" s="2">
        <f t="shared" si="8"/>
        <v>125.59472405203009</v>
      </c>
      <c r="T90" s="2">
        <f t="shared" si="9"/>
        <v>5.126368752197223</v>
      </c>
    </row>
    <row r="91" spans="1:20" x14ac:dyDescent="0.25">
      <c r="A91" s="14">
        <f t="shared" si="18"/>
        <v>0.43545227920227919</v>
      </c>
      <c r="B91" s="2">
        <f t="shared" si="11"/>
        <v>86</v>
      </c>
      <c r="C91" s="4">
        <f t="shared" si="12"/>
        <v>47.33</v>
      </c>
      <c r="D91" s="2">
        <v>13.5</v>
      </c>
      <c r="E91" s="2">
        <v>50.26548245743669</v>
      </c>
      <c r="F91" s="11">
        <f t="shared" si="0"/>
        <v>2.6857396646757339</v>
      </c>
      <c r="G91" s="2">
        <f t="shared" si="1"/>
        <v>127.11605832910249</v>
      </c>
      <c r="H91" s="2">
        <f t="shared" si="2"/>
        <v>2.7046786349163323</v>
      </c>
      <c r="I91" s="2">
        <f t="shared" si="3"/>
        <v>128.01243979059001</v>
      </c>
      <c r="J91" s="2">
        <f t="shared" si="4"/>
        <v>0.89638146148752185</v>
      </c>
      <c r="K91" s="15">
        <f t="shared" si="19"/>
        <v>0.40906339031339034</v>
      </c>
      <c r="L91" s="2">
        <f t="shared" si="14"/>
        <v>86</v>
      </c>
      <c r="M91" s="2">
        <f t="shared" si="15"/>
        <v>47.08</v>
      </c>
      <c r="N91" s="2">
        <v>12.5</v>
      </c>
      <c r="O91" s="2">
        <v>50.26548245743669</v>
      </c>
      <c r="P91" s="11">
        <f t="shared" si="5"/>
        <v>2.4867959858108648</v>
      </c>
      <c r="Q91" s="2">
        <f t="shared" si="6"/>
        <v>117.07835501197552</v>
      </c>
      <c r="R91" s="2">
        <f t="shared" si="7"/>
        <v>2.6963229723492934</v>
      </c>
      <c r="S91" s="2">
        <f t="shared" si="8"/>
        <v>126.94288553820473</v>
      </c>
      <c r="T91" s="2">
        <f t="shared" si="9"/>
        <v>9.8645305262292169</v>
      </c>
    </row>
    <row r="92" spans="1:20" x14ac:dyDescent="0.25">
      <c r="A92" s="14">
        <f t="shared" si="18"/>
        <v>0.43563034188034189</v>
      </c>
      <c r="B92" s="2">
        <f t="shared" si="11"/>
        <v>87</v>
      </c>
      <c r="C92" s="4">
        <f t="shared" si="12"/>
        <v>47.83</v>
      </c>
      <c r="D92" s="2">
        <v>12.5</v>
      </c>
      <c r="E92" s="2">
        <v>50.26548245743669</v>
      </c>
      <c r="F92" s="11">
        <f t="shared" si="0"/>
        <v>2.4867959858108648</v>
      </c>
      <c r="G92" s="2">
        <f t="shared" si="1"/>
        <v>118.94345200133365</v>
      </c>
      <c r="H92" s="2">
        <f t="shared" si="2"/>
        <v>2.7046786349163323</v>
      </c>
      <c r="I92" s="2">
        <f t="shared" si="3"/>
        <v>129.36477910804817</v>
      </c>
      <c r="J92" s="2">
        <f t="shared" si="4"/>
        <v>10.421327106714514</v>
      </c>
      <c r="K92" s="15">
        <f t="shared" si="19"/>
        <v>0.40924145299145298</v>
      </c>
      <c r="L92" s="2">
        <f t="shared" si="14"/>
        <v>87</v>
      </c>
      <c r="M92" s="2">
        <f t="shared" si="15"/>
        <v>47.58</v>
      </c>
      <c r="N92" s="2">
        <v>13</v>
      </c>
      <c r="O92" s="2">
        <v>50.26548245743669</v>
      </c>
      <c r="P92" s="11">
        <f t="shared" si="5"/>
        <v>2.5862678252432989</v>
      </c>
      <c r="Q92" s="2">
        <f t="shared" si="6"/>
        <v>123.05462312507616</v>
      </c>
      <c r="R92" s="2">
        <f t="shared" si="7"/>
        <v>2.6963229723492934</v>
      </c>
      <c r="S92" s="2">
        <f t="shared" si="8"/>
        <v>128.29104702437937</v>
      </c>
      <c r="T92" s="2">
        <f t="shared" si="9"/>
        <v>5.2364238993032046</v>
      </c>
    </row>
    <row r="93" spans="1:20" x14ac:dyDescent="0.25">
      <c r="A93" s="14">
        <f t="shared" si="18"/>
        <v>0.43580840455840458</v>
      </c>
      <c r="B93" s="2">
        <f t="shared" si="11"/>
        <v>88</v>
      </c>
      <c r="C93" s="4">
        <f t="shared" si="12"/>
        <v>48.33</v>
      </c>
      <c r="D93" s="2">
        <v>13.5</v>
      </c>
      <c r="E93" s="2">
        <v>50.26548245743669</v>
      </c>
      <c r="F93" s="11">
        <f t="shared" si="0"/>
        <v>2.6857396646757339</v>
      </c>
      <c r="G93" s="2">
        <f t="shared" si="1"/>
        <v>129.80179799377822</v>
      </c>
      <c r="H93" s="2">
        <f t="shared" si="2"/>
        <v>2.7046786349163323</v>
      </c>
      <c r="I93" s="2">
        <f t="shared" si="3"/>
        <v>130.71711842550633</v>
      </c>
      <c r="J93" s="2">
        <f t="shared" si="4"/>
        <v>0.91532043172810518</v>
      </c>
      <c r="K93" s="15">
        <f t="shared" si="19"/>
        <v>0.40941951566951568</v>
      </c>
      <c r="L93" s="2">
        <f t="shared" si="14"/>
        <v>88</v>
      </c>
      <c r="M93" s="2">
        <f t="shared" si="15"/>
        <v>48.08</v>
      </c>
      <c r="N93" s="2">
        <v>13.5</v>
      </c>
      <c r="O93" s="2">
        <v>50.26548245743669</v>
      </c>
      <c r="P93" s="11">
        <f t="shared" si="5"/>
        <v>2.6857396646757339</v>
      </c>
      <c r="Q93" s="2">
        <f t="shared" si="6"/>
        <v>129.13036307760927</v>
      </c>
      <c r="R93" s="2">
        <f t="shared" si="7"/>
        <v>2.6963229723492934</v>
      </c>
      <c r="S93" s="2">
        <f t="shared" si="8"/>
        <v>129.63920851055403</v>
      </c>
      <c r="T93" s="2">
        <f t="shared" si="9"/>
        <v>0.50884543294475293</v>
      </c>
    </row>
    <row r="94" spans="1:20" x14ac:dyDescent="0.25">
      <c r="A94" s="14">
        <f t="shared" si="18"/>
        <v>0.43598646723646722</v>
      </c>
      <c r="B94" s="2">
        <f t="shared" si="11"/>
        <v>89</v>
      </c>
      <c r="C94" s="4">
        <f t="shared" si="12"/>
        <v>48.83</v>
      </c>
      <c r="D94" s="2">
        <v>14</v>
      </c>
      <c r="E94" s="2">
        <v>50.26548245743669</v>
      </c>
      <c r="F94" s="11">
        <f t="shared" si="0"/>
        <v>2.7852115041081689</v>
      </c>
      <c r="G94" s="2">
        <f t="shared" si="1"/>
        <v>136.00187774560189</v>
      </c>
      <c r="H94" s="2">
        <f t="shared" si="2"/>
        <v>2.7046786349163323</v>
      </c>
      <c r="I94" s="2">
        <f t="shared" si="3"/>
        <v>132.06945774296452</v>
      </c>
      <c r="J94" s="2">
        <f t="shared" si="4"/>
        <v>3.9324200026373717</v>
      </c>
      <c r="K94" s="15">
        <f t="shared" si="19"/>
        <v>0.40959757834757837</v>
      </c>
      <c r="L94" s="2">
        <f t="shared" si="14"/>
        <v>89</v>
      </c>
      <c r="M94" s="2">
        <f t="shared" si="15"/>
        <v>48.58</v>
      </c>
      <c r="N94" s="2">
        <v>13</v>
      </c>
      <c r="O94" s="2">
        <v>50.26548245743669</v>
      </c>
      <c r="P94" s="11">
        <f t="shared" si="5"/>
        <v>2.5862678252432989</v>
      </c>
      <c r="Q94" s="2">
        <f t="shared" si="6"/>
        <v>125.64089095031946</v>
      </c>
      <c r="R94" s="2">
        <f t="shared" si="7"/>
        <v>2.6963229723492934</v>
      </c>
      <c r="S94" s="2">
        <f t="shared" si="8"/>
        <v>130.98736999672866</v>
      </c>
      <c r="T94" s="2">
        <f t="shared" si="9"/>
        <v>5.3464790464092005</v>
      </c>
    </row>
    <row r="95" spans="1:20" x14ac:dyDescent="0.25">
      <c r="A95" s="14">
        <f t="shared" si="18"/>
        <v>0.43616452991452992</v>
      </c>
      <c r="B95" s="2">
        <f t="shared" si="11"/>
        <v>90</v>
      </c>
      <c r="C95" s="4">
        <f t="shared" si="12"/>
        <v>49.33</v>
      </c>
      <c r="D95" s="2">
        <v>13.5</v>
      </c>
      <c r="E95" s="2">
        <v>50.26548245743669</v>
      </c>
      <c r="F95" s="11">
        <f t="shared" si="0"/>
        <v>2.6857396646757339</v>
      </c>
      <c r="G95" s="2">
        <f t="shared" si="1"/>
        <v>132.48753765845396</v>
      </c>
      <c r="H95" s="2">
        <f t="shared" si="2"/>
        <v>2.7046786349163323</v>
      </c>
      <c r="I95" s="2">
        <f t="shared" si="3"/>
        <v>133.42179706042268</v>
      </c>
      <c r="J95" s="2">
        <f t="shared" si="4"/>
        <v>0.93425940196871693</v>
      </c>
      <c r="K95" s="15">
        <f t="shared" si="19"/>
        <v>0.40977564102564101</v>
      </c>
      <c r="L95" s="2">
        <f t="shared" si="14"/>
        <v>90</v>
      </c>
      <c r="M95" s="2">
        <f t="shared" si="15"/>
        <v>49.08</v>
      </c>
      <c r="N95" s="2">
        <v>14</v>
      </c>
      <c r="O95" s="2">
        <v>50.26548245743669</v>
      </c>
      <c r="P95" s="11">
        <f t="shared" si="5"/>
        <v>2.7852115041081689</v>
      </c>
      <c r="Q95" s="2">
        <f t="shared" si="6"/>
        <v>136.69818062162892</v>
      </c>
      <c r="R95" s="2">
        <f t="shared" si="7"/>
        <v>2.6963229723492934</v>
      </c>
      <c r="S95" s="2">
        <f t="shared" si="8"/>
        <v>132.33553148290332</v>
      </c>
      <c r="T95" s="2">
        <f t="shared" si="9"/>
        <v>4.362649138725601</v>
      </c>
    </row>
    <row r="96" spans="1:20" x14ac:dyDescent="0.25">
      <c r="A96" s="14">
        <f t="shared" si="18"/>
        <v>0.43634259259259262</v>
      </c>
      <c r="B96" s="2">
        <f t="shared" si="11"/>
        <v>91</v>
      </c>
      <c r="C96" s="4">
        <f t="shared" si="12"/>
        <v>49.83</v>
      </c>
      <c r="D96" s="2">
        <v>13.5</v>
      </c>
      <c r="E96" s="2">
        <v>50.26548245743669</v>
      </c>
      <c r="F96" s="11">
        <f t="shared" si="0"/>
        <v>2.6857396646757339</v>
      </c>
      <c r="G96" s="2">
        <f t="shared" si="1"/>
        <v>133.83040749079183</v>
      </c>
      <c r="H96" s="2">
        <f t="shared" si="2"/>
        <v>2.7046786349163323</v>
      </c>
      <c r="I96" s="2">
        <f t="shared" si="3"/>
        <v>134.77413637788084</v>
      </c>
      <c r="J96" s="2">
        <f t="shared" si="4"/>
        <v>0.94372888708900859</v>
      </c>
      <c r="K96" s="15">
        <f t="shared" si="19"/>
        <v>0.40995370370370371</v>
      </c>
      <c r="L96" s="2">
        <f t="shared" si="14"/>
        <v>91</v>
      </c>
      <c r="M96" s="2">
        <f t="shared" si="15"/>
        <v>49.58</v>
      </c>
      <c r="N96" s="2">
        <v>14</v>
      </c>
      <c r="O96" s="2">
        <v>50.26548245743669</v>
      </c>
      <c r="P96" s="11">
        <f t="shared" si="5"/>
        <v>2.7852115041081689</v>
      </c>
      <c r="Q96" s="2">
        <f t="shared" si="6"/>
        <v>138.09078637368302</v>
      </c>
      <c r="R96" s="2">
        <f t="shared" si="7"/>
        <v>2.6963229723492934</v>
      </c>
      <c r="S96" s="2">
        <f t="shared" si="8"/>
        <v>133.68369296907795</v>
      </c>
      <c r="T96" s="2">
        <f t="shared" si="9"/>
        <v>4.4070934046050638</v>
      </c>
    </row>
    <row r="97" spans="1:20" x14ac:dyDescent="0.25">
      <c r="A97" s="14">
        <f t="shared" si="18"/>
        <v>0.43652065527065526</v>
      </c>
      <c r="B97" s="2">
        <f t="shared" si="11"/>
        <v>92</v>
      </c>
      <c r="C97" s="4">
        <f t="shared" si="12"/>
        <v>50.33</v>
      </c>
      <c r="D97" s="2">
        <v>15.5</v>
      </c>
      <c r="E97" s="2">
        <v>50.26548245743669</v>
      </c>
      <c r="F97" s="11">
        <f t="shared" si="0"/>
        <v>3.0836270224054725</v>
      </c>
      <c r="G97" s="2">
        <f t="shared" si="1"/>
        <v>155.19894803766744</v>
      </c>
      <c r="H97" s="2">
        <f t="shared" si="2"/>
        <v>2.7046786349163323</v>
      </c>
      <c r="I97" s="2">
        <f t="shared" si="3"/>
        <v>136.126475695339</v>
      </c>
      <c r="J97" s="2">
        <f t="shared" si="4"/>
        <v>19.072472342328439</v>
      </c>
      <c r="K97" s="15">
        <f t="shared" si="19"/>
        <v>0.4101317663817664</v>
      </c>
      <c r="L97" s="2">
        <f t="shared" si="14"/>
        <v>92</v>
      </c>
      <c r="M97" s="2">
        <f t="shared" si="15"/>
        <v>50.08</v>
      </c>
      <c r="N97" s="2">
        <v>13.5</v>
      </c>
      <c r="O97" s="2">
        <v>50.26548245743669</v>
      </c>
      <c r="P97" s="11">
        <f t="shared" si="5"/>
        <v>2.6857396646757339</v>
      </c>
      <c r="Q97" s="2">
        <f t="shared" si="6"/>
        <v>134.50184240696075</v>
      </c>
      <c r="R97" s="2">
        <f t="shared" si="7"/>
        <v>2.6963229723492934</v>
      </c>
      <c r="S97" s="2">
        <f t="shared" si="8"/>
        <v>135.03185445525261</v>
      </c>
      <c r="T97" s="2">
        <f t="shared" si="9"/>
        <v>0.53001204829186577</v>
      </c>
    </row>
    <row r="98" spans="1:20" x14ac:dyDescent="0.25">
      <c r="A98" s="14">
        <f t="shared" si="18"/>
        <v>0.43669871794871795</v>
      </c>
      <c r="B98" s="2">
        <f t="shared" si="11"/>
        <v>93</v>
      </c>
      <c r="C98" s="4">
        <f t="shared" si="12"/>
        <v>50.83</v>
      </c>
      <c r="D98" s="2">
        <v>13</v>
      </c>
      <c r="E98" s="2">
        <v>50.26548245743669</v>
      </c>
      <c r="F98" s="11">
        <f t="shared" si="0"/>
        <v>2.5862678252432989</v>
      </c>
      <c r="G98" s="2">
        <f t="shared" si="1"/>
        <v>131.45999355711689</v>
      </c>
      <c r="H98" s="2">
        <f t="shared" si="2"/>
        <v>2.7046786349163323</v>
      </c>
      <c r="I98" s="2">
        <f t="shared" si="3"/>
        <v>137.47881501279716</v>
      </c>
      <c r="J98" s="2">
        <f t="shared" si="4"/>
        <v>6.0188214556802677</v>
      </c>
      <c r="K98" s="15">
        <f t="shared" si="19"/>
        <v>0.41030982905982905</v>
      </c>
      <c r="L98" s="2">
        <f t="shared" si="14"/>
        <v>93</v>
      </c>
      <c r="M98" s="2">
        <f t="shared" si="15"/>
        <v>50.58</v>
      </c>
      <c r="N98" s="2">
        <v>13</v>
      </c>
      <c r="O98" s="2">
        <v>50.26548245743669</v>
      </c>
      <c r="P98" s="11">
        <f t="shared" si="5"/>
        <v>2.5862678252432989</v>
      </c>
      <c r="Q98" s="2">
        <f t="shared" si="6"/>
        <v>130.81342660080605</v>
      </c>
      <c r="R98" s="2">
        <f t="shared" si="7"/>
        <v>2.6963229723492934</v>
      </c>
      <c r="S98" s="2">
        <f t="shared" si="8"/>
        <v>136.38001594142725</v>
      </c>
      <c r="T98" s="2">
        <f t="shared" si="9"/>
        <v>5.5665893406211922</v>
      </c>
    </row>
    <row r="99" spans="1:20" x14ac:dyDescent="0.25">
      <c r="A99" s="14">
        <f t="shared" si="18"/>
        <v>0.43687678062678065</v>
      </c>
      <c r="B99" s="2">
        <f t="shared" si="11"/>
        <v>94</v>
      </c>
      <c r="C99" s="4">
        <f t="shared" si="12"/>
        <v>51.33</v>
      </c>
      <c r="D99" s="2">
        <v>12.5</v>
      </c>
      <c r="E99" s="2">
        <v>50.26548245743669</v>
      </c>
      <c r="F99" s="11">
        <f t="shared" si="0"/>
        <v>2.4867959858108648</v>
      </c>
      <c r="G99" s="2">
        <f t="shared" si="1"/>
        <v>127.64723795167168</v>
      </c>
      <c r="H99" s="2">
        <f t="shared" si="2"/>
        <v>2.7046786349163323</v>
      </c>
      <c r="I99" s="2">
        <f t="shared" si="3"/>
        <v>138.83115433025534</v>
      </c>
      <c r="J99" s="2">
        <f t="shared" si="4"/>
        <v>11.18391637858366</v>
      </c>
      <c r="K99" s="15">
        <f t="shared" si="19"/>
        <v>0.41048789173789174</v>
      </c>
      <c r="L99" s="2">
        <f t="shared" si="14"/>
        <v>94</v>
      </c>
      <c r="M99" s="2">
        <f t="shared" si="15"/>
        <v>51.08</v>
      </c>
      <c r="N99" s="2">
        <v>12</v>
      </c>
      <c r="O99" s="2">
        <v>50.26548245743669</v>
      </c>
      <c r="P99" s="11">
        <f t="shared" si="5"/>
        <v>2.3873241463784298</v>
      </c>
      <c r="Q99" s="2">
        <f t="shared" si="6"/>
        <v>121.94451739701019</v>
      </c>
      <c r="R99" s="2">
        <f t="shared" si="7"/>
        <v>2.6963229723492934</v>
      </c>
      <c r="S99" s="2">
        <f t="shared" si="8"/>
        <v>137.72817742760191</v>
      </c>
      <c r="T99" s="2">
        <f t="shared" si="9"/>
        <v>15.783660030591719</v>
      </c>
    </row>
    <row r="100" spans="1:20" x14ac:dyDescent="0.25">
      <c r="A100" s="14">
        <f t="shared" si="18"/>
        <v>0.43705484330484329</v>
      </c>
      <c r="B100" s="2">
        <f t="shared" si="11"/>
        <v>95</v>
      </c>
      <c r="C100" s="4">
        <f t="shared" si="12"/>
        <v>51.83</v>
      </c>
      <c r="D100" s="2">
        <v>13</v>
      </c>
      <c r="E100" s="2">
        <v>50.26548245743669</v>
      </c>
      <c r="F100" s="11">
        <f t="shared" si="0"/>
        <v>2.5862678252432989</v>
      </c>
      <c r="G100" s="2">
        <f t="shared" si="1"/>
        <v>134.04626138236017</v>
      </c>
      <c r="H100" s="2">
        <f t="shared" si="2"/>
        <v>2.7046786349163323</v>
      </c>
      <c r="I100" s="2">
        <f t="shared" si="3"/>
        <v>140.1834936477135</v>
      </c>
      <c r="J100" s="2">
        <f t="shared" si="4"/>
        <v>6.1372322653533331</v>
      </c>
      <c r="K100" s="15">
        <f t="shared" si="19"/>
        <v>0.41066595441595444</v>
      </c>
      <c r="L100" s="2">
        <f t="shared" si="14"/>
        <v>95</v>
      </c>
      <c r="M100" s="2">
        <f t="shared" si="15"/>
        <v>51.58</v>
      </c>
      <c r="N100" s="2">
        <v>12</v>
      </c>
      <c r="O100" s="2">
        <v>50.26548245743669</v>
      </c>
      <c r="P100" s="11">
        <f t="shared" si="5"/>
        <v>2.3873241463784298</v>
      </c>
      <c r="Q100" s="2">
        <f t="shared" si="6"/>
        <v>123.1381794701994</v>
      </c>
      <c r="R100" s="2">
        <f t="shared" si="7"/>
        <v>2.6963229723492934</v>
      </c>
      <c r="S100" s="2">
        <f t="shared" si="8"/>
        <v>139.07633891377654</v>
      </c>
      <c r="T100" s="2">
        <f t="shared" si="9"/>
        <v>15.938159443577135</v>
      </c>
    </row>
    <row r="101" spans="1:20" x14ac:dyDescent="0.25">
      <c r="A101" s="14">
        <f t="shared" si="18"/>
        <v>0.43723290598290598</v>
      </c>
      <c r="B101" s="2">
        <f t="shared" si="11"/>
        <v>96</v>
      </c>
      <c r="C101" s="4">
        <f t="shared" si="12"/>
        <v>52.33</v>
      </c>
      <c r="D101" s="2">
        <v>11.5</v>
      </c>
      <c r="E101" s="2">
        <v>50.26548245743669</v>
      </c>
      <c r="F101" s="11">
        <f t="shared" si="0"/>
        <v>2.2878523069459957</v>
      </c>
      <c r="G101" s="2">
        <f t="shared" si="1"/>
        <v>119.72331122248396</v>
      </c>
      <c r="H101" s="2">
        <f t="shared" si="2"/>
        <v>2.7046786349163323</v>
      </c>
      <c r="I101" s="2">
        <f t="shared" si="3"/>
        <v>141.53583296517166</v>
      </c>
      <c r="J101" s="2">
        <f t="shared" si="4"/>
        <v>21.812521742687707</v>
      </c>
      <c r="K101" s="15">
        <f t="shared" si="19"/>
        <v>0.41084401709401708</v>
      </c>
      <c r="L101" s="2">
        <f t="shared" si="14"/>
        <v>96</v>
      </c>
      <c r="M101" s="2">
        <f t="shared" si="15"/>
        <v>52.08</v>
      </c>
      <c r="N101" s="2">
        <v>10.5</v>
      </c>
      <c r="O101" s="2">
        <v>50.26548245743669</v>
      </c>
      <c r="P101" s="11">
        <f t="shared" si="5"/>
        <v>2.0889086280811267</v>
      </c>
      <c r="Q101" s="2">
        <f t="shared" si="6"/>
        <v>108.79036135046508</v>
      </c>
      <c r="R101" s="2">
        <f t="shared" si="7"/>
        <v>2.6963229723492934</v>
      </c>
      <c r="S101" s="2">
        <f t="shared" si="8"/>
        <v>140.4245003999512</v>
      </c>
      <c r="T101" s="2">
        <f t="shared" si="9"/>
        <v>31.634139049486123</v>
      </c>
    </row>
    <row r="102" spans="1:20" x14ac:dyDescent="0.25">
      <c r="A102" s="14">
        <f t="shared" si="18"/>
        <v>0.43741096866096868</v>
      </c>
      <c r="B102" s="2">
        <f t="shared" si="11"/>
        <v>97</v>
      </c>
      <c r="C102" s="4">
        <f t="shared" si="12"/>
        <v>52.83</v>
      </c>
      <c r="D102" s="2">
        <v>10</v>
      </c>
      <c r="E102" s="2">
        <v>50.26548245743669</v>
      </c>
      <c r="F102" s="11">
        <f t="shared" si="0"/>
        <v>1.9894367886486919</v>
      </c>
      <c r="G102" s="2">
        <f t="shared" si="1"/>
        <v>105.10194554431038</v>
      </c>
      <c r="H102" s="2">
        <f t="shared" si="2"/>
        <v>2.7046786349163323</v>
      </c>
      <c r="I102" s="2">
        <f t="shared" si="3"/>
        <v>142.88817228262982</v>
      </c>
      <c r="J102" s="2">
        <f t="shared" si="4"/>
        <v>37.786226738319442</v>
      </c>
      <c r="K102" s="15">
        <f t="shared" si="19"/>
        <v>0.41102207977207977</v>
      </c>
      <c r="L102" s="2">
        <f t="shared" si="14"/>
        <v>97</v>
      </c>
      <c r="M102" s="2">
        <f t="shared" si="15"/>
        <v>52.58</v>
      </c>
      <c r="N102" s="2">
        <v>10.5</v>
      </c>
      <c r="O102" s="2">
        <v>50.26548245743669</v>
      </c>
      <c r="P102" s="11">
        <f t="shared" si="5"/>
        <v>2.0889086280811267</v>
      </c>
      <c r="Q102" s="2">
        <f t="shared" si="6"/>
        <v>109.83481566450564</v>
      </c>
      <c r="R102" s="2">
        <f t="shared" si="7"/>
        <v>2.6963229723492934</v>
      </c>
      <c r="S102" s="2">
        <f t="shared" si="8"/>
        <v>141.77266188612583</v>
      </c>
      <c r="T102" s="2">
        <f t="shared" si="9"/>
        <v>31.937846221620191</v>
      </c>
    </row>
    <row r="103" spans="1:20" x14ac:dyDescent="0.25">
      <c r="A103" s="14">
        <f t="shared" si="18"/>
        <v>0.43758903133903132</v>
      </c>
      <c r="B103" s="2">
        <f t="shared" si="11"/>
        <v>98</v>
      </c>
      <c r="C103" s="4">
        <f t="shared" si="12"/>
        <v>53.33</v>
      </c>
      <c r="D103" s="2">
        <v>11</v>
      </c>
      <c r="E103" s="2">
        <v>50.26548245743669</v>
      </c>
      <c r="F103" s="11">
        <f t="shared" si="0"/>
        <v>2.1883804675135607</v>
      </c>
      <c r="G103" s="2">
        <f t="shared" si="1"/>
        <v>116.7063303324982</v>
      </c>
      <c r="H103" s="2">
        <f t="shared" si="2"/>
        <v>2.7046786349163323</v>
      </c>
      <c r="I103" s="2">
        <f t="shared" si="3"/>
        <v>144.24051160008798</v>
      </c>
      <c r="J103" s="2">
        <f t="shared" si="4"/>
        <v>27.534181267589787</v>
      </c>
      <c r="K103" s="15">
        <f t="shared" si="19"/>
        <v>0.41120014245014247</v>
      </c>
      <c r="L103" s="2">
        <f t="shared" si="14"/>
        <v>98</v>
      </c>
      <c r="M103" s="2">
        <f t="shared" si="15"/>
        <v>53.08</v>
      </c>
      <c r="N103" s="2">
        <v>10.5</v>
      </c>
      <c r="O103" s="2">
        <v>50.26548245743669</v>
      </c>
      <c r="P103" s="11">
        <f t="shared" si="5"/>
        <v>2.0889086280811267</v>
      </c>
      <c r="Q103" s="2">
        <f t="shared" si="6"/>
        <v>110.8792699785462</v>
      </c>
      <c r="R103" s="2">
        <f t="shared" si="7"/>
        <v>2.6963229723492934</v>
      </c>
      <c r="S103" s="2">
        <f t="shared" si="8"/>
        <v>143.12082337230049</v>
      </c>
      <c r="T103" s="2">
        <f t="shared" si="9"/>
        <v>32.241553393754288</v>
      </c>
    </row>
    <row r="104" spans="1:20" x14ac:dyDescent="0.25">
      <c r="A104" s="14">
        <f t="shared" si="18"/>
        <v>0.43776709401709402</v>
      </c>
      <c r="B104" s="2">
        <f t="shared" si="11"/>
        <v>99</v>
      </c>
      <c r="C104" s="4">
        <f t="shared" si="12"/>
        <v>53.83</v>
      </c>
      <c r="D104" s="2">
        <v>10.5</v>
      </c>
      <c r="E104" s="2">
        <v>50.26548245743669</v>
      </c>
      <c r="F104" s="11">
        <f t="shared" si="0"/>
        <v>2.0889086280811267</v>
      </c>
      <c r="G104" s="2">
        <f t="shared" si="1"/>
        <v>112.44595144960705</v>
      </c>
      <c r="H104" s="2">
        <f t="shared" si="2"/>
        <v>2.7046786349163323</v>
      </c>
      <c r="I104" s="2">
        <f t="shared" si="3"/>
        <v>145.59285091754617</v>
      </c>
      <c r="J104" s="2">
        <f t="shared" si="4"/>
        <v>33.146899467939122</v>
      </c>
      <c r="K104" s="15">
        <f t="shared" si="19"/>
        <v>0.41137820512820517</v>
      </c>
      <c r="L104" s="2">
        <f t="shared" si="14"/>
        <v>99</v>
      </c>
      <c r="M104" s="2">
        <f t="shared" si="15"/>
        <v>53.58</v>
      </c>
      <c r="N104" s="2">
        <v>10.5</v>
      </c>
      <c r="O104" s="2">
        <v>50.26548245743669</v>
      </c>
      <c r="P104" s="11">
        <f t="shared" si="5"/>
        <v>2.0889086280811267</v>
      </c>
      <c r="Q104" s="2">
        <f t="shared" si="6"/>
        <v>111.92372429258677</v>
      </c>
      <c r="R104" s="2">
        <f t="shared" si="7"/>
        <v>2.6963229723492934</v>
      </c>
      <c r="S104" s="2">
        <f t="shared" si="8"/>
        <v>144.46898485847512</v>
      </c>
      <c r="T104" s="2">
        <f t="shared" si="9"/>
        <v>32.545260565888356</v>
      </c>
    </row>
    <row r="105" spans="1:20" x14ac:dyDescent="0.25">
      <c r="A105" s="14">
        <f t="shared" si="18"/>
        <v>0.43794515669515671</v>
      </c>
      <c r="B105" s="2">
        <f t="shared" si="11"/>
        <v>100</v>
      </c>
      <c r="C105" s="4">
        <f t="shared" si="12"/>
        <v>54.33</v>
      </c>
      <c r="D105" s="2">
        <v>10.5</v>
      </c>
      <c r="E105" s="2">
        <v>50.26548245743669</v>
      </c>
      <c r="F105" s="11">
        <f t="shared" si="0"/>
        <v>2.0889086280811267</v>
      </c>
      <c r="G105" s="2">
        <f t="shared" si="1"/>
        <v>113.4904057636476</v>
      </c>
      <c r="H105" s="2">
        <f t="shared" si="2"/>
        <v>2.7046786349163323</v>
      </c>
      <c r="I105" s="2">
        <f t="shared" si="3"/>
        <v>146.94519023500433</v>
      </c>
      <c r="J105" s="2">
        <f t="shared" si="4"/>
        <v>33.454784471356732</v>
      </c>
      <c r="K105" s="15">
        <f t="shared" si="19"/>
        <v>0.41155626780626781</v>
      </c>
      <c r="L105" s="2">
        <f t="shared" si="14"/>
        <v>100</v>
      </c>
      <c r="M105" s="2">
        <f t="shared" si="15"/>
        <v>54.08</v>
      </c>
      <c r="N105" s="2">
        <v>11.5</v>
      </c>
      <c r="O105" s="2">
        <v>50.26548245743669</v>
      </c>
      <c r="P105" s="11">
        <f t="shared" si="5"/>
        <v>2.2878523069459957</v>
      </c>
      <c r="Q105" s="2">
        <f t="shared" si="6"/>
        <v>123.72705275963945</v>
      </c>
      <c r="R105" s="2">
        <f t="shared" si="7"/>
        <v>2.6963229723492934</v>
      </c>
      <c r="S105" s="2">
        <f t="shared" si="8"/>
        <v>145.81714634464979</v>
      </c>
      <c r="T105" s="2">
        <f t="shared" si="9"/>
        <v>22.090093585010337</v>
      </c>
    </row>
    <row r="106" spans="1:20" x14ac:dyDescent="0.25">
      <c r="A106" s="14">
        <f t="shared" si="18"/>
        <v>0.43812321937321935</v>
      </c>
      <c r="B106" s="2">
        <f t="shared" si="11"/>
        <v>101</v>
      </c>
      <c r="C106" s="4">
        <f t="shared" si="12"/>
        <v>54.83</v>
      </c>
      <c r="D106" s="2">
        <v>11</v>
      </c>
      <c r="E106" s="2">
        <v>50.26548245743669</v>
      </c>
      <c r="F106" s="11">
        <f t="shared" si="0"/>
        <v>2.1883804675135607</v>
      </c>
      <c r="G106" s="2">
        <f t="shared" si="1"/>
        <v>119.98890103376853</v>
      </c>
      <c r="H106" s="2">
        <f t="shared" si="2"/>
        <v>2.7046786349163323</v>
      </c>
      <c r="I106" s="2">
        <f t="shared" si="3"/>
        <v>148.29752955246249</v>
      </c>
      <c r="J106" s="2">
        <f t="shared" si="4"/>
        <v>28.308628518693965</v>
      </c>
      <c r="K106" s="15">
        <f t="shared" si="19"/>
        <v>0.4117343304843305</v>
      </c>
      <c r="L106" s="2">
        <f t="shared" si="14"/>
        <v>101</v>
      </c>
      <c r="M106" s="2">
        <f t="shared" si="15"/>
        <v>54.58</v>
      </c>
      <c r="N106" s="2">
        <v>11</v>
      </c>
      <c r="O106" s="2">
        <v>50.26548245743669</v>
      </c>
      <c r="P106" s="11">
        <f t="shared" si="5"/>
        <v>2.1883804675135607</v>
      </c>
      <c r="Q106" s="2">
        <f t="shared" si="6"/>
        <v>119.44180591689015</v>
      </c>
      <c r="R106" s="2">
        <f t="shared" si="7"/>
        <v>2.6963229723492934</v>
      </c>
      <c r="S106" s="2">
        <f t="shared" si="8"/>
        <v>147.16530783082442</v>
      </c>
      <c r="T106" s="2">
        <f t="shared" si="9"/>
        <v>27.723501913934271</v>
      </c>
    </row>
    <row r="107" spans="1:20" x14ac:dyDescent="0.25">
      <c r="A107" s="14">
        <f t="shared" si="18"/>
        <v>0.43830128205128205</v>
      </c>
      <c r="B107" s="2">
        <f t="shared" si="11"/>
        <v>102</v>
      </c>
      <c r="C107" s="4">
        <f t="shared" si="12"/>
        <v>55.33</v>
      </c>
      <c r="D107" s="2">
        <v>11</v>
      </c>
      <c r="E107" s="2">
        <v>50.26548245743669</v>
      </c>
      <c r="F107" s="11">
        <f t="shared" si="0"/>
        <v>2.1883804675135607</v>
      </c>
      <c r="G107" s="2">
        <f t="shared" si="1"/>
        <v>121.08309126752532</v>
      </c>
      <c r="H107" s="2">
        <f t="shared" si="2"/>
        <v>2.7046786349163323</v>
      </c>
      <c r="I107" s="2">
        <f t="shared" si="3"/>
        <v>149.64986886992065</v>
      </c>
      <c r="J107" s="2">
        <f t="shared" si="4"/>
        <v>28.566777602395334</v>
      </c>
      <c r="K107" s="15">
        <f t="shared" si="19"/>
        <v>0.4119123931623932</v>
      </c>
      <c r="L107" s="2">
        <f t="shared" si="14"/>
        <v>102</v>
      </c>
      <c r="M107" s="2">
        <f t="shared" si="15"/>
        <v>55.08</v>
      </c>
      <c r="N107" s="2">
        <v>11</v>
      </c>
      <c r="O107" s="2">
        <v>50.26548245743669</v>
      </c>
      <c r="P107" s="11">
        <f t="shared" si="5"/>
        <v>2.1883804675135607</v>
      </c>
      <c r="Q107" s="2">
        <f t="shared" si="6"/>
        <v>120.53599615064692</v>
      </c>
      <c r="R107" s="2">
        <f t="shared" si="7"/>
        <v>2.6963229723492934</v>
      </c>
      <c r="S107" s="2">
        <f t="shared" si="8"/>
        <v>148.51346931699908</v>
      </c>
      <c r="T107" s="2">
        <f t="shared" si="9"/>
        <v>27.977473166352155</v>
      </c>
    </row>
    <row r="108" spans="1:20" x14ac:dyDescent="0.25">
      <c r="A108" s="14">
        <f t="shared" si="18"/>
        <v>0.43847934472934474</v>
      </c>
      <c r="B108" s="2">
        <f t="shared" si="11"/>
        <v>103</v>
      </c>
      <c r="C108" s="4">
        <f t="shared" si="12"/>
        <v>55.83</v>
      </c>
      <c r="D108" s="2">
        <v>11</v>
      </c>
      <c r="E108" s="2">
        <v>50.26548245743669</v>
      </c>
      <c r="F108" s="11">
        <f t="shared" si="0"/>
        <v>2.1883804675135607</v>
      </c>
      <c r="G108" s="2">
        <f t="shared" si="1"/>
        <v>122.1772815012821</v>
      </c>
      <c r="H108" s="2">
        <f t="shared" si="2"/>
        <v>2.7046786349163323</v>
      </c>
      <c r="I108" s="2">
        <f t="shared" si="3"/>
        <v>151.00220818737884</v>
      </c>
      <c r="J108" s="2">
        <f t="shared" si="4"/>
        <v>28.824926686096745</v>
      </c>
      <c r="K108" s="15">
        <f t="shared" si="19"/>
        <v>0.41209045584045584</v>
      </c>
      <c r="L108" s="2">
        <f t="shared" si="14"/>
        <v>103</v>
      </c>
      <c r="M108" s="2">
        <f t="shared" si="15"/>
        <v>55.58</v>
      </c>
      <c r="N108" s="2">
        <v>11</v>
      </c>
      <c r="O108" s="2">
        <v>50.26548245743669</v>
      </c>
      <c r="P108" s="11">
        <f t="shared" si="5"/>
        <v>2.1883804675135607</v>
      </c>
      <c r="Q108" s="2">
        <f t="shared" si="6"/>
        <v>121.6301863844037</v>
      </c>
      <c r="R108" s="2">
        <f t="shared" si="7"/>
        <v>2.6963229723492934</v>
      </c>
      <c r="S108" s="2">
        <f t="shared" si="8"/>
        <v>149.86163080317371</v>
      </c>
      <c r="T108" s="2">
        <f t="shared" si="9"/>
        <v>28.23144441877001</v>
      </c>
    </row>
    <row r="109" spans="1:20" x14ac:dyDescent="0.25">
      <c r="A109" s="14">
        <f t="shared" si="18"/>
        <v>0.43865740740740738</v>
      </c>
      <c r="B109" s="21">
        <f t="shared" si="11"/>
        <v>104</v>
      </c>
      <c r="C109" s="22">
        <f t="shared" si="12"/>
        <v>56.33</v>
      </c>
      <c r="D109" s="21">
        <v>11</v>
      </c>
      <c r="E109" s="2">
        <v>50.26548245743669</v>
      </c>
      <c r="F109" s="11">
        <f t="shared" si="0"/>
        <v>2.1883804675135607</v>
      </c>
      <c r="G109" s="2">
        <f t="shared" si="1"/>
        <v>123.27147173503887</v>
      </c>
      <c r="H109" s="2">
        <f t="shared" si="2"/>
        <v>2.7046786349163323</v>
      </c>
      <c r="I109" s="2">
        <f t="shared" si="3"/>
        <v>152.354547504837</v>
      </c>
      <c r="J109" s="2">
        <f t="shared" si="4"/>
        <v>29.083075769798128</v>
      </c>
      <c r="K109" s="15">
        <f t="shared" si="19"/>
        <v>0.41226851851851853</v>
      </c>
      <c r="L109" s="21">
        <f t="shared" si="14"/>
        <v>104</v>
      </c>
      <c r="M109" s="21">
        <f t="shared" si="15"/>
        <v>56.08</v>
      </c>
      <c r="N109" s="21">
        <v>11.5</v>
      </c>
      <c r="O109" s="2">
        <v>50.26548245743669</v>
      </c>
      <c r="P109" s="11">
        <f t="shared" si="5"/>
        <v>2.2878523069459957</v>
      </c>
      <c r="Q109" s="2">
        <f t="shared" si="6"/>
        <v>128.30275737353145</v>
      </c>
      <c r="R109" s="2">
        <f t="shared" si="7"/>
        <v>2.6963229723492934</v>
      </c>
      <c r="S109" s="2">
        <f t="shared" si="8"/>
        <v>151.20979228934837</v>
      </c>
      <c r="T109" s="2">
        <f t="shared" si="9"/>
        <v>22.907034915816922</v>
      </c>
    </row>
    <row r="110" spans="1:20" x14ac:dyDescent="0.25">
      <c r="A110" s="14">
        <f t="shared" si="18"/>
        <v>0.43883547008547008</v>
      </c>
      <c r="B110" s="21">
        <f t="shared" si="11"/>
        <v>105</v>
      </c>
      <c r="C110" s="22">
        <f>C109+1.5</f>
        <v>57.83</v>
      </c>
      <c r="D110" s="21">
        <v>11</v>
      </c>
      <c r="E110" s="2">
        <v>50.26548245743669</v>
      </c>
      <c r="F110" s="11">
        <f t="shared" si="0"/>
        <v>2.1883804675135607</v>
      </c>
      <c r="G110" s="2">
        <f t="shared" si="1"/>
        <v>126.55404243630922</v>
      </c>
      <c r="H110" s="2">
        <f t="shared" si="2"/>
        <v>2.7046786349163323</v>
      </c>
      <c r="I110" s="2">
        <f t="shared" si="3"/>
        <v>156.41156545721148</v>
      </c>
      <c r="J110" s="2">
        <f t="shared" si="4"/>
        <v>29.857523020902264</v>
      </c>
      <c r="K110" s="15">
        <f t="shared" si="19"/>
        <v>0.41244658119658123</v>
      </c>
      <c r="L110" s="21">
        <f t="shared" si="14"/>
        <v>105</v>
      </c>
      <c r="M110" s="21">
        <f>M109+1.5</f>
        <v>57.58</v>
      </c>
      <c r="N110" s="21">
        <v>11.5</v>
      </c>
      <c r="O110" s="2">
        <v>50.26548245743669</v>
      </c>
      <c r="P110" s="11">
        <f t="shared" si="5"/>
        <v>2.2878523069459957</v>
      </c>
      <c r="Q110" s="2">
        <f t="shared" si="6"/>
        <v>131.73453583395042</v>
      </c>
      <c r="R110" s="2">
        <f t="shared" si="7"/>
        <v>2.6963229723492934</v>
      </c>
      <c r="S110" s="2">
        <f t="shared" si="8"/>
        <v>155.2542767478723</v>
      </c>
      <c r="T110" s="2">
        <f t="shared" si="9"/>
        <v>23.519740913921879</v>
      </c>
    </row>
    <row r="111" spans="1:20" x14ac:dyDescent="0.25">
      <c r="A111" s="14">
        <f t="shared" si="18"/>
        <v>0.43901353276353278</v>
      </c>
      <c r="B111" s="21">
        <f t="shared" si="11"/>
        <v>106</v>
      </c>
      <c r="C111" s="22">
        <f t="shared" ref="C111:C162" si="20">C110+0.5</f>
        <v>58.33</v>
      </c>
      <c r="D111" s="21">
        <v>10.5</v>
      </c>
      <c r="E111" s="2">
        <v>50.26548245743669</v>
      </c>
      <c r="F111" s="11">
        <f t="shared" si="0"/>
        <v>2.0889086280811267</v>
      </c>
      <c r="G111" s="2">
        <f t="shared" si="1"/>
        <v>121.84604027597211</v>
      </c>
      <c r="H111" s="2">
        <f t="shared" si="2"/>
        <v>2.7046786349163323</v>
      </c>
      <c r="I111" s="2">
        <f t="shared" si="3"/>
        <v>157.76390477466967</v>
      </c>
      <c r="J111" s="2">
        <f t="shared" si="4"/>
        <v>35.917864498697554</v>
      </c>
      <c r="K111" s="15">
        <f t="shared" si="19"/>
        <v>0.41262464387464387</v>
      </c>
      <c r="L111" s="21">
        <f t="shared" si="14"/>
        <v>106</v>
      </c>
      <c r="M111" s="21">
        <f t="shared" ref="M111:M162" si="21">M110+0.5</f>
        <v>58.08</v>
      </c>
      <c r="N111" s="21">
        <v>11</v>
      </c>
      <c r="O111" s="2">
        <v>50.26548245743669</v>
      </c>
      <c r="P111" s="11">
        <f t="shared" si="5"/>
        <v>2.1883804675135607</v>
      </c>
      <c r="Q111" s="2">
        <f t="shared" si="6"/>
        <v>127.1011375531876</v>
      </c>
      <c r="R111" s="2">
        <f t="shared" si="7"/>
        <v>2.6963229723492934</v>
      </c>
      <c r="S111" s="2">
        <f t="shared" si="8"/>
        <v>156.60243823404696</v>
      </c>
      <c r="T111" s="2">
        <f t="shared" si="9"/>
        <v>29.501300680859359</v>
      </c>
    </row>
    <row r="112" spans="1:20" x14ac:dyDescent="0.25">
      <c r="A112" s="14">
        <f t="shared" si="18"/>
        <v>0.43919159544159542</v>
      </c>
      <c r="B112" s="2">
        <f t="shared" si="11"/>
        <v>107</v>
      </c>
      <c r="C112" s="4">
        <f t="shared" si="20"/>
        <v>58.83</v>
      </c>
      <c r="D112" s="2">
        <v>11</v>
      </c>
      <c r="E112" s="2">
        <v>50.26548245743669</v>
      </c>
      <c r="F112" s="11">
        <f t="shared" si="0"/>
        <v>2.1883804675135607</v>
      </c>
      <c r="G112" s="2">
        <f t="shared" si="1"/>
        <v>128.74242290382278</v>
      </c>
      <c r="H112" s="2">
        <f t="shared" si="2"/>
        <v>2.7046786349163323</v>
      </c>
      <c r="I112" s="2">
        <f t="shared" si="3"/>
        <v>159.11624409212783</v>
      </c>
      <c r="J112" s="2">
        <f t="shared" si="4"/>
        <v>30.373821188305044</v>
      </c>
      <c r="K112" s="15">
        <f t="shared" si="19"/>
        <v>0.41280270655270657</v>
      </c>
      <c r="L112" s="2">
        <f t="shared" si="14"/>
        <v>107</v>
      </c>
      <c r="M112" s="2">
        <f t="shared" si="21"/>
        <v>58.58</v>
      </c>
      <c r="N112" s="2">
        <v>11.5</v>
      </c>
      <c r="O112" s="2">
        <v>50.26548245743669</v>
      </c>
      <c r="P112" s="11">
        <f t="shared" si="5"/>
        <v>2.2878523069459957</v>
      </c>
      <c r="Q112" s="2">
        <f t="shared" si="6"/>
        <v>134.02238814089642</v>
      </c>
      <c r="R112" s="2">
        <f t="shared" si="7"/>
        <v>2.6963229723492934</v>
      </c>
      <c r="S112" s="2">
        <f t="shared" si="8"/>
        <v>157.95059972022159</v>
      </c>
      <c r="T112" s="2">
        <f t="shared" si="9"/>
        <v>23.928211579325165</v>
      </c>
    </row>
    <row r="113" spans="1:20" x14ac:dyDescent="0.25">
      <c r="A113" s="14">
        <f t="shared" si="18"/>
        <v>0.43936965811965811</v>
      </c>
      <c r="B113" s="2">
        <f t="shared" si="11"/>
        <v>108</v>
      </c>
      <c r="C113" s="4">
        <f t="shared" si="20"/>
        <v>59.33</v>
      </c>
      <c r="D113" s="2">
        <v>11.5</v>
      </c>
      <c r="E113" s="2">
        <v>50.26548245743669</v>
      </c>
      <c r="F113" s="11">
        <f t="shared" si="0"/>
        <v>2.2878523069459957</v>
      </c>
      <c r="G113" s="2">
        <f t="shared" si="1"/>
        <v>135.73827737110591</v>
      </c>
      <c r="H113" s="2">
        <f t="shared" si="2"/>
        <v>2.7046786349163323</v>
      </c>
      <c r="I113" s="2">
        <f t="shared" si="3"/>
        <v>160.46858340958599</v>
      </c>
      <c r="J113" s="2">
        <f t="shared" si="4"/>
        <v>24.73030603848008</v>
      </c>
      <c r="K113" s="15">
        <f t="shared" si="19"/>
        <v>0.41298076923076926</v>
      </c>
      <c r="L113" s="2">
        <f t="shared" si="14"/>
        <v>108</v>
      </c>
      <c r="M113" s="2">
        <f t="shared" si="21"/>
        <v>59.08</v>
      </c>
      <c r="N113" s="2">
        <v>11</v>
      </c>
      <c r="O113" s="2">
        <v>50.26548245743669</v>
      </c>
      <c r="P113" s="11">
        <f t="shared" si="5"/>
        <v>2.1883804675135607</v>
      </c>
      <c r="Q113" s="2">
        <f t="shared" si="6"/>
        <v>129.28951802070117</v>
      </c>
      <c r="R113" s="2">
        <f t="shared" si="7"/>
        <v>2.6963229723492934</v>
      </c>
      <c r="S113" s="2">
        <f t="shared" si="8"/>
        <v>159.29876120639625</v>
      </c>
      <c r="T113" s="2">
        <f t="shared" si="9"/>
        <v>30.009243185695084</v>
      </c>
    </row>
    <row r="114" spans="1:20" x14ac:dyDescent="0.25">
      <c r="A114" s="14">
        <f t="shared" si="18"/>
        <v>0.43954772079772081</v>
      </c>
      <c r="B114" s="2">
        <f t="shared" si="11"/>
        <v>109</v>
      </c>
      <c r="C114" s="4">
        <f t="shared" si="20"/>
        <v>59.83</v>
      </c>
      <c r="D114" s="2">
        <v>11</v>
      </c>
      <c r="E114" s="2">
        <v>50.26548245743669</v>
      </c>
      <c r="F114" s="11">
        <f t="shared" si="0"/>
        <v>2.1883804675135607</v>
      </c>
      <c r="G114" s="2">
        <f t="shared" si="1"/>
        <v>130.93080337133634</v>
      </c>
      <c r="H114" s="2">
        <f t="shared" si="2"/>
        <v>2.7046786349163323</v>
      </c>
      <c r="I114" s="2">
        <f t="shared" si="3"/>
        <v>161.82092272704415</v>
      </c>
      <c r="J114" s="2">
        <f t="shared" si="4"/>
        <v>30.89011935570781</v>
      </c>
      <c r="K114" s="15">
        <f t="shared" si="19"/>
        <v>0.4131588319088319</v>
      </c>
      <c r="L114" s="2">
        <f t="shared" si="14"/>
        <v>109</v>
      </c>
      <c r="M114" s="2">
        <f t="shared" si="21"/>
        <v>59.58</v>
      </c>
      <c r="N114" s="2">
        <v>11.5</v>
      </c>
      <c r="O114" s="2">
        <v>50.26548245743669</v>
      </c>
      <c r="P114" s="11">
        <f t="shared" si="5"/>
        <v>2.2878523069459957</v>
      </c>
      <c r="Q114" s="2">
        <f t="shared" si="6"/>
        <v>136.31024044784243</v>
      </c>
      <c r="R114" s="2">
        <f t="shared" si="7"/>
        <v>2.6963229723492934</v>
      </c>
      <c r="S114" s="2">
        <f t="shared" si="8"/>
        <v>160.64692269257091</v>
      </c>
      <c r="T114" s="2">
        <f t="shared" si="9"/>
        <v>24.336682244728479</v>
      </c>
    </row>
    <row r="115" spans="1:20" x14ac:dyDescent="0.25">
      <c r="A115" s="14">
        <f t="shared" si="18"/>
        <v>0.43972578347578345</v>
      </c>
      <c r="B115" s="2">
        <f t="shared" si="11"/>
        <v>110</v>
      </c>
      <c r="C115" s="4">
        <f t="shared" si="20"/>
        <v>60.33</v>
      </c>
      <c r="D115" s="2">
        <v>11</v>
      </c>
      <c r="E115" s="2">
        <v>50.26548245743669</v>
      </c>
      <c r="F115" s="11">
        <f t="shared" si="0"/>
        <v>2.1883804675135607</v>
      </c>
      <c r="G115" s="2">
        <f t="shared" si="1"/>
        <v>132.02499360509313</v>
      </c>
      <c r="H115" s="2">
        <f t="shared" si="2"/>
        <v>2.7046786349163323</v>
      </c>
      <c r="I115" s="2">
        <f t="shared" si="3"/>
        <v>163.17326204450234</v>
      </c>
      <c r="J115" s="2">
        <f t="shared" si="4"/>
        <v>31.148268439409208</v>
      </c>
      <c r="K115" s="15">
        <f t="shared" si="19"/>
        <v>0.4133368945868946</v>
      </c>
      <c r="L115" s="2">
        <f t="shared" si="14"/>
        <v>110</v>
      </c>
      <c r="M115" s="2">
        <f t="shared" si="21"/>
        <v>60.08</v>
      </c>
      <c r="N115" s="2">
        <v>12</v>
      </c>
      <c r="O115" s="2">
        <v>50.26548245743669</v>
      </c>
      <c r="P115" s="11">
        <f t="shared" si="5"/>
        <v>2.3873241463784298</v>
      </c>
      <c r="Q115" s="2">
        <f t="shared" si="6"/>
        <v>143.43043471441607</v>
      </c>
      <c r="R115" s="2">
        <f t="shared" si="7"/>
        <v>2.6963229723492934</v>
      </c>
      <c r="S115" s="2">
        <f t="shared" si="8"/>
        <v>161.99508417874554</v>
      </c>
      <c r="T115" s="2">
        <f t="shared" si="9"/>
        <v>18.564649464329477</v>
      </c>
    </row>
    <row r="116" spans="1:20" x14ac:dyDescent="0.25">
      <c r="A116" s="14">
        <f t="shared" si="18"/>
        <v>0.43990384615384615</v>
      </c>
      <c r="B116" s="2">
        <f t="shared" si="11"/>
        <v>111</v>
      </c>
      <c r="C116" s="4">
        <f t="shared" si="20"/>
        <v>60.83</v>
      </c>
      <c r="D116" s="2">
        <v>11.5</v>
      </c>
      <c r="E116" s="2">
        <v>50.26548245743669</v>
      </c>
      <c r="F116" s="11">
        <f t="shared" si="0"/>
        <v>2.2878523069459957</v>
      </c>
      <c r="G116" s="2">
        <f t="shared" si="1"/>
        <v>139.17005583152491</v>
      </c>
      <c r="H116" s="2">
        <f t="shared" si="2"/>
        <v>2.7046786349163323</v>
      </c>
      <c r="I116" s="2">
        <f t="shared" si="3"/>
        <v>164.5256013619605</v>
      </c>
      <c r="J116" s="2">
        <f t="shared" si="4"/>
        <v>25.355545530435592</v>
      </c>
      <c r="K116" s="15">
        <f t="shared" si="19"/>
        <v>0.41351495726495729</v>
      </c>
      <c r="L116" s="2">
        <f t="shared" si="14"/>
        <v>111</v>
      </c>
      <c r="M116" s="2">
        <f t="shared" si="21"/>
        <v>60.58</v>
      </c>
      <c r="N116" s="2">
        <v>12</v>
      </c>
      <c r="O116" s="2">
        <v>50.26548245743669</v>
      </c>
      <c r="P116" s="11">
        <f t="shared" si="5"/>
        <v>2.3873241463784298</v>
      </c>
      <c r="Q116" s="2">
        <f t="shared" si="6"/>
        <v>144.62409678760528</v>
      </c>
      <c r="R116" s="2">
        <f t="shared" si="7"/>
        <v>2.6963229723492934</v>
      </c>
      <c r="S116" s="2">
        <f t="shared" si="8"/>
        <v>163.3432456649202</v>
      </c>
      <c r="T116" s="2">
        <f t="shared" si="9"/>
        <v>18.719148877314922</v>
      </c>
    </row>
    <row r="117" spans="1:20" x14ac:dyDescent="0.25">
      <c r="A117" s="14">
        <f t="shared" si="18"/>
        <v>0.44008190883190884</v>
      </c>
      <c r="B117" s="2">
        <f t="shared" si="11"/>
        <v>112</v>
      </c>
      <c r="C117" s="4">
        <f t="shared" si="20"/>
        <v>61.33</v>
      </c>
      <c r="D117" s="2">
        <v>11</v>
      </c>
      <c r="E117" s="2">
        <v>50.26548245743669</v>
      </c>
      <c r="F117" s="11">
        <f t="shared" si="0"/>
        <v>2.1883804675135607</v>
      </c>
      <c r="G117" s="2">
        <f t="shared" si="1"/>
        <v>134.21337407260668</v>
      </c>
      <c r="H117" s="2">
        <f t="shared" si="2"/>
        <v>2.7046786349163323</v>
      </c>
      <c r="I117" s="2">
        <f t="shared" si="3"/>
        <v>165.87794067941866</v>
      </c>
      <c r="J117" s="2">
        <f t="shared" si="4"/>
        <v>31.664566606811974</v>
      </c>
      <c r="K117" s="15">
        <f t="shared" si="19"/>
        <v>0.41369301994301999</v>
      </c>
      <c r="L117" s="2">
        <f t="shared" si="14"/>
        <v>112</v>
      </c>
      <c r="M117" s="2">
        <f t="shared" si="21"/>
        <v>61.08</v>
      </c>
      <c r="N117" s="2">
        <v>12.5</v>
      </c>
      <c r="O117" s="2">
        <v>50.26548245743669</v>
      </c>
      <c r="P117" s="11">
        <f t="shared" si="5"/>
        <v>2.4867959858108648</v>
      </c>
      <c r="Q117" s="2">
        <f t="shared" si="6"/>
        <v>151.89349881332762</v>
      </c>
      <c r="R117" s="2">
        <f t="shared" si="7"/>
        <v>2.6963229723492934</v>
      </c>
      <c r="S117" s="2">
        <f t="shared" si="8"/>
        <v>164.69140715109484</v>
      </c>
      <c r="T117" s="2">
        <f t="shared" si="9"/>
        <v>12.797908337767211</v>
      </c>
    </row>
    <row r="118" spans="1:20" x14ac:dyDescent="0.25">
      <c r="A118" s="14">
        <f t="shared" si="18"/>
        <v>0.44025997150997148</v>
      </c>
      <c r="B118" s="2">
        <f t="shared" si="11"/>
        <v>113</v>
      </c>
      <c r="C118" s="4">
        <f t="shared" si="20"/>
        <v>61.83</v>
      </c>
      <c r="D118" s="2">
        <v>12</v>
      </c>
      <c r="E118" s="2">
        <v>50.26548245743669</v>
      </c>
      <c r="F118" s="11">
        <f t="shared" si="0"/>
        <v>2.3873241463784298</v>
      </c>
      <c r="G118" s="2">
        <f t="shared" si="1"/>
        <v>147.60825197057832</v>
      </c>
      <c r="H118" s="2">
        <f t="shared" si="2"/>
        <v>2.7046786349163323</v>
      </c>
      <c r="I118" s="2">
        <f t="shared" si="3"/>
        <v>167.23027999687682</v>
      </c>
      <c r="J118" s="2">
        <f t="shared" si="4"/>
        <v>19.622028026298494</v>
      </c>
      <c r="K118" s="15">
        <f t="shared" si="19"/>
        <v>0.41387108262108263</v>
      </c>
      <c r="L118" s="2">
        <f t="shared" si="14"/>
        <v>113</v>
      </c>
      <c r="M118" s="2">
        <f t="shared" si="21"/>
        <v>61.58</v>
      </c>
      <c r="N118" s="2">
        <v>13</v>
      </c>
      <c r="O118" s="2">
        <v>50.26548245743669</v>
      </c>
      <c r="P118" s="11">
        <f t="shared" si="5"/>
        <v>2.5862678252432989</v>
      </c>
      <c r="Q118" s="2">
        <f t="shared" si="6"/>
        <v>159.26237267848234</v>
      </c>
      <c r="R118" s="2">
        <f t="shared" si="7"/>
        <v>2.6963229723492934</v>
      </c>
      <c r="S118" s="2">
        <f t="shared" si="8"/>
        <v>166.0395686372695</v>
      </c>
      <c r="T118" s="2">
        <f t="shared" si="9"/>
        <v>6.7771959587871606</v>
      </c>
    </row>
    <row r="119" spans="1:20" x14ac:dyDescent="0.25">
      <c r="A119" s="14">
        <f t="shared" si="18"/>
        <v>0.44043803418803418</v>
      </c>
      <c r="B119" s="2">
        <f t="shared" si="11"/>
        <v>114</v>
      </c>
      <c r="C119" s="4">
        <f t="shared" si="20"/>
        <v>62.33</v>
      </c>
      <c r="D119" s="2">
        <v>13.5</v>
      </c>
      <c r="E119" s="2">
        <v>50.26548245743669</v>
      </c>
      <c r="F119" s="11">
        <f t="shared" si="0"/>
        <v>2.6857396646757339</v>
      </c>
      <c r="G119" s="2">
        <f t="shared" si="1"/>
        <v>167.40215329923848</v>
      </c>
      <c r="H119" s="2">
        <f t="shared" si="2"/>
        <v>2.7046786349163323</v>
      </c>
      <c r="I119" s="2">
        <f t="shared" si="3"/>
        <v>168.58261931433498</v>
      </c>
      <c r="J119" s="2">
        <f t="shared" si="4"/>
        <v>1.1804660150964992</v>
      </c>
      <c r="K119" s="15">
        <f t="shared" si="19"/>
        <v>0.41404914529914533</v>
      </c>
      <c r="L119" s="2">
        <f t="shared" si="14"/>
        <v>114</v>
      </c>
      <c r="M119" s="2">
        <f t="shared" si="21"/>
        <v>62.08</v>
      </c>
      <c r="N119" s="2">
        <v>14.5</v>
      </c>
      <c r="O119" s="2">
        <v>50.26548245743669</v>
      </c>
      <c r="P119" s="11">
        <f t="shared" si="5"/>
        <v>2.8846833435406034</v>
      </c>
      <c r="Q119" s="2">
        <f t="shared" si="6"/>
        <v>179.08114196700066</v>
      </c>
      <c r="R119" s="2">
        <f t="shared" si="7"/>
        <v>2.6963229723492934</v>
      </c>
      <c r="S119" s="2">
        <f t="shared" si="8"/>
        <v>167.38773012344413</v>
      </c>
      <c r="T119" s="2">
        <f t="shared" si="9"/>
        <v>11.693411843556532</v>
      </c>
    </row>
    <row r="120" spans="1:20" x14ac:dyDescent="0.25">
      <c r="A120" s="14">
        <f t="shared" si="18"/>
        <v>0.44061609686609687</v>
      </c>
      <c r="B120" s="2">
        <f t="shared" si="11"/>
        <v>115</v>
      </c>
      <c r="C120" s="4">
        <f t="shared" si="20"/>
        <v>62.83</v>
      </c>
      <c r="D120" s="2">
        <v>15</v>
      </c>
      <c r="E120" s="2">
        <v>50.26548245743669</v>
      </c>
      <c r="F120" s="11">
        <f t="shared" si="0"/>
        <v>2.9841551829730379</v>
      </c>
      <c r="G120" s="2">
        <f t="shared" si="1"/>
        <v>187.49447014619597</v>
      </c>
      <c r="H120" s="2">
        <f t="shared" si="2"/>
        <v>2.7046786349163323</v>
      </c>
      <c r="I120" s="2">
        <f t="shared" si="3"/>
        <v>169.93495863179317</v>
      </c>
      <c r="J120" s="2">
        <f t="shared" si="4"/>
        <v>17.5595115144028</v>
      </c>
      <c r="K120" s="15">
        <f t="shared" si="19"/>
        <v>0.41422720797720802</v>
      </c>
      <c r="L120" s="2">
        <f t="shared" si="14"/>
        <v>115</v>
      </c>
      <c r="M120" s="2">
        <f t="shared" si="21"/>
        <v>62.58</v>
      </c>
      <c r="N120" s="2">
        <v>15.5</v>
      </c>
      <c r="O120" s="2">
        <v>50.26548245743669</v>
      </c>
      <c r="P120" s="11">
        <f t="shared" si="5"/>
        <v>3.0836270224054725</v>
      </c>
      <c r="Q120" s="2">
        <f t="shared" si="6"/>
        <v>192.97337906213446</v>
      </c>
      <c r="R120" s="2">
        <f t="shared" si="7"/>
        <v>2.6963229723492934</v>
      </c>
      <c r="S120" s="2">
        <f t="shared" si="8"/>
        <v>168.73589160961879</v>
      </c>
      <c r="T120" s="2">
        <f t="shared" si="9"/>
        <v>24.237487452515666</v>
      </c>
    </row>
    <row r="121" spans="1:20" x14ac:dyDescent="0.25">
      <c r="A121" s="14">
        <f t="shared" si="18"/>
        <v>0.44079415954415951</v>
      </c>
      <c r="B121" s="2">
        <f t="shared" si="11"/>
        <v>116</v>
      </c>
      <c r="C121" s="4">
        <f t="shared" si="20"/>
        <v>63.33</v>
      </c>
      <c r="D121" s="2">
        <v>14.5</v>
      </c>
      <c r="E121" s="2">
        <v>50.26548245743669</v>
      </c>
      <c r="F121" s="11">
        <f t="shared" si="0"/>
        <v>2.8846833435406034</v>
      </c>
      <c r="G121" s="2">
        <f t="shared" si="1"/>
        <v>182.6869961464264</v>
      </c>
      <c r="H121" s="2">
        <f t="shared" si="2"/>
        <v>2.7046786349163323</v>
      </c>
      <c r="I121" s="2">
        <f t="shared" si="3"/>
        <v>171.28729794925133</v>
      </c>
      <c r="J121" s="2">
        <f t="shared" si="4"/>
        <v>11.39969819717507</v>
      </c>
      <c r="K121" s="15">
        <f t="shared" si="19"/>
        <v>0.41440527065527066</v>
      </c>
      <c r="L121" s="2">
        <f t="shared" si="14"/>
        <v>116</v>
      </c>
      <c r="M121" s="2">
        <f t="shared" si="21"/>
        <v>63.08</v>
      </c>
      <c r="N121" s="2">
        <v>15</v>
      </c>
      <c r="O121" s="2">
        <v>50.26548245743669</v>
      </c>
      <c r="P121" s="11">
        <f t="shared" si="5"/>
        <v>2.9841551829730379</v>
      </c>
      <c r="Q121" s="2">
        <f t="shared" si="6"/>
        <v>188.24050894193923</v>
      </c>
      <c r="R121" s="2">
        <f t="shared" si="7"/>
        <v>2.6963229723492934</v>
      </c>
      <c r="S121" s="2">
        <f t="shared" si="8"/>
        <v>170.08405309579342</v>
      </c>
      <c r="T121" s="2">
        <f t="shared" si="9"/>
        <v>18.156455846145803</v>
      </c>
    </row>
    <row r="122" spans="1:20" x14ac:dyDescent="0.25">
      <c r="A122" s="10">
        <v>0.44097222222222221</v>
      </c>
      <c r="B122" s="2">
        <f t="shared" si="11"/>
        <v>117</v>
      </c>
      <c r="C122" s="4">
        <f t="shared" si="20"/>
        <v>63.83</v>
      </c>
      <c r="D122" s="2">
        <v>15.5</v>
      </c>
      <c r="E122" s="2">
        <v>50.26548245743669</v>
      </c>
      <c r="F122" s="11">
        <f t="shared" si="0"/>
        <v>3.0836270224054725</v>
      </c>
      <c r="G122" s="2">
        <f t="shared" si="1"/>
        <v>196.82791284014129</v>
      </c>
      <c r="H122" s="2">
        <f t="shared" si="2"/>
        <v>2.7046786349163323</v>
      </c>
      <c r="I122" s="2">
        <f t="shared" si="3"/>
        <v>172.63963726670949</v>
      </c>
      <c r="J122" s="2">
        <f t="shared" si="4"/>
        <v>24.18827557343181</v>
      </c>
      <c r="K122" s="12">
        <v>0.41458333333333336</v>
      </c>
      <c r="L122" s="2">
        <f t="shared" si="14"/>
        <v>117</v>
      </c>
      <c r="M122" s="2">
        <f t="shared" si="21"/>
        <v>63.58</v>
      </c>
      <c r="N122" s="2">
        <v>13.5</v>
      </c>
      <c r="O122" s="2">
        <v>50.26548245743669</v>
      </c>
      <c r="P122" s="11">
        <f t="shared" si="5"/>
        <v>2.6857396646757339</v>
      </c>
      <c r="Q122" s="2">
        <f t="shared" si="6"/>
        <v>170.75932788008316</v>
      </c>
      <c r="R122" s="2">
        <f t="shared" si="7"/>
        <v>2.6963229723492934</v>
      </c>
      <c r="S122" s="2">
        <f t="shared" si="8"/>
        <v>171.43221458196808</v>
      </c>
      <c r="T122" s="2">
        <f t="shared" si="9"/>
        <v>0.67288670188492006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0.44111467236467233</v>
      </c>
      <c r="B123" s="2">
        <f t="shared" si="11"/>
        <v>118</v>
      </c>
      <c r="C123" s="4">
        <f t="shared" si="20"/>
        <v>64.33</v>
      </c>
      <c r="D123" s="2">
        <v>14</v>
      </c>
      <c r="E123" s="2">
        <v>50.26548245743669</v>
      </c>
      <c r="F123" s="11">
        <f t="shared" si="0"/>
        <v>2.7852115041081689</v>
      </c>
      <c r="G123" s="2">
        <f t="shared" si="1"/>
        <v>179.17265605927849</v>
      </c>
      <c r="H123" s="2">
        <f t="shared" si="2"/>
        <v>2.7046786349163323</v>
      </c>
      <c r="I123" s="2">
        <f t="shared" si="3"/>
        <v>173.99197658416765</v>
      </c>
      <c r="J123" s="2">
        <f t="shared" si="4"/>
        <v>5.1806794751108498</v>
      </c>
      <c r="K123" s="15">
        <f t="shared" ref="K123:K160" si="23">IF(AND($K$122&lt;&gt;"",$K$161&lt;&gt;""), $K$122 + (L123 - $L$122) * (($K$161 - $K$122) / ($L$161 - $L$122)), "")</f>
        <v>0.41472578347578348</v>
      </c>
      <c r="L123" s="2">
        <f t="shared" si="14"/>
        <v>118</v>
      </c>
      <c r="M123" s="2">
        <f t="shared" si="21"/>
        <v>64.08</v>
      </c>
      <c r="N123" s="2">
        <v>14.5</v>
      </c>
      <c r="O123" s="2">
        <v>50.26548245743669</v>
      </c>
      <c r="P123" s="11">
        <f t="shared" si="5"/>
        <v>2.8846833435406034</v>
      </c>
      <c r="Q123" s="2">
        <f t="shared" si="6"/>
        <v>184.85050865408186</v>
      </c>
      <c r="R123" s="2">
        <f t="shared" si="7"/>
        <v>2.6963229723492934</v>
      </c>
      <c r="S123" s="2">
        <f t="shared" si="8"/>
        <v>172.78037606814271</v>
      </c>
      <c r="T123" s="2">
        <f t="shared" si="9"/>
        <v>12.070132585939149</v>
      </c>
    </row>
    <row r="124" spans="1:20" x14ac:dyDescent="0.25">
      <c r="A124" s="14">
        <f t="shared" si="22"/>
        <v>0.44125712250712251</v>
      </c>
      <c r="B124" s="2">
        <f t="shared" si="11"/>
        <v>119</v>
      </c>
      <c r="C124" s="4">
        <f t="shared" si="20"/>
        <v>64.83</v>
      </c>
      <c r="D124" s="2">
        <v>14.5</v>
      </c>
      <c r="E124" s="2">
        <v>50.26548245743669</v>
      </c>
      <c r="F124" s="11">
        <f t="shared" si="0"/>
        <v>2.8846833435406034</v>
      </c>
      <c r="G124" s="2">
        <f t="shared" si="1"/>
        <v>187.0140211617373</v>
      </c>
      <c r="H124" s="2">
        <f t="shared" si="2"/>
        <v>2.7046786349163323</v>
      </c>
      <c r="I124" s="2">
        <f t="shared" si="3"/>
        <v>175.34431590162583</v>
      </c>
      <c r="J124" s="2">
        <f t="shared" si="4"/>
        <v>11.669705260111471</v>
      </c>
      <c r="K124" s="15">
        <f t="shared" si="23"/>
        <v>0.41486823361823366</v>
      </c>
      <c r="L124" s="2">
        <f t="shared" si="14"/>
        <v>119</v>
      </c>
      <c r="M124" s="2">
        <f t="shared" si="21"/>
        <v>64.58</v>
      </c>
      <c r="N124" s="2">
        <v>15</v>
      </c>
      <c r="O124" s="2">
        <v>50.26548245743669</v>
      </c>
      <c r="P124" s="11">
        <f t="shared" si="5"/>
        <v>2.9841551829730379</v>
      </c>
      <c r="Q124" s="2">
        <f t="shared" si="6"/>
        <v>192.71674171639879</v>
      </c>
      <c r="R124" s="2">
        <f t="shared" si="7"/>
        <v>2.6963229723492934</v>
      </c>
      <c r="S124" s="2">
        <f t="shared" si="8"/>
        <v>174.12853755431738</v>
      </c>
      <c r="T124" s="2">
        <f t="shared" si="9"/>
        <v>18.588204162081411</v>
      </c>
    </row>
    <row r="125" spans="1:20" x14ac:dyDescent="0.25">
      <c r="A125" s="14">
        <f t="shared" si="22"/>
        <v>0.44139957264957264</v>
      </c>
      <c r="B125" s="2">
        <f t="shared" si="11"/>
        <v>120</v>
      </c>
      <c r="C125" s="4">
        <f t="shared" si="20"/>
        <v>65.33</v>
      </c>
      <c r="D125" s="2">
        <v>15</v>
      </c>
      <c r="E125" s="2">
        <v>50.26548245743669</v>
      </c>
      <c r="F125" s="11">
        <f t="shared" si="0"/>
        <v>2.9841551829730379</v>
      </c>
      <c r="G125" s="2">
        <f t="shared" si="1"/>
        <v>194.95485810362857</v>
      </c>
      <c r="H125" s="2">
        <f t="shared" si="2"/>
        <v>2.7046786349163323</v>
      </c>
      <c r="I125" s="2">
        <f t="shared" si="3"/>
        <v>176.69665521908399</v>
      </c>
      <c r="J125" s="2">
        <f t="shared" si="4"/>
        <v>18.258202884544573</v>
      </c>
      <c r="K125" s="15">
        <f t="shared" si="23"/>
        <v>0.41501068376068379</v>
      </c>
      <c r="L125" s="2">
        <f t="shared" si="14"/>
        <v>120</v>
      </c>
      <c r="M125" s="2">
        <f t="shared" si="21"/>
        <v>65.08</v>
      </c>
      <c r="N125" s="2">
        <v>15</v>
      </c>
      <c r="O125" s="2">
        <v>50.26548245743669</v>
      </c>
      <c r="P125" s="11">
        <f t="shared" si="5"/>
        <v>2.9841551829730379</v>
      </c>
      <c r="Q125" s="2">
        <f t="shared" si="6"/>
        <v>194.20881930788531</v>
      </c>
      <c r="R125" s="2">
        <f t="shared" si="7"/>
        <v>2.6963229723492934</v>
      </c>
      <c r="S125" s="2">
        <f t="shared" si="8"/>
        <v>175.47669904049201</v>
      </c>
      <c r="T125" s="2">
        <f t="shared" si="9"/>
        <v>18.732120267393299</v>
      </c>
    </row>
    <row r="126" spans="1:20" x14ac:dyDescent="0.25">
      <c r="A126" s="14">
        <f t="shared" si="22"/>
        <v>0.44154202279202276</v>
      </c>
      <c r="B126" s="2">
        <f t="shared" si="11"/>
        <v>121</v>
      </c>
      <c r="C126" s="4">
        <f t="shared" si="20"/>
        <v>65.83</v>
      </c>
      <c r="D126" s="2">
        <v>15</v>
      </c>
      <c r="E126" s="2">
        <v>50.26548245743669</v>
      </c>
      <c r="F126" s="11">
        <f t="shared" si="0"/>
        <v>2.9841551829730379</v>
      </c>
      <c r="G126" s="2">
        <f t="shared" si="1"/>
        <v>196.44693569511509</v>
      </c>
      <c r="H126" s="2">
        <f t="shared" si="2"/>
        <v>2.7046786349163323</v>
      </c>
      <c r="I126" s="2">
        <f t="shared" si="3"/>
        <v>178.04899453654215</v>
      </c>
      <c r="J126" s="2">
        <f t="shared" si="4"/>
        <v>18.397941158572934</v>
      </c>
      <c r="K126" s="15">
        <f t="shared" si="23"/>
        <v>0.41515313390313391</v>
      </c>
      <c r="L126" s="2">
        <f t="shared" si="14"/>
        <v>121</v>
      </c>
      <c r="M126" s="2">
        <f t="shared" si="21"/>
        <v>65.58</v>
      </c>
      <c r="N126" s="2">
        <v>14.5</v>
      </c>
      <c r="O126" s="2">
        <v>50.26548245743669</v>
      </c>
      <c r="P126" s="11">
        <f t="shared" si="5"/>
        <v>2.8846833435406034</v>
      </c>
      <c r="Q126" s="2">
        <f t="shared" si="6"/>
        <v>189.17753366939277</v>
      </c>
      <c r="R126" s="2">
        <f t="shared" si="7"/>
        <v>2.6963229723492934</v>
      </c>
      <c r="S126" s="2">
        <f t="shared" si="8"/>
        <v>176.82486052666667</v>
      </c>
      <c r="T126" s="2">
        <f t="shared" si="9"/>
        <v>12.352673142726104</v>
      </c>
    </row>
    <row r="127" spans="1:20" x14ac:dyDescent="0.25">
      <c r="A127" s="14">
        <f t="shared" si="22"/>
        <v>0.44168447293447294</v>
      </c>
      <c r="B127" s="2">
        <f t="shared" si="11"/>
        <v>122</v>
      </c>
      <c r="C127" s="4">
        <f t="shared" si="20"/>
        <v>66.33</v>
      </c>
      <c r="D127" s="2">
        <v>14</v>
      </c>
      <c r="E127" s="2">
        <v>50.26548245743669</v>
      </c>
      <c r="F127" s="11">
        <f t="shared" si="0"/>
        <v>2.7852115041081689</v>
      </c>
      <c r="G127" s="2">
        <f t="shared" si="1"/>
        <v>184.74307906749485</v>
      </c>
      <c r="H127" s="2">
        <f t="shared" si="2"/>
        <v>2.7046786349163323</v>
      </c>
      <c r="I127" s="2">
        <f t="shared" si="3"/>
        <v>179.40133385400031</v>
      </c>
      <c r="J127" s="2">
        <f t="shared" si="4"/>
        <v>5.3417452134945336</v>
      </c>
      <c r="K127" s="15">
        <f t="shared" si="23"/>
        <v>0.41529558404558409</v>
      </c>
      <c r="L127" s="2">
        <f t="shared" si="14"/>
        <v>122</v>
      </c>
      <c r="M127" s="2">
        <f t="shared" si="21"/>
        <v>66.08</v>
      </c>
      <c r="N127" s="2">
        <v>14</v>
      </c>
      <c r="O127" s="2">
        <v>50.26548245743669</v>
      </c>
      <c r="P127" s="11">
        <f t="shared" si="5"/>
        <v>2.7852115041081689</v>
      </c>
      <c r="Q127" s="2">
        <f t="shared" si="6"/>
        <v>184.04677619146779</v>
      </c>
      <c r="R127" s="2">
        <f t="shared" si="7"/>
        <v>2.6963229723492934</v>
      </c>
      <c r="S127" s="2">
        <f t="shared" si="8"/>
        <v>178.1730220128413</v>
      </c>
      <c r="T127" s="2">
        <f t="shared" si="9"/>
        <v>5.8737541786264842</v>
      </c>
    </row>
    <row r="128" spans="1:20" x14ac:dyDescent="0.25">
      <c r="A128" s="14">
        <f t="shared" si="22"/>
        <v>0.44182692307692306</v>
      </c>
      <c r="B128" s="2">
        <f t="shared" si="11"/>
        <v>123</v>
      </c>
      <c r="C128" s="4">
        <f t="shared" si="20"/>
        <v>66.83</v>
      </c>
      <c r="D128" s="2">
        <v>14.5</v>
      </c>
      <c r="E128" s="2">
        <v>50.26548245743669</v>
      </c>
      <c r="F128" s="11">
        <f t="shared" si="0"/>
        <v>2.8846833435406034</v>
      </c>
      <c r="G128" s="2">
        <f t="shared" si="1"/>
        <v>192.78338784881853</v>
      </c>
      <c r="H128" s="2">
        <f t="shared" si="2"/>
        <v>2.7046786349163323</v>
      </c>
      <c r="I128" s="2">
        <f t="shared" si="3"/>
        <v>180.75367317145847</v>
      </c>
      <c r="J128" s="2">
        <f t="shared" si="4"/>
        <v>12.029714677360062</v>
      </c>
      <c r="K128" s="15">
        <f t="shared" si="23"/>
        <v>0.41543803418803421</v>
      </c>
      <c r="L128" s="2">
        <f t="shared" si="14"/>
        <v>123</v>
      </c>
      <c r="M128" s="2">
        <f t="shared" si="21"/>
        <v>66.58</v>
      </c>
      <c r="N128" s="2">
        <v>15</v>
      </c>
      <c r="O128" s="2">
        <v>50.26548245743669</v>
      </c>
      <c r="P128" s="11">
        <f t="shared" si="5"/>
        <v>2.9841551829730379</v>
      </c>
      <c r="Q128" s="2">
        <f t="shared" si="6"/>
        <v>198.68505208234487</v>
      </c>
      <c r="R128" s="2">
        <f t="shared" si="7"/>
        <v>2.6963229723492934</v>
      </c>
      <c r="S128" s="2">
        <f t="shared" si="8"/>
        <v>179.52118349901596</v>
      </c>
      <c r="T128" s="2">
        <f t="shared" si="9"/>
        <v>19.163868583328906</v>
      </c>
    </row>
    <row r="129" spans="1:20" x14ac:dyDescent="0.25">
      <c r="A129" s="14">
        <f t="shared" si="22"/>
        <v>0.44196937321937324</v>
      </c>
      <c r="B129" s="2">
        <f t="shared" si="11"/>
        <v>124</v>
      </c>
      <c r="C129" s="4">
        <f t="shared" si="20"/>
        <v>67.33</v>
      </c>
      <c r="D129" s="2">
        <v>14.5</v>
      </c>
      <c r="E129" s="2">
        <v>50.26548245743669</v>
      </c>
      <c r="F129" s="11">
        <f t="shared" si="0"/>
        <v>2.8846833435406034</v>
      </c>
      <c r="G129" s="2">
        <f t="shared" si="1"/>
        <v>194.22572952058883</v>
      </c>
      <c r="H129" s="2">
        <f t="shared" si="2"/>
        <v>2.7046786349163323</v>
      </c>
      <c r="I129" s="2">
        <f t="shared" si="3"/>
        <v>182.10601248891666</v>
      </c>
      <c r="J129" s="2">
        <f t="shared" si="4"/>
        <v>12.119717031672167</v>
      </c>
      <c r="K129" s="15">
        <f t="shared" si="23"/>
        <v>0.41558048433048433</v>
      </c>
      <c r="L129" s="2">
        <f t="shared" si="14"/>
        <v>124</v>
      </c>
      <c r="M129" s="2">
        <f t="shared" si="21"/>
        <v>67.08</v>
      </c>
      <c r="N129" s="2">
        <v>15</v>
      </c>
      <c r="O129" s="2">
        <v>50.26548245743669</v>
      </c>
      <c r="P129" s="11">
        <f t="shared" si="5"/>
        <v>2.9841551829730379</v>
      </c>
      <c r="Q129" s="2">
        <f t="shared" si="6"/>
        <v>200.17712967383139</v>
      </c>
      <c r="R129" s="2">
        <f t="shared" si="7"/>
        <v>2.6963229723492934</v>
      </c>
      <c r="S129" s="2">
        <f t="shared" si="8"/>
        <v>180.86934498519059</v>
      </c>
      <c r="T129" s="2">
        <f t="shared" si="9"/>
        <v>19.307784688640794</v>
      </c>
    </row>
    <row r="130" spans="1:20" x14ac:dyDescent="0.25">
      <c r="A130" s="14">
        <f t="shared" si="22"/>
        <v>0.44211182336182336</v>
      </c>
      <c r="B130" s="2">
        <f t="shared" si="11"/>
        <v>125</v>
      </c>
      <c r="C130" s="4">
        <f t="shared" si="20"/>
        <v>67.83</v>
      </c>
      <c r="D130" s="2">
        <v>14.5</v>
      </c>
      <c r="E130" s="2">
        <v>50.26548245743669</v>
      </c>
      <c r="F130" s="11">
        <f t="shared" si="0"/>
        <v>2.8846833435406034</v>
      </c>
      <c r="G130" s="2">
        <f t="shared" si="1"/>
        <v>195.66807119235912</v>
      </c>
      <c r="H130" s="2">
        <f t="shared" si="2"/>
        <v>2.7046786349163323</v>
      </c>
      <c r="I130" s="2">
        <f t="shared" si="3"/>
        <v>183.45835180637482</v>
      </c>
      <c r="J130" s="2">
        <f t="shared" si="4"/>
        <v>12.2097193859843</v>
      </c>
      <c r="K130" s="15">
        <f t="shared" si="23"/>
        <v>0.41572293447293451</v>
      </c>
      <c r="L130" s="2">
        <f t="shared" si="14"/>
        <v>125</v>
      </c>
      <c r="M130" s="2">
        <f t="shared" si="21"/>
        <v>67.58</v>
      </c>
      <c r="N130" s="2">
        <v>13.5</v>
      </c>
      <c r="O130" s="2">
        <v>50.26548245743669</v>
      </c>
      <c r="P130" s="11">
        <f t="shared" si="5"/>
        <v>2.6857396646757339</v>
      </c>
      <c r="Q130" s="2">
        <f t="shared" si="6"/>
        <v>181.50228653878608</v>
      </c>
      <c r="R130" s="2">
        <f t="shared" si="7"/>
        <v>2.6963229723492934</v>
      </c>
      <c r="S130" s="2">
        <f t="shared" si="8"/>
        <v>182.21750647136525</v>
      </c>
      <c r="T130" s="2">
        <f t="shared" si="9"/>
        <v>0.71521993257917416</v>
      </c>
    </row>
    <row r="131" spans="1:20" x14ac:dyDescent="0.25">
      <c r="A131" s="14">
        <f t="shared" si="22"/>
        <v>0.44225427350427349</v>
      </c>
      <c r="B131" s="2">
        <f t="shared" si="11"/>
        <v>126</v>
      </c>
      <c r="C131" s="4">
        <f t="shared" si="20"/>
        <v>68.33</v>
      </c>
      <c r="D131" s="2">
        <v>13</v>
      </c>
      <c r="E131" s="2">
        <v>50.26548245743669</v>
      </c>
      <c r="F131" s="11">
        <f t="shared" si="0"/>
        <v>2.5862678252432989</v>
      </c>
      <c r="G131" s="2">
        <f t="shared" si="1"/>
        <v>176.71968049887462</v>
      </c>
      <c r="H131" s="2">
        <f t="shared" si="2"/>
        <v>2.7046786349163323</v>
      </c>
      <c r="I131" s="2">
        <f t="shared" si="3"/>
        <v>184.81069112383298</v>
      </c>
      <c r="J131" s="2">
        <f t="shared" si="4"/>
        <v>8.0910106249583578</v>
      </c>
      <c r="K131" s="15">
        <f t="shared" si="23"/>
        <v>0.41586538461538464</v>
      </c>
      <c r="L131" s="2">
        <f t="shared" si="14"/>
        <v>126</v>
      </c>
      <c r="M131" s="2">
        <f t="shared" si="21"/>
        <v>68.08</v>
      </c>
      <c r="N131" s="2">
        <v>12.5</v>
      </c>
      <c r="O131" s="2">
        <v>50.26548245743669</v>
      </c>
      <c r="P131" s="11">
        <f t="shared" si="5"/>
        <v>2.4867959858108648</v>
      </c>
      <c r="Q131" s="2">
        <f t="shared" si="6"/>
        <v>169.30107071400369</v>
      </c>
      <c r="R131" s="2">
        <f t="shared" si="7"/>
        <v>2.6963229723492934</v>
      </c>
      <c r="S131" s="2">
        <f t="shared" si="8"/>
        <v>183.56566795753989</v>
      </c>
      <c r="T131" s="2">
        <f t="shared" si="9"/>
        <v>14.264597243536201</v>
      </c>
    </row>
    <row r="132" spans="1:20" x14ac:dyDescent="0.25">
      <c r="A132" s="14">
        <f t="shared" si="22"/>
        <v>0.44239672364672367</v>
      </c>
      <c r="B132" s="2">
        <f t="shared" si="11"/>
        <v>127</v>
      </c>
      <c r="C132" s="4">
        <f t="shared" si="20"/>
        <v>68.83</v>
      </c>
      <c r="D132" s="2">
        <v>13</v>
      </c>
      <c r="E132" s="2">
        <v>50.26548245743669</v>
      </c>
      <c r="F132" s="11">
        <f t="shared" si="0"/>
        <v>2.5862678252432989</v>
      </c>
      <c r="G132" s="2">
        <f t="shared" si="1"/>
        <v>178.01281441149627</v>
      </c>
      <c r="H132" s="2">
        <f t="shared" si="2"/>
        <v>2.7046786349163323</v>
      </c>
      <c r="I132" s="2">
        <f t="shared" si="3"/>
        <v>186.16303044129114</v>
      </c>
      <c r="J132" s="2">
        <f t="shared" si="4"/>
        <v>8.1502160297948762</v>
      </c>
      <c r="K132" s="15">
        <f t="shared" si="23"/>
        <v>0.41600783475783476</v>
      </c>
      <c r="L132" s="2">
        <f t="shared" si="14"/>
        <v>127</v>
      </c>
      <c r="M132" s="2">
        <f t="shared" si="21"/>
        <v>68.58</v>
      </c>
      <c r="N132" s="2">
        <v>14</v>
      </c>
      <c r="O132" s="2">
        <v>50.26548245743669</v>
      </c>
      <c r="P132" s="11">
        <f t="shared" si="5"/>
        <v>2.7852115041081689</v>
      </c>
      <c r="Q132" s="2">
        <f t="shared" si="6"/>
        <v>191.0098049517382</v>
      </c>
      <c r="R132" s="2">
        <f t="shared" si="7"/>
        <v>2.6963229723492934</v>
      </c>
      <c r="S132" s="2">
        <f t="shared" si="8"/>
        <v>184.91382944371455</v>
      </c>
      <c r="T132" s="2">
        <f t="shared" si="9"/>
        <v>6.0959755080236562</v>
      </c>
    </row>
    <row r="133" spans="1:20" x14ac:dyDescent="0.25">
      <c r="A133" s="14">
        <f t="shared" si="22"/>
        <v>0.44253917378917379</v>
      </c>
      <c r="B133" s="21">
        <f t="shared" si="11"/>
        <v>128</v>
      </c>
      <c r="C133" s="22">
        <f t="shared" si="20"/>
        <v>69.33</v>
      </c>
      <c r="D133" s="21">
        <v>13</v>
      </c>
      <c r="E133" s="2">
        <v>50.26548245743669</v>
      </c>
      <c r="F133" s="11">
        <f t="shared" si="0"/>
        <v>2.5862678252432989</v>
      </c>
      <c r="G133" s="2">
        <f t="shared" si="1"/>
        <v>179.30594832411791</v>
      </c>
      <c r="H133" s="2">
        <f t="shared" si="2"/>
        <v>2.7046786349163323</v>
      </c>
      <c r="I133" s="2">
        <f t="shared" si="3"/>
        <v>187.5153697587493</v>
      </c>
      <c r="J133" s="2">
        <f t="shared" si="4"/>
        <v>8.2094214346313947</v>
      </c>
      <c r="K133" s="15">
        <f t="shared" si="23"/>
        <v>0.41615028490028494</v>
      </c>
      <c r="L133" s="2">
        <f t="shared" si="14"/>
        <v>128</v>
      </c>
      <c r="M133" s="2">
        <f t="shared" si="21"/>
        <v>69.08</v>
      </c>
      <c r="N133" s="2">
        <v>14.5</v>
      </c>
      <c r="O133" s="2">
        <v>50.26548245743669</v>
      </c>
      <c r="P133" s="11">
        <f t="shared" si="5"/>
        <v>2.8846833435406034</v>
      </c>
      <c r="Q133" s="2">
        <f t="shared" si="6"/>
        <v>199.27392537178488</v>
      </c>
      <c r="R133" s="2">
        <f t="shared" si="7"/>
        <v>2.6963229723492934</v>
      </c>
      <c r="S133" s="2">
        <f t="shared" si="8"/>
        <v>186.26199092988918</v>
      </c>
      <c r="T133" s="2">
        <f t="shared" si="9"/>
        <v>13.011934441895704</v>
      </c>
    </row>
    <row r="134" spans="1:20" x14ac:dyDescent="0.25">
      <c r="A134" s="14">
        <f t="shared" si="22"/>
        <v>0.44268162393162391</v>
      </c>
      <c r="B134" s="2">
        <f t="shared" si="11"/>
        <v>129</v>
      </c>
      <c r="C134" s="4">
        <f t="shared" si="20"/>
        <v>69.83</v>
      </c>
      <c r="D134" s="2">
        <v>14.5</v>
      </c>
      <c r="E134" s="2">
        <v>50.26548245743669</v>
      </c>
      <c r="F134" s="11">
        <f t="shared" si="0"/>
        <v>2.8846833435406034</v>
      </c>
      <c r="G134" s="2">
        <f t="shared" si="1"/>
        <v>201.43743787944032</v>
      </c>
      <c r="H134" s="2">
        <f t="shared" si="2"/>
        <v>2.7046786349163323</v>
      </c>
      <c r="I134" s="2">
        <f t="shared" si="3"/>
        <v>188.86770907620749</v>
      </c>
      <c r="J134" s="2">
        <f t="shared" si="4"/>
        <v>12.569728803232834</v>
      </c>
      <c r="K134" s="15">
        <f t="shared" si="23"/>
        <v>0.41629273504273506</v>
      </c>
      <c r="L134" s="2">
        <f t="shared" si="14"/>
        <v>129</v>
      </c>
      <c r="M134" s="2">
        <f t="shared" si="21"/>
        <v>69.58</v>
      </c>
      <c r="N134" s="2">
        <v>13.5</v>
      </c>
      <c r="O134" s="2">
        <v>50.26548245743669</v>
      </c>
      <c r="P134" s="11">
        <f t="shared" si="5"/>
        <v>2.6857396646757339</v>
      </c>
      <c r="Q134" s="2">
        <f t="shared" si="6"/>
        <v>186.87376586813755</v>
      </c>
      <c r="R134" s="2">
        <f t="shared" si="7"/>
        <v>2.6963229723492934</v>
      </c>
      <c r="S134" s="2">
        <f t="shared" si="8"/>
        <v>187.61015241606384</v>
      </c>
      <c r="T134" s="2">
        <f t="shared" si="9"/>
        <v>0.73638654792628699</v>
      </c>
    </row>
    <row r="135" spans="1:20" x14ac:dyDescent="0.25">
      <c r="A135" s="14">
        <f t="shared" si="22"/>
        <v>0.44282407407407409</v>
      </c>
      <c r="B135" s="2">
        <f t="shared" si="11"/>
        <v>130</v>
      </c>
      <c r="C135" s="4">
        <f t="shared" si="20"/>
        <v>70.33</v>
      </c>
      <c r="D135" s="2">
        <v>13.5</v>
      </c>
      <c r="E135" s="2">
        <v>50.26548245743669</v>
      </c>
      <c r="F135" s="11">
        <f t="shared" si="0"/>
        <v>2.6857396646757339</v>
      </c>
      <c r="G135" s="2">
        <f t="shared" si="1"/>
        <v>188.88807061664437</v>
      </c>
      <c r="H135" s="2">
        <f t="shared" si="2"/>
        <v>2.7046786349163323</v>
      </c>
      <c r="I135" s="2">
        <f t="shared" si="3"/>
        <v>190.22004839366565</v>
      </c>
      <c r="J135" s="2">
        <f t="shared" si="4"/>
        <v>1.3319777770212795</v>
      </c>
      <c r="K135" s="15">
        <f t="shared" si="23"/>
        <v>0.41643518518518519</v>
      </c>
      <c r="L135" s="2">
        <f t="shared" si="14"/>
        <v>130</v>
      </c>
      <c r="M135" s="2">
        <f t="shared" si="21"/>
        <v>70.08</v>
      </c>
      <c r="N135" s="2">
        <v>14</v>
      </c>
      <c r="O135" s="2">
        <v>50.26548245743669</v>
      </c>
      <c r="P135" s="11">
        <f t="shared" si="5"/>
        <v>2.7852115041081689</v>
      </c>
      <c r="Q135" s="2">
        <f t="shared" si="6"/>
        <v>195.18762220790046</v>
      </c>
      <c r="R135" s="2">
        <f t="shared" si="7"/>
        <v>2.6963229723492934</v>
      </c>
      <c r="S135" s="2">
        <f t="shared" si="8"/>
        <v>188.95831390223847</v>
      </c>
      <c r="T135" s="2">
        <f t="shared" si="9"/>
        <v>6.2293083056619878</v>
      </c>
    </row>
    <row r="136" spans="1:20" x14ac:dyDescent="0.25">
      <c r="A136" s="14">
        <f t="shared" si="22"/>
        <v>0.44296652421652422</v>
      </c>
      <c r="B136" s="2">
        <f t="shared" si="11"/>
        <v>131</v>
      </c>
      <c r="C136" s="4">
        <f t="shared" si="20"/>
        <v>70.83</v>
      </c>
      <c r="D136" s="2">
        <v>14</v>
      </c>
      <c r="E136" s="2">
        <v>50.26548245743669</v>
      </c>
      <c r="F136" s="11">
        <f t="shared" si="0"/>
        <v>2.7852115041081689</v>
      </c>
      <c r="G136" s="2">
        <f t="shared" si="1"/>
        <v>197.27653083598159</v>
      </c>
      <c r="H136" s="2">
        <f t="shared" si="2"/>
        <v>2.7046786349163323</v>
      </c>
      <c r="I136" s="2">
        <f t="shared" si="3"/>
        <v>191.57238771112381</v>
      </c>
      <c r="J136" s="2">
        <f t="shared" si="4"/>
        <v>5.7041431248577794</v>
      </c>
      <c r="K136" s="15">
        <f t="shared" si="23"/>
        <v>0.41657763532763536</v>
      </c>
      <c r="L136" s="2">
        <f t="shared" si="14"/>
        <v>131</v>
      </c>
      <c r="M136" s="2">
        <f t="shared" si="21"/>
        <v>70.58</v>
      </c>
      <c r="N136" s="2">
        <v>14</v>
      </c>
      <c r="O136" s="2">
        <v>50.26548245743669</v>
      </c>
      <c r="P136" s="11">
        <f t="shared" si="5"/>
        <v>2.7852115041081689</v>
      </c>
      <c r="Q136" s="2">
        <f t="shared" si="6"/>
        <v>196.58022795995456</v>
      </c>
      <c r="R136" s="2">
        <f t="shared" si="7"/>
        <v>2.6963229723492934</v>
      </c>
      <c r="S136" s="2">
        <f t="shared" si="8"/>
        <v>190.30647538841313</v>
      </c>
      <c r="T136" s="2">
        <f t="shared" si="9"/>
        <v>6.2737525715414222</v>
      </c>
    </row>
    <row r="137" spans="1:20" x14ac:dyDescent="0.25">
      <c r="A137" s="14">
        <f t="shared" si="22"/>
        <v>0.44310897435897434</v>
      </c>
      <c r="B137" s="2">
        <f t="shared" si="11"/>
        <v>132</v>
      </c>
      <c r="C137" s="4">
        <f t="shared" si="20"/>
        <v>71.33</v>
      </c>
      <c r="D137" s="2">
        <v>13.5</v>
      </c>
      <c r="E137" s="2">
        <v>50.26548245743669</v>
      </c>
      <c r="F137" s="11">
        <f t="shared" si="0"/>
        <v>2.6857396646757339</v>
      </c>
      <c r="G137" s="2">
        <f t="shared" si="1"/>
        <v>191.57381028132011</v>
      </c>
      <c r="H137" s="2">
        <f t="shared" si="2"/>
        <v>2.7046786349163323</v>
      </c>
      <c r="I137" s="2">
        <f t="shared" si="3"/>
        <v>192.92472702858197</v>
      </c>
      <c r="J137" s="2">
        <f t="shared" si="4"/>
        <v>1.3509167472618628</v>
      </c>
      <c r="K137" s="15">
        <f t="shared" si="23"/>
        <v>0.41672008547008549</v>
      </c>
      <c r="L137" s="2">
        <f t="shared" si="14"/>
        <v>132</v>
      </c>
      <c r="M137" s="2">
        <f t="shared" si="21"/>
        <v>71.08</v>
      </c>
      <c r="N137" s="2">
        <v>14</v>
      </c>
      <c r="O137" s="2">
        <v>50.26548245743669</v>
      </c>
      <c r="P137" s="11">
        <f t="shared" si="5"/>
        <v>2.7852115041081689</v>
      </c>
      <c r="Q137" s="2">
        <f t="shared" si="6"/>
        <v>197.97283371200865</v>
      </c>
      <c r="R137" s="2">
        <f t="shared" si="7"/>
        <v>2.6963229723492934</v>
      </c>
      <c r="S137" s="2">
        <f t="shared" si="8"/>
        <v>191.65463687458777</v>
      </c>
      <c r="T137" s="2">
        <f t="shared" si="9"/>
        <v>6.318196837420885</v>
      </c>
    </row>
    <row r="138" spans="1:20" x14ac:dyDescent="0.25">
      <c r="A138" s="14">
        <f t="shared" si="22"/>
        <v>0.44325142450142452</v>
      </c>
      <c r="B138" s="2">
        <f t="shared" si="11"/>
        <v>133</v>
      </c>
      <c r="C138" s="4">
        <f t="shared" si="20"/>
        <v>71.83</v>
      </c>
      <c r="D138" s="2">
        <v>12.5</v>
      </c>
      <c r="E138" s="2">
        <v>50.26548245743669</v>
      </c>
      <c r="F138" s="11">
        <f t="shared" si="0"/>
        <v>2.4867959858108648</v>
      </c>
      <c r="G138" s="2">
        <f t="shared" si="1"/>
        <v>178.62655566079442</v>
      </c>
      <c r="H138" s="2">
        <f t="shared" si="2"/>
        <v>2.7046786349163323</v>
      </c>
      <c r="I138" s="2">
        <f t="shared" si="3"/>
        <v>194.27706634604016</v>
      </c>
      <c r="J138" s="2">
        <f t="shared" si="4"/>
        <v>15.650510685245735</v>
      </c>
      <c r="K138" s="15">
        <f t="shared" si="23"/>
        <v>0.41686253561253561</v>
      </c>
      <c r="L138" s="2">
        <f t="shared" si="14"/>
        <v>133</v>
      </c>
      <c r="M138" s="2">
        <f t="shared" si="21"/>
        <v>71.58</v>
      </c>
      <c r="N138" s="2">
        <v>13.5</v>
      </c>
      <c r="O138" s="2">
        <v>50.26548245743669</v>
      </c>
      <c r="P138" s="11">
        <f t="shared" si="5"/>
        <v>2.6857396646757339</v>
      </c>
      <c r="Q138" s="2">
        <f t="shared" si="6"/>
        <v>192.24524519748903</v>
      </c>
      <c r="R138" s="2">
        <f t="shared" si="7"/>
        <v>2.6963229723492934</v>
      </c>
      <c r="S138" s="2">
        <f t="shared" si="8"/>
        <v>193.00279836076243</v>
      </c>
      <c r="T138" s="2">
        <f t="shared" si="9"/>
        <v>0.75755316327339983</v>
      </c>
    </row>
    <row r="139" spans="1:20" x14ac:dyDescent="0.25">
      <c r="A139" s="14">
        <f t="shared" si="22"/>
        <v>0.44339387464387464</v>
      </c>
      <c r="B139" s="2">
        <f t="shared" si="11"/>
        <v>134</v>
      </c>
      <c r="C139" s="4">
        <f t="shared" si="20"/>
        <v>72.33</v>
      </c>
      <c r="D139" s="2">
        <v>13.5</v>
      </c>
      <c r="E139" s="2">
        <v>50.26548245743669</v>
      </c>
      <c r="F139" s="11">
        <f t="shared" si="0"/>
        <v>2.6857396646757339</v>
      </c>
      <c r="G139" s="2">
        <f t="shared" si="1"/>
        <v>194.25954994599581</v>
      </c>
      <c r="H139" s="2">
        <f t="shared" si="2"/>
        <v>2.7046786349163323</v>
      </c>
      <c r="I139" s="2">
        <f t="shared" si="3"/>
        <v>195.62940566349832</v>
      </c>
      <c r="J139" s="2">
        <f t="shared" si="4"/>
        <v>1.369855717502503</v>
      </c>
      <c r="K139" s="15">
        <f t="shared" si="23"/>
        <v>0.41700498575498579</v>
      </c>
      <c r="L139" s="2">
        <f t="shared" si="14"/>
        <v>134</v>
      </c>
      <c r="M139" s="2">
        <f t="shared" si="21"/>
        <v>72.08</v>
      </c>
      <c r="N139" s="2">
        <v>15</v>
      </c>
      <c r="O139" s="2">
        <v>50.26548245743669</v>
      </c>
      <c r="P139" s="11">
        <f t="shared" si="5"/>
        <v>2.9841551829730379</v>
      </c>
      <c r="Q139" s="2">
        <f t="shared" si="6"/>
        <v>215.09790558869656</v>
      </c>
      <c r="R139" s="2">
        <f t="shared" si="7"/>
        <v>2.6963229723492934</v>
      </c>
      <c r="S139" s="2">
        <f t="shared" si="8"/>
        <v>194.35095984693706</v>
      </c>
      <c r="T139" s="2">
        <f t="shared" si="9"/>
        <v>20.746945741759504</v>
      </c>
    </row>
    <row r="140" spans="1:20" x14ac:dyDescent="0.25">
      <c r="A140" s="14">
        <f t="shared" si="22"/>
        <v>0.44353632478632476</v>
      </c>
      <c r="B140" s="2">
        <f t="shared" si="11"/>
        <v>135</v>
      </c>
      <c r="C140" s="4">
        <f t="shared" si="20"/>
        <v>72.83</v>
      </c>
      <c r="D140" s="2">
        <v>14</v>
      </c>
      <c r="E140" s="2">
        <v>50.26548245743669</v>
      </c>
      <c r="F140" s="11">
        <f t="shared" si="0"/>
        <v>2.7852115041081689</v>
      </c>
      <c r="G140" s="2">
        <f t="shared" si="1"/>
        <v>202.84695384419794</v>
      </c>
      <c r="H140" s="2">
        <f t="shared" si="2"/>
        <v>2.7046786349163323</v>
      </c>
      <c r="I140" s="2">
        <f t="shared" si="3"/>
        <v>196.98174498095648</v>
      </c>
      <c r="J140" s="2">
        <f t="shared" si="4"/>
        <v>5.8652088632414632</v>
      </c>
      <c r="K140" s="15">
        <f t="shared" si="23"/>
        <v>0.41714743589743591</v>
      </c>
      <c r="L140" s="2">
        <f t="shared" si="14"/>
        <v>135</v>
      </c>
      <c r="M140" s="2">
        <f t="shared" si="21"/>
        <v>72.58</v>
      </c>
      <c r="N140" s="2">
        <v>15.5</v>
      </c>
      <c r="O140" s="2">
        <v>50.26548245743669</v>
      </c>
      <c r="P140" s="11">
        <f t="shared" si="5"/>
        <v>3.0836270224054725</v>
      </c>
      <c r="Q140" s="2">
        <f t="shared" si="6"/>
        <v>223.8096492861892</v>
      </c>
      <c r="R140" s="2">
        <f t="shared" si="7"/>
        <v>2.6963229723492934</v>
      </c>
      <c r="S140" s="2">
        <f t="shared" si="8"/>
        <v>195.69912133311172</v>
      </c>
      <c r="T140" s="2">
        <f t="shared" si="9"/>
        <v>28.110527953077479</v>
      </c>
    </row>
    <row r="141" spans="1:20" x14ac:dyDescent="0.25">
      <c r="A141" s="14">
        <f t="shared" si="22"/>
        <v>0.44367877492877494</v>
      </c>
      <c r="B141" s="2">
        <f t="shared" si="11"/>
        <v>136</v>
      </c>
      <c r="C141" s="4">
        <f t="shared" si="20"/>
        <v>73.33</v>
      </c>
      <c r="D141" s="2">
        <v>15.5</v>
      </c>
      <c r="E141" s="2">
        <v>50.26548245743669</v>
      </c>
      <c r="F141" s="11">
        <f t="shared" si="0"/>
        <v>3.0836270224054725</v>
      </c>
      <c r="G141" s="2">
        <f t="shared" si="1"/>
        <v>226.12236955299329</v>
      </c>
      <c r="H141" s="2">
        <f t="shared" si="2"/>
        <v>2.7046786349163323</v>
      </c>
      <c r="I141" s="2">
        <f t="shared" si="3"/>
        <v>198.33408429841464</v>
      </c>
      <c r="J141" s="2">
        <f t="shared" si="4"/>
        <v>27.788285254578653</v>
      </c>
      <c r="K141" s="15">
        <f t="shared" si="23"/>
        <v>0.41728988603988604</v>
      </c>
      <c r="L141" s="2">
        <f t="shared" si="14"/>
        <v>136</v>
      </c>
      <c r="M141" s="2">
        <f t="shared" si="21"/>
        <v>73.08</v>
      </c>
      <c r="N141" s="2">
        <v>1</v>
      </c>
      <c r="O141" s="2">
        <v>50.26548245743669</v>
      </c>
      <c r="P141" s="11">
        <f t="shared" si="5"/>
        <v>0.19894367886486919</v>
      </c>
      <c r="Q141" s="2">
        <f t="shared" si="6"/>
        <v>14.538804051444639</v>
      </c>
      <c r="R141" s="2">
        <f t="shared" si="7"/>
        <v>2.6963229723492934</v>
      </c>
      <c r="S141" s="2">
        <f t="shared" si="8"/>
        <v>197.04728281928635</v>
      </c>
      <c r="T141" s="2">
        <f t="shared" si="9"/>
        <v>182.50847876784172</v>
      </c>
    </row>
    <row r="142" spans="1:20" x14ac:dyDescent="0.25">
      <c r="A142" s="14">
        <f t="shared" si="22"/>
        <v>0.44382122507122507</v>
      </c>
      <c r="B142" s="2">
        <f t="shared" si="11"/>
        <v>137</v>
      </c>
      <c r="C142" s="4">
        <f t="shared" si="20"/>
        <v>73.83</v>
      </c>
      <c r="D142" s="2">
        <v>14.5</v>
      </c>
      <c r="E142" s="2">
        <v>50.26548245743669</v>
      </c>
      <c r="F142" s="11">
        <f t="shared" si="0"/>
        <v>2.8846833435406034</v>
      </c>
      <c r="G142" s="2">
        <f t="shared" si="1"/>
        <v>212.97617125360276</v>
      </c>
      <c r="H142" s="2">
        <f t="shared" si="2"/>
        <v>2.7046786349163323</v>
      </c>
      <c r="I142" s="2">
        <f t="shared" si="3"/>
        <v>199.6864236158728</v>
      </c>
      <c r="J142" s="2">
        <f t="shared" si="4"/>
        <v>13.28974763772996</v>
      </c>
      <c r="K142" s="15">
        <f t="shared" si="23"/>
        <v>0.41743233618233622</v>
      </c>
      <c r="L142" s="2">
        <f t="shared" si="14"/>
        <v>137</v>
      </c>
      <c r="M142" s="2">
        <f t="shared" si="21"/>
        <v>73.58</v>
      </c>
      <c r="N142" s="2">
        <v>14.5</v>
      </c>
      <c r="O142" s="2">
        <v>50.26548245743669</v>
      </c>
      <c r="P142" s="11">
        <f t="shared" si="5"/>
        <v>2.8846833435406034</v>
      </c>
      <c r="Q142" s="2">
        <f t="shared" si="6"/>
        <v>212.25500041771758</v>
      </c>
      <c r="R142" s="2">
        <f t="shared" si="7"/>
        <v>2.6963229723492934</v>
      </c>
      <c r="S142" s="2">
        <f t="shared" si="8"/>
        <v>198.39544430546101</v>
      </c>
      <c r="T142" s="2">
        <f t="shared" si="9"/>
        <v>13.85955611225657</v>
      </c>
    </row>
    <row r="143" spans="1:20" x14ac:dyDescent="0.25">
      <c r="A143" s="14">
        <f t="shared" si="22"/>
        <v>0.44396367521367525</v>
      </c>
      <c r="B143" s="2">
        <f t="shared" si="11"/>
        <v>138</v>
      </c>
      <c r="C143" s="4">
        <f t="shared" si="20"/>
        <v>74.33</v>
      </c>
      <c r="D143" s="2">
        <v>14</v>
      </c>
      <c r="E143" s="2">
        <v>50.26548245743669</v>
      </c>
      <c r="F143" s="11">
        <f t="shared" si="0"/>
        <v>2.7852115041081689</v>
      </c>
      <c r="G143" s="2">
        <f t="shared" si="1"/>
        <v>207.0247711003602</v>
      </c>
      <c r="H143" s="2">
        <f t="shared" si="2"/>
        <v>2.7046786349163323</v>
      </c>
      <c r="I143" s="2">
        <f t="shared" si="3"/>
        <v>201.03876293333099</v>
      </c>
      <c r="J143" s="2">
        <f t="shared" si="4"/>
        <v>5.9860081670292118</v>
      </c>
      <c r="K143" s="15">
        <f t="shared" si="23"/>
        <v>0.41757478632478634</v>
      </c>
      <c r="L143" s="2">
        <f t="shared" si="14"/>
        <v>138</v>
      </c>
      <c r="M143" s="2">
        <f t="shared" si="21"/>
        <v>74.08</v>
      </c>
      <c r="N143" s="2">
        <v>14.5</v>
      </c>
      <c r="O143" s="2">
        <v>50.26548245743669</v>
      </c>
      <c r="P143" s="11">
        <f t="shared" si="5"/>
        <v>2.8846833435406034</v>
      </c>
      <c r="Q143" s="2">
        <f t="shared" si="6"/>
        <v>213.6973420894879</v>
      </c>
      <c r="R143" s="2">
        <f t="shared" si="7"/>
        <v>2.6963229723492934</v>
      </c>
      <c r="S143" s="2">
        <f t="shared" si="8"/>
        <v>199.74360579163564</v>
      </c>
      <c r="T143" s="2">
        <f t="shared" si="9"/>
        <v>13.953736297852259</v>
      </c>
    </row>
    <row r="144" spans="1:20" x14ac:dyDescent="0.25">
      <c r="A144" s="14">
        <f t="shared" si="22"/>
        <v>0.44410612535612537</v>
      </c>
      <c r="B144" s="2">
        <f t="shared" si="11"/>
        <v>139</v>
      </c>
      <c r="C144" s="4">
        <f t="shared" si="20"/>
        <v>74.83</v>
      </c>
      <c r="D144" s="2">
        <v>14</v>
      </c>
      <c r="E144" s="2">
        <v>50.26548245743669</v>
      </c>
      <c r="F144" s="11">
        <f t="shared" si="0"/>
        <v>2.7852115041081689</v>
      </c>
      <c r="G144" s="2">
        <f t="shared" si="1"/>
        <v>208.41737685241426</v>
      </c>
      <c r="H144" s="2">
        <f t="shared" si="2"/>
        <v>2.7046786349163323</v>
      </c>
      <c r="I144" s="2">
        <f t="shared" si="3"/>
        <v>202.39110225078915</v>
      </c>
      <c r="J144" s="2">
        <f t="shared" si="4"/>
        <v>6.0262746016251185</v>
      </c>
      <c r="K144" s="15">
        <f t="shared" si="23"/>
        <v>0.41771723646723646</v>
      </c>
      <c r="L144" s="2">
        <f t="shared" si="14"/>
        <v>139</v>
      </c>
      <c r="M144" s="2">
        <f t="shared" si="21"/>
        <v>74.58</v>
      </c>
      <c r="N144" s="2">
        <v>14.5</v>
      </c>
      <c r="O144" s="2">
        <v>50.26548245743669</v>
      </c>
      <c r="P144" s="11">
        <f t="shared" si="5"/>
        <v>2.8846833435406034</v>
      </c>
      <c r="Q144" s="2">
        <f t="shared" si="6"/>
        <v>215.1396837612582</v>
      </c>
      <c r="R144" s="2">
        <f t="shared" si="7"/>
        <v>2.6963229723492934</v>
      </c>
      <c r="S144" s="2">
        <f t="shared" si="8"/>
        <v>201.09176727781031</v>
      </c>
      <c r="T144" s="2">
        <f t="shared" si="9"/>
        <v>14.047916483447892</v>
      </c>
    </row>
    <row r="145" spans="1:20" x14ac:dyDescent="0.25">
      <c r="A145" s="14">
        <f t="shared" si="22"/>
        <v>0.44424857549857549</v>
      </c>
      <c r="B145" s="2">
        <f t="shared" si="11"/>
        <v>140</v>
      </c>
      <c r="C145" s="4">
        <f t="shared" si="20"/>
        <v>75.33</v>
      </c>
      <c r="D145" s="2">
        <v>15.5</v>
      </c>
      <c r="E145" s="2">
        <v>50.26548245743669</v>
      </c>
      <c r="F145" s="11">
        <f t="shared" si="0"/>
        <v>3.0836270224054725</v>
      </c>
      <c r="G145" s="2">
        <f t="shared" si="1"/>
        <v>232.28962359780425</v>
      </c>
      <c r="H145" s="2">
        <f t="shared" si="2"/>
        <v>2.7046786349163323</v>
      </c>
      <c r="I145" s="2">
        <f t="shared" si="3"/>
        <v>203.74344156824731</v>
      </c>
      <c r="J145" s="2">
        <f t="shared" si="4"/>
        <v>28.546182029556945</v>
      </c>
      <c r="K145" s="15">
        <f t="shared" si="23"/>
        <v>0.41785968660968664</v>
      </c>
      <c r="L145" s="2">
        <f t="shared" si="14"/>
        <v>140</v>
      </c>
      <c r="M145" s="2">
        <f t="shared" si="21"/>
        <v>75.08</v>
      </c>
      <c r="N145" s="2">
        <v>14.5</v>
      </c>
      <c r="O145" s="2">
        <v>50.26548245743669</v>
      </c>
      <c r="P145" s="11">
        <f t="shared" si="5"/>
        <v>2.8846833435406034</v>
      </c>
      <c r="Q145" s="2">
        <f t="shared" si="6"/>
        <v>216.58202543302849</v>
      </c>
      <c r="R145" s="2">
        <f t="shared" si="7"/>
        <v>2.6963229723492934</v>
      </c>
      <c r="S145" s="2">
        <f t="shared" si="8"/>
        <v>202.43992876398494</v>
      </c>
      <c r="T145" s="2">
        <f t="shared" si="9"/>
        <v>14.142096669043553</v>
      </c>
    </row>
    <row r="146" spans="1:20" x14ac:dyDescent="0.25">
      <c r="A146" s="14">
        <f t="shared" si="22"/>
        <v>0.44439102564102567</v>
      </c>
      <c r="B146" s="2">
        <f t="shared" si="11"/>
        <v>141</v>
      </c>
      <c r="C146" s="4">
        <f t="shared" si="20"/>
        <v>75.83</v>
      </c>
      <c r="D146" s="2">
        <v>14.5</v>
      </c>
      <c r="E146" s="2">
        <v>50.26548245743669</v>
      </c>
      <c r="F146" s="11">
        <f t="shared" si="0"/>
        <v>2.8846833435406034</v>
      </c>
      <c r="G146" s="2">
        <f t="shared" si="1"/>
        <v>218.74553794068396</v>
      </c>
      <c r="H146" s="2">
        <f t="shared" si="2"/>
        <v>2.7046786349163323</v>
      </c>
      <c r="I146" s="2">
        <f t="shared" si="3"/>
        <v>205.09578088570547</v>
      </c>
      <c r="J146" s="2">
        <f t="shared" si="4"/>
        <v>13.649757054978494</v>
      </c>
      <c r="K146" s="15">
        <f t="shared" si="23"/>
        <v>0.41800213675213677</v>
      </c>
      <c r="L146" s="2">
        <f t="shared" si="14"/>
        <v>141</v>
      </c>
      <c r="M146" s="2">
        <f t="shared" si="21"/>
        <v>75.58</v>
      </c>
      <c r="N146" s="2">
        <v>13.5</v>
      </c>
      <c r="O146" s="2">
        <v>50.26548245743669</v>
      </c>
      <c r="P146" s="11">
        <f t="shared" si="5"/>
        <v>2.6857396646757339</v>
      </c>
      <c r="Q146" s="2">
        <f t="shared" si="6"/>
        <v>202.98820385619197</v>
      </c>
      <c r="R146" s="2">
        <f t="shared" si="7"/>
        <v>2.6963229723492934</v>
      </c>
      <c r="S146" s="2">
        <f t="shared" si="8"/>
        <v>203.7880902501596</v>
      </c>
      <c r="T146" s="2">
        <f t="shared" si="9"/>
        <v>0.79988639396762551</v>
      </c>
    </row>
    <row r="147" spans="1:20" x14ac:dyDescent="0.25">
      <c r="A147" s="14">
        <f t="shared" si="22"/>
        <v>0.4445334757834758</v>
      </c>
      <c r="B147" s="2">
        <f t="shared" si="11"/>
        <v>142</v>
      </c>
      <c r="C147" s="4">
        <f t="shared" si="20"/>
        <v>76.33</v>
      </c>
      <c r="D147" s="2">
        <v>14</v>
      </c>
      <c r="E147" s="2">
        <v>50.26548245743669</v>
      </c>
      <c r="F147" s="11">
        <f t="shared" si="0"/>
        <v>2.7852115041081689</v>
      </c>
      <c r="G147" s="2">
        <f t="shared" si="1"/>
        <v>212.59519410857652</v>
      </c>
      <c r="H147" s="2">
        <f t="shared" si="2"/>
        <v>2.7046786349163323</v>
      </c>
      <c r="I147" s="2">
        <f t="shared" si="3"/>
        <v>206.44812020316365</v>
      </c>
      <c r="J147" s="2">
        <f t="shared" si="4"/>
        <v>6.1470739054128671</v>
      </c>
      <c r="K147" s="15">
        <f t="shared" si="23"/>
        <v>0.41814458689458689</v>
      </c>
      <c r="L147" s="2">
        <f t="shared" si="14"/>
        <v>142</v>
      </c>
      <c r="M147" s="2">
        <f t="shared" si="21"/>
        <v>76.08</v>
      </c>
      <c r="N147" s="2">
        <v>14</v>
      </c>
      <c r="O147" s="2">
        <v>50.26548245743669</v>
      </c>
      <c r="P147" s="11">
        <f t="shared" si="5"/>
        <v>2.7852115041081689</v>
      </c>
      <c r="Q147" s="2">
        <f t="shared" si="6"/>
        <v>211.89889123254949</v>
      </c>
      <c r="R147" s="2">
        <f t="shared" si="7"/>
        <v>2.6963229723492934</v>
      </c>
      <c r="S147" s="2">
        <f t="shared" si="8"/>
        <v>205.13625173633423</v>
      </c>
      <c r="T147" s="2">
        <f t="shared" si="9"/>
        <v>6.7626394962152574</v>
      </c>
    </row>
    <row r="148" spans="1:20" x14ac:dyDescent="0.25">
      <c r="A148" s="14">
        <f t="shared" si="22"/>
        <v>0.44467592592592592</v>
      </c>
      <c r="B148" s="2">
        <f t="shared" si="11"/>
        <v>143</v>
      </c>
      <c r="C148" s="4">
        <f t="shared" si="20"/>
        <v>76.83</v>
      </c>
      <c r="D148" s="2">
        <v>14</v>
      </c>
      <c r="E148" s="2">
        <v>50.26548245743669</v>
      </c>
      <c r="F148" s="11">
        <f t="shared" si="0"/>
        <v>2.7852115041081689</v>
      </c>
      <c r="G148" s="2">
        <f t="shared" si="1"/>
        <v>213.98779986063062</v>
      </c>
      <c r="H148" s="2">
        <f t="shared" si="2"/>
        <v>2.7046786349163323</v>
      </c>
      <c r="I148" s="2">
        <f t="shared" si="3"/>
        <v>207.80045952062181</v>
      </c>
      <c r="J148" s="2">
        <f t="shared" si="4"/>
        <v>6.1873403400088023</v>
      </c>
      <c r="K148" s="15">
        <f t="shared" si="23"/>
        <v>0.41828703703703707</v>
      </c>
      <c r="L148" s="2">
        <f t="shared" si="14"/>
        <v>143</v>
      </c>
      <c r="M148" s="2">
        <f t="shared" si="21"/>
        <v>76.58</v>
      </c>
      <c r="N148" s="2">
        <v>14</v>
      </c>
      <c r="O148" s="2">
        <v>50.26548245743669</v>
      </c>
      <c r="P148" s="11">
        <f t="shared" si="5"/>
        <v>2.7852115041081689</v>
      </c>
      <c r="Q148" s="2">
        <f t="shared" si="6"/>
        <v>213.29149698460355</v>
      </c>
      <c r="R148" s="2">
        <f t="shared" si="7"/>
        <v>2.6963229723492934</v>
      </c>
      <c r="S148" s="2">
        <f t="shared" si="8"/>
        <v>206.48441322250889</v>
      </c>
      <c r="T148" s="2">
        <f t="shared" si="9"/>
        <v>6.8070837620946634</v>
      </c>
    </row>
    <row r="149" spans="1:20" x14ac:dyDescent="0.25">
      <c r="A149" s="14">
        <f t="shared" si="22"/>
        <v>0.4448183760683761</v>
      </c>
      <c r="B149" s="2">
        <f t="shared" si="11"/>
        <v>144</v>
      </c>
      <c r="C149" s="4">
        <f t="shared" si="20"/>
        <v>77.33</v>
      </c>
      <c r="D149" s="2">
        <v>14</v>
      </c>
      <c r="E149" s="2">
        <v>50.26548245743669</v>
      </c>
      <c r="F149" s="11">
        <f t="shared" si="0"/>
        <v>2.7852115041081689</v>
      </c>
      <c r="G149" s="2">
        <f t="shared" si="1"/>
        <v>215.38040561268468</v>
      </c>
      <c r="H149" s="2">
        <f t="shared" si="2"/>
        <v>2.7046786349163323</v>
      </c>
      <c r="I149" s="2">
        <f t="shared" si="3"/>
        <v>209.15279883807997</v>
      </c>
      <c r="J149" s="2">
        <f t="shared" si="4"/>
        <v>6.227606774604709</v>
      </c>
      <c r="K149" s="15">
        <f t="shared" si="23"/>
        <v>0.41842948717948719</v>
      </c>
      <c r="L149" s="2">
        <f t="shared" si="14"/>
        <v>144</v>
      </c>
      <c r="M149" s="2">
        <f t="shared" si="21"/>
        <v>77.08</v>
      </c>
      <c r="N149" s="2">
        <v>13.5</v>
      </c>
      <c r="O149" s="2">
        <v>50.26548245743669</v>
      </c>
      <c r="P149" s="11">
        <f t="shared" si="5"/>
        <v>2.6857396646757339</v>
      </c>
      <c r="Q149" s="2">
        <f t="shared" si="6"/>
        <v>207.01681335320555</v>
      </c>
      <c r="R149" s="2">
        <f t="shared" si="7"/>
        <v>2.6963229723492934</v>
      </c>
      <c r="S149" s="2">
        <f t="shared" si="8"/>
        <v>207.83257470868352</v>
      </c>
      <c r="T149" s="2">
        <f t="shared" si="9"/>
        <v>0.81576135547797435</v>
      </c>
    </row>
    <row r="150" spans="1:20" x14ac:dyDescent="0.25">
      <c r="A150" s="14">
        <f t="shared" si="22"/>
        <v>0.44496082621082622</v>
      </c>
      <c r="B150" s="2">
        <f t="shared" si="11"/>
        <v>145</v>
      </c>
      <c r="C150" s="4">
        <f t="shared" si="20"/>
        <v>77.83</v>
      </c>
      <c r="D150" s="2">
        <v>14</v>
      </c>
      <c r="E150" s="2">
        <v>50.26548245743669</v>
      </c>
      <c r="F150" s="11">
        <f t="shared" si="0"/>
        <v>2.7852115041081689</v>
      </c>
      <c r="G150" s="2">
        <f t="shared" si="1"/>
        <v>216.77301136473878</v>
      </c>
      <c r="H150" s="2">
        <f t="shared" si="2"/>
        <v>2.7046786349163323</v>
      </c>
      <c r="I150" s="2">
        <f t="shared" si="3"/>
        <v>210.50513815553813</v>
      </c>
      <c r="J150" s="2">
        <f t="shared" si="4"/>
        <v>6.2678732092006442</v>
      </c>
      <c r="K150" s="15">
        <f t="shared" si="23"/>
        <v>0.41857193732193732</v>
      </c>
      <c r="L150" s="2">
        <f t="shared" si="14"/>
        <v>145</v>
      </c>
      <c r="M150" s="2">
        <f t="shared" si="21"/>
        <v>77.58</v>
      </c>
      <c r="N150" s="2">
        <v>14</v>
      </c>
      <c r="O150" s="2">
        <v>50.26548245743669</v>
      </c>
      <c r="P150" s="11">
        <f t="shared" si="5"/>
        <v>2.7852115041081689</v>
      </c>
      <c r="Q150" s="2">
        <f t="shared" si="6"/>
        <v>216.07670848871174</v>
      </c>
      <c r="R150" s="2">
        <f t="shared" si="7"/>
        <v>2.6963229723492934</v>
      </c>
      <c r="S150" s="2">
        <f t="shared" si="8"/>
        <v>209.18073619485818</v>
      </c>
      <c r="T150" s="2">
        <f t="shared" si="9"/>
        <v>6.8959722938535606</v>
      </c>
    </row>
    <row r="151" spans="1:20" x14ac:dyDescent="0.25">
      <c r="A151" s="14">
        <f t="shared" si="22"/>
        <v>0.44510327635327634</v>
      </c>
      <c r="B151" s="2">
        <f t="shared" si="11"/>
        <v>146</v>
      </c>
      <c r="C151" s="4">
        <f t="shared" si="20"/>
        <v>78.33</v>
      </c>
      <c r="D151" s="2">
        <v>13.5</v>
      </c>
      <c r="E151" s="2">
        <v>50.26548245743669</v>
      </c>
      <c r="F151" s="11">
        <f t="shared" si="0"/>
        <v>2.6857396646757339</v>
      </c>
      <c r="G151" s="2">
        <f t="shared" si="1"/>
        <v>210.37398793405023</v>
      </c>
      <c r="H151" s="2">
        <f t="shared" si="2"/>
        <v>2.7046786349163323</v>
      </c>
      <c r="I151" s="2">
        <f t="shared" si="3"/>
        <v>211.85747747299629</v>
      </c>
      <c r="J151" s="2">
        <f t="shared" si="4"/>
        <v>1.4834895389460598</v>
      </c>
      <c r="K151" s="15">
        <f t="shared" si="23"/>
        <v>0.41871438746438749</v>
      </c>
      <c r="L151" s="2">
        <f t="shared" si="14"/>
        <v>146</v>
      </c>
      <c r="M151" s="2">
        <f t="shared" si="21"/>
        <v>78.08</v>
      </c>
      <c r="N151" s="2">
        <v>13.5</v>
      </c>
      <c r="O151" s="2">
        <v>50.26548245743669</v>
      </c>
      <c r="P151" s="11">
        <f t="shared" si="5"/>
        <v>2.6857396646757339</v>
      </c>
      <c r="Q151" s="2">
        <f t="shared" si="6"/>
        <v>209.70255301788129</v>
      </c>
      <c r="R151" s="2">
        <f t="shared" si="7"/>
        <v>2.6963229723492934</v>
      </c>
      <c r="S151" s="2">
        <f t="shared" si="8"/>
        <v>210.52889768103282</v>
      </c>
      <c r="T151" s="2">
        <f t="shared" si="9"/>
        <v>0.82634466315153077</v>
      </c>
    </row>
    <row r="152" spans="1:20" x14ac:dyDescent="0.25">
      <c r="A152" s="14">
        <f t="shared" si="22"/>
        <v>0.44524572649572652</v>
      </c>
      <c r="B152" s="2">
        <f t="shared" si="11"/>
        <v>147</v>
      </c>
      <c r="C152" s="4">
        <f t="shared" si="20"/>
        <v>78.83</v>
      </c>
      <c r="D152" s="2">
        <v>13.5</v>
      </c>
      <c r="E152" s="2">
        <v>50.26548245743669</v>
      </c>
      <c r="F152" s="11">
        <f t="shared" si="0"/>
        <v>2.6857396646757339</v>
      </c>
      <c r="G152" s="2">
        <f t="shared" si="1"/>
        <v>211.7168577663881</v>
      </c>
      <c r="H152" s="2">
        <f t="shared" si="2"/>
        <v>2.7046786349163323</v>
      </c>
      <c r="I152" s="2">
        <f t="shared" si="3"/>
        <v>213.20981679045448</v>
      </c>
      <c r="J152" s="2">
        <f t="shared" si="4"/>
        <v>1.4929590240663799</v>
      </c>
      <c r="K152" s="15">
        <f t="shared" si="23"/>
        <v>0.41885683760683762</v>
      </c>
      <c r="L152" s="2">
        <f t="shared" si="14"/>
        <v>147</v>
      </c>
      <c r="M152" s="2">
        <f t="shared" si="21"/>
        <v>78.58</v>
      </c>
      <c r="N152" s="2">
        <v>14</v>
      </c>
      <c r="O152" s="2">
        <v>50.26548245743669</v>
      </c>
      <c r="P152" s="11">
        <f t="shared" si="5"/>
        <v>2.7852115041081689</v>
      </c>
      <c r="Q152" s="2">
        <f t="shared" si="6"/>
        <v>218.86191999281991</v>
      </c>
      <c r="R152" s="2">
        <f t="shared" si="7"/>
        <v>2.6963229723492934</v>
      </c>
      <c r="S152" s="2">
        <f t="shared" si="8"/>
        <v>211.87705916720748</v>
      </c>
      <c r="T152" s="2">
        <f t="shared" si="9"/>
        <v>6.9848608256124294</v>
      </c>
    </row>
    <row r="153" spans="1:20" x14ac:dyDescent="0.25">
      <c r="A153" s="14">
        <f t="shared" si="22"/>
        <v>0.44538817663817665</v>
      </c>
      <c r="B153" s="2">
        <f t="shared" si="11"/>
        <v>148</v>
      </c>
      <c r="C153" s="4">
        <f t="shared" si="20"/>
        <v>79.33</v>
      </c>
      <c r="D153" s="2">
        <v>14.5</v>
      </c>
      <c r="E153" s="2">
        <v>50.26548245743669</v>
      </c>
      <c r="F153" s="11">
        <f t="shared" si="0"/>
        <v>2.8846833435406034</v>
      </c>
      <c r="G153" s="2">
        <f t="shared" si="1"/>
        <v>228.84192964307607</v>
      </c>
      <c r="H153" s="2">
        <f t="shared" si="2"/>
        <v>2.7046786349163323</v>
      </c>
      <c r="I153" s="2">
        <f t="shared" si="3"/>
        <v>214.56215610791264</v>
      </c>
      <c r="J153" s="2">
        <f t="shared" si="4"/>
        <v>14.279773535163429</v>
      </c>
      <c r="K153" s="15">
        <f t="shared" si="23"/>
        <v>0.41899928774928774</v>
      </c>
      <c r="L153" s="2">
        <f t="shared" si="14"/>
        <v>148</v>
      </c>
      <c r="M153" s="2">
        <f t="shared" si="21"/>
        <v>79.08</v>
      </c>
      <c r="N153" s="2">
        <v>15</v>
      </c>
      <c r="O153" s="2">
        <v>50.26548245743669</v>
      </c>
      <c r="P153" s="11">
        <f t="shared" si="5"/>
        <v>2.9841551829730379</v>
      </c>
      <c r="Q153" s="2">
        <f t="shared" si="6"/>
        <v>235.98699186950785</v>
      </c>
      <c r="R153" s="2">
        <f t="shared" si="7"/>
        <v>2.6963229723492934</v>
      </c>
      <c r="S153" s="2">
        <f t="shared" si="8"/>
        <v>213.22522065338211</v>
      </c>
      <c r="T153" s="2">
        <f t="shared" si="9"/>
        <v>22.761771216125737</v>
      </c>
    </row>
    <row r="154" spans="1:20" x14ac:dyDescent="0.25">
      <c r="A154" s="14">
        <f t="shared" si="22"/>
        <v>0.44553062678062677</v>
      </c>
      <c r="B154" s="2">
        <f t="shared" si="11"/>
        <v>149</v>
      </c>
      <c r="C154" s="4">
        <f t="shared" si="20"/>
        <v>79.83</v>
      </c>
      <c r="D154" s="2">
        <v>15</v>
      </c>
      <c r="E154" s="2">
        <v>50.26548245743669</v>
      </c>
      <c r="F154" s="11">
        <f t="shared" si="0"/>
        <v>2.9841551829730379</v>
      </c>
      <c r="G154" s="2">
        <f t="shared" si="1"/>
        <v>238.22510825673763</v>
      </c>
      <c r="H154" s="2">
        <f t="shared" si="2"/>
        <v>2.7046786349163323</v>
      </c>
      <c r="I154" s="2">
        <f t="shared" si="3"/>
        <v>215.9144954253708</v>
      </c>
      <c r="J154" s="2">
        <f t="shared" si="4"/>
        <v>22.310612831366825</v>
      </c>
      <c r="K154" s="15">
        <f t="shared" si="23"/>
        <v>0.41914173789173792</v>
      </c>
      <c r="L154" s="2">
        <f t="shared" si="14"/>
        <v>149</v>
      </c>
      <c r="M154" s="2">
        <f t="shared" si="21"/>
        <v>79.58</v>
      </c>
      <c r="N154" s="2">
        <v>15</v>
      </c>
      <c r="O154" s="2">
        <v>50.26548245743669</v>
      </c>
      <c r="P154" s="11">
        <f t="shared" si="5"/>
        <v>2.9841551829730379</v>
      </c>
      <c r="Q154" s="2">
        <f t="shared" si="6"/>
        <v>237.47906946099437</v>
      </c>
      <c r="R154" s="2">
        <f t="shared" si="7"/>
        <v>2.6963229723492934</v>
      </c>
      <c r="S154" s="2">
        <f t="shared" si="8"/>
        <v>214.57338213955677</v>
      </c>
      <c r="T154" s="2">
        <f t="shared" si="9"/>
        <v>22.905687321437597</v>
      </c>
    </row>
    <row r="155" spans="1:20" x14ac:dyDescent="0.25">
      <c r="A155" s="14">
        <f t="shared" si="22"/>
        <v>0.44567307692307695</v>
      </c>
      <c r="B155" s="2">
        <f t="shared" si="11"/>
        <v>150</v>
      </c>
      <c r="C155" s="4">
        <f t="shared" si="20"/>
        <v>80.33</v>
      </c>
      <c r="D155" s="2">
        <v>14.5</v>
      </c>
      <c r="E155" s="2">
        <v>50.26548245743669</v>
      </c>
      <c r="F155" s="11">
        <f t="shared" si="0"/>
        <v>2.8846833435406034</v>
      </c>
      <c r="G155" s="2">
        <f t="shared" si="1"/>
        <v>231.72661298661666</v>
      </c>
      <c r="H155" s="2">
        <f t="shared" si="2"/>
        <v>2.7046786349163323</v>
      </c>
      <c r="I155" s="2">
        <f t="shared" si="3"/>
        <v>217.26683474282896</v>
      </c>
      <c r="J155" s="2">
        <f t="shared" si="4"/>
        <v>14.459778243787696</v>
      </c>
      <c r="K155" s="15">
        <f t="shared" si="23"/>
        <v>0.41928418803418804</v>
      </c>
      <c r="L155" s="2">
        <f t="shared" si="14"/>
        <v>150</v>
      </c>
      <c r="M155" s="2">
        <f t="shared" si="21"/>
        <v>80.08</v>
      </c>
      <c r="N155" s="2">
        <v>13</v>
      </c>
      <c r="O155" s="2">
        <v>50.26548245743669</v>
      </c>
      <c r="P155" s="11">
        <f t="shared" si="5"/>
        <v>2.5862678252432989</v>
      </c>
      <c r="Q155" s="2">
        <f t="shared" si="6"/>
        <v>207.10832744548338</v>
      </c>
      <c r="R155" s="2">
        <f t="shared" si="7"/>
        <v>2.6963229723492934</v>
      </c>
      <c r="S155" s="2">
        <f t="shared" si="8"/>
        <v>215.9215436257314</v>
      </c>
      <c r="T155" s="2">
        <f t="shared" si="9"/>
        <v>8.8132161802480198</v>
      </c>
    </row>
    <row r="156" spans="1:20" x14ac:dyDescent="0.25">
      <c r="A156" s="14">
        <f t="shared" si="22"/>
        <v>0.44581552706552707</v>
      </c>
      <c r="B156" s="2">
        <f t="shared" si="11"/>
        <v>151</v>
      </c>
      <c r="C156" s="4">
        <f t="shared" si="20"/>
        <v>80.83</v>
      </c>
      <c r="D156" s="2">
        <v>13.5</v>
      </c>
      <c r="E156" s="2">
        <v>50.26548245743669</v>
      </c>
      <c r="F156" s="11">
        <f t="shared" si="0"/>
        <v>2.6857396646757339</v>
      </c>
      <c r="G156" s="2">
        <f t="shared" si="1"/>
        <v>217.08833709573958</v>
      </c>
      <c r="H156" s="2">
        <f t="shared" si="2"/>
        <v>2.7046786349163323</v>
      </c>
      <c r="I156" s="2">
        <f t="shared" si="3"/>
        <v>218.61917406028715</v>
      </c>
      <c r="J156" s="2">
        <f t="shared" si="4"/>
        <v>1.530836964547575</v>
      </c>
      <c r="K156" s="15">
        <f t="shared" si="23"/>
        <v>0.41942663817663817</v>
      </c>
      <c r="L156" s="2">
        <f t="shared" si="14"/>
        <v>151</v>
      </c>
      <c r="M156" s="2">
        <f t="shared" si="21"/>
        <v>80.58</v>
      </c>
      <c r="N156" s="2">
        <v>13</v>
      </c>
      <c r="O156" s="2">
        <v>50.26548245743669</v>
      </c>
      <c r="P156" s="11">
        <f t="shared" si="5"/>
        <v>2.5862678252432989</v>
      </c>
      <c r="Q156" s="2">
        <f t="shared" si="6"/>
        <v>208.40146135810502</v>
      </c>
      <c r="R156" s="2">
        <f t="shared" si="7"/>
        <v>2.6963229723492934</v>
      </c>
      <c r="S156" s="2">
        <f t="shared" si="8"/>
        <v>217.26970511190606</v>
      </c>
      <c r="T156" s="2">
        <f t="shared" si="9"/>
        <v>8.868243753801039</v>
      </c>
    </row>
    <row r="157" spans="1:20" x14ac:dyDescent="0.25">
      <c r="A157" s="14">
        <f t="shared" si="22"/>
        <v>0.44595797720797725</v>
      </c>
      <c r="B157" s="2">
        <f t="shared" si="11"/>
        <v>152</v>
      </c>
      <c r="C157" s="4">
        <f t="shared" si="20"/>
        <v>81.33</v>
      </c>
      <c r="D157" s="2">
        <v>12.5</v>
      </c>
      <c r="E157" s="2">
        <v>50.26548245743669</v>
      </c>
      <c r="F157" s="11">
        <f t="shared" si="0"/>
        <v>2.4867959858108648</v>
      </c>
      <c r="G157" s="2">
        <f t="shared" si="1"/>
        <v>202.25111752599764</v>
      </c>
      <c r="H157" s="2">
        <f t="shared" si="2"/>
        <v>2.7046786349163323</v>
      </c>
      <c r="I157" s="2">
        <f t="shared" si="3"/>
        <v>219.97151337774531</v>
      </c>
      <c r="J157" s="2">
        <f t="shared" si="4"/>
        <v>17.720395851747668</v>
      </c>
      <c r="K157" s="15">
        <f t="shared" si="23"/>
        <v>0.41956908831908835</v>
      </c>
      <c r="L157" s="2">
        <f t="shared" si="14"/>
        <v>152</v>
      </c>
      <c r="M157" s="2">
        <f t="shared" si="21"/>
        <v>81.08</v>
      </c>
      <c r="N157" s="2">
        <v>12</v>
      </c>
      <c r="O157" s="2">
        <v>50.26548245743669</v>
      </c>
      <c r="P157" s="11">
        <f t="shared" si="5"/>
        <v>2.3873241463784298</v>
      </c>
      <c r="Q157" s="2">
        <f t="shared" si="6"/>
        <v>193.56424178836309</v>
      </c>
      <c r="R157" s="2">
        <f t="shared" si="7"/>
        <v>2.6963229723492934</v>
      </c>
      <c r="S157" s="2">
        <f t="shared" si="8"/>
        <v>218.6178665980807</v>
      </c>
      <c r="T157" s="2">
        <f t="shared" si="9"/>
        <v>25.053624809717604</v>
      </c>
    </row>
    <row r="158" spans="1:20" x14ac:dyDescent="0.25">
      <c r="A158" s="14">
        <f t="shared" si="22"/>
        <v>0.44610042735042738</v>
      </c>
      <c r="B158" s="2">
        <f t="shared" si="11"/>
        <v>153</v>
      </c>
      <c r="C158" s="4">
        <f t="shared" si="20"/>
        <v>81.83</v>
      </c>
      <c r="D158" s="2">
        <v>12.5</v>
      </c>
      <c r="E158" s="2">
        <v>50.26548245743669</v>
      </c>
      <c r="F158" s="11">
        <f t="shared" si="0"/>
        <v>2.4867959858108648</v>
      </c>
      <c r="G158" s="2">
        <f t="shared" si="1"/>
        <v>203.49451551890306</v>
      </c>
      <c r="H158" s="2">
        <f t="shared" si="2"/>
        <v>2.7046786349163323</v>
      </c>
      <c r="I158" s="2">
        <f t="shared" si="3"/>
        <v>221.32385269520347</v>
      </c>
      <c r="J158" s="2">
        <f t="shared" si="4"/>
        <v>17.829337176300413</v>
      </c>
      <c r="K158" s="15">
        <f t="shared" si="23"/>
        <v>0.41971153846153847</v>
      </c>
      <c r="L158" s="2">
        <f t="shared" si="14"/>
        <v>153</v>
      </c>
      <c r="M158" s="2">
        <f t="shared" si="21"/>
        <v>81.58</v>
      </c>
      <c r="N158" s="2">
        <v>13</v>
      </c>
      <c r="O158" s="2">
        <v>50.26548245743669</v>
      </c>
      <c r="P158" s="11">
        <f t="shared" si="5"/>
        <v>2.5862678252432989</v>
      </c>
      <c r="Q158" s="2">
        <f t="shared" si="6"/>
        <v>210.98772918334831</v>
      </c>
      <c r="R158" s="2">
        <f t="shared" si="7"/>
        <v>2.6963229723492934</v>
      </c>
      <c r="S158" s="2">
        <f t="shared" si="8"/>
        <v>219.96602808425536</v>
      </c>
      <c r="T158" s="2">
        <f t="shared" si="9"/>
        <v>8.9782989009070491</v>
      </c>
    </row>
    <row r="159" spans="1:20" x14ac:dyDescent="0.25">
      <c r="A159" s="14">
        <f t="shared" si="22"/>
        <v>0.4462428774928775</v>
      </c>
      <c r="B159" s="2">
        <f t="shared" si="11"/>
        <v>154</v>
      </c>
      <c r="C159" s="4">
        <f t="shared" si="20"/>
        <v>82.33</v>
      </c>
      <c r="D159" s="2">
        <v>11.5</v>
      </c>
      <c r="E159" s="2">
        <v>50.26548245743669</v>
      </c>
      <c r="F159" s="11">
        <f t="shared" si="0"/>
        <v>2.2878523069459957</v>
      </c>
      <c r="G159" s="2">
        <f t="shared" si="1"/>
        <v>188.35888043086382</v>
      </c>
      <c r="H159" s="2">
        <f t="shared" si="2"/>
        <v>2.7046786349163323</v>
      </c>
      <c r="I159" s="2">
        <f t="shared" si="3"/>
        <v>222.67619201266163</v>
      </c>
      <c r="J159" s="2">
        <f t="shared" si="4"/>
        <v>34.31731158179781</v>
      </c>
      <c r="K159" s="15">
        <f t="shared" si="23"/>
        <v>0.41985398860398859</v>
      </c>
      <c r="L159" s="2">
        <f t="shared" si="14"/>
        <v>154</v>
      </c>
      <c r="M159" s="2">
        <f t="shared" si="21"/>
        <v>82.08</v>
      </c>
      <c r="N159" s="2">
        <v>11.5</v>
      </c>
      <c r="O159" s="2">
        <v>50.26548245743669</v>
      </c>
      <c r="P159" s="11">
        <f t="shared" si="5"/>
        <v>2.2878523069459957</v>
      </c>
      <c r="Q159" s="2">
        <f t="shared" si="6"/>
        <v>187.78691735412733</v>
      </c>
      <c r="R159" s="2">
        <f t="shared" si="7"/>
        <v>2.6963229723492934</v>
      </c>
      <c r="S159" s="2">
        <f t="shared" si="8"/>
        <v>221.31418957042999</v>
      </c>
      <c r="T159" s="2">
        <f t="shared" si="9"/>
        <v>33.527272216302663</v>
      </c>
    </row>
    <row r="160" spans="1:20" x14ac:dyDescent="0.25">
      <c r="A160" s="14">
        <f t="shared" si="22"/>
        <v>0.44638532763532768</v>
      </c>
      <c r="B160" s="2">
        <f t="shared" si="11"/>
        <v>155</v>
      </c>
      <c r="C160" s="4">
        <f t="shared" si="20"/>
        <v>82.83</v>
      </c>
      <c r="D160" s="2">
        <v>11</v>
      </c>
      <c r="E160" s="2">
        <v>50.26548245743669</v>
      </c>
      <c r="F160" s="11">
        <f t="shared" si="0"/>
        <v>2.1883804675135607</v>
      </c>
      <c r="G160" s="2">
        <f t="shared" si="1"/>
        <v>181.26355412414824</v>
      </c>
      <c r="H160" s="2">
        <f t="shared" si="2"/>
        <v>2.7046786349163323</v>
      </c>
      <c r="I160" s="2">
        <f t="shared" si="3"/>
        <v>224.02853133011979</v>
      </c>
      <c r="J160" s="2">
        <f t="shared" si="4"/>
        <v>42.764977205971547</v>
      </c>
      <c r="K160" s="15">
        <f t="shared" si="23"/>
        <v>0.41999643874643877</v>
      </c>
      <c r="L160" s="2">
        <f t="shared" si="14"/>
        <v>155</v>
      </c>
      <c r="M160" s="2">
        <f t="shared" si="21"/>
        <v>82.58</v>
      </c>
      <c r="N160" s="2">
        <v>10</v>
      </c>
      <c r="O160" s="2">
        <v>50.26548245743669</v>
      </c>
      <c r="P160" s="11">
        <f t="shared" si="5"/>
        <v>1.9894367886486919</v>
      </c>
      <c r="Q160" s="2">
        <f t="shared" si="6"/>
        <v>164.28769000660898</v>
      </c>
      <c r="R160" s="2">
        <f t="shared" si="7"/>
        <v>2.6963229723492934</v>
      </c>
      <c r="S160" s="2">
        <f t="shared" si="8"/>
        <v>222.66235105660465</v>
      </c>
      <c r="T160" s="2">
        <f t="shared" si="9"/>
        <v>58.374661049995666</v>
      </c>
    </row>
    <row r="161" spans="1:20" x14ac:dyDescent="0.25">
      <c r="A161" s="10">
        <v>0.4465277777777778</v>
      </c>
      <c r="B161" s="2">
        <f t="shared" si="11"/>
        <v>156</v>
      </c>
      <c r="C161" s="4">
        <f t="shared" si="20"/>
        <v>83.33</v>
      </c>
      <c r="D161" s="2">
        <v>9.5</v>
      </c>
      <c r="E161" s="2">
        <v>50.26548245743669</v>
      </c>
      <c r="F161" s="11">
        <f t="shared" si="0"/>
        <v>1.8899649492162571</v>
      </c>
      <c r="G161" s="2">
        <f t="shared" si="1"/>
        <v>157.49077921819071</v>
      </c>
      <c r="H161" s="2">
        <f t="shared" si="2"/>
        <v>2.7046786349163323</v>
      </c>
      <c r="I161" s="2">
        <f t="shared" si="3"/>
        <v>225.38087064757798</v>
      </c>
      <c r="J161" s="2">
        <f t="shared" si="4"/>
        <v>67.890091429387269</v>
      </c>
      <c r="K161" s="12">
        <v>0.4201388888888889</v>
      </c>
      <c r="L161" s="2">
        <f t="shared" si="14"/>
        <v>156</v>
      </c>
      <c r="M161" s="2">
        <f t="shared" si="21"/>
        <v>83.08</v>
      </c>
      <c r="N161" s="2">
        <v>9</v>
      </c>
      <c r="O161" s="2">
        <v>50.26548245743669</v>
      </c>
      <c r="P161" s="11">
        <f t="shared" si="5"/>
        <v>1.7904931097838226</v>
      </c>
      <c r="Q161" s="2">
        <f t="shared" si="6"/>
        <v>148.75416756083999</v>
      </c>
      <c r="R161" s="2">
        <f t="shared" si="7"/>
        <v>2.6963229723492934</v>
      </c>
      <c r="S161" s="2">
        <f t="shared" si="8"/>
        <v>224.01051254277928</v>
      </c>
      <c r="T161" s="2">
        <f t="shared" si="9"/>
        <v>75.256344981939293</v>
      </c>
    </row>
    <row r="162" spans="1:20" x14ac:dyDescent="0.25">
      <c r="A162" s="14">
        <v>0.4465277777777778</v>
      </c>
      <c r="B162" s="2">
        <f t="shared" si="11"/>
        <v>157</v>
      </c>
      <c r="C162" s="4">
        <f t="shared" si="20"/>
        <v>83.83</v>
      </c>
      <c r="D162" s="2">
        <v>9.5</v>
      </c>
      <c r="E162" s="2">
        <v>50.26548245743669</v>
      </c>
      <c r="F162" s="11">
        <f t="shared" si="0"/>
        <v>1.8899649492162571</v>
      </c>
      <c r="G162" s="2">
        <f t="shared" si="1"/>
        <v>158.43576169279882</v>
      </c>
      <c r="H162" s="2">
        <f t="shared" si="2"/>
        <v>2.7046786349163323</v>
      </c>
      <c r="I162" s="2">
        <f t="shared" si="3"/>
        <v>226.73320996503614</v>
      </c>
      <c r="J162" s="2">
        <f t="shared" si="4"/>
        <v>68.297448272237318</v>
      </c>
      <c r="K162" s="15">
        <v>0.4201388888888889</v>
      </c>
      <c r="L162" s="2">
        <f t="shared" si="14"/>
        <v>157</v>
      </c>
      <c r="M162" s="2">
        <f t="shared" si="21"/>
        <v>83.58</v>
      </c>
      <c r="N162" s="2">
        <v>9</v>
      </c>
      <c r="O162" s="2">
        <v>50.26548245743669</v>
      </c>
      <c r="P162" s="11">
        <f t="shared" si="5"/>
        <v>1.7904931097838226</v>
      </c>
      <c r="Q162" s="2">
        <f t="shared" si="6"/>
        <v>149.6494141157319</v>
      </c>
      <c r="R162" s="2">
        <f t="shared" si="7"/>
        <v>2.6963229723492934</v>
      </c>
      <c r="S162" s="2">
        <f t="shared" si="8"/>
        <v>225.35867402895394</v>
      </c>
      <c r="T162" s="2">
        <f t="shared" si="9"/>
        <v>75.709259913222041</v>
      </c>
    </row>
    <row r="163" spans="1:20" x14ac:dyDescent="0.25">
      <c r="C163" s="4"/>
      <c r="F163" s="11"/>
      <c r="K163" s="15"/>
      <c r="P163" s="11"/>
    </row>
    <row r="164" spans="1:20" x14ac:dyDescent="0.25">
      <c r="C164" s="4"/>
      <c r="F164" s="11"/>
      <c r="K164" s="25"/>
      <c r="P164" s="11"/>
    </row>
    <row r="165" spans="1:20" x14ac:dyDescent="0.25">
      <c r="C165" s="4"/>
      <c r="F165" s="11"/>
      <c r="K165" s="25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31">
    <mergeCell ref="V28:X28"/>
    <mergeCell ref="V18:W18"/>
    <mergeCell ref="V19:X19"/>
    <mergeCell ref="W20:X20"/>
    <mergeCell ref="V21:W21"/>
    <mergeCell ref="V22:W23"/>
    <mergeCell ref="X22:X23"/>
    <mergeCell ref="V25:X25"/>
    <mergeCell ref="V15:W15"/>
    <mergeCell ref="V16:W16"/>
    <mergeCell ref="V17:W17"/>
    <mergeCell ref="V26:X26"/>
    <mergeCell ref="V27:X27"/>
    <mergeCell ref="V10:W10"/>
    <mergeCell ref="V11:W11"/>
    <mergeCell ref="V12:W12"/>
    <mergeCell ref="V13:W13"/>
    <mergeCell ref="V14:W14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E4:F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174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18909.820487744542</v>
      </c>
      <c r="G2" s="4">
        <f>SUM(C6:C174)</f>
        <v>6934.3099999999931</v>
      </c>
      <c r="H2" s="2">
        <f>F2/G2</f>
        <v>2.7269938159304332</v>
      </c>
      <c r="I2" s="2">
        <f>SUM(J6:J174)</f>
        <v>1956.9154232763592</v>
      </c>
      <c r="J2" s="2">
        <f>(1-(I2/(F2)))*100</f>
        <v>89.651327337852649</v>
      </c>
      <c r="K2" s="1"/>
      <c r="L2" s="1"/>
      <c r="M2" s="1"/>
      <c r="N2" s="1"/>
      <c r="O2" s="1"/>
      <c r="P2" s="2">
        <f>SUM(Q6:Q174)</f>
        <v>19071.504999713201</v>
      </c>
      <c r="Q2" s="2">
        <f>SUM(M6:M174)</f>
        <v>6895.0599999999931</v>
      </c>
      <c r="R2" s="2">
        <f>P2/Q2</f>
        <v>2.7659665035131269</v>
      </c>
      <c r="S2" s="2">
        <f>SUM(T6:T174)</f>
        <v>1936.7935389724466</v>
      </c>
      <c r="T2" s="2">
        <f>(1-(S2/(P2)))*100</f>
        <v>89.844568957711672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31" t="s">
        <v>53</v>
      </c>
      <c r="F4" s="32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31" t="s">
        <v>53</v>
      </c>
      <c r="P4" s="32"/>
      <c r="V4" s="34" t="s">
        <v>12</v>
      </c>
      <c r="W4" s="36"/>
      <c r="X4" s="6" t="s">
        <v>53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45783</v>
      </c>
    </row>
    <row r="6" spans="1:24" x14ac:dyDescent="0.25">
      <c r="A6" s="10">
        <v>0.5541666666666667</v>
      </c>
      <c r="B6" s="2">
        <v>1</v>
      </c>
      <c r="C6" s="4">
        <v>4.83</v>
      </c>
      <c r="D6" s="2">
        <v>6</v>
      </c>
      <c r="E6" s="2">
        <v>50.26548245743669</v>
      </c>
      <c r="F6" s="11">
        <f t="shared" ref="F6:F162" si="0">(D6/E6)*10</f>
        <v>1.1936620731892149</v>
      </c>
      <c r="G6" s="2">
        <f t="shared" ref="G6:G162" si="1">F6*C6</f>
        <v>5.7653878135039083</v>
      </c>
      <c r="H6" s="2">
        <f t="shared" ref="H6:H162" si="2">$H$2</f>
        <v>2.7269938159304332</v>
      </c>
      <c r="I6" s="2">
        <f t="shared" ref="I6:I162" si="3">H6*C6</f>
        <v>13.171380130943993</v>
      </c>
      <c r="J6" s="2">
        <f t="shared" ref="J6:J162" si="4">ABS(G6-I6)</f>
        <v>7.4059923174400843</v>
      </c>
      <c r="K6" s="12">
        <v>0.52986111111111112</v>
      </c>
      <c r="L6" s="2">
        <v>1</v>
      </c>
      <c r="M6" s="2">
        <v>4.58</v>
      </c>
      <c r="N6" s="2">
        <v>5.5</v>
      </c>
      <c r="O6" s="2">
        <v>50.26548245743669</v>
      </c>
      <c r="P6" s="11">
        <f t="shared" ref="P6:P162" si="5">(N6/O6)*10</f>
        <v>1.0941902337567804</v>
      </c>
      <c r="Q6" s="2">
        <f t="shared" ref="Q6:Q162" si="6">P6*M6</f>
        <v>5.0113912706060546</v>
      </c>
      <c r="R6" s="2">
        <f t="shared" ref="R6:R162" si="7">$R$2</f>
        <v>2.7659665035131269</v>
      </c>
      <c r="S6" s="2">
        <f t="shared" ref="S6:S162" si="8">R6*M6</f>
        <v>12.668126586090121</v>
      </c>
      <c r="T6" s="2">
        <f t="shared" ref="T6:T162" si="9">ABS(Q6-S6)</f>
        <v>7.6567353154840667</v>
      </c>
      <c r="V6" s="37" t="s">
        <v>23</v>
      </c>
      <c r="W6" s="36"/>
      <c r="X6" s="13" t="s">
        <v>54</v>
      </c>
    </row>
    <row r="7" spans="1:24" x14ac:dyDescent="0.25">
      <c r="A7" s="14">
        <f t="shared" ref="A7:A43" si="10">IF(AND($A$6&lt;&gt;"",$A$44&lt;&gt;""), $A$6 + (B7 - $B$6) * (($A$44 - $A$6) / ($B$44 - $B$6)), "")</f>
        <v>0.5543494152046784</v>
      </c>
      <c r="B7" s="2">
        <f t="shared" ref="B7:B162" si="11">B6+1</f>
        <v>2</v>
      </c>
      <c r="C7" s="4">
        <f t="shared" ref="C7:C109" si="12">C6+0.5</f>
        <v>5.33</v>
      </c>
      <c r="D7" s="2">
        <v>8.5</v>
      </c>
      <c r="E7" s="2">
        <v>50.26548245743669</v>
      </c>
      <c r="F7" s="11">
        <f t="shared" si="0"/>
        <v>1.6910212703513881</v>
      </c>
      <c r="G7" s="2">
        <f t="shared" si="1"/>
        <v>9.0131433709728981</v>
      </c>
      <c r="H7" s="2">
        <f t="shared" si="2"/>
        <v>2.7269938159304332</v>
      </c>
      <c r="I7" s="2">
        <f t="shared" si="3"/>
        <v>14.53487703890921</v>
      </c>
      <c r="J7" s="2">
        <f t="shared" si="4"/>
        <v>5.5217336679363118</v>
      </c>
      <c r="K7" s="15">
        <f t="shared" ref="K7:K43" si="13">IF(AND($K$6&lt;&gt;"",$K$44&lt;&gt;""), $K$6 + (L7 - $L$6) * (($K$44 - $K$6) / ($L$44 - $L$6)), "")</f>
        <v>0.53000730994152045</v>
      </c>
      <c r="L7" s="2">
        <f t="shared" ref="L7:L162" si="14">L6+1</f>
        <v>2</v>
      </c>
      <c r="M7" s="2">
        <f t="shared" ref="M7:M109" si="15">M6+0.5</f>
        <v>5.08</v>
      </c>
      <c r="N7" s="2">
        <v>6</v>
      </c>
      <c r="O7" s="2">
        <v>50.26548245743669</v>
      </c>
      <c r="P7" s="11">
        <f t="shared" si="5"/>
        <v>1.1936620731892149</v>
      </c>
      <c r="Q7" s="2">
        <f t="shared" si="6"/>
        <v>6.0638033318012114</v>
      </c>
      <c r="R7" s="2">
        <f t="shared" si="7"/>
        <v>2.7659665035131269</v>
      </c>
      <c r="S7" s="2">
        <f t="shared" si="8"/>
        <v>14.051109837846685</v>
      </c>
      <c r="T7" s="2">
        <f t="shared" si="9"/>
        <v>7.9873065060454733</v>
      </c>
      <c r="V7" s="37" t="s">
        <v>24</v>
      </c>
      <c r="W7" s="36"/>
      <c r="X7" s="6" t="s">
        <v>55</v>
      </c>
    </row>
    <row r="8" spans="1:24" x14ac:dyDescent="0.25">
      <c r="A8" s="14">
        <f t="shared" si="10"/>
        <v>0.5545321637426901</v>
      </c>
      <c r="B8" s="2">
        <f t="shared" si="11"/>
        <v>3</v>
      </c>
      <c r="C8" s="4">
        <f t="shared" si="12"/>
        <v>5.83</v>
      </c>
      <c r="D8" s="2">
        <v>9</v>
      </c>
      <c r="E8" s="2">
        <v>50.26548245743669</v>
      </c>
      <c r="F8" s="11">
        <f t="shared" si="0"/>
        <v>1.7904931097838226</v>
      </c>
      <c r="G8" s="2">
        <f t="shared" si="1"/>
        <v>10.438574830039686</v>
      </c>
      <c r="H8" s="2">
        <f t="shared" si="2"/>
        <v>2.7269938159304332</v>
      </c>
      <c r="I8" s="2">
        <f t="shared" si="3"/>
        <v>15.898373946874425</v>
      </c>
      <c r="J8" s="2">
        <f t="shared" si="4"/>
        <v>5.4597991168347395</v>
      </c>
      <c r="K8" s="15">
        <f t="shared" si="13"/>
        <v>0.53015350877192979</v>
      </c>
      <c r="L8" s="2">
        <f t="shared" si="14"/>
        <v>3</v>
      </c>
      <c r="M8" s="2">
        <f t="shared" si="15"/>
        <v>5.58</v>
      </c>
      <c r="N8" s="2">
        <v>8.5</v>
      </c>
      <c r="O8" s="2">
        <v>50.26548245743669</v>
      </c>
      <c r="P8" s="11">
        <f t="shared" si="5"/>
        <v>1.6910212703513881</v>
      </c>
      <c r="Q8" s="2">
        <f t="shared" si="6"/>
        <v>9.4358986885607461</v>
      </c>
      <c r="R8" s="2">
        <f t="shared" si="7"/>
        <v>2.7659665035131269</v>
      </c>
      <c r="S8" s="2">
        <f t="shared" si="8"/>
        <v>15.434093089603248</v>
      </c>
      <c r="T8" s="2">
        <f t="shared" si="9"/>
        <v>5.9981944010425021</v>
      </c>
      <c r="V8" s="34" t="s">
        <v>25</v>
      </c>
      <c r="W8" s="35"/>
      <c r="X8" s="36"/>
    </row>
    <row r="9" spans="1:24" x14ac:dyDescent="0.25">
      <c r="A9" s="14">
        <f t="shared" si="10"/>
        <v>0.5547149122807018</v>
      </c>
      <c r="B9" s="2">
        <f t="shared" si="11"/>
        <v>4</v>
      </c>
      <c r="C9" s="4">
        <f t="shared" si="12"/>
        <v>6.33</v>
      </c>
      <c r="D9" s="2">
        <v>11.5</v>
      </c>
      <c r="E9" s="2">
        <v>50.26548245743669</v>
      </c>
      <c r="F9" s="11">
        <f t="shared" si="0"/>
        <v>2.2878523069459957</v>
      </c>
      <c r="G9" s="2">
        <f t="shared" si="1"/>
        <v>14.482105102968154</v>
      </c>
      <c r="H9" s="2">
        <f t="shared" si="2"/>
        <v>2.7269938159304332</v>
      </c>
      <c r="I9" s="2">
        <f t="shared" si="3"/>
        <v>17.261870854839643</v>
      </c>
      <c r="J9" s="2">
        <f t="shared" si="4"/>
        <v>2.7797657518714889</v>
      </c>
      <c r="K9" s="15">
        <f t="shared" si="13"/>
        <v>0.53029970760233913</v>
      </c>
      <c r="L9" s="2">
        <f t="shared" si="14"/>
        <v>4</v>
      </c>
      <c r="M9" s="2">
        <f t="shared" si="15"/>
        <v>6.08</v>
      </c>
      <c r="N9" s="2">
        <v>9.5</v>
      </c>
      <c r="O9" s="2">
        <v>50.26548245743669</v>
      </c>
      <c r="P9" s="11">
        <f t="shared" si="5"/>
        <v>1.8899649492162571</v>
      </c>
      <c r="Q9" s="2">
        <f t="shared" si="6"/>
        <v>11.490986891234844</v>
      </c>
      <c r="R9" s="2">
        <f t="shared" si="7"/>
        <v>2.7659665035131269</v>
      </c>
      <c r="S9" s="2">
        <f t="shared" si="8"/>
        <v>16.817076341359812</v>
      </c>
      <c r="T9" s="2">
        <f t="shared" si="9"/>
        <v>5.326089450124968</v>
      </c>
      <c r="V9" s="34" t="s">
        <v>26</v>
      </c>
      <c r="W9" s="36"/>
      <c r="X9" s="16">
        <v>0.4861111111111111</v>
      </c>
    </row>
    <row r="10" spans="1:24" x14ac:dyDescent="0.25">
      <c r="A10" s="14">
        <f t="shared" si="10"/>
        <v>0.5548976608187135</v>
      </c>
      <c r="B10" s="2">
        <f t="shared" si="11"/>
        <v>5</v>
      </c>
      <c r="C10" s="4">
        <f t="shared" si="12"/>
        <v>6.83</v>
      </c>
      <c r="D10" s="2">
        <v>13.5</v>
      </c>
      <c r="E10" s="2">
        <v>50.26548245743669</v>
      </c>
      <c r="F10" s="11">
        <f t="shared" si="0"/>
        <v>2.6857396646757339</v>
      </c>
      <c r="G10" s="2">
        <f t="shared" si="1"/>
        <v>18.343601909735263</v>
      </c>
      <c r="H10" s="2">
        <f t="shared" si="2"/>
        <v>2.7269938159304332</v>
      </c>
      <c r="I10" s="2">
        <f t="shared" si="3"/>
        <v>18.62536776280486</v>
      </c>
      <c r="J10" s="2">
        <f t="shared" si="4"/>
        <v>0.28176585306959723</v>
      </c>
      <c r="K10" s="15">
        <f t="shared" si="13"/>
        <v>0.53044590643274858</v>
      </c>
      <c r="L10" s="2">
        <f t="shared" si="14"/>
        <v>5</v>
      </c>
      <c r="M10" s="2">
        <f t="shared" si="15"/>
        <v>6.58</v>
      </c>
      <c r="N10" s="2">
        <v>11.5</v>
      </c>
      <c r="O10" s="2">
        <v>50.26548245743669</v>
      </c>
      <c r="P10" s="11">
        <f t="shared" si="5"/>
        <v>2.2878523069459957</v>
      </c>
      <c r="Q10" s="2">
        <f t="shared" si="6"/>
        <v>15.054068179704652</v>
      </c>
      <c r="R10" s="2">
        <f t="shared" si="7"/>
        <v>2.7659665035131269</v>
      </c>
      <c r="S10" s="2">
        <f t="shared" si="8"/>
        <v>18.200059593116375</v>
      </c>
      <c r="T10" s="2">
        <f t="shared" si="9"/>
        <v>3.1459914134117231</v>
      </c>
      <c r="V10" s="34" t="s">
        <v>27</v>
      </c>
      <c r="W10" s="36"/>
      <c r="X10" s="6">
        <v>50</v>
      </c>
    </row>
    <row r="11" spans="1:24" x14ac:dyDescent="0.25">
      <c r="A11" s="14">
        <f t="shared" si="10"/>
        <v>0.5550804093567252</v>
      </c>
      <c r="B11" s="2">
        <f t="shared" si="11"/>
        <v>6</v>
      </c>
      <c r="C11" s="4">
        <f t="shared" si="12"/>
        <v>7.33</v>
      </c>
      <c r="D11" s="2">
        <v>17.5</v>
      </c>
      <c r="E11" s="2">
        <v>50.26548245743669</v>
      </c>
      <c r="F11" s="11">
        <f t="shared" si="0"/>
        <v>3.4815143801352106</v>
      </c>
      <c r="G11" s="2">
        <f t="shared" si="1"/>
        <v>25.519500406391096</v>
      </c>
      <c r="H11" s="2">
        <f t="shared" si="2"/>
        <v>2.7269938159304332</v>
      </c>
      <c r="I11" s="2">
        <f t="shared" si="3"/>
        <v>19.988864670770077</v>
      </c>
      <c r="J11" s="2">
        <f t="shared" si="4"/>
        <v>5.5306357356210185</v>
      </c>
      <c r="K11" s="15">
        <f t="shared" si="13"/>
        <v>0.53059210526315792</v>
      </c>
      <c r="L11" s="2">
        <f t="shared" si="14"/>
        <v>6</v>
      </c>
      <c r="M11" s="2">
        <f t="shared" si="15"/>
        <v>7.08</v>
      </c>
      <c r="N11" s="2">
        <v>13.5</v>
      </c>
      <c r="O11" s="2">
        <v>50.26548245743669</v>
      </c>
      <c r="P11" s="11">
        <f t="shared" si="5"/>
        <v>2.6857396646757339</v>
      </c>
      <c r="Q11" s="2">
        <f t="shared" si="6"/>
        <v>19.015036825904197</v>
      </c>
      <c r="R11" s="2">
        <f t="shared" si="7"/>
        <v>2.7659665035131269</v>
      </c>
      <c r="S11" s="2">
        <f t="shared" si="8"/>
        <v>19.583042844872939</v>
      </c>
      <c r="T11" s="2">
        <f t="shared" si="9"/>
        <v>0.5680060189687417</v>
      </c>
      <c r="V11" s="34" t="s">
        <v>28</v>
      </c>
      <c r="W11" s="36"/>
      <c r="X11" s="6">
        <v>50</v>
      </c>
    </row>
    <row r="12" spans="1:24" x14ac:dyDescent="0.25">
      <c r="A12" s="14">
        <f t="shared" si="10"/>
        <v>0.5552631578947369</v>
      </c>
      <c r="B12" s="2">
        <f t="shared" si="11"/>
        <v>7</v>
      </c>
      <c r="C12" s="4">
        <f t="shared" si="12"/>
        <v>7.83</v>
      </c>
      <c r="D12" s="23">
        <v>18.5</v>
      </c>
      <c r="E12" s="2">
        <v>50.26548245743669</v>
      </c>
      <c r="F12" s="11">
        <f t="shared" si="0"/>
        <v>3.6804580590000797</v>
      </c>
      <c r="G12" s="2">
        <f t="shared" si="1"/>
        <v>28.817986601970624</v>
      </c>
      <c r="H12" s="2">
        <f t="shared" si="2"/>
        <v>2.7269938159304332</v>
      </c>
      <c r="I12" s="2">
        <f t="shared" si="3"/>
        <v>21.352361578735291</v>
      </c>
      <c r="J12" s="2">
        <f t="shared" si="4"/>
        <v>7.4656250232353329</v>
      </c>
      <c r="K12" s="15">
        <f t="shared" si="13"/>
        <v>0.53073830409356726</v>
      </c>
      <c r="L12" s="2">
        <f t="shared" si="14"/>
        <v>7</v>
      </c>
      <c r="M12" s="2">
        <f t="shared" si="15"/>
        <v>7.58</v>
      </c>
      <c r="N12" s="23">
        <v>18</v>
      </c>
      <c r="O12" s="2">
        <v>50.26548245743669</v>
      </c>
      <c r="P12" s="11">
        <f t="shared" si="5"/>
        <v>3.5809862195676452</v>
      </c>
      <c r="Q12" s="2">
        <f t="shared" si="6"/>
        <v>27.14387554432275</v>
      </c>
      <c r="R12" s="2">
        <f t="shared" si="7"/>
        <v>2.7659665035131269</v>
      </c>
      <c r="S12" s="2">
        <f t="shared" si="8"/>
        <v>20.966026096629502</v>
      </c>
      <c r="T12" s="2">
        <f t="shared" si="9"/>
        <v>6.177849447693248</v>
      </c>
      <c r="V12" s="34" t="s">
        <v>29</v>
      </c>
      <c r="W12" s="36"/>
      <c r="X12" s="6">
        <v>50</v>
      </c>
    </row>
    <row r="13" spans="1:24" x14ac:dyDescent="0.25">
      <c r="A13" s="14">
        <f t="shared" si="10"/>
        <v>0.5554459064327486</v>
      </c>
      <c r="B13" s="2">
        <f t="shared" si="11"/>
        <v>8</v>
      </c>
      <c r="C13" s="4">
        <f t="shared" si="12"/>
        <v>8.33</v>
      </c>
      <c r="D13" s="2">
        <v>20</v>
      </c>
      <c r="E13" s="2">
        <v>50.26548245743669</v>
      </c>
      <c r="F13" s="11">
        <f t="shared" si="0"/>
        <v>3.9788735772973838</v>
      </c>
      <c r="G13" s="2">
        <f t="shared" si="1"/>
        <v>33.144016898887209</v>
      </c>
      <c r="H13" s="2">
        <f t="shared" si="2"/>
        <v>2.7269938159304332</v>
      </c>
      <c r="I13" s="2">
        <f t="shared" si="3"/>
        <v>22.715858486700508</v>
      </c>
      <c r="J13" s="2">
        <f t="shared" si="4"/>
        <v>10.428158412186701</v>
      </c>
      <c r="K13" s="15">
        <f t="shared" si="13"/>
        <v>0.5308845029239766</v>
      </c>
      <c r="L13" s="2">
        <f t="shared" si="14"/>
        <v>8</v>
      </c>
      <c r="M13" s="2">
        <f t="shared" si="15"/>
        <v>8.08</v>
      </c>
      <c r="N13" s="2">
        <v>19.5</v>
      </c>
      <c r="O13" s="2">
        <v>50.26548245743669</v>
      </c>
      <c r="P13" s="11">
        <f t="shared" si="5"/>
        <v>3.8794017378649488</v>
      </c>
      <c r="Q13" s="2">
        <f t="shared" si="6"/>
        <v>31.345566041948786</v>
      </c>
      <c r="R13" s="2">
        <f t="shared" si="7"/>
        <v>2.7659665035131269</v>
      </c>
      <c r="S13" s="2">
        <f t="shared" si="8"/>
        <v>22.349009348386065</v>
      </c>
      <c r="T13" s="2">
        <f t="shared" si="9"/>
        <v>8.9965566935627201</v>
      </c>
      <c r="V13" s="34" t="s">
        <v>30</v>
      </c>
      <c r="W13" s="36"/>
      <c r="X13" s="16">
        <v>0.58333333333333337</v>
      </c>
    </row>
    <row r="14" spans="1:24" x14ac:dyDescent="0.25">
      <c r="A14" s="14">
        <f t="shared" si="10"/>
        <v>0.55562865497076031</v>
      </c>
      <c r="B14" s="2">
        <f t="shared" si="11"/>
        <v>9</v>
      </c>
      <c r="C14" s="4">
        <f t="shared" si="12"/>
        <v>8.83</v>
      </c>
      <c r="D14" s="2">
        <v>20</v>
      </c>
      <c r="E14" s="2">
        <v>50.26548245743669</v>
      </c>
      <c r="F14" s="11">
        <f t="shared" si="0"/>
        <v>3.9788735772973838</v>
      </c>
      <c r="G14" s="2">
        <f t="shared" si="1"/>
        <v>35.133453687535898</v>
      </c>
      <c r="H14" s="2">
        <f t="shared" si="2"/>
        <v>2.7269938159304332</v>
      </c>
      <c r="I14" s="2">
        <f t="shared" si="3"/>
        <v>24.079355394665725</v>
      </c>
      <c r="J14" s="2">
        <f t="shared" si="4"/>
        <v>11.054098292870172</v>
      </c>
      <c r="K14" s="15">
        <f t="shared" si="13"/>
        <v>0.53103070175438594</v>
      </c>
      <c r="L14" s="2">
        <f t="shared" si="14"/>
        <v>9</v>
      </c>
      <c r="M14" s="2">
        <f t="shared" si="15"/>
        <v>8.58</v>
      </c>
      <c r="N14" s="2">
        <v>20.5</v>
      </c>
      <c r="O14" s="2">
        <v>50.26548245743669</v>
      </c>
      <c r="P14" s="11">
        <f t="shared" si="5"/>
        <v>4.0783454167298183</v>
      </c>
      <c r="Q14" s="2">
        <f t="shared" si="6"/>
        <v>34.992203675541845</v>
      </c>
      <c r="R14" s="2">
        <f t="shared" si="7"/>
        <v>2.7659665035131269</v>
      </c>
      <c r="S14" s="2">
        <f t="shared" si="8"/>
        <v>23.731992600142629</v>
      </c>
      <c r="T14" s="2">
        <f t="shared" si="9"/>
        <v>11.260211075399216</v>
      </c>
      <c r="V14" s="34" t="s">
        <v>31</v>
      </c>
      <c r="W14" s="36"/>
      <c r="X14" s="6">
        <v>47</v>
      </c>
    </row>
    <row r="15" spans="1:24" x14ac:dyDescent="0.25">
      <c r="A15" s="14">
        <f t="shared" si="10"/>
        <v>0.55581140350877201</v>
      </c>
      <c r="B15" s="2">
        <f t="shared" si="11"/>
        <v>10</v>
      </c>
      <c r="C15" s="4">
        <f t="shared" si="12"/>
        <v>9.33</v>
      </c>
      <c r="D15" s="2">
        <v>22.5</v>
      </c>
      <c r="E15" s="2">
        <v>50.26548245743669</v>
      </c>
      <c r="F15" s="11">
        <f t="shared" si="0"/>
        <v>4.4762327744595565</v>
      </c>
      <c r="G15" s="2">
        <f t="shared" si="1"/>
        <v>41.763251785707659</v>
      </c>
      <c r="H15" s="2">
        <f t="shared" si="2"/>
        <v>2.7269938159304332</v>
      </c>
      <c r="I15" s="2">
        <f t="shared" si="3"/>
        <v>25.442852302630943</v>
      </c>
      <c r="J15" s="2">
        <f t="shared" si="4"/>
        <v>16.320399483076717</v>
      </c>
      <c r="K15" s="15">
        <f t="shared" si="13"/>
        <v>0.53117690058479528</v>
      </c>
      <c r="L15" s="2">
        <f t="shared" si="14"/>
        <v>10</v>
      </c>
      <c r="M15" s="2">
        <f t="shared" si="15"/>
        <v>9.08</v>
      </c>
      <c r="N15" s="2">
        <v>22.5</v>
      </c>
      <c r="O15" s="2">
        <v>50.26548245743669</v>
      </c>
      <c r="P15" s="11">
        <f t="shared" si="5"/>
        <v>4.4762327744595565</v>
      </c>
      <c r="Q15" s="2">
        <f t="shared" si="6"/>
        <v>40.644193592092776</v>
      </c>
      <c r="R15" s="2">
        <f t="shared" si="7"/>
        <v>2.7659665035131269</v>
      </c>
      <c r="S15" s="2">
        <f t="shared" si="8"/>
        <v>25.114975851899192</v>
      </c>
      <c r="T15" s="2">
        <f t="shared" si="9"/>
        <v>15.529217740193584</v>
      </c>
      <c r="V15" s="34" t="s">
        <v>32</v>
      </c>
      <c r="W15" s="36"/>
      <c r="X15" s="6">
        <v>47</v>
      </c>
    </row>
    <row r="16" spans="1:24" x14ac:dyDescent="0.25">
      <c r="A16" s="14">
        <f t="shared" si="10"/>
        <v>0.5559941520467836</v>
      </c>
      <c r="B16" s="2">
        <f t="shared" si="11"/>
        <v>11</v>
      </c>
      <c r="C16" s="4">
        <f t="shared" si="12"/>
        <v>9.83</v>
      </c>
      <c r="D16" s="2">
        <v>25.5</v>
      </c>
      <c r="E16" s="2">
        <v>50.26548245743669</v>
      </c>
      <c r="F16" s="11">
        <f t="shared" si="0"/>
        <v>5.0730638110541637</v>
      </c>
      <c r="G16" s="2">
        <f t="shared" si="1"/>
        <v>49.868217262662426</v>
      </c>
      <c r="H16" s="2">
        <f t="shared" si="2"/>
        <v>2.7269938159304332</v>
      </c>
      <c r="I16" s="2">
        <f t="shared" si="3"/>
        <v>26.80634921059616</v>
      </c>
      <c r="J16" s="2">
        <f t="shared" si="4"/>
        <v>23.061868052066266</v>
      </c>
      <c r="K16" s="15">
        <f t="shared" si="13"/>
        <v>0.53132309941520472</v>
      </c>
      <c r="L16" s="2">
        <f t="shared" si="14"/>
        <v>11</v>
      </c>
      <c r="M16" s="2">
        <f t="shared" si="15"/>
        <v>9.58</v>
      </c>
      <c r="N16" s="2">
        <v>26</v>
      </c>
      <c r="O16" s="2">
        <v>50.26548245743669</v>
      </c>
      <c r="P16" s="11">
        <f t="shared" si="5"/>
        <v>5.1725356504865978</v>
      </c>
      <c r="Q16" s="2">
        <f t="shared" si="6"/>
        <v>49.552891531661608</v>
      </c>
      <c r="R16" s="2">
        <f t="shared" si="7"/>
        <v>2.7659665035131269</v>
      </c>
      <c r="S16" s="2">
        <f t="shared" si="8"/>
        <v>26.497959103655756</v>
      </c>
      <c r="T16" s="2">
        <f t="shared" si="9"/>
        <v>23.054932428005852</v>
      </c>
      <c r="V16" s="34" t="s">
        <v>33</v>
      </c>
      <c r="W16" s="36"/>
      <c r="X16" s="6">
        <v>48</v>
      </c>
    </row>
    <row r="17" spans="1:24" x14ac:dyDescent="0.25">
      <c r="A17" s="14">
        <f t="shared" si="10"/>
        <v>0.5561769005847953</v>
      </c>
      <c r="B17" s="2">
        <f t="shared" si="11"/>
        <v>12</v>
      </c>
      <c r="C17" s="4">
        <f t="shared" si="12"/>
        <v>10.33</v>
      </c>
      <c r="D17" s="2">
        <v>23</v>
      </c>
      <c r="E17" s="2">
        <v>50.26548245743669</v>
      </c>
      <c r="F17" s="11">
        <f t="shared" si="0"/>
        <v>4.5757046138919915</v>
      </c>
      <c r="G17" s="2">
        <f t="shared" si="1"/>
        <v>47.26702866150427</v>
      </c>
      <c r="H17" s="2">
        <f t="shared" si="2"/>
        <v>2.7269938159304332</v>
      </c>
      <c r="I17" s="2">
        <f t="shared" si="3"/>
        <v>28.169846118561374</v>
      </c>
      <c r="J17" s="2">
        <f t="shared" si="4"/>
        <v>19.097182542942896</v>
      </c>
      <c r="K17" s="15">
        <f t="shared" si="13"/>
        <v>0.53146929824561406</v>
      </c>
      <c r="L17" s="2">
        <f t="shared" si="14"/>
        <v>12</v>
      </c>
      <c r="M17" s="2">
        <f t="shared" si="15"/>
        <v>10.08</v>
      </c>
      <c r="N17" s="2">
        <v>24.5</v>
      </c>
      <c r="O17" s="2">
        <v>50.26548245743669</v>
      </c>
      <c r="P17" s="11">
        <f t="shared" si="5"/>
        <v>4.8741201321892946</v>
      </c>
      <c r="Q17" s="2">
        <f t="shared" si="6"/>
        <v>49.131130932468089</v>
      </c>
      <c r="R17" s="2">
        <f t="shared" si="7"/>
        <v>2.7659665035131269</v>
      </c>
      <c r="S17" s="2">
        <f t="shared" si="8"/>
        <v>27.880942355412319</v>
      </c>
      <c r="T17" s="2">
        <f t="shared" si="9"/>
        <v>21.25018857705577</v>
      </c>
      <c r="V17" s="38" t="s">
        <v>34</v>
      </c>
      <c r="W17" s="36"/>
      <c r="X17" s="17">
        <f>((X10-X14)+(X11-X15)+(X12-X16))/3</f>
        <v>2.6666666666666665</v>
      </c>
    </row>
    <row r="18" spans="1:24" x14ac:dyDescent="0.25">
      <c r="A18" s="14">
        <f t="shared" si="10"/>
        <v>0.556359649122807</v>
      </c>
      <c r="B18" s="2">
        <f t="shared" si="11"/>
        <v>13</v>
      </c>
      <c r="C18" s="4">
        <f t="shared" si="12"/>
        <v>10.83</v>
      </c>
      <c r="D18" s="2">
        <v>21.5</v>
      </c>
      <c r="E18" s="2">
        <v>50.26548245743669</v>
      </c>
      <c r="F18" s="11">
        <f t="shared" si="0"/>
        <v>4.2772890955946874</v>
      </c>
      <c r="G18" s="2">
        <f t="shared" si="1"/>
        <v>46.323040905290462</v>
      </c>
      <c r="H18" s="2">
        <f t="shared" si="2"/>
        <v>2.7269938159304332</v>
      </c>
      <c r="I18" s="2">
        <f t="shared" si="3"/>
        <v>29.533343026526591</v>
      </c>
      <c r="J18" s="2">
        <f t="shared" si="4"/>
        <v>16.789697878763871</v>
      </c>
      <c r="K18" s="15">
        <f t="shared" si="13"/>
        <v>0.5316154970760234</v>
      </c>
      <c r="L18" s="2">
        <f t="shared" si="14"/>
        <v>13</v>
      </c>
      <c r="M18" s="2">
        <f t="shared" si="15"/>
        <v>10.58</v>
      </c>
      <c r="N18" s="2">
        <v>22.5</v>
      </c>
      <c r="O18" s="2">
        <v>50.26548245743669</v>
      </c>
      <c r="P18" s="11">
        <f t="shared" si="5"/>
        <v>4.4762327744595565</v>
      </c>
      <c r="Q18" s="2">
        <f t="shared" si="6"/>
        <v>47.35854275378211</v>
      </c>
      <c r="R18" s="2">
        <f t="shared" si="7"/>
        <v>2.7659665035131269</v>
      </c>
      <c r="S18" s="2">
        <f t="shared" si="8"/>
        <v>29.263925607168883</v>
      </c>
      <c r="T18" s="2">
        <f t="shared" si="9"/>
        <v>18.094617146613228</v>
      </c>
      <c r="V18" s="38" t="s">
        <v>35</v>
      </c>
      <c r="W18" s="36"/>
      <c r="X18" s="18" t="s">
        <v>36</v>
      </c>
    </row>
    <row r="19" spans="1:24" x14ac:dyDescent="0.25">
      <c r="A19" s="14">
        <f t="shared" si="10"/>
        <v>0.5565423976608187</v>
      </c>
      <c r="B19" s="2">
        <f t="shared" si="11"/>
        <v>14</v>
      </c>
      <c r="C19" s="4">
        <f t="shared" si="12"/>
        <v>11.33</v>
      </c>
      <c r="D19" s="2">
        <v>20.5</v>
      </c>
      <c r="E19" s="2">
        <v>50.26548245743669</v>
      </c>
      <c r="F19" s="11">
        <f t="shared" si="0"/>
        <v>4.0783454167298183</v>
      </c>
      <c r="G19" s="2">
        <f t="shared" si="1"/>
        <v>46.207653571548839</v>
      </c>
      <c r="H19" s="2">
        <f t="shared" si="2"/>
        <v>2.7269938159304332</v>
      </c>
      <c r="I19" s="2">
        <f t="shared" si="3"/>
        <v>30.896839934491808</v>
      </c>
      <c r="J19" s="2">
        <f t="shared" si="4"/>
        <v>15.310813637057031</v>
      </c>
      <c r="K19" s="15">
        <f t="shared" si="13"/>
        <v>0.53176169590643274</v>
      </c>
      <c r="L19" s="2">
        <f t="shared" si="14"/>
        <v>14</v>
      </c>
      <c r="M19" s="2">
        <f t="shared" si="15"/>
        <v>11.08</v>
      </c>
      <c r="N19" s="2">
        <v>20</v>
      </c>
      <c r="O19" s="2">
        <v>50.26548245743669</v>
      </c>
      <c r="P19" s="11">
        <f t="shared" si="5"/>
        <v>3.9788735772973838</v>
      </c>
      <c r="Q19" s="2">
        <f t="shared" si="6"/>
        <v>44.085919236455013</v>
      </c>
      <c r="R19" s="2">
        <f t="shared" si="7"/>
        <v>2.7659665035131269</v>
      </c>
      <c r="S19" s="2">
        <f t="shared" si="8"/>
        <v>30.646908858925446</v>
      </c>
      <c r="T19" s="2">
        <f t="shared" si="9"/>
        <v>13.439010377529566</v>
      </c>
      <c r="V19" s="39" t="s">
        <v>37</v>
      </c>
      <c r="W19" s="35"/>
      <c r="X19" s="36"/>
    </row>
    <row r="20" spans="1:24" x14ac:dyDescent="0.25">
      <c r="A20" s="14">
        <f t="shared" si="10"/>
        <v>0.5567251461988304</v>
      </c>
      <c r="B20" s="2">
        <f t="shared" si="11"/>
        <v>15</v>
      </c>
      <c r="C20" s="4">
        <f t="shared" si="12"/>
        <v>11.83</v>
      </c>
      <c r="D20" s="2">
        <v>19.5</v>
      </c>
      <c r="E20" s="2">
        <v>50.26548245743669</v>
      </c>
      <c r="F20" s="11">
        <f t="shared" si="0"/>
        <v>3.8794017378649488</v>
      </c>
      <c r="G20" s="2">
        <f t="shared" si="1"/>
        <v>45.893322558942344</v>
      </c>
      <c r="H20" s="2">
        <f t="shared" si="2"/>
        <v>2.7269938159304332</v>
      </c>
      <c r="I20" s="2">
        <f t="shared" si="3"/>
        <v>32.260336842457022</v>
      </c>
      <c r="J20" s="2">
        <f t="shared" si="4"/>
        <v>13.632985716485322</v>
      </c>
      <c r="K20" s="15">
        <f t="shared" si="13"/>
        <v>0.53190789473684208</v>
      </c>
      <c r="L20" s="2">
        <f t="shared" si="14"/>
        <v>15</v>
      </c>
      <c r="M20" s="2">
        <f t="shared" si="15"/>
        <v>11.58</v>
      </c>
      <c r="N20" s="2">
        <v>20.5</v>
      </c>
      <c r="O20" s="2">
        <v>50.26548245743669</v>
      </c>
      <c r="P20" s="11">
        <f t="shared" si="5"/>
        <v>4.0783454167298183</v>
      </c>
      <c r="Q20" s="2">
        <f t="shared" si="6"/>
        <v>47.227239925731297</v>
      </c>
      <c r="R20" s="2">
        <f t="shared" si="7"/>
        <v>2.7659665035131269</v>
      </c>
      <c r="S20" s="2">
        <f t="shared" si="8"/>
        <v>32.029892110682013</v>
      </c>
      <c r="T20" s="2">
        <f t="shared" si="9"/>
        <v>15.197347815049284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14">
        <f t="shared" si="10"/>
        <v>0.5569078947368421</v>
      </c>
      <c r="B21" s="2">
        <f t="shared" si="11"/>
        <v>16</v>
      </c>
      <c r="C21" s="4">
        <f t="shared" si="12"/>
        <v>12.33</v>
      </c>
      <c r="D21" s="2">
        <v>18.5</v>
      </c>
      <c r="E21" s="2">
        <v>50.26548245743669</v>
      </c>
      <c r="F21" s="11">
        <f t="shared" si="0"/>
        <v>3.6804580590000797</v>
      </c>
      <c r="G21" s="2">
        <f t="shared" si="1"/>
        <v>45.380047867470985</v>
      </c>
      <c r="H21" s="2">
        <f t="shared" si="2"/>
        <v>2.7269938159304332</v>
      </c>
      <c r="I21" s="2">
        <f t="shared" si="3"/>
        <v>33.623833750422243</v>
      </c>
      <c r="J21" s="2">
        <f t="shared" si="4"/>
        <v>11.756214117048742</v>
      </c>
      <c r="K21" s="15">
        <f t="shared" si="13"/>
        <v>0.53205409356725142</v>
      </c>
      <c r="L21" s="2">
        <f t="shared" si="14"/>
        <v>16</v>
      </c>
      <c r="M21" s="2">
        <f t="shared" si="15"/>
        <v>12.08</v>
      </c>
      <c r="N21" s="2">
        <v>17.5</v>
      </c>
      <c r="O21" s="2">
        <v>50.26548245743669</v>
      </c>
      <c r="P21" s="11">
        <f t="shared" si="5"/>
        <v>3.4815143801352106</v>
      </c>
      <c r="Q21" s="2">
        <f t="shared" si="6"/>
        <v>42.056693712033344</v>
      </c>
      <c r="R21" s="2">
        <f t="shared" si="7"/>
        <v>2.7659665035131269</v>
      </c>
      <c r="S21" s="2">
        <f t="shared" si="8"/>
        <v>33.412875362438577</v>
      </c>
      <c r="T21" s="2">
        <f t="shared" si="9"/>
        <v>8.6438183495947669</v>
      </c>
      <c r="V21" s="39" t="s">
        <v>39</v>
      </c>
      <c r="W21" s="36"/>
      <c r="X21" s="20">
        <f>(J2+T2)/2</f>
        <v>89.747948147782154</v>
      </c>
    </row>
    <row r="22" spans="1:24" x14ac:dyDescent="0.25">
      <c r="A22" s="14">
        <f t="shared" si="10"/>
        <v>0.5570906432748538</v>
      </c>
      <c r="B22" s="2">
        <f t="shared" si="11"/>
        <v>17</v>
      </c>
      <c r="C22" s="4">
        <f t="shared" si="12"/>
        <v>12.83</v>
      </c>
      <c r="D22" s="2">
        <v>16</v>
      </c>
      <c r="E22" s="2">
        <v>50.26548245743669</v>
      </c>
      <c r="F22" s="11">
        <f t="shared" si="0"/>
        <v>3.183098861837907</v>
      </c>
      <c r="G22" s="2">
        <f t="shared" si="1"/>
        <v>40.839158397380345</v>
      </c>
      <c r="H22" s="2">
        <f t="shared" si="2"/>
        <v>2.7269938159304332</v>
      </c>
      <c r="I22" s="2">
        <f t="shared" si="3"/>
        <v>34.987330658387457</v>
      </c>
      <c r="J22" s="2">
        <f t="shared" si="4"/>
        <v>5.8518277389928883</v>
      </c>
      <c r="K22" s="15">
        <f t="shared" si="13"/>
        <v>0.53220029239766087</v>
      </c>
      <c r="L22" s="2">
        <f t="shared" si="14"/>
        <v>17</v>
      </c>
      <c r="M22" s="2">
        <f t="shared" si="15"/>
        <v>12.58</v>
      </c>
      <c r="N22" s="2">
        <v>17</v>
      </c>
      <c r="O22" s="2">
        <v>50.26548245743669</v>
      </c>
      <c r="P22" s="11">
        <f t="shared" si="5"/>
        <v>3.3820425407027761</v>
      </c>
      <c r="Q22" s="2">
        <f t="shared" si="6"/>
        <v>42.54609516204092</v>
      </c>
      <c r="R22" s="2">
        <f t="shared" si="7"/>
        <v>2.7659665035131269</v>
      </c>
      <c r="S22" s="2">
        <f t="shared" si="8"/>
        <v>34.79585861419514</v>
      </c>
      <c r="T22" s="2">
        <f t="shared" si="9"/>
        <v>7.7502365478457804</v>
      </c>
      <c r="V22" s="47" t="s">
        <v>44</v>
      </c>
      <c r="W22" s="42"/>
      <c r="X22" s="45">
        <f>'CUC QT 1'!X22</f>
        <v>89.851972821653575</v>
      </c>
    </row>
    <row r="23" spans="1:24" x14ac:dyDescent="0.25">
      <c r="A23" s="14">
        <f t="shared" si="10"/>
        <v>0.5572733918128655</v>
      </c>
      <c r="B23" s="2">
        <f t="shared" si="11"/>
        <v>18</v>
      </c>
      <c r="C23" s="4">
        <f t="shared" si="12"/>
        <v>13.33</v>
      </c>
      <c r="D23" s="2">
        <v>16.5</v>
      </c>
      <c r="E23" s="2">
        <v>50.26548245743669</v>
      </c>
      <c r="F23" s="11">
        <f t="shared" si="0"/>
        <v>3.2825707012703416</v>
      </c>
      <c r="G23" s="2">
        <f t="shared" si="1"/>
        <v>43.756667447933651</v>
      </c>
      <c r="H23" s="2">
        <f t="shared" si="2"/>
        <v>2.7269938159304332</v>
      </c>
      <c r="I23" s="2">
        <f t="shared" si="3"/>
        <v>36.350827566352677</v>
      </c>
      <c r="J23" s="2">
        <f t="shared" si="4"/>
        <v>7.4058398815809738</v>
      </c>
      <c r="K23" s="15">
        <f t="shared" si="13"/>
        <v>0.53234649122807021</v>
      </c>
      <c r="L23" s="2">
        <f t="shared" si="14"/>
        <v>18</v>
      </c>
      <c r="M23" s="2">
        <f t="shared" si="15"/>
        <v>13.08</v>
      </c>
      <c r="N23" s="2">
        <v>16.5</v>
      </c>
      <c r="O23" s="2">
        <v>50.26548245743669</v>
      </c>
      <c r="P23" s="11">
        <f t="shared" si="5"/>
        <v>3.2825707012703416</v>
      </c>
      <c r="Q23" s="2">
        <f t="shared" si="6"/>
        <v>42.936024772616065</v>
      </c>
      <c r="R23" s="2">
        <f t="shared" si="7"/>
        <v>2.7659665035131269</v>
      </c>
      <c r="S23" s="2">
        <f t="shared" si="8"/>
        <v>36.178841865951703</v>
      </c>
      <c r="T23" s="2">
        <f t="shared" si="9"/>
        <v>6.7571829066643616</v>
      </c>
      <c r="V23" s="43"/>
      <c r="W23" s="44"/>
      <c r="X23" s="46"/>
    </row>
    <row r="24" spans="1:24" x14ac:dyDescent="0.25">
      <c r="A24" s="14">
        <f t="shared" si="10"/>
        <v>0.55745614035087721</v>
      </c>
      <c r="B24" s="2">
        <f t="shared" si="11"/>
        <v>19</v>
      </c>
      <c r="C24" s="4">
        <f t="shared" si="12"/>
        <v>13.83</v>
      </c>
      <c r="D24" s="2">
        <v>18</v>
      </c>
      <c r="E24" s="2">
        <v>50.26548245743669</v>
      </c>
      <c r="F24" s="11">
        <f t="shared" si="0"/>
        <v>3.5809862195676452</v>
      </c>
      <c r="G24" s="2">
        <f t="shared" si="1"/>
        <v>49.52503941662053</v>
      </c>
      <c r="H24" s="2">
        <f t="shared" si="2"/>
        <v>2.7269938159304332</v>
      </c>
      <c r="I24" s="2">
        <f t="shared" si="3"/>
        <v>37.714324474317891</v>
      </c>
      <c r="J24" s="2">
        <f t="shared" si="4"/>
        <v>11.810714942302639</v>
      </c>
      <c r="K24" s="15">
        <f t="shared" si="13"/>
        <v>0.53249269005847955</v>
      </c>
      <c r="L24" s="2">
        <f t="shared" si="14"/>
        <v>19</v>
      </c>
      <c r="M24" s="2">
        <f t="shared" si="15"/>
        <v>13.58</v>
      </c>
      <c r="N24" s="2">
        <v>17</v>
      </c>
      <c r="O24" s="2">
        <v>50.26548245743669</v>
      </c>
      <c r="P24" s="11">
        <f t="shared" si="5"/>
        <v>3.3820425407027761</v>
      </c>
      <c r="Q24" s="2">
        <f t="shared" si="6"/>
        <v>45.928137702743697</v>
      </c>
      <c r="R24" s="2">
        <f t="shared" si="7"/>
        <v>2.7659665035131269</v>
      </c>
      <c r="S24" s="2">
        <f t="shared" si="8"/>
        <v>37.561825117708267</v>
      </c>
      <c r="T24" s="2">
        <f t="shared" si="9"/>
        <v>8.3663125850354305</v>
      </c>
    </row>
    <row r="25" spans="1:24" x14ac:dyDescent="0.25">
      <c r="A25" s="14">
        <f t="shared" si="10"/>
        <v>0.55763888888888891</v>
      </c>
      <c r="B25" s="2">
        <f t="shared" si="11"/>
        <v>20</v>
      </c>
      <c r="C25" s="4">
        <f t="shared" si="12"/>
        <v>14.33</v>
      </c>
      <c r="D25" s="2">
        <v>16.5</v>
      </c>
      <c r="E25" s="2">
        <v>50.26548245743669</v>
      </c>
      <c r="F25" s="11">
        <f t="shared" si="0"/>
        <v>3.2825707012703416</v>
      </c>
      <c r="G25" s="2">
        <f t="shared" si="1"/>
        <v>47.039238149203996</v>
      </c>
      <c r="H25" s="2">
        <f t="shared" si="2"/>
        <v>2.7269938159304332</v>
      </c>
      <c r="I25" s="2">
        <f t="shared" si="3"/>
        <v>39.077821382283105</v>
      </c>
      <c r="J25" s="2">
        <f t="shared" si="4"/>
        <v>7.9614167669208911</v>
      </c>
      <c r="K25" s="15">
        <f t="shared" si="13"/>
        <v>0.53263888888888888</v>
      </c>
      <c r="L25" s="2">
        <f t="shared" si="14"/>
        <v>20</v>
      </c>
      <c r="M25" s="2">
        <f t="shared" si="15"/>
        <v>14.08</v>
      </c>
      <c r="N25" s="2">
        <v>21.5</v>
      </c>
      <c r="O25" s="2">
        <v>50.26548245743669</v>
      </c>
      <c r="P25" s="11">
        <f t="shared" si="5"/>
        <v>4.2772890955946874</v>
      </c>
      <c r="Q25" s="2">
        <f t="shared" si="6"/>
        <v>60.2242304659732</v>
      </c>
      <c r="R25" s="2">
        <f t="shared" si="7"/>
        <v>2.7659665035131269</v>
      </c>
      <c r="S25" s="2">
        <f t="shared" si="8"/>
        <v>38.94480836946483</v>
      </c>
      <c r="T25" s="2">
        <f t="shared" si="9"/>
        <v>21.27942209650837</v>
      </c>
      <c r="V25" s="38" t="s">
        <v>45</v>
      </c>
      <c r="W25" s="35"/>
      <c r="X25" s="36"/>
    </row>
    <row r="26" spans="1:24" x14ac:dyDescent="0.25">
      <c r="A26" s="14">
        <f t="shared" si="10"/>
        <v>0.55782163742690061</v>
      </c>
      <c r="B26" s="2">
        <f t="shared" si="11"/>
        <v>21</v>
      </c>
      <c r="C26" s="4">
        <f t="shared" si="12"/>
        <v>14.83</v>
      </c>
      <c r="D26" s="2">
        <v>14.5</v>
      </c>
      <c r="E26" s="2">
        <v>50.26548245743669</v>
      </c>
      <c r="F26" s="11">
        <f t="shared" si="0"/>
        <v>2.8846833435406034</v>
      </c>
      <c r="G26" s="2">
        <f t="shared" si="1"/>
        <v>42.779853984707145</v>
      </c>
      <c r="H26" s="2">
        <f t="shared" si="2"/>
        <v>2.7269938159304332</v>
      </c>
      <c r="I26" s="2">
        <f t="shared" si="3"/>
        <v>40.441318290248326</v>
      </c>
      <c r="J26" s="2">
        <f t="shared" si="4"/>
        <v>2.3385356944588196</v>
      </c>
      <c r="K26" s="15">
        <f t="shared" si="13"/>
        <v>0.53278508771929822</v>
      </c>
      <c r="L26" s="2">
        <f t="shared" si="14"/>
        <v>21</v>
      </c>
      <c r="M26" s="2">
        <f t="shared" si="15"/>
        <v>14.58</v>
      </c>
      <c r="N26" s="2">
        <v>15</v>
      </c>
      <c r="O26" s="2">
        <v>50.26548245743669</v>
      </c>
      <c r="P26" s="11">
        <f t="shared" si="5"/>
        <v>2.9841551829730379</v>
      </c>
      <c r="Q26" s="2">
        <f t="shared" si="6"/>
        <v>43.508982567746891</v>
      </c>
      <c r="R26" s="2">
        <f t="shared" si="7"/>
        <v>2.7659665035131269</v>
      </c>
      <c r="S26" s="2">
        <f t="shared" si="8"/>
        <v>40.327791621221394</v>
      </c>
      <c r="T26" s="2">
        <f t="shared" si="9"/>
        <v>3.1811909465254971</v>
      </c>
      <c r="V26" s="40" t="s">
        <v>46</v>
      </c>
      <c r="W26" s="35"/>
      <c r="X26" s="36"/>
    </row>
    <row r="27" spans="1:24" x14ac:dyDescent="0.25">
      <c r="A27" s="14">
        <f t="shared" si="10"/>
        <v>0.55800438596491231</v>
      </c>
      <c r="B27" s="2">
        <f t="shared" si="11"/>
        <v>22</v>
      </c>
      <c r="C27" s="4">
        <f t="shared" si="12"/>
        <v>15.33</v>
      </c>
      <c r="D27" s="2">
        <v>13</v>
      </c>
      <c r="E27" s="2">
        <v>50.26548245743669</v>
      </c>
      <c r="F27" s="11">
        <f t="shared" si="0"/>
        <v>2.5862678252432989</v>
      </c>
      <c r="G27" s="2">
        <f t="shared" si="1"/>
        <v>39.64748576097977</v>
      </c>
      <c r="H27" s="2">
        <f t="shared" si="2"/>
        <v>2.7269938159304332</v>
      </c>
      <c r="I27" s="2">
        <f t="shared" si="3"/>
        <v>41.804815198213539</v>
      </c>
      <c r="J27" s="2">
        <f t="shared" si="4"/>
        <v>2.1573294372337699</v>
      </c>
      <c r="K27" s="15">
        <f t="shared" si="13"/>
        <v>0.53293128654970756</v>
      </c>
      <c r="L27" s="2">
        <f t="shared" si="14"/>
        <v>22</v>
      </c>
      <c r="M27" s="2">
        <f t="shared" si="15"/>
        <v>15.08</v>
      </c>
      <c r="N27" s="2">
        <v>13.5</v>
      </c>
      <c r="O27" s="2">
        <v>50.26548245743669</v>
      </c>
      <c r="P27" s="11">
        <f t="shared" si="5"/>
        <v>2.6857396646757339</v>
      </c>
      <c r="Q27" s="2">
        <f t="shared" si="6"/>
        <v>40.500954143310068</v>
      </c>
      <c r="R27" s="2">
        <f t="shared" si="7"/>
        <v>2.7659665035131269</v>
      </c>
      <c r="S27" s="2">
        <f t="shared" si="8"/>
        <v>41.710774872977957</v>
      </c>
      <c r="T27" s="2">
        <f t="shared" si="9"/>
        <v>1.2098207296678893</v>
      </c>
      <c r="V27" s="38" t="s">
        <v>47</v>
      </c>
      <c r="W27" s="35"/>
      <c r="X27" s="36"/>
    </row>
    <row r="28" spans="1:24" x14ac:dyDescent="0.25">
      <c r="A28" s="14">
        <f t="shared" si="10"/>
        <v>0.55818713450292401</v>
      </c>
      <c r="B28" s="2">
        <f t="shared" si="11"/>
        <v>23</v>
      </c>
      <c r="C28" s="4">
        <f t="shared" si="12"/>
        <v>15.83</v>
      </c>
      <c r="D28" s="2">
        <v>13.5</v>
      </c>
      <c r="E28" s="2">
        <v>50.26548245743669</v>
      </c>
      <c r="F28" s="11">
        <f t="shared" si="0"/>
        <v>2.6857396646757339</v>
      </c>
      <c r="G28" s="2">
        <f t="shared" si="1"/>
        <v>42.51525889181687</v>
      </c>
      <c r="H28" s="2">
        <f t="shared" si="2"/>
        <v>2.7269938159304332</v>
      </c>
      <c r="I28" s="2">
        <f t="shared" si="3"/>
        <v>43.16831210617876</v>
      </c>
      <c r="J28" s="2">
        <f t="shared" si="4"/>
        <v>0.6530532143618899</v>
      </c>
      <c r="K28" s="15">
        <f t="shared" si="13"/>
        <v>0.5330774853801169</v>
      </c>
      <c r="L28" s="2">
        <f t="shared" si="14"/>
        <v>23</v>
      </c>
      <c r="M28" s="2">
        <f t="shared" si="15"/>
        <v>15.58</v>
      </c>
      <c r="N28" s="2">
        <v>14</v>
      </c>
      <c r="O28" s="2">
        <v>50.26548245743669</v>
      </c>
      <c r="P28" s="11">
        <f t="shared" si="5"/>
        <v>2.7852115041081689</v>
      </c>
      <c r="Q28" s="2">
        <f t="shared" si="6"/>
        <v>43.393595234005268</v>
      </c>
      <c r="R28" s="2">
        <f t="shared" si="7"/>
        <v>2.7659665035131269</v>
      </c>
      <c r="S28" s="2">
        <f t="shared" si="8"/>
        <v>43.093758124734521</v>
      </c>
      <c r="T28" s="2">
        <f t="shared" si="9"/>
        <v>0.29983710927074725</v>
      </c>
      <c r="V28" s="40" t="s">
        <v>48</v>
      </c>
      <c r="W28" s="35"/>
      <c r="X28" s="36"/>
    </row>
    <row r="29" spans="1:24" x14ac:dyDescent="0.25">
      <c r="A29" s="14">
        <f t="shared" si="10"/>
        <v>0.55836988304093571</v>
      </c>
      <c r="B29" s="2">
        <f t="shared" si="11"/>
        <v>24</v>
      </c>
      <c r="C29" s="4">
        <f t="shared" si="12"/>
        <v>16.329999999999998</v>
      </c>
      <c r="D29" s="2">
        <v>16</v>
      </c>
      <c r="E29" s="2">
        <v>50.26548245743669</v>
      </c>
      <c r="F29" s="11">
        <f t="shared" si="0"/>
        <v>3.183098861837907</v>
      </c>
      <c r="G29" s="2">
        <f t="shared" si="1"/>
        <v>51.980004413813013</v>
      </c>
      <c r="H29" s="2">
        <f t="shared" si="2"/>
        <v>2.7269938159304332</v>
      </c>
      <c r="I29" s="2">
        <f t="shared" si="3"/>
        <v>44.531809014143967</v>
      </c>
      <c r="J29" s="2">
        <f t="shared" si="4"/>
        <v>7.4481953996690464</v>
      </c>
      <c r="K29" s="15">
        <f t="shared" si="13"/>
        <v>0.53322368421052635</v>
      </c>
      <c r="L29" s="2">
        <f t="shared" si="14"/>
        <v>24</v>
      </c>
      <c r="M29" s="2">
        <f t="shared" si="15"/>
        <v>16.079999999999998</v>
      </c>
      <c r="N29" s="2">
        <v>16</v>
      </c>
      <c r="O29" s="2">
        <v>50.26548245743669</v>
      </c>
      <c r="P29" s="11">
        <f t="shared" si="5"/>
        <v>3.183098861837907</v>
      </c>
      <c r="Q29" s="2">
        <f t="shared" si="6"/>
        <v>51.184229698353541</v>
      </c>
      <c r="R29" s="2">
        <f t="shared" si="7"/>
        <v>2.7659665035131269</v>
      </c>
      <c r="S29" s="2">
        <f t="shared" si="8"/>
        <v>44.476741376491077</v>
      </c>
      <c r="T29" s="2">
        <f t="shared" si="9"/>
        <v>6.7074883218624635</v>
      </c>
    </row>
    <row r="30" spans="1:24" x14ac:dyDescent="0.25">
      <c r="A30" s="14">
        <f t="shared" si="10"/>
        <v>0.55855263157894741</v>
      </c>
      <c r="B30" s="2">
        <f t="shared" si="11"/>
        <v>25</v>
      </c>
      <c r="C30" s="4">
        <f t="shared" si="12"/>
        <v>16.829999999999998</v>
      </c>
      <c r="D30" s="2">
        <v>14</v>
      </c>
      <c r="E30" s="2">
        <v>50.26548245743669</v>
      </c>
      <c r="F30" s="11">
        <f t="shared" si="0"/>
        <v>2.7852115041081689</v>
      </c>
      <c r="G30" s="2">
        <f t="shared" si="1"/>
        <v>46.875109614140477</v>
      </c>
      <c r="H30" s="2">
        <f t="shared" si="2"/>
        <v>2.7269938159304332</v>
      </c>
      <c r="I30" s="2">
        <f t="shared" si="3"/>
        <v>45.895305922109188</v>
      </c>
      <c r="J30" s="2">
        <f t="shared" si="4"/>
        <v>0.97980369203128959</v>
      </c>
      <c r="K30" s="15">
        <f t="shared" si="13"/>
        <v>0.53336988304093569</v>
      </c>
      <c r="L30" s="2">
        <f t="shared" si="14"/>
        <v>25</v>
      </c>
      <c r="M30" s="2">
        <f t="shared" si="15"/>
        <v>16.579999999999998</v>
      </c>
      <c r="N30" s="2">
        <v>16</v>
      </c>
      <c r="O30" s="2">
        <v>50.26548245743669</v>
      </c>
      <c r="P30" s="11">
        <f t="shared" si="5"/>
        <v>3.183098861837907</v>
      </c>
      <c r="Q30" s="2">
        <f t="shared" si="6"/>
        <v>52.775779129272493</v>
      </c>
      <c r="R30" s="2">
        <f t="shared" si="7"/>
        <v>2.7659665035131269</v>
      </c>
      <c r="S30" s="2">
        <f t="shared" si="8"/>
        <v>45.859724628247641</v>
      </c>
      <c r="T30" s="2">
        <f t="shared" si="9"/>
        <v>6.9160545010248526</v>
      </c>
      <c r="V30" s="24" t="s">
        <v>49</v>
      </c>
      <c r="W30" s="24" t="s">
        <v>50</v>
      </c>
    </row>
    <row r="31" spans="1:24" x14ac:dyDescent="0.25">
      <c r="A31" s="14">
        <f t="shared" si="10"/>
        <v>0.55873538011695911</v>
      </c>
      <c r="B31" s="2">
        <f t="shared" si="11"/>
        <v>26</v>
      </c>
      <c r="C31" s="4">
        <f t="shared" si="12"/>
        <v>17.329999999999998</v>
      </c>
      <c r="D31" s="2">
        <v>15</v>
      </c>
      <c r="E31" s="2">
        <v>50.26548245743669</v>
      </c>
      <c r="F31" s="11">
        <f t="shared" si="0"/>
        <v>2.9841551829730379</v>
      </c>
      <c r="G31" s="2">
        <f t="shared" si="1"/>
        <v>51.715409320922745</v>
      </c>
      <c r="H31" s="2">
        <f t="shared" si="2"/>
        <v>2.7269938159304332</v>
      </c>
      <c r="I31" s="2">
        <f t="shared" si="3"/>
        <v>47.258802830074401</v>
      </c>
      <c r="J31" s="2">
        <f t="shared" si="4"/>
        <v>4.456606490848344</v>
      </c>
      <c r="K31" s="15">
        <f t="shared" si="13"/>
        <v>0.53351608187134503</v>
      </c>
      <c r="L31" s="2">
        <f t="shared" si="14"/>
        <v>26</v>
      </c>
      <c r="M31" s="2">
        <f t="shared" si="15"/>
        <v>17.079999999999998</v>
      </c>
      <c r="N31" s="2">
        <v>15</v>
      </c>
      <c r="O31" s="2">
        <v>50.26548245743669</v>
      </c>
      <c r="P31" s="11">
        <f t="shared" si="5"/>
        <v>2.9841551829730379</v>
      </c>
      <c r="Q31" s="2">
        <f t="shared" si="6"/>
        <v>50.969370525179485</v>
      </c>
      <c r="R31" s="2">
        <f t="shared" si="7"/>
        <v>2.7659665035131269</v>
      </c>
      <c r="S31" s="2">
        <f t="shared" si="8"/>
        <v>47.242707880004204</v>
      </c>
      <c r="T31" s="2">
        <f t="shared" si="9"/>
        <v>3.7266626451752813</v>
      </c>
      <c r="V31" s="24">
        <f>MAX(D6:D162)</f>
        <v>25.5</v>
      </c>
      <c r="W31" s="24">
        <f>MAX(N6:N162)</f>
        <v>26</v>
      </c>
    </row>
    <row r="32" spans="1:24" x14ac:dyDescent="0.25">
      <c r="A32" s="14">
        <f t="shared" si="10"/>
        <v>0.55891812865497081</v>
      </c>
      <c r="B32" s="2">
        <f t="shared" si="11"/>
        <v>27</v>
      </c>
      <c r="C32" s="4">
        <f t="shared" si="12"/>
        <v>17.829999999999998</v>
      </c>
      <c r="D32" s="2">
        <v>15</v>
      </c>
      <c r="E32" s="2">
        <v>50.26548245743669</v>
      </c>
      <c r="F32" s="11">
        <f t="shared" si="0"/>
        <v>2.9841551829730379</v>
      </c>
      <c r="G32" s="2">
        <f t="shared" si="1"/>
        <v>53.207486912409259</v>
      </c>
      <c r="H32" s="2">
        <f t="shared" si="2"/>
        <v>2.7269938159304332</v>
      </c>
      <c r="I32" s="2">
        <f t="shared" si="3"/>
        <v>48.622299738039622</v>
      </c>
      <c r="J32" s="2">
        <f t="shared" si="4"/>
        <v>4.5851871743696364</v>
      </c>
      <c r="K32" s="15">
        <f t="shared" si="13"/>
        <v>0.53366228070175437</v>
      </c>
      <c r="L32" s="2">
        <f t="shared" si="14"/>
        <v>27</v>
      </c>
      <c r="M32" s="2">
        <f t="shared" si="15"/>
        <v>17.579999999999998</v>
      </c>
      <c r="N32" s="2">
        <v>15</v>
      </c>
      <c r="O32" s="2">
        <v>50.26548245743669</v>
      </c>
      <c r="P32" s="11">
        <f t="shared" si="5"/>
        <v>2.9841551829730379</v>
      </c>
      <c r="Q32" s="2">
        <f t="shared" si="6"/>
        <v>52.461448116665998</v>
      </c>
      <c r="R32" s="2">
        <f t="shared" si="7"/>
        <v>2.7659665035131269</v>
      </c>
      <c r="S32" s="2">
        <f t="shared" si="8"/>
        <v>48.625691131760767</v>
      </c>
      <c r="T32" s="2">
        <f t="shared" si="9"/>
        <v>3.8357569849052311</v>
      </c>
      <c r="V32" s="24" t="s">
        <v>14</v>
      </c>
      <c r="W32" s="24" t="s">
        <v>14</v>
      </c>
    </row>
    <row r="33" spans="1:23" x14ac:dyDescent="0.25">
      <c r="A33" s="14">
        <f t="shared" si="10"/>
        <v>0.55910087719298251</v>
      </c>
      <c r="B33" s="2">
        <f t="shared" si="11"/>
        <v>28</v>
      </c>
      <c r="C33" s="4">
        <f t="shared" si="12"/>
        <v>18.329999999999998</v>
      </c>
      <c r="D33" s="2">
        <v>20.5</v>
      </c>
      <c r="E33" s="2">
        <v>50.26548245743669</v>
      </c>
      <c r="F33" s="11">
        <f t="shared" si="0"/>
        <v>4.0783454167298183</v>
      </c>
      <c r="G33" s="2">
        <f t="shared" si="1"/>
        <v>74.756071488657568</v>
      </c>
      <c r="H33" s="2">
        <f t="shared" si="2"/>
        <v>2.7269938159304332</v>
      </c>
      <c r="I33" s="2">
        <f t="shared" si="3"/>
        <v>49.985796646004836</v>
      </c>
      <c r="J33" s="2">
        <f t="shared" si="4"/>
        <v>24.770274842652732</v>
      </c>
      <c r="K33" s="15">
        <f t="shared" si="13"/>
        <v>0.5338084795321637</v>
      </c>
      <c r="L33" s="2">
        <f t="shared" si="14"/>
        <v>28</v>
      </c>
      <c r="M33" s="2">
        <f t="shared" si="15"/>
        <v>18.079999999999998</v>
      </c>
      <c r="N33" s="2">
        <v>15.5</v>
      </c>
      <c r="O33" s="2">
        <v>50.26548245743669</v>
      </c>
      <c r="P33" s="11">
        <f t="shared" si="5"/>
        <v>3.0836270224054725</v>
      </c>
      <c r="Q33" s="2">
        <f t="shared" si="6"/>
        <v>55.751976565090935</v>
      </c>
      <c r="R33" s="2">
        <f t="shared" si="7"/>
        <v>2.7659665035131269</v>
      </c>
      <c r="S33" s="2">
        <f t="shared" si="8"/>
        <v>50.008674383517331</v>
      </c>
      <c r="T33" s="2">
        <f t="shared" si="9"/>
        <v>5.7433021815736041</v>
      </c>
      <c r="V33" s="24">
        <f t="array" ref="V33">INDEX(B6:B162, MATCH(MAX(D6:D162), D6:D162, 0))</f>
        <v>11</v>
      </c>
      <c r="W33" s="24">
        <f t="array" ref="W33">INDEX(L6:L162, MATCH(MAX(N6:N162), N6:N162, 0))</f>
        <v>11</v>
      </c>
    </row>
    <row r="34" spans="1:23" x14ac:dyDescent="0.25">
      <c r="A34" s="14">
        <f t="shared" si="10"/>
        <v>0.55928362573099422</v>
      </c>
      <c r="B34" s="2">
        <f t="shared" si="11"/>
        <v>29</v>
      </c>
      <c r="C34" s="4">
        <f t="shared" si="12"/>
        <v>18.829999999999998</v>
      </c>
      <c r="D34" s="2">
        <v>14.5</v>
      </c>
      <c r="E34" s="2">
        <v>50.26548245743669</v>
      </c>
      <c r="F34" s="11">
        <f t="shared" si="0"/>
        <v>2.8846833435406034</v>
      </c>
      <c r="G34" s="2">
        <f t="shared" si="1"/>
        <v>54.318587358869557</v>
      </c>
      <c r="H34" s="2">
        <f t="shared" si="2"/>
        <v>2.7269938159304332</v>
      </c>
      <c r="I34" s="2">
        <f t="shared" si="3"/>
        <v>51.34929355397005</v>
      </c>
      <c r="J34" s="2">
        <f t="shared" si="4"/>
        <v>2.9692938048995074</v>
      </c>
      <c r="K34" s="15">
        <f t="shared" si="13"/>
        <v>0.53395467836257304</v>
      </c>
      <c r="L34" s="2">
        <f t="shared" si="14"/>
        <v>29</v>
      </c>
      <c r="M34" s="2">
        <f t="shared" si="15"/>
        <v>18.579999999999998</v>
      </c>
      <c r="N34" s="2">
        <v>15</v>
      </c>
      <c r="O34" s="2">
        <v>50.26548245743669</v>
      </c>
      <c r="P34" s="11">
        <f t="shared" si="5"/>
        <v>2.9841551829730379</v>
      </c>
      <c r="Q34" s="2">
        <f t="shared" si="6"/>
        <v>55.445603299639039</v>
      </c>
      <c r="R34" s="2">
        <f t="shared" si="7"/>
        <v>2.7659665035131269</v>
      </c>
      <c r="S34" s="2">
        <f t="shared" si="8"/>
        <v>51.391657635273894</v>
      </c>
      <c r="T34" s="2">
        <f t="shared" si="9"/>
        <v>4.0539456643651448</v>
      </c>
    </row>
    <row r="35" spans="1:23" x14ac:dyDescent="0.25">
      <c r="A35" s="14">
        <f t="shared" si="10"/>
        <v>0.55946637426900581</v>
      </c>
      <c r="B35" s="2">
        <f t="shared" si="11"/>
        <v>30</v>
      </c>
      <c r="C35" s="4">
        <f t="shared" si="12"/>
        <v>19.329999999999998</v>
      </c>
      <c r="D35" s="2">
        <v>14</v>
      </c>
      <c r="E35" s="2">
        <v>50.26548245743669</v>
      </c>
      <c r="F35" s="11">
        <f t="shared" si="0"/>
        <v>2.7852115041081689</v>
      </c>
      <c r="G35" s="2">
        <f t="shared" si="1"/>
        <v>53.838138374410903</v>
      </c>
      <c r="H35" s="2">
        <f t="shared" si="2"/>
        <v>2.7269938159304332</v>
      </c>
      <c r="I35" s="2">
        <f t="shared" si="3"/>
        <v>52.712790461935271</v>
      </c>
      <c r="J35" s="2">
        <f t="shared" si="4"/>
        <v>1.1253479124756325</v>
      </c>
      <c r="K35" s="15">
        <f t="shared" si="13"/>
        <v>0.53410087719298249</v>
      </c>
      <c r="L35" s="2">
        <f t="shared" si="14"/>
        <v>30</v>
      </c>
      <c r="M35" s="2">
        <f t="shared" si="15"/>
        <v>19.079999999999998</v>
      </c>
      <c r="N35" s="2">
        <v>13.5</v>
      </c>
      <c r="O35" s="2">
        <v>50.26548245743669</v>
      </c>
      <c r="P35" s="11">
        <f t="shared" si="5"/>
        <v>2.6857396646757339</v>
      </c>
      <c r="Q35" s="2">
        <f t="shared" si="6"/>
        <v>51.243912802013</v>
      </c>
      <c r="R35" s="2">
        <f t="shared" si="7"/>
        <v>2.7659665035131269</v>
      </c>
      <c r="S35" s="2">
        <f t="shared" si="8"/>
        <v>52.774640887030458</v>
      </c>
      <c r="T35" s="2">
        <f t="shared" si="9"/>
        <v>1.5307280850174578</v>
      </c>
    </row>
    <row r="36" spans="1:23" x14ac:dyDescent="0.25">
      <c r="A36" s="14">
        <f t="shared" si="10"/>
        <v>0.55964912280701751</v>
      </c>
      <c r="B36" s="2">
        <f t="shared" si="11"/>
        <v>31</v>
      </c>
      <c r="C36" s="4">
        <f t="shared" si="12"/>
        <v>19.829999999999998</v>
      </c>
      <c r="D36" s="2">
        <v>13.5</v>
      </c>
      <c r="E36" s="2">
        <v>50.26548245743669</v>
      </c>
      <c r="F36" s="11">
        <f t="shared" si="0"/>
        <v>2.6857396646757339</v>
      </c>
      <c r="G36" s="2">
        <f t="shared" si="1"/>
        <v>53.258217550519795</v>
      </c>
      <c r="H36" s="2">
        <f t="shared" si="2"/>
        <v>2.7269938159304332</v>
      </c>
      <c r="I36" s="2">
        <f t="shared" si="3"/>
        <v>54.076287369900484</v>
      </c>
      <c r="J36" s="2">
        <f t="shared" si="4"/>
        <v>0.81806981938068901</v>
      </c>
      <c r="K36" s="15">
        <f t="shared" si="13"/>
        <v>0.53424707602339183</v>
      </c>
      <c r="L36" s="2">
        <f t="shared" si="14"/>
        <v>31</v>
      </c>
      <c r="M36" s="2">
        <f t="shared" si="15"/>
        <v>19.579999999999998</v>
      </c>
      <c r="N36" s="2">
        <v>14.5</v>
      </c>
      <c r="O36" s="2">
        <v>50.26548245743669</v>
      </c>
      <c r="P36" s="11">
        <f t="shared" si="5"/>
        <v>2.8846833435406034</v>
      </c>
      <c r="Q36" s="2">
        <f t="shared" si="6"/>
        <v>56.482099866525012</v>
      </c>
      <c r="R36" s="2">
        <f t="shared" si="7"/>
        <v>2.7659665035131269</v>
      </c>
      <c r="S36" s="2">
        <f t="shared" si="8"/>
        <v>54.157624138787021</v>
      </c>
      <c r="T36" s="2">
        <f t="shared" si="9"/>
        <v>2.3244757277379904</v>
      </c>
    </row>
    <row r="37" spans="1:23" x14ac:dyDescent="0.25">
      <c r="A37" s="14">
        <f t="shared" si="10"/>
        <v>0.55983187134502921</v>
      </c>
      <c r="B37" s="2">
        <f t="shared" si="11"/>
        <v>32</v>
      </c>
      <c r="C37" s="4">
        <f t="shared" si="12"/>
        <v>20.329999999999998</v>
      </c>
      <c r="D37" s="2">
        <v>15.5</v>
      </c>
      <c r="E37" s="2">
        <v>50.26548245743669</v>
      </c>
      <c r="F37" s="11">
        <f t="shared" si="0"/>
        <v>3.0836270224054725</v>
      </c>
      <c r="G37" s="2">
        <f t="shared" si="1"/>
        <v>62.690137365503247</v>
      </c>
      <c r="H37" s="2">
        <f t="shared" si="2"/>
        <v>2.7269938159304332</v>
      </c>
      <c r="I37" s="2">
        <f t="shared" si="3"/>
        <v>55.439784277865705</v>
      </c>
      <c r="J37" s="2">
        <f t="shared" si="4"/>
        <v>7.2503530876375422</v>
      </c>
      <c r="K37" s="15">
        <f t="shared" si="13"/>
        <v>0.53439327485380117</v>
      </c>
      <c r="L37" s="2">
        <f t="shared" si="14"/>
        <v>32</v>
      </c>
      <c r="M37" s="2">
        <f t="shared" si="15"/>
        <v>20.079999999999998</v>
      </c>
      <c r="N37" s="2">
        <v>14.5</v>
      </c>
      <c r="O37" s="2">
        <v>50.26548245743669</v>
      </c>
      <c r="P37" s="11">
        <f t="shared" si="5"/>
        <v>2.8846833435406034</v>
      </c>
      <c r="Q37" s="2">
        <f t="shared" si="6"/>
        <v>57.924441538295312</v>
      </c>
      <c r="R37" s="2">
        <f t="shared" si="7"/>
        <v>2.7659665035131269</v>
      </c>
      <c r="S37" s="2">
        <f t="shared" si="8"/>
        <v>55.540607390543585</v>
      </c>
      <c r="T37" s="2">
        <f t="shared" si="9"/>
        <v>2.3838341477517275</v>
      </c>
    </row>
    <row r="38" spans="1:23" x14ac:dyDescent="0.25">
      <c r="A38" s="14">
        <f t="shared" si="10"/>
        <v>0.56001461988304091</v>
      </c>
      <c r="B38" s="2">
        <f t="shared" si="11"/>
        <v>33</v>
      </c>
      <c r="C38" s="4">
        <f t="shared" si="12"/>
        <v>20.83</v>
      </c>
      <c r="D38" s="2">
        <v>16</v>
      </c>
      <c r="E38" s="2">
        <v>50.26548245743669</v>
      </c>
      <c r="F38" s="11">
        <f t="shared" si="0"/>
        <v>3.183098861837907</v>
      </c>
      <c r="G38" s="2">
        <f t="shared" si="1"/>
        <v>66.303949292083601</v>
      </c>
      <c r="H38" s="2">
        <f t="shared" si="2"/>
        <v>2.7269938159304332</v>
      </c>
      <c r="I38" s="2">
        <f t="shared" si="3"/>
        <v>56.803281185830919</v>
      </c>
      <c r="J38" s="2">
        <f t="shared" si="4"/>
        <v>9.5006681062526823</v>
      </c>
      <c r="K38" s="15">
        <f t="shared" si="13"/>
        <v>0.53453947368421051</v>
      </c>
      <c r="L38" s="2">
        <f t="shared" si="14"/>
        <v>33</v>
      </c>
      <c r="M38" s="2">
        <f t="shared" si="15"/>
        <v>20.58</v>
      </c>
      <c r="N38" s="2">
        <v>16</v>
      </c>
      <c r="O38" s="2">
        <v>50.26548245743669</v>
      </c>
      <c r="P38" s="11">
        <f t="shared" si="5"/>
        <v>3.183098861837907</v>
      </c>
      <c r="Q38" s="2">
        <f t="shared" si="6"/>
        <v>65.508174576624114</v>
      </c>
      <c r="R38" s="2">
        <f t="shared" si="7"/>
        <v>2.7659665035131269</v>
      </c>
      <c r="S38" s="2">
        <f t="shared" si="8"/>
        <v>56.923590642300148</v>
      </c>
      <c r="T38" s="2">
        <f t="shared" si="9"/>
        <v>8.584583934323966</v>
      </c>
    </row>
    <row r="39" spans="1:23" x14ac:dyDescent="0.25">
      <c r="A39" s="14">
        <f t="shared" si="10"/>
        <v>0.56019736842105261</v>
      </c>
      <c r="B39" s="2">
        <f t="shared" si="11"/>
        <v>34</v>
      </c>
      <c r="C39" s="4">
        <f t="shared" si="12"/>
        <v>21.33</v>
      </c>
      <c r="D39" s="2">
        <v>14</v>
      </c>
      <c r="E39" s="2">
        <v>50.26548245743669</v>
      </c>
      <c r="F39" s="11">
        <f t="shared" si="0"/>
        <v>2.7852115041081689</v>
      </c>
      <c r="G39" s="2">
        <f t="shared" si="1"/>
        <v>59.408561382627241</v>
      </c>
      <c r="H39" s="2">
        <f t="shared" si="2"/>
        <v>2.7269938159304332</v>
      </c>
      <c r="I39" s="2">
        <f t="shared" si="3"/>
        <v>58.166778093796133</v>
      </c>
      <c r="J39" s="2">
        <f t="shared" si="4"/>
        <v>1.2417832888311082</v>
      </c>
      <c r="K39" s="15">
        <f t="shared" si="13"/>
        <v>0.53468567251461985</v>
      </c>
      <c r="L39" s="2">
        <f t="shared" si="14"/>
        <v>34</v>
      </c>
      <c r="M39" s="2">
        <f t="shared" si="15"/>
        <v>21.08</v>
      </c>
      <c r="N39" s="2">
        <v>15</v>
      </c>
      <c r="O39" s="2">
        <v>50.26548245743669</v>
      </c>
      <c r="P39" s="11">
        <f t="shared" si="5"/>
        <v>2.9841551829730379</v>
      </c>
      <c r="Q39" s="2">
        <f t="shared" si="6"/>
        <v>62.905991257071634</v>
      </c>
      <c r="R39" s="2">
        <f t="shared" si="7"/>
        <v>2.7659665035131269</v>
      </c>
      <c r="S39" s="2">
        <f t="shared" si="8"/>
        <v>58.306573894056712</v>
      </c>
      <c r="T39" s="2">
        <f t="shared" si="9"/>
        <v>4.599417363014922</v>
      </c>
    </row>
    <row r="40" spans="1:23" x14ac:dyDescent="0.25">
      <c r="A40" s="14">
        <f t="shared" si="10"/>
        <v>0.56038011695906431</v>
      </c>
      <c r="B40" s="2">
        <f t="shared" si="11"/>
        <v>35</v>
      </c>
      <c r="C40" s="4">
        <f t="shared" si="12"/>
        <v>21.83</v>
      </c>
      <c r="D40" s="2">
        <v>13.5</v>
      </c>
      <c r="E40" s="2">
        <v>50.26548245743669</v>
      </c>
      <c r="F40" s="11">
        <f t="shared" si="0"/>
        <v>2.6857396646757339</v>
      </c>
      <c r="G40" s="2">
        <f t="shared" si="1"/>
        <v>58.629696879871268</v>
      </c>
      <c r="H40" s="2">
        <f t="shared" si="2"/>
        <v>2.7269938159304332</v>
      </c>
      <c r="I40" s="2">
        <f t="shared" si="3"/>
        <v>59.530275001761353</v>
      </c>
      <c r="J40" s="2">
        <f t="shared" si="4"/>
        <v>0.90057812189008501</v>
      </c>
      <c r="K40" s="15">
        <f t="shared" si="13"/>
        <v>0.53483187134502919</v>
      </c>
      <c r="L40" s="2">
        <f t="shared" si="14"/>
        <v>35</v>
      </c>
      <c r="M40" s="2">
        <f t="shared" si="15"/>
        <v>21.58</v>
      </c>
      <c r="N40" s="2">
        <v>13.5</v>
      </c>
      <c r="O40" s="2">
        <v>50.26548245743669</v>
      </c>
      <c r="P40" s="11">
        <f t="shared" si="5"/>
        <v>2.6857396646757339</v>
      </c>
      <c r="Q40" s="2">
        <f t="shared" si="6"/>
        <v>57.958261963702334</v>
      </c>
      <c r="R40" s="2">
        <f t="shared" si="7"/>
        <v>2.7659665035131269</v>
      </c>
      <c r="S40" s="2">
        <f t="shared" si="8"/>
        <v>59.689557145813275</v>
      </c>
      <c r="T40" s="2">
        <f t="shared" si="9"/>
        <v>1.7312951821109408</v>
      </c>
    </row>
    <row r="41" spans="1:23" x14ac:dyDescent="0.25">
      <c r="A41" s="14">
        <f t="shared" si="10"/>
        <v>0.56056286549707601</v>
      </c>
      <c r="B41" s="2">
        <f t="shared" si="11"/>
        <v>36</v>
      </c>
      <c r="C41" s="4">
        <f t="shared" si="12"/>
        <v>22.33</v>
      </c>
      <c r="D41" s="2">
        <v>14.5</v>
      </c>
      <c r="E41" s="2">
        <v>50.26548245743669</v>
      </c>
      <c r="F41" s="11">
        <f t="shared" si="0"/>
        <v>2.8846833435406034</v>
      </c>
      <c r="G41" s="2">
        <f t="shared" si="1"/>
        <v>64.414979061261675</v>
      </c>
      <c r="H41" s="2">
        <f t="shared" si="2"/>
        <v>2.7269938159304332</v>
      </c>
      <c r="I41" s="2">
        <f t="shared" si="3"/>
        <v>60.893771909726567</v>
      </c>
      <c r="J41" s="2">
        <f t="shared" si="4"/>
        <v>3.5212071515351084</v>
      </c>
      <c r="K41" s="15">
        <f t="shared" si="13"/>
        <v>0.53497807017543864</v>
      </c>
      <c r="L41" s="2">
        <f t="shared" si="14"/>
        <v>36</v>
      </c>
      <c r="M41" s="2">
        <f t="shared" si="15"/>
        <v>22.08</v>
      </c>
      <c r="N41" s="2">
        <v>14.5</v>
      </c>
      <c r="O41" s="2">
        <v>50.26548245743669</v>
      </c>
      <c r="P41" s="11">
        <f t="shared" si="5"/>
        <v>2.8846833435406034</v>
      </c>
      <c r="Q41" s="2">
        <f t="shared" si="6"/>
        <v>63.693808225376522</v>
      </c>
      <c r="R41" s="2">
        <f t="shared" si="7"/>
        <v>2.7659665035131269</v>
      </c>
      <c r="S41" s="2">
        <f t="shared" si="8"/>
        <v>61.072540397569838</v>
      </c>
      <c r="T41" s="2">
        <f t="shared" si="9"/>
        <v>2.6212678278066832</v>
      </c>
    </row>
    <row r="42" spans="1:23" x14ac:dyDescent="0.25">
      <c r="A42" s="14">
        <f t="shared" si="10"/>
        <v>0.56074561403508771</v>
      </c>
      <c r="B42" s="2">
        <f t="shared" si="11"/>
        <v>37</v>
      </c>
      <c r="C42" s="4">
        <f t="shared" si="12"/>
        <v>22.83</v>
      </c>
      <c r="D42" s="2">
        <v>14.5</v>
      </c>
      <c r="E42" s="2">
        <v>50.26548245743669</v>
      </c>
      <c r="F42" s="11">
        <f t="shared" si="0"/>
        <v>2.8846833435406034</v>
      </c>
      <c r="G42" s="2">
        <f t="shared" si="1"/>
        <v>65.857320733031969</v>
      </c>
      <c r="H42" s="2">
        <f t="shared" si="2"/>
        <v>2.7269938159304332</v>
      </c>
      <c r="I42" s="2">
        <f t="shared" si="3"/>
        <v>62.257268817691788</v>
      </c>
      <c r="J42" s="2">
        <f t="shared" si="4"/>
        <v>3.6000519153401811</v>
      </c>
      <c r="K42" s="15">
        <f t="shared" si="13"/>
        <v>0.53512426900584797</v>
      </c>
      <c r="L42" s="2">
        <f t="shared" si="14"/>
        <v>37</v>
      </c>
      <c r="M42" s="2">
        <f t="shared" si="15"/>
        <v>22.58</v>
      </c>
      <c r="N42" s="2">
        <v>15</v>
      </c>
      <c r="O42" s="2">
        <v>50.26548245743669</v>
      </c>
      <c r="P42" s="11">
        <f t="shared" si="5"/>
        <v>2.9841551829730379</v>
      </c>
      <c r="Q42" s="2">
        <f t="shared" si="6"/>
        <v>67.382224031531194</v>
      </c>
      <c r="R42" s="2">
        <f t="shared" si="7"/>
        <v>2.7659665035131269</v>
      </c>
      <c r="S42" s="2">
        <f t="shared" si="8"/>
        <v>62.455523649326402</v>
      </c>
      <c r="T42" s="2">
        <f t="shared" si="9"/>
        <v>4.9267003822047926</v>
      </c>
    </row>
    <row r="43" spans="1:23" x14ac:dyDescent="0.25">
      <c r="A43" s="14">
        <f t="shared" si="10"/>
        <v>0.56092836257309941</v>
      </c>
      <c r="B43" s="2">
        <f t="shared" si="11"/>
        <v>38</v>
      </c>
      <c r="C43" s="4">
        <f t="shared" si="12"/>
        <v>23.33</v>
      </c>
      <c r="D43" s="2">
        <v>14.5</v>
      </c>
      <c r="E43" s="2">
        <v>50.26548245743669</v>
      </c>
      <c r="F43" s="11">
        <f t="shared" si="0"/>
        <v>2.8846833435406034</v>
      </c>
      <c r="G43" s="2">
        <f t="shared" si="1"/>
        <v>67.299662404802277</v>
      </c>
      <c r="H43" s="2">
        <f t="shared" si="2"/>
        <v>2.7269938159304332</v>
      </c>
      <c r="I43" s="2">
        <f t="shared" si="3"/>
        <v>63.620765725657002</v>
      </c>
      <c r="J43" s="2">
        <f t="shared" si="4"/>
        <v>3.6788966791452751</v>
      </c>
      <c r="K43" s="15">
        <f t="shared" si="13"/>
        <v>0.53527046783625731</v>
      </c>
      <c r="L43" s="2">
        <f t="shared" si="14"/>
        <v>38</v>
      </c>
      <c r="M43" s="2">
        <f t="shared" si="15"/>
        <v>23.08</v>
      </c>
      <c r="N43" s="2">
        <v>14</v>
      </c>
      <c r="O43" s="2">
        <v>50.26548245743669</v>
      </c>
      <c r="P43" s="11">
        <f t="shared" si="5"/>
        <v>2.7852115041081689</v>
      </c>
      <c r="Q43" s="2">
        <f t="shared" si="6"/>
        <v>64.282681514816531</v>
      </c>
      <c r="R43" s="2">
        <f t="shared" si="7"/>
        <v>2.7659665035131269</v>
      </c>
      <c r="S43" s="2">
        <f t="shared" si="8"/>
        <v>63.838506901082965</v>
      </c>
      <c r="T43" s="2">
        <f t="shared" si="9"/>
        <v>0.44417461373356559</v>
      </c>
    </row>
    <row r="44" spans="1:23" x14ac:dyDescent="0.25">
      <c r="A44" s="10">
        <v>0.56111111111111112</v>
      </c>
      <c r="B44" s="2">
        <f t="shared" si="11"/>
        <v>39</v>
      </c>
      <c r="C44" s="4">
        <f t="shared" si="12"/>
        <v>23.83</v>
      </c>
      <c r="D44" s="2">
        <v>14.5</v>
      </c>
      <c r="E44" s="2">
        <v>50.26548245743669</v>
      </c>
      <c r="F44" s="11">
        <f t="shared" si="0"/>
        <v>2.8846833435406034</v>
      </c>
      <c r="G44" s="2">
        <f t="shared" si="1"/>
        <v>68.74200407657257</v>
      </c>
      <c r="H44" s="2">
        <f t="shared" si="2"/>
        <v>2.7269938159304332</v>
      </c>
      <c r="I44" s="2">
        <f t="shared" si="3"/>
        <v>64.984262633622222</v>
      </c>
      <c r="J44" s="2">
        <f t="shared" si="4"/>
        <v>3.7577414429503477</v>
      </c>
      <c r="K44" s="12">
        <v>0.53541666666666665</v>
      </c>
      <c r="L44" s="2">
        <f t="shared" si="14"/>
        <v>39</v>
      </c>
      <c r="M44" s="2">
        <f t="shared" si="15"/>
        <v>23.58</v>
      </c>
      <c r="N44" s="2">
        <v>14</v>
      </c>
      <c r="O44" s="2">
        <v>50.26548245743669</v>
      </c>
      <c r="P44" s="11">
        <f t="shared" si="5"/>
        <v>2.7852115041081689</v>
      </c>
      <c r="Q44" s="2">
        <f t="shared" si="6"/>
        <v>65.675287266870612</v>
      </c>
      <c r="R44" s="2">
        <f t="shared" si="7"/>
        <v>2.7659665035131269</v>
      </c>
      <c r="S44" s="2">
        <f t="shared" si="8"/>
        <v>65.221490152839522</v>
      </c>
      <c r="T44" s="2">
        <f t="shared" si="9"/>
        <v>0.45379711403109013</v>
      </c>
    </row>
    <row r="45" spans="1:23" x14ac:dyDescent="0.25">
      <c r="A45" s="14">
        <f t="shared" ref="A45:A82" si="16">IF(AND($A$44&lt;&gt;"",$A$83&lt;&gt;""), $A$44 + (B45 - $B$44) * (($A$83 - $A$44) / ($B$83 - $B$44)), "")</f>
        <v>0.56125356125356129</v>
      </c>
      <c r="B45" s="2">
        <f t="shared" si="11"/>
        <v>40</v>
      </c>
      <c r="C45" s="4">
        <f t="shared" si="12"/>
        <v>24.33</v>
      </c>
      <c r="D45" s="2">
        <v>13.5</v>
      </c>
      <c r="E45" s="2">
        <v>50.26548245743669</v>
      </c>
      <c r="F45" s="11">
        <f t="shared" si="0"/>
        <v>2.6857396646757339</v>
      </c>
      <c r="G45" s="2">
        <f t="shared" si="1"/>
        <v>65.344046041560603</v>
      </c>
      <c r="H45" s="2">
        <f t="shared" si="2"/>
        <v>2.7269938159304332</v>
      </c>
      <c r="I45" s="2">
        <f t="shared" si="3"/>
        <v>66.347759541587436</v>
      </c>
      <c r="J45" s="2">
        <f t="shared" si="4"/>
        <v>1.0037135000268336</v>
      </c>
      <c r="K45" s="15">
        <f t="shared" ref="K45:K82" si="17">IF(AND($K$44&lt;&gt;"",$K$83&lt;&gt;""), $K$44 + (L45 - $L$44) * (($K$83 - $K$44) / ($L$83 - $L$44)), "")</f>
        <v>0.53557692307692306</v>
      </c>
      <c r="L45" s="2">
        <f t="shared" si="14"/>
        <v>40</v>
      </c>
      <c r="M45" s="2">
        <f t="shared" si="15"/>
        <v>24.08</v>
      </c>
      <c r="N45" s="2">
        <v>15</v>
      </c>
      <c r="O45" s="2">
        <v>50.26548245743669</v>
      </c>
      <c r="P45" s="11">
        <f t="shared" si="5"/>
        <v>2.9841551829730379</v>
      </c>
      <c r="Q45" s="2">
        <f t="shared" si="6"/>
        <v>71.858456805990755</v>
      </c>
      <c r="R45" s="2">
        <f t="shared" si="7"/>
        <v>2.7659665035131269</v>
      </c>
      <c r="S45" s="2">
        <f t="shared" si="8"/>
        <v>66.604473404596092</v>
      </c>
      <c r="T45" s="2">
        <f t="shared" si="9"/>
        <v>5.2539834013946631</v>
      </c>
    </row>
    <row r="46" spans="1:23" x14ac:dyDescent="0.25">
      <c r="A46" s="14">
        <f t="shared" si="16"/>
        <v>0.56139601139601136</v>
      </c>
      <c r="B46" s="2">
        <f t="shared" si="11"/>
        <v>41</v>
      </c>
      <c r="C46" s="4">
        <f t="shared" si="12"/>
        <v>24.83</v>
      </c>
      <c r="D46" s="2">
        <v>24</v>
      </c>
      <c r="E46" s="2">
        <v>50.26548245743669</v>
      </c>
      <c r="F46" s="11">
        <f t="shared" si="0"/>
        <v>4.7746482927568596</v>
      </c>
      <c r="G46" s="2">
        <f t="shared" si="1"/>
        <v>118.55451710915281</v>
      </c>
      <c r="H46" s="2">
        <f t="shared" si="2"/>
        <v>2.7269938159304332</v>
      </c>
      <c r="I46" s="2">
        <f t="shared" si="3"/>
        <v>67.71125644955265</v>
      </c>
      <c r="J46" s="2">
        <f t="shared" si="4"/>
        <v>50.843260659600162</v>
      </c>
      <c r="K46" s="15">
        <f t="shared" si="17"/>
        <v>0.53573717948717947</v>
      </c>
      <c r="L46" s="2">
        <f t="shared" si="14"/>
        <v>41</v>
      </c>
      <c r="M46" s="2">
        <f t="shared" si="15"/>
        <v>24.58</v>
      </c>
      <c r="N46" s="2">
        <v>15</v>
      </c>
      <c r="O46" s="2">
        <v>50.26548245743669</v>
      </c>
      <c r="P46" s="11">
        <f t="shared" si="5"/>
        <v>2.9841551829730379</v>
      </c>
      <c r="Q46" s="2">
        <f t="shared" si="6"/>
        <v>73.350534397477261</v>
      </c>
      <c r="R46" s="2">
        <f t="shared" si="7"/>
        <v>2.7659665035131269</v>
      </c>
      <c r="S46" s="2">
        <f t="shared" si="8"/>
        <v>67.987456656352649</v>
      </c>
      <c r="T46" s="2">
        <f t="shared" si="9"/>
        <v>5.3630777411246129</v>
      </c>
    </row>
    <row r="47" spans="1:23" x14ac:dyDescent="0.25">
      <c r="A47" s="14">
        <f t="shared" si="16"/>
        <v>0.56153846153846154</v>
      </c>
      <c r="B47" s="2">
        <f t="shared" si="11"/>
        <v>42</v>
      </c>
      <c r="C47" s="4">
        <f t="shared" si="12"/>
        <v>25.33</v>
      </c>
      <c r="D47" s="2">
        <v>15</v>
      </c>
      <c r="E47" s="2">
        <v>50.26548245743669</v>
      </c>
      <c r="F47" s="11">
        <f t="shared" si="0"/>
        <v>2.9841551829730379</v>
      </c>
      <c r="G47" s="2">
        <f t="shared" si="1"/>
        <v>75.588650784707042</v>
      </c>
      <c r="H47" s="2">
        <f t="shared" si="2"/>
        <v>2.7269938159304332</v>
      </c>
      <c r="I47" s="2">
        <f t="shared" si="3"/>
        <v>69.074753357517864</v>
      </c>
      <c r="J47" s="2">
        <f t="shared" si="4"/>
        <v>6.5138974271891783</v>
      </c>
      <c r="K47" s="15">
        <f t="shared" si="17"/>
        <v>0.53589743589743588</v>
      </c>
      <c r="L47" s="2">
        <f t="shared" si="14"/>
        <v>42</v>
      </c>
      <c r="M47" s="2">
        <f t="shared" si="15"/>
        <v>25.08</v>
      </c>
      <c r="N47" s="2">
        <v>15</v>
      </c>
      <c r="O47" s="2">
        <v>50.26548245743669</v>
      </c>
      <c r="P47" s="11">
        <f t="shared" si="5"/>
        <v>2.9841551829730379</v>
      </c>
      <c r="Q47" s="2">
        <f t="shared" si="6"/>
        <v>74.842611988963782</v>
      </c>
      <c r="R47" s="2">
        <f t="shared" si="7"/>
        <v>2.7659665035131269</v>
      </c>
      <c r="S47" s="2">
        <f t="shared" si="8"/>
        <v>69.370439908109219</v>
      </c>
      <c r="T47" s="2">
        <f t="shared" si="9"/>
        <v>5.4721720808545626</v>
      </c>
    </row>
    <row r="48" spans="1:23" x14ac:dyDescent="0.25">
      <c r="A48" s="14">
        <f t="shared" si="16"/>
        <v>0.56168091168091172</v>
      </c>
      <c r="B48" s="2">
        <f t="shared" si="11"/>
        <v>43</v>
      </c>
      <c r="C48" s="4">
        <f t="shared" si="12"/>
        <v>25.83</v>
      </c>
      <c r="D48" s="2">
        <v>13.5</v>
      </c>
      <c r="E48" s="2">
        <v>50.26548245743669</v>
      </c>
      <c r="F48" s="11">
        <f t="shared" si="0"/>
        <v>2.6857396646757339</v>
      </c>
      <c r="G48" s="2">
        <f t="shared" si="1"/>
        <v>69.372655538574207</v>
      </c>
      <c r="H48" s="2">
        <f t="shared" si="2"/>
        <v>2.7269938159304332</v>
      </c>
      <c r="I48" s="2">
        <f t="shared" si="3"/>
        <v>70.438250265483092</v>
      </c>
      <c r="J48" s="2">
        <f t="shared" si="4"/>
        <v>1.0655947269088841</v>
      </c>
      <c r="K48" s="15">
        <f t="shared" si="17"/>
        <v>0.53605769230769229</v>
      </c>
      <c r="L48" s="2">
        <f t="shared" si="14"/>
        <v>43</v>
      </c>
      <c r="M48" s="2">
        <f t="shared" si="15"/>
        <v>25.58</v>
      </c>
      <c r="N48" s="2">
        <v>14.5</v>
      </c>
      <c r="O48" s="2">
        <v>50.26548245743669</v>
      </c>
      <c r="P48" s="11">
        <f t="shared" si="5"/>
        <v>2.8846833435406034</v>
      </c>
      <c r="Q48" s="2">
        <f t="shared" si="6"/>
        <v>73.790199927768626</v>
      </c>
      <c r="R48" s="2">
        <f t="shared" si="7"/>
        <v>2.7659665035131269</v>
      </c>
      <c r="S48" s="2">
        <f t="shared" si="8"/>
        <v>70.753423159865775</v>
      </c>
      <c r="T48" s="2">
        <f t="shared" si="9"/>
        <v>3.0367767679028503</v>
      </c>
    </row>
    <row r="49" spans="1:20" x14ac:dyDescent="0.25">
      <c r="A49" s="14">
        <f t="shared" si="16"/>
        <v>0.56182336182336179</v>
      </c>
      <c r="B49" s="2">
        <f t="shared" si="11"/>
        <v>44</v>
      </c>
      <c r="C49" s="4">
        <f t="shared" si="12"/>
        <v>26.33</v>
      </c>
      <c r="D49" s="2">
        <v>14</v>
      </c>
      <c r="E49" s="2">
        <v>50.26548245743669</v>
      </c>
      <c r="F49" s="11">
        <f t="shared" si="0"/>
        <v>2.7852115041081689</v>
      </c>
      <c r="G49" s="2">
        <f t="shared" si="1"/>
        <v>73.334618903168078</v>
      </c>
      <c r="H49" s="2">
        <f t="shared" si="2"/>
        <v>2.7269938159304332</v>
      </c>
      <c r="I49" s="2">
        <f t="shared" si="3"/>
        <v>71.801747173448305</v>
      </c>
      <c r="J49" s="2">
        <f t="shared" si="4"/>
        <v>1.5328717297197727</v>
      </c>
      <c r="K49" s="15">
        <f t="shared" si="17"/>
        <v>0.5362179487179487</v>
      </c>
      <c r="L49" s="2">
        <f t="shared" si="14"/>
        <v>44</v>
      </c>
      <c r="M49" s="2">
        <f t="shared" si="15"/>
        <v>26.08</v>
      </c>
      <c r="N49" s="2">
        <v>13.5</v>
      </c>
      <c r="O49" s="2">
        <v>50.26548245743669</v>
      </c>
      <c r="P49" s="11">
        <f t="shared" si="5"/>
        <v>2.6857396646757339</v>
      </c>
      <c r="Q49" s="2">
        <f t="shared" si="6"/>
        <v>70.044090454743142</v>
      </c>
      <c r="R49" s="2">
        <f t="shared" si="7"/>
        <v>2.7659665035131269</v>
      </c>
      <c r="S49" s="2">
        <f t="shared" si="8"/>
        <v>72.136406411622346</v>
      </c>
      <c r="T49" s="2">
        <f t="shared" si="9"/>
        <v>2.0923159568792045</v>
      </c>
    </row>
    <row r="50" spans="1:20" x14ac:dyDescent="0.25">
      <c r="A50" s="14">
        <f t="shared" si="16"/>
        <v>0.56196581196581197</v>
      </c>
      <c r="B50" s="2">
        <f t="shared" si="11"/>
        <v>45</v>
      </c>
      <c r="C50" s="4">
        <f t="shared" si="12"/>
        <v>26.83</v>
      </c>
      <c r="D50" s="2">
        <v>21</v>
      </c>
      <c r="E50" s="2">
        <v>50.26548245743669</v>
      </c>
      <c r="F50" s="11">
        <f t="shared" si="0"/>
        <v>4.1778172561622533</v>
      </c>
      <c r="G50" s="2">
        <f t="shared" si="1"/>
        <v>112.09083698283325</v>
      </c>
      <c r="H50" s="2">
        <f t="shared" si="2"/>
        <v>2.7269938159304332</v>
      </c>
      <c r="I50" s="2">
        <f t="shared" si="3"/>
        <v>73.165244081413519</v>
      </c>
      <c r="J50" s="2">
        <f t="shared" si="4"/>
        <v>38.925592901419733</v>
      </c>
      <c r="K50" s="15">
        <f t="shared" si="17"/>
        <v>0.53637820512820511</v>
      </c>
      <c r="L50" s="2">
        <f t="shared" si="14"/>
        <v>45</v>
      </c>
      <c r="M50" s="2">
        <f t="shared" si="15"/>
        <v>26.58</v>
      </c>
      <c r="N50" s="2">
        <v>15</v>
      </c>
      <c r="O50" s="2">
        <v>50.26548245743669</v>
      </c>
      <c r="P50" s="11">
        <f t="shared" si="5"/>
        <v>2.9841551829730379</v>
      </c>
      <c r="Q50" s="2">
        <f t="shared" si="6"/>
        <v>79.318844763423343</v>
      </c>
      <c r="R50" s="2">
        <f t="shared" si="7"/>
        <v>2.7659665035131269</v>
      </c>
      <c r="S50" s="2">
        <f t="shared" si="8"/>
        <v>73.519389663378902</v>
      </c>
      <c r="T50" s="2">
        <f t="shared" si="9"/>
        <v>5.7994551000444403</v>
      </c>
    </row>
    <row r="51" spans="1:20" x14ac:dyDescent="0.25">
      <c r="A51" s="14">
        <f t="shared" si="16"/>
        <v>0.56210826210826215</v>
      </c>
      <c r="B51" s="2">
        <f t="shared" si="11"/>
        <v>46</v>
      </c>
      <c r="C51" s="4">
        <f t="shared" si="12"/>
        <v>27.33</v>
      </c>
      <c r="D51" s="2">
        <v>14.5</v>
      </c>
      <c r="E51" s="2">
        <v>50.26548245743669</v>
      </c>
      <c r="F51" s="11">
        <f t="shared" si="0"/>
        <v>2.8846833435406034</v>
      </c>
      <c r="G51" s="2">
        <f t="shared" si="1"/>
        <v>78.838395778964681</v>
      </c>
      <c r="H51" s="2">
        <f t="shared" si="2"/>
        <v>2.7269938159304332</v>
      </c>
      <c r="I51" s="2">
        <f t="shared" si="3"/>
        <v>74.528740989378733</v>
      </c>
      <c r="J51" s="2">
        <f t="shared" si="4"/>
        <v>4.3096547895859487</v>
      </c>
      <c r="K51" s="15">
        <f t="shared" si="17"/>
        <v>0.53653846153846152</v>
      </c>
      <c r="L51" s="2">
        <f t="shared" si="14"/>
        <v>46</v>
      </c>
      <c r="M51" s="2">
        <f t="shared" si="15"/>
        <v>27.08</v>
      </c>
      <c r="N51" s="2">
        <v>14.5</v>
      </c>
      <c r="O51" s="2">
        <v>50.26548245743669</v>
      </c>
      <c r="P51" s="11">
        <f t="shared" si="5"/>
        <v>2.8846833435406034</v>
      </c>
      <c r="Q51" s="2">
        <f t="shared" si="6"/>
        <v>78.117224943079535</v>
      </c>
      <c r="R51" s="2">
        <f t="shared" si="7"/>
        <v>2.7659665035131269</v>
      </c>
      <c r="S51" s="2">
        <f t="shared" si="8"/>
        <v>74.902372915135473</v>
      </c>
      <c r="T51" s="2">
        <f t="shared" si="9"/>
        <v>3.2148520279440618</v>
      </c>
    </row>
    <row r="52" spans="1:20" x14ac:dyDescent="0.25">
      <c r="A52" s="14">
        <f t="shared" si="16"/>
        <v>0.56225071225071221</v>
      </c>
      <c r="B52" s="2">
        <f t="shared" si="11"/>
        <v>47</v>
      </c>
      <c r="C52" s="4">
        <f t="shared" si="12"/>
        <v>27.83</v>
      </c>
      <c r="D52" s="2">
        <v>14</v>
      </c>
      <c r="E52" s="2">
        <v>50.26548245743669</v>
      </c>
      <c r="F52" s="11">
        <f t="shared" si="0"/>
        <v>2.7852115041081689</v>
      </c>
      <c r="G52" s="2">
        <f t="shared" si="1"/>
        <v>77.512436159330335</v>
      </c>
      <c r="H52" s="2">
        <f t="shared" si="2"/>
        <v>2.7269938159304332</v>
      </c>
      <c r="I52" s="2">
        <f t="shared" si="3"/>
        <v>75.892237897343946</v>
      </c>
      <c r="J52" s="2">
        <f t="shared" si="4"/>
        <v>1.6201982619863884</v>
      </c>
      <c r="K52" s="15">
        <f t="shared" si="17"/>
        <v>0.53669871794871793</v>
      </c>
      <c r="L52" s="2">
        <f t="shared" si="14"/>
        <v>47</v>
      </c>
      <c r="M52" s="2">
        <f t="shared" si="15"/>
        <v>27.58</v>
      </c>
      <c r="N52" s="2">
        <v>14.5</v>
      </c>
      <c r="O52" s="2">
        <v>50.26548245743669</v>
      </c>
      <c r="P52" s="11">
        <f t="shared" si="5"/>
        <v>2.8846833435406034</v>
      </c>
      <c r="Q52" s="2">
        <f t="shared" si="6"/>
        <v>79.559566614849842</v>
      </c>
      <c r="R52" s="2">
        <f t="shared" si="7"/>
        <v>2.7659665035131269</v>
      </c>
      <c r="S52" s="2">
        <f t="shared" si="8"/>
        <v>76.285356166892029</v>
      </c>
      <c r="T52" s="2">
        <f t="shared" si="9"/>
        <v>3.2742104479578131</v>
      </c>
    </row>
    <row r="53" spans="1:20" x14ac:dyDescent="0.25">
      <c r="A53" s="14">
        <f t="shared" si="16"/>
        <v>0.56239316239316239</v>
      </c>
      <c r="B53" s="2">
        <f t="shared" si="11"/>
        <v>48</v>
      </c>
      <c r="C53" s="4">
        <f t="shared" si="12"/>
        <v>28.33</v>
      </c>
      <c r="D53" s="2">
        <v>14.5</v>
      </c>
      <c r="E53" s="2">
        <v>50.26548245743669</v>
      </c>
      <c r="F53" s="11">
        <f t="shared" si="0"/>
        <v>2.8846833435406034</v>
      </c>
      <c r="G53" s="2">
        <f t="shared" si="1"/>
        <v>81.723079122505283</v>
      </c>
      <c r="H53" s="2">
        <f t="shared" si="2"/>
        <v>2.7269938159304332</v>
      </c>
      <c r="I53" s="2">
        <f t="shared" si="3"/>
        <v>77.255734805309174</v>
      </c>
      <c r="J53" s="2">
        <f t="shared" si="4"/>
        <v>4.4673443171961082</v>
      </c>
      <c r="K53" s="15">
        <f t="shared" si="17"/>
        <v>0.53685897435897434</v>
      </c>
      <c r="L53" s="2">
        <f t="shared" si="14"/>
        <v>48</v>
      </c>
      <c r="M53" s="2">
        <f t="shared" si="15"/>
        <v>28.08</v>
      </c>
      <c r="N53" s="2">
        <v>14</v>
      </c>
      <c r="O53" s="2">
        <v>50.26548245743669</v>
      </c>
      <c r="P53" s="11">
        <f t="shared" si="5"/>
        <v>2.7852115041081689</v>
      </c>
      <c r="Q53" s="2">
        <f t="shared" si="6"/>
        <v>78.208739035357382</v>
      </c>
      <c r="R53" s="2">
        <f t="shared" si="7"/>
        <v>2.7659665035131269</v>
      </c>
      <c r="S53" s="2">
        <f t="shared" si="8"/>
        <v>77.6683394186486</v>
      </c>
      <c r="T53" s="2">
        <f t="shared" si="9"/>
        <v>0.54039961670878256</v>
      </c>
    </row>
    <row r="54" spans="1:20" x14ac:dyDescent="0.25">
      <c r="A54" s="14">
        <f t="shared" si="16"/>
        <v>0.56253561253561257</v>
      </c>
      <c r="B54" s="2">
        <f t="shared" si="11"/>
        <v>49</v>
      </c>
      <c r="C54" s="4">
        <f t="shared" si="12"/>
        <v>28.83</v>
      </c>
      <c r="D54" s="2">
        <v>15</v>
      </c>
      <c r="E54" s="2">
        <v>50.26548245743669</v>
      </c>
      <c r="F54" s="11">
        <f t="shared" si="0"/>
        <v>2.9841551829730379</v>
      </c>
      <c r="G54" s="2">
        <f t="shared" si="1"/>
        <v>86.033193925112684</v>
      </c>
      <c r="H54" s="2">
        <f t="shared" si="2"/>
        <v>2.7269938159304332</v>
      </c>
      <c r="I54" s="2">
        <f t="shared" si="3"/>
        <v>78.619231713274388</v>
      </c>
      <c r="J54" s="2">
        <f t="shared" si="4"/>
        <v>7.413962211838296</v>
      </c>
      <c r="K54" s="15">
        <f t="shared" si="17"/>
        <v>0.53701923076923075</v>
      </c>
      <c r="L54" s="2">
        <f t="shared" si="14"/>
        <v>49</v>
      </c>
      <c r="M54" s="2">
        <f t="shared" si="15"/>
        <v>28.58</v>
      </c>
      <c r="N54" s="2">
        <v>16.5</v>
      </c>
      <c r="O54" s="2">
        <v>50.26548245743669</v>
      </c>
      <c r="P54" s="11">
        <f t="shared" si="5"/>
        <v>3.2825707012703416</v>
      </c>
      <c r="Q54" s="2">
        <f t="shared" si="6"/>
        <v>93.815870642306351</v>
      </c>
      <c r="R54" s="2">
        <f t="shared" si="7"/>
        <v>2.7659665035131269</v>
      </c>
      <c r="S54" s="2">
        <f t="shared" si="8"/>
        <v>79.051322670405156</v>
      </c>
      <c r="T54" s="2">
        <f t="shared" si="9"/>
        <v>14.764547971901195</v>
      </c>
    </row>
    <row r="55" spans="1:20" x14ac:dyDescent="0.25">
      <c r="A55" s="14">
        <f t="shared" si="16"/>
        <v>0.56267806267806264</v>
      </c>
      <c r="B55" s="2">
        <f t="shared" si="11"/>
        <v>50</v>
      </c>
      <c r="C55" s="4">
        <f t="shared" si="12"/>
        <v>29.33</v>
      </c>
      <c r="D55" s="2">
        <v>15.5</v>
      </c>
      <c r="E55" s="2">
        <v>50.26548245743669</v>
      </c>
      <c r="F55" s="11">
        <f t="shared" si="0"/>
        <v>3.0836270224054725</v>
      </c>
      <c r="G55" s="2">
        <f t="shared" si="1"/>
        <v>90.442780567152496</v>
      </c>
      <c r="H55" s="2">
        <f t="shared" si="2"/>
        <v>2.7269938159304332</v>
      </c>
      <c r="I55" s="2">
        <f t="shared" si="3"/>
        <v>79.982728621239602</v>
      </c>
      <c r="J55" s="2">
        <f t="shared" si="4"/>
        <v>10.460051945912895</v>
      </c>
      <c r="K55" s="15">
        <f t="shared" si="17"/>
        <v>0.53717948717948716</v>
      </c>
      <c r="L55" s="2">
        <f t="shared" si="14"/>
        <v>50</v>
      </c>
      <c r="M55" s="2">
        <f t="shared" si="15"/>
        <v>29.08</v>
      </c>
      <c r="N55" s="2">
        <v>23.5</v>
      </c>
      <c r="O55" s="2">
        <v>50.26548245743669</v>
      </c>
      <c r="P55" s="11">
        <f t="shared" si="5"/>
        <v>4.6751764533244256</v>
      </c>
      <c r="Q55" s="2">
        <f t="shared" si="6"/>
        <v>135.95413126267428</v>
      </c>
      <c r="R55" s="2">
        <f t="shared" si="7"/>
        <v>2.7659665035131269</v>
      </c>
      <c r="S55" s="2">
        <f t="shared" si="8"/>
        <v>80.434305922161727</v>
      </c>
      <c r="T55" s="2">
        <f t="shared" si="9"/>
        <v>55.519825340512554</v>
      </c>
    </row>
    <row r="56" spans="1:20" x14ac:dyDescent="0.25">
      <c r="A56" s="14">
        <f t="shared" si="16"/>
        <v>0.56282051282051282</v>
      </c>
      <c r="B56" s="2">
        <f t="shared" si="11"/>
        <v>51</v>
      </c>
      <c r="C56" s="4">
        <f t="shared" si="12"/>
        <v>29.83</v>
      </c>
      <c r="D56" s="2">
        <v>14.5</v>
      </c>
      <c r="E56" s="2">
        <v>50.26548245743669</v>
      </c>
      <c r="F56" s="11">
        <f t="shared" si="0"/>
        <v>2.8846833435406034</v>
      </c>
      <c r="G56" s="2">
        <f t="shared" si="1"/>
        <v>86.050104137816191</v>
      </c>
      <c r="H56" s="2">
        <f t="shared" si="2"/>
        <v>2.7269938159304332</v>
      </c>
      <c r="I56" s="2">
        <f t="shared" si="3"/>
        <v>81.346225529204816</v>
      </c>
      <c r="J56" s="2">
        <f t="shared" si="4"/>
        <v>4.703878608611376</v>
      </c>
      <c r="K56" s="15">
        <f t="shared" si="17"/>
        <v>0.53733974358974357</v>
      </c>
      <c r="L56" s="2">
        <f t="shared" si="14"/>
        <v>51</v>
      </c>
      <c r="M56" s="2">
        <f t="shared" si="15"/>
        <v>29.58</v>
      </c>
      <c r="N56" s="2">
        <v>15.5</v>
      </c>
      <c r="O56" s="2">
        <v>50.26548245743669</v>
      </c>
      <c r="P56" s="11">
        <f t="shared" si="5"/>
        <v>3.0836270224054725</v>
      </c>
      <c r="Q56" s="2">
        <f t="shared" si="6"/>
        <v>91.21368732275387</v>
      </c>
      <c r="R56" s="2">
        <f t="shared" si="7"/>
        <v>2.7659665035131269</v>
      </c>
      <c r="S56" s="2">
        <f t="shared" si="8"/>
        <v>81.817289173918283</v>
      </c>
      <c r="T56" s="2">
        <f t="shared" si="9"/>
        <v>9.396398148835587</v>
      </c>
    </row>
    <row r="57" spans="1:20" x14ac:dyDescent="0.25">
      <c r="A57" s="14">
        <f t="shared" si="16"/>
        <v>0.562962962962963</v>
      </c>
      <c r="B57" s="2">
        <f t="shared" si="11"/>
        <v>52</v>
      </c>
      <c r="C57" s="4">
        <f t="shared" si="12"/>
        <v>30.33</v>
      </c>
      <c r="D57" s="2">
        <v>13.5</v>
      </c>
      <c r="E57" s="2">
        <v>50.26548245743669</v>
      </c>
      <c r="F57" s="11">
        <f t="shared" si="0"/>
        <v>2.6857396646757339</v>
      </c>
      <c r="G57" s="2">
        <f t="shared" si="1"/>
        <v>81.458484029615008</v>
      </c>
      <c r="H57" s="2">
        <f t="shared" si="2"/>
        <v>2.7269938159304332</v>
      </c>
      <c r="I57" s="2">
        <f t="shared" si="3"/>
        <v>82.709722437170029</v>
      </c>
      <c r="J57" s="2">
        <f t="shared" si="4"/>
        <v>1.2512384075550216</v>
      </c>
      <c r="K57" s="15">
        <f t="shared" si="17"/>
        <v>0.53749999999999998</v>
      </c>
      <c r="L57" s="2">
        <f t="shared" si="14"/>
        <v>52</v>
      </c>
      <c r="M57" s="2">
        <f t="shared" si="15"/>
        <v>30.08</v>
      </c>
      <c r="N57" s="2">
        <v>15</v>
      </c>
      <c r="O57" s="2">
        <v>50.26548245743669</v>
      </c>
      <c r="P57" s="11">
        <f t="shared" si="5"/>
        <v>2.9841551829730379</v>
      </c>
      <c r="Q57" s="2">
        <f t="shared" si="6"/>
        <v>89.763387903828971</v>
      </c>
      <c r="R57" s="2">
        <f t="shared" si="7"/>
        <v>2.7659665035131269</v>
      </c>
      <c r="S57" s="2">
        <f t="shared" si="8"/>
        <v>83.200272425674854</v>
      </c>
      <c r="T57" s="2">
        <f t="shared" si="9"/>
        <v>6.563115478154117</v>
      </c>
    </row>
    <row r="58" spans="1:20" x14ac:dyDescent="0.25">
      <c r="A58" s="14">
        <f t="shared" si="16"/>
        <v>0.56310541310541307</v>
      </c>
      <c r="B58" s="2">
        <f t="shared" si="11"/>
        <v>53</v>
      </c>
      <c r="C58" s="4">
        <f t="shared" si="12"/>
        <v>30.83</v>
      </c>
      <c r="D58" s="2">
        <v>13.5</v>
      </c>
      <c r="E58" s="2">
        <v>50.26548245743669</v>
      </c>
      <c r="F58" s="11">
        <f t="shared" si="0"/>
        <v>2.6857396646757339</v>
      </c>
      <c r="G58" s="2">
        <f t="shared" si="1"/>
        <v>82.801353861952876</v>
      </c>
      <c r="H58" s="2">
        <f t="shared" si="2"/>
        <v>2.7269938159304332</v>
      </c>
      <c r="I58" s="2">
        <f t="shared" si="3"/>
        <v>84.073219345135257</v>
      </c>
      <c r="J58" s="2">
        <f t="shared" si="4"/>
        <v>1.2718654831823812</v>
      </c>
      <c r="K58" s="15">
        <f t="shared" si="17"/>
        <v>0.53766025641025639</v>
      </c>
      <c r="L58" s="2">
        <f t="shared" si="14"/>
        <v>53</v>
      </c>
      <c r="M58" s="2">
        <f t="shared" si="15"/>
        <v>30.58</v>
      </c>
      <c r="N58" s="2">
        <v>15</v>
      </c>
      <c r="O58" s="2">
        <v>50.26548245743669</v>
      </c>
      <c r="P58" s="11">
        <f t="shared" si="5"/>
        <v>2.9841551829730379</v>
      </c>
      <c r="Q58" s="2">
        <f t="shared" si="6"/>
        <v>91.255465495315491</v>
      </c>
      <c r="R58" s="2">
        <f t="shared" si="7"/>
        <v>2.7659665035131269</v>
      </c>
      <c r="S58" s="2">
        <f t="shared" si="8"/>
        <v>84.58325567743141</v>
      </c>
      <c r="T58" s="2">
        <f t="shared" si="9"/>
        <v>6.672209817884081</v>
      </c>
    </row>
    <row r="59" spans="1:20" x14ac:dyDescent="0.25">
      <c r="A59" s="14">
        <f t="shared" si="16"/>
        <v>0.56324786324786325</v>
      </c>
      <c r="B59" s="2">
        <f t="shared" si="11"/>
        <v>54</v>
      </c>
      <c r="C59" s="4">
        <f t="shared" si="12"/>
        <v>31.33</v>
      </c>
      <c r="D59" s="2">
        <v>14.5</v>
      </c>
      <c r="E59" s="2">
        <v>50.26548245743669</v>
      </c>
      <c r="F59" s="11">
        <f t="shared" si="0"/>
        <v>2.8846833435406034</v>
      </c>
      <c r="G59" s="2">
        <f t="shared" si="1"/>
        <v>90.3771291531271</v>
      </c>
      <c r="H59" s="2">
        <f t="shared" si="2"/>
        <v>2.7269938159304332</v>
      </c>
      <c r="I59" s="2">
        <f t="shared" si="3"/>
        <v>85.436716253100471</v>
      </c>
      <c r="J59" s="2">
        <f t="shared" si="4"/>
        <v>4.9404129000266295</v>
      </c>
      <c r="K59" s="15">
        <f t="shared" si="17"/>
        <v>0.5378205128205128</v>
      </c>
      <c r="L59" s="2">
        <f t="shared" si="14"/>
        <v>54</v>
      </c>
      <c r="M59" s="2">
        <f t="shared" si="15"/>
        <v>31.08</v>
      </c>
      <c r="N59" s="2">
        <v>20.5</v>
      </c>
      <c r="O59" s="2">
        <v>50.26548245743669</v>
      </c>
      <c r="P59" s="11">
        <f t="shared" si="5"/>
        <v>4.0783454167298183</v>
      </c>
      <c r="Q59" s="2">
        <f t="shared" si="6"/>
        <v>126.75497555196274</v>
      </c>
      <c r="R59" s="2">
        <f t="shared" si="7"/>
        <v>2.7659665035131269</v>
      </c>
      <c r="S59" s="2">
        <f t="shared" si="8"/>
        <v>85.96623892918798</v>
      </c>
      <c r="T59" s="2">
        <f t="shared" si="9"/>
        <v>40.788736622774763</v>
      </c>
    </row>
    <row r="60" spans="1:20" x14ac:dyDescent="0.25">
      <c r="A60" s="14">
        <f t="shared" si="16"/>
        <v>0.56339031339031342</v>
      </c>
      <c r="B60" s="2">
        <f t="shared" si="11"/>
        <v>55</v>
      </c>
      <c r="C60" s="4">
        <f t="shared" si="12"/>
        <v>31.83</v>
      </c>
      <c r="D60" s="2">
        <v>14.5</v>
      </c>
      <c r="E60" s="2">
        <v>50.26548245743669</v>
      </c>
      <c r="F60" s="11">
        <f t="shared" si="0"/>
        <v>2.8846833435406034</v>
      </c>
      <c r="G60" s="2">
        <f t="shared" si="1"/>
        <v>91.819470824897408</v>
      </c>
      <c r="H60" s="2">
        <f t="shared" si="2"/>
        <v>2.7269938159304332</v>
      </c>
      <c r="I60" s="2">
        <f t="shared" si="3"/>
        <v>86.800213161065685</v>
      </c>
      <c r="J60" s="2">
        <f t="shared" si="4"/>
        <v>5.0192576638317234</v>
      </c>
      <c r="K60" s="15">
        <f t="shared" si="17"/>
        <v>0.53798076923076921</v>
      </c>
      <c r="L60" s="2">
        <f t="shared" si="14"/>
        <v>55</v>
      </c>
      <c r="M60" s="2">
        <f t="shared" si="15"/>
        <v>31.58</v>
      </c>
      <c r="N60" s="2">
        <v>15.5</v>
      </c>
      <c r="O60" s="2">
        <v>50.26548245743669</v>
      </c>
      <c r="P60" s="11">
        <f t="shared" si="5"/>
        <v>3.0836270224054725</v>
      </c>
      <c r="Q60" s="2">
        <f t="shared" si="6"/>
        <v>97.380941367564816</v>
      </c>
      <c r="R60" s="2">
        <f t="shared" si="7"/>
        <v>2.7659665035131269</v>
      </c>
      <c r="S60" s="2">
        <f t="shared" si="8"/>
        <v>87.349222180944537</v>
      </c>
      <c r="T60" s="2">
        <f t="shared" si="9"/>
        <v>10.031719186620279</v>
      </c>
    </row>
    <row r="61" spans="1:20" x14ac:dyDescent="0.25">
      <c r="A61" s="14">
        <f t="shared" si="16"/>
        <v>0.56353276353276349</v>
      </c>
      <c r="B61" s="2">
        <f t="shared" si="11"/>
        <v>56</v>
      </c>
      <c r="C61" s="4">
        <f t="shared" si="12"/>
        <v>32.33</v>
      </c>
      <c r="D61" s="2">
        <v>15.5</v>
      </c>
      <c r="E61" s="2">
        <v>50.26548245743669</v>
      </c>
      <c r="F61" s="11">
        <f t="shared" si="0"/>
        <v>3.0836270224054725</v>
      </c>
      <c r="G61" s="2">
        <f t="shared" si="1"/>
        <v>99.693661634368922</v>
      </c>
      <c r="H61" s="2">
        <f t="shared" si="2"/>
        <v>2.7269938159304332</v>
      </c>
      <c r="I61" s="2">
        <f t="shared" si="3"/>
        <v>88.163710069030898</v>
      </c>
      <c r="J61" s="2">
        <f t="shared" si="4"/>
        <v>11.529951565338024</v>
      </c>
      <c r="K61" s="15">
        <f t="shared" si="17"/>
        <v>0.53814102564102562</v>
      </c>
      <c r="L61" s="2">
        <f t="shared" si="14"/>
        <v>56</v>
      </c>
      <c r="M61" s="2">
        <f t="shared" si="15"/>
        <v>32.08</v>
      </c>
      <c r="N61" s="2">
        <v>14.5</v>
      </c>
      <c r="O61" s="2">
        <v>50.26548245743669</v>
      </c>
      <c r="P61" s="11">
        <f t="shared" si="5"/>
        <v>2.8846833435406034</v>
      </c>
      <c r="Q61" s="2">
        <f t="shared" si="6"/>
        <v>92.540641660782555</v>
      </c>
      <c r="R61" s="2">
        <f t="shared" si="7"/>
        <v>2.7659665035131269</v>
      </c>
      <c r="S61" s="2">
        <f t="shared" si="8"/>
        <v>88.732205432701107</v>
      </c>
      <c r="T61" s="2">
        <f t="shared" si="9"/>
        <v>3.8084362280814474</v>
      </c>
    </row>
    <row r="62" spans="1:20" x14ac:dyDescent="0.25">
      <c r="A62" s="14">
        <f t="shared" si="16"/>
        <v>0.56367521367521367</v>
      </c>
      <c r="B62" s="2">
        <f t="shared" si="11"/>
        <v>57</v>
      </c>
      <c r="C62" s="4">
        <f t="shared" si="12"/>
        <v>32.83</v>
      </c>
      <c r="D62" s="2">
        <v>14</v>
      </c>
      <c r="E62" s="2">
        <v>50.26548245743669</v>
      </c>
      <c r="F62" s="11">
        <f t="shared" si="0"/>
        <v>2.7852115041081689</v>
      </c>
      <c r="G62" s="2">
        <f t="shared" si="1"/>
        <v>91.438493679871186</v>
      </c>
      <c r="H62" s="2">
        <f t="shared" si="2"/>
        <v>2.7269938159304332</v>
      </c>
      <c r="I62" s="2">
        <f t="shared" si="3"/>
        <v>89.527206976996112</v>
      </c>
      <c r="J62" s="2">
        <f t="shared" si="4"/>
        <v>1.9112867028750742</v>
      </c>
      <c r="K62" s="15">
        <f t="shared" si="17"/>
        <v>0.53830128205128203</v>
      </c>
      <c r="L62" s="2">
        <f t="shared" si="14"/>
        <v>57</v>
      </c>
      <c r="M62" s="2">
        <f t="shared" si="15"/>
        <v>32.58</v>
      </c>
      <c r="N62" s="2">
        <v>14.5</v>
      </c>
      <c r="O62" s="2">
        <v>50.26548245743669</v>
      </c>
      <c r="P62" s="11">
        <f t="shared" si="5"/>
        <v>2.8846833435406034</v>
      </c>
      <c r="Q62" s="2">
        <f t="shared" si="6"/>
        <v>93.982983332552848</v>
      </c>
      <c r="R62" s="2">
        <f t="shared" si="7"/>
        <v>2.7659665035131269</v>
      </c>
      <c r="S62" s="2">
        <f t="shared" si="8"/>
        <v>90.115188684457664</v>
      </c>
      <c r="T62" s="2">
        <f t="shared" si="9"/>
        <v>3.8677946480951846</v>
      </c>
    </row>
    <row r="63" spans="1:20" x14ac:dyDescent="0.25">
      <c r="A63" s="14">
        <f t="shared" si="16"/>
        <v>0.56381766381766385</v>
      </c>
      <c r="B63" s="2">
        <f t="shared" si="11"/>
        <v>58</v>
      </c>
      <c r="C63" s="4">
        <f t="shared" si="12"/>
        <v>33.33</v>
      </c>
      <c r="D63" s="2">
        <v>13</v>
      </c>
      <c r="E63" s="2">
        <v>50.26548245743669</v>
      </c>
      <c r="F63" s="11">
        <f t="shared" si="0"/>
        <v>2.5862678252432989</v>
      </c>
      <c r="G63" s="2">
        <f t="shared" si="1"/>
        <v>86.200306615359153</v>
      </c>
      <c r="H63" s="2">
        <f t="shared" si="2"/>
        <v>2.7269938159304332</v>
      </c>
      <c r="I63" s="2">
        <f t="shared" si="3"/>
        <v>90.89070388496134</v>
      </c>
      <c r="J63" s="2">
        <f t="shared" si="4"/>
        <v>4.6903972696021867</v>
      </c>
      <c r="K63" s="15">
        <f t="shared" si="17"/>
        <v>0.53846153846153844</v>
      </c>
      <c r="L63" s="2">
        <f t="shared" si="14"/>
        <v>58</v>
      </c>
      <c r="M63" s="2">
        <f t="shared" si="15"/>
        <v>33.08</v>
      </c>
      <c r="N63" s="2">
        <v>14</v>
      </c>
      <c r="O63" s="2">
        <v>50.26548245743669</v>
      </c>
      <c r="P63" s="11">
        <f t="shared" si="5"/>
        <v>2.7852115041081689</v>
      </c>
      <c r="Q63" s="2">
        <f t="shared" si="6"/>
        <v>92.13479655589822</v>
      </c>
      <c r="R63" s="2">
        <f t="shared" si="7"/>
        <v>2.7659665035131269</v>
      </c>
      <c r="S63" s="2">
        <f t="shared" si="8"/>
        <v>91.498171936214234</v>
      </c>
      <c r="T63" s="2">
        <f t="shared" si="9"/>
        <v>0.63662461968398532</v>
      </c>
    </row>
    <row r="64" spans="1:20" x14ac:dyDescent="0.25">
      <c r="A64" s="14">
        <f t="shared" si="16"/>
        <v>0.56396011396011392</v>
      </c>
      <c r="B64" s="2">
        <f t="shared" si="11"/>
        <v>59</v>
      </c>
      <c r="C64" s="4">
        <f t="shared" si="12"/>
        <v>33.83</v>
      </c>
      <c r="D64" s="2">
        <v>14</v>
      </c>
      <c r="E64" s="2">
        <v>50.26548245743669</v>
      </c>
      <c r="F64" s="11">
        <f t="shared" si="0"/>
        <v>2.7852115041081689</v>
      </c>
      <c r="G64" s="2">
        <f t="shared" si="1"/>
        <v>94.223705183979348</v>
      </c>
      <c r="H64" s="2">
        <f t="shared" si="2"/>
        <v>2.7269938159304332</v>
      </c>
      <c r="I64" s="2">
        <f t="shared" si="3"/>
        <v>92.254200792926554</v>
      </c>
      <c r="J64" s="2">
        <f t="shared" si="4"/>
        <v>1.9695043910527943</v>
      </c>
      <c r="K64" s="15">
        <f t="shared" si="17"/>
        <v>0.53862179487179485</v>
      </c>
      <c r="L64" s="2">
        <f t="shared" si="14"/>
        <v>59</v>
      </c>
      <c r="M64" s="2">
        <f t="shared" si="15"/>
        <v>33.58</v>
      </c>
      <c r="N64" s="2">
        <v>15</v>
      </c>
      <c r="O64" s="2">
        <v>50.26548245743669</v>
      </c>
      <c r="P64" s="11">
        <f t="shared" si="5"/>
        <v>2.9841551829730379</v>
      </c>
      <c r="Q64" s="2">
        <f t="shared" si="6"/>
        <v>100.20793104423461</v>
      </c>
      <c r="R64" s="2">
        <f t="shared" si="7"/>
        <v>2.7659665035131269</v>
      </c>
      <c r="S64" s="2">
        <f t="shared" si="8"/>
        <v>92.881155187970791</v>
      </c>
      <c r="T64" s="2">
        <f t="shared" si="9"/>
        <v>7.3267758562638221</v>
      </c>
    </row>
    <row r="65" spans="1:20" x14ac:dyDescent="0.25">
      <c r="A65" s="14">
        <f t="shared" si="16"/>
        <v>0.5641025641025641</v>
      </c>
      <c r="B65" s="2">
        <f t="shared" si="11"/>
        <v>60</v>
      </c>
      <c r="C65" s="4">
        <f t="shared" si="12"/>
        <v>34.33</v>
      </c>
      <c r="D65" s="2">
        <v>14</v>
      </c>
      <c r="E65" s="2">
        <v>50.26548245743669</v>
      </c>
      <c r="F65" s="11">
        <f t="shared" si="0"/>
        <v>2.7852115041081689</v>
      </c>
      <c r="G65" s="2">
        <f t="shared" si="1"/>
        <v>95.616310936033429</v>
      </c>
      <c r="H65" s="2">
        <f t="shared" si="2"/>
        <v>2.7269938159304332</v>
      </c>
      <c r="I65" s="2">
        <f t="shared" si="3"/>
        <v>93.617697700891767</v>
      </c>
      <c r="J65" s="2">
        <f t="shared" si="4"/>
        <v>1.9986132351416614</v>
      </c>
      <c r="K65" s="15">
        <f t="shared" si="17"/>
        <v>0.53878205128205126</v>
      </c>
      <c r="L65" s="2">
        <f t="shared" si="14"/>
        <v>60</v>
      </c>
      <c r="M65" s="2">
        <f t="shared" si="15"/>
        <v>34.08</v>
      </c>
      <c r="N65" s="2">
        <v>13.5</v>
      </c>
      <c r="O65" s="2">
        <v>50.26548245743669</v>
      </c>
      <c r="P65" s="11">
        <f t="shared" si="5"/>
        <v>2.6857396646757339</v>
      </c>
      <c r="Q65" s="2">
        <f t="shared" si="6"/>
        <v>91.530007772149006</v>
      </c>
      <c r="R65" s="2">
        <f t="shared" si="7"/>
        <v>2.7659665035131269</v>
      </c>
      <c r="S65" s="2">
        <f t="shared" si="8"/>
        <v>94.264138439727361</v>
      </c>
      <c r="T65" s="2">
        <f t="shared" si="9"/>
        <v>2.7341306675783557</v>
      </c>
    </row>
    <row r="66" spans="1:20" x14ac:dyDescent="0.25">
      <c r="A66" s="14">
        <f t="shared" si="16"/>
        <v>0.56424501424501428</v>
      </c>
      <c r="B66" s="2">
        <f t="shared" si="11"/>
        <v>61</v>
      </c>
      <c r="C66" s="4">
        <f t="shared" si="12"/>
        <v>34.83</v>
      </c>
      <c r="D66" s="2">
        <v>14.5</v>
      </c>
      <c r="E66" s="2">
        <v>50.26548245743669</v>
      </c>
      <c r="F66" s="11">
        <f t="shared" si="0"/>
        <v>2.8846833435406034</v>
      </c>
      <c r="G66" s="2">
        <f t="shared" si="1"/>
        <v>100.47352085551921</v>
      </c>
      <c r="H66" s="2">
        <f t="shared" si="2"/>
        <v>2.7269938159304332</v>
      </c>
      <c r="I66" s="2">
        <f t="shared" si="3"/>
        <v>94.981194608856981</v>
      </c>
      <c r="J66" s="2">
        <f t="shared" si="4"/>
        <v>5.4923262466622305</v>
      </c>
      <c r="K66" s="15">
        <f t="shared" si="17"/>
        <v>0.53894230769230766</v>
      </c>
      <c r="L66" s="2">
        <f t="shared" si="14"/>
        <v>61</v>
      </c>
      <c r="M66" s="2">
        <f t="shared" si="15"/>
        <v>34.58</v>
      </c>
      <c r="N66" s="2">
        <v>13.5</v>
      </c>
      <c r="O66" s="2">
        <v>50.26548245743669</v>
      </c>
      <c r="P66" s="11">
        <f t="shared" si="5"/>
        <v>2.6857396646757339</v>
      </c>
      <c r="Q66" s="2">
        <f t="shared" si="6"/>
        <v>92.872877604486874</v>
      </c>
      <c r="R66" s="2">
        <f t="shared" si="7"/>
        <v>2.7659665035131269</v>
      </c>
      <c r="S66" s="2">
        <f t="shared" si="8"/>
        <v>95.647121691483918</v>
      </c>
      <c r="T66" s="2">
        <f t="shared" si="9"/>
        <v>2.7742440869970437</v>
      </c>
    </row>
    <row r="67" spans="1:20" x14ac:dyDescent="0.25">
      <c r="A67" s="14">
        <f t="shared" si="16"/>
        <v>0.56438746438746434</v>
      </c>
      <c r="B67" s="2">
        <f t="shared" si="11"/>
        <v>62</v>
      </c>
      <c r="C67" s="4">
        <f t="shared" si="12"/>
        <v>35.33</v>
      </c>
      <c r="D67" s="2">
        <v>15</v>
      </c>
      <c r="E67" s="2">
        <v>50.26548245743669</v>
      </c>
      <c r="F67" s="11">
        <f t="shared" si="0"/>
        <v>2.9841551829730379</v>
      </c>
      <c r="G67" s="2">
        <f t="shared" si="1"/>
        <v>105.43020261443742</v>
      </c>
      <c r="H67" s="2">
        <f t="shared" si="2"/>
        <v>2.7269938159304332</v>
      </c>
      <c r="I67" s="2">
        <f t="shared" si="3"/>
        <v>96.344691516822195</v>
      </c>
      <c r="J67" s="2">
        <f t="shared" si="4"/>
        <v>9.0855110976152247</v>
      </c>
      <c r="K67" s="15">
        <f t="shared" si="17"/>
        <v>0.53910256410256407</v>
      </c>
      <c r="L67" s="2">
        <f t="shared" si="14"/>
        <v>62</v>
      </c>
      <c r="M67" s="2">
        <f t="shared" si="15"/>
        <v>35.08</v>
      </c>
      <c r="N67" s="2">
        <v>15</v>
      </c>
      <c r="O67" s="2">
        <v>50.26548245743669</v>
      </c>
      <c r="P67" s="11">
        <f t="shared" si="5"/>
        <v>2.9841551829730379</v>
      </c>
      <c r="Q67" s="2">
        <f t="shared" si="6"/>
        <v>104.68416381869416</v>
      </c>
      <c r="R67" s="2">
        <f t="shared" si="7"/>
        <v>2.7659665035131269</v>
      </c>
      <c r="S67" s="2">
        <f t="shared" si="8"/>
        <v>97.030104943240488</v>
      </c>
      <c r="T67" s="2">
        <f t="shared" si="9"/>
        <v>7.6540588754536714</v>
      </c>
    </row>
    <row r="68" spans="1:20" x14ac:dyDescent="0.25">
      <c r="A68" s="14">
        <f t="shared" si="16"/>
        <v>0.56452991452991452</v>
      </c>
      <c r="B68" s="2">
        <f t="shared" si="11"/>
        <v>63</v>
      </c>
      <c r="C68" s="4">
        <f t="shared" si="12"/>
        <v>35.83</v>
      </c>
      <c r="D68" s="2">
        <v>14</v>
      </c>
      <c r="E68" s="2">
        <v>50.26548245743669</v>
      </c>
      <c r="F68" s="11">
        <f t="shared" si="0"/>
        <v>2.7852115041081689</v>
      </c>
      <c r="G68" s="2">
        <f t="shared" si="1"/>
        <v>99.794128192195686</v>
      </c>
      <c r="H68" s="2">
        <f t="shared" si="2"/>
        <v>2.7269938159304332</v>
      </c>
      <c r="I68" s="2">
        <f t="shared" si="3"/>
        <v>97.708188424787423</v>
      </c>
      <c r="J68" s="2">
        <f t="shared" si="4"/>
        <v>2.0859397674082629</v>
      </c>
      <c r="K68" s="15">
        <f t="shared" si="17"/>
        <v>0.53926282051282048</v>
      </c>
      <c r="L68" s="2">
        <f t="shared" si="14"/>
        <v>63</v>
      </c>
      <c r="M68" s="2">
        <f t="shared" si="15"/>
        <v>35.58</v>
      </c>
      <c r="N68" s="2">
        <v>14</v>
      </c>
      <c r="O68" s="2">
        <v>50.26548245743669</v>
      </c>
      <c r="P68" s="11">
        <f t="shared" si="5"/>
        <v>2.7852115041081689</v>
      </c>
      <c r="Q68" s="2">
        <f t="shared" si="6"/>
        <v>99.097825316168638</v>
      </c>
      <c r="R68" s="2">
        <f t="shared" si="7"/>
        <v>2.7659665035131269</v>
      </c>
      <c r="S68" s="2">
        <f t="shared" si="8"/>
        <v>98.413088194997044</v>
      </c>
      <c r="T68" s="2">
        <f t="shared" si="9"/>
        <v>0.6847371211715938</v>
      </c>
    </row>
    <row r="69" spans="1:20" x14ac:dyDescent="0.25">
      <c r="A69" s="14">
        <f t="shared" si="16"/>
        <v>0.5646723646723647</v>
      </c>
      <c r="B69" s="2">
        <f t="shared" si="11"/>
        <v>64</v>
      </c>
      <c r="C69" s="4">
        <f t="shared" si="12"/>
        <v>36.33</v>
      </c>
      <c r="D69" s="2">
        <v>13</v>
      </c>
      <c r="E69" s="2">
        <v>50.26548245743669</v>
      </c>
      <c r="F69" s="11">
        <f t="shared" si="0"/>
        <v>2.5862678252432989</v>
      </c>
      <c r="G69" s="2">
        <f t="shared" si="1"/>
        <v>93.959110091089045</v>
      </c>
      <c r="H69" s="2">
        <f t="shared" si="2"/>
        <v>2.7269938159304332</v>
      </c>
      <c r="I69" s="2">
        <f t="shared" si="3"/>
        <v>99.071685332752637</v>
      </c>
      <c r="J69" s="2">
        <f t="shared" si="4"/>
        <v>5.1125752416635919</v>
      </c>
      <c r="K69" s="15">
        <f t="shared" si="17"/>
        <v>0.53942307692307689</v>
      </c>
      <c r="L69" s="2">
        <f t="shared" si="14"/>
        <v>64</v>
      </c>
      <c r="M69" s="2">
        <f t="shared" si="15"/>
        <v>36.08</v>
      </c>
      <c r="N69" s="2">
        <v>14</v>
      </c>
      <c r="O69" s="2">
        <v>50.26548245743669</v>
      </c>
      <c r="P69" s="11">
        <f t="shared" si="5"/>
        <v>2.7852115041081689</v>
      </c>
      <c r="Q69" s="2">
        <f t="shared" si="6"/>
        <v>100.49043106822273</v>
      </c>
      <c r="R69" s="2">
        <f t="shared" si="7"/>
        <v>2.7659665035131269</v>
      </c>
      <c r="S69" s="2">
        <f t="shared" si="8"/>
        <v>99.796071446753615</v>
      </c>
      <c r="T69" s="2">
        <f t="shared" si="9"/>
        <v>0.69435962146911834</v>
      </c>
    </row>
    <row r="70" spans="1:20" x14ac:dyDescent="0.25">
      <c r="A70" s="14">
        <f t="shared" si="16"/>
        <v>0.56481481481481477</v>
      </c>
      <c r="B70" s="2">
        <f t="shared" si="11"/>
        <v>65</v>
      </c>
      <c r="C70" s="4">
        <f t="shared" si="12"/>
        <v>36.83</v>
      </c>
      <c r="D70" s="2">
        <v>13</v>
      </c>
      <c r="E70" s="2">
        <v>50.26548245743669</v>
      </c>
      <c r="F70" s="11">
        <f t="shared" si="0"/>
        <v>2.5862678252432989</v>
      </c>
      <c r="G70" s="2">
        <f t="shared" si="1"/>
        <v>95.2522440037107</v>
      </c>
      <c r="H70" s="2">
        <f t="shared" si="2"/>
        <v>2.7269938159304332</v>
      </c>
      <c r="I70" s="2">
        <f t="shared" si="3"/>
        <v>100.43518224071785</v>
      </c>
      <c r="J70" s="2">
        <f t="shared" si="4"/>
        <v>5.18293823700715</v>
      </c>
      <c r="K70" s="15">
        <f t="shared" si="17"/>
        <v>0.5395833333333333</v>
      </c>
      <c r="L70" s="2">
        <f t="shared" si="14"/>
        <v>65</v>
      </c>
      <c r="M70" s="2">
        <f t="shared" si="15"/>
        <v>36.58</v>
      </c>
      <c r="N70" s="2">
        <v>13.5</v>
      </c>
      <c r="O70" s="2">
        <v>50.26548245743669</v>
      </c>
      <c r="P70" s="11">
        <f t="shared" si="5"/>
        <v>2.6857396646757339</v>
      </c>
      <c r="Q70" s="2">
        <f t="shared" si="6"/>
        <v>98.244356933838347</v>
      </c>
      <c r="R70" s="2">
        <f t="shared" si="7"/>
        <v>2.7659665035131269</v>
      </c>
      <c r="S70" s="2">
        <f t="shared" si="8"/>
        <v>101.17905469851017</v>
      </c>
      <c r="T70" s="2">
        <f t="shared" si="9"/>
        <v>2.9346977646718244</v>
      </c>
    </row>
    <row r="71" spans="1:20" x14ac:dyDescent="0.25">
      <c r="A71" s="14">
        <f t="shared" si="16"/>
        <v>0.56495726495726495</v>
      </c>
      <c r="B71" s="2">
        <f t="shared" si="11"/>
        <v>66</v>
      </c>
      <c r="C71" s="4">
        <f t="shared" si="12"/>
        <v>37.33</v>
      </c>
      <c r="D71" s="2">
        <v>15</v>
      </c>
      <c r="E71" s="2">
        <v>50.26548245743669</v>
      </c>
      <c r="F71" s="11">
        <f t="shared" si="0"/>
        <v>2.9841551829730379</v>
      </c>
      <c r="G71" s="2">
        <f t="shared" si="1"/>
        <v>111.3985129803835</v>
      </c>
      <c r="H71" s="2">
        <f t="shared" si="2"/>
        <v>2.7269938159304332</v>
      </c>
      <c r="I71" s="2">
        <f t="shared" si="3"/>
        <v>101.79867914868306</v>
      </c>
      <c r="J71" s="2">
        <f t="shared" si="4"/>
        <v>9.5998338317004368</v>
      </c>
      <c r="K71" s="15">
        <f t="shared" si="17"/>
        <v>0.53974358974358971</v>
      </c>
      <c r="L71" s="2">
        <f t="shared" si="14"/>
        <v>66</v>
      </c>
      <c r="M71" s="2">
        <f t="shared" si="15"/>
        <v>37.08</v>
      </c>
      <c r="N71" s="2">
        <v>14</v>
      </c>
      <c r="O71" s="2">
        <v>50.26548245743669</v>
      </c>
      <c r="P71" s="11">
        <f t="shared" si="5"/>
        <v>2.7852115041081689</v>
      </c>
      <c r="Q71" s="2">
        <f t="shared" si="6"/>
        <v>103.2756425723309</v>
      </c>
      <c r="R71" s="2">
        <f t="shared" si="7"/>
        <v>2.7659665035131269</v>
      </c>
      <c r="S71" s="2">
        <f t="shared" si="8"/>
        <v>102.56203795026674</v>
      </c>
      <c r="T71" s="2">
        <f t="shared" si="9"/>
        <v>0.7136046220641532</v>
      </c>
    </row>
    <row r="72" spans="1:20" x14ac:dyDescent="0.25">
      <c r="A72" s="14">
        <f t="shared" si="16"/>
        <v>0.56509971509971513</v>
      </c>
      <c r="B72" s="2">
        <f t="shared" si="11"/>
        <v>67</v>
      </c>
      <c r="C72" s="4">
        <f t="shared" si="12"/>
        <v>37.83</v>
      </c>
      <c r="D72" s="2">
        <v>14.5</v>
      </c>
      <c r="E72" s="2">
        <v>50.26548245743669</v>
      </c>
      <c r="F72" s="11">
        <f t="shared" si="0"/>
        <v>2.8846833435406034</v>
      </c>
      <c r="G72" s="2">
        <f t="shared" si="1"/>
        <v>109.12757088614102</v>
      </c>
      <c r="H72" s="2">
        <f t="shared" si="2"/>
        <v>2.7269938159304332</v>
      </c>
      <c r="I72" s="2">
        <f t="shared" si="3"/>
        <v>103.16217605664828</v>
      </c>
      <c r="J72" s="2">
        <f t="shared" si="4"/>
        <v>5.9653948294927375</v>
      </c>
      <c r="K72" s="15">
        <f t="shared" si="17"/>
        <v>0.53990384615384612</v>
      </c>
      <c r="L72" s="2">
        <f t="shared" si="14"/>
        <v>67</v>
      </c>
      <c r="M72" s="2">
        <f t="shared" si="15"/>
        <v>37.58</v>
      </c>
      <c r="N72" s="2">
        <v>16.5</v>
      </c>
      <c r="O72" s="2">
        <v>50.26548245743669</v>
      </c>
      <c r="P72" s="11">
        <f t="shared" si="5"/>
        <v>3.2825707012703416</v>
      </c>
      <c r="Q72" s="2">
        <f t="shared" si="6"/>
        <v>123.35900695373942</v>
      </c>
      <c r="R72" s="2">
        <f t="shared" si="7"/>
        <v>2.7659665035131269</v>
      </c>
      <c r="S72" s="2">
        <f t="shared" si="8"/>
        <v>103.9450212020233</v>
      </c>
      <c r="T72" s="2">
        <f t="shared" si="9"/>
        <v>19.413985751716126</v>
      </c>
    </row>
    <row r="73" spans="1:20" x14ac:dyDescent="0.25">
      <c r="A73" s="14">
        <f t="shared" si="16"/>
        <v>0.5652421652421652</v>
      </c>
      <c r="B73" s="2">
        <f t="shared" si="11"/>
        <v>68</v>
      </c>
      <c r="C73" s="4">
        <f t="shared" si="12"/>
        <v>38.33</v>
      </c>
      <c r="D73" s="2">
        <v>14.5</v>
      </c>
      <c r="E73" s="2">
        <v>50.26548245743669</v>
      </c>
      <c r="F73" s="11">
        <f t="shared" si="0"/>
        <v>2.8846833435406034</v>
      </c>
      <c r="G73" s="2">
        <f t="shared" si="1"/>
        <v>110.56991255791132</v>
      </c>
      <c r="H73" s="2">
        <f t="shared" si="2"/>
        <v>2.7269938159304332</v>
      </c>
      <c r="I73" s="2">
        <f t="shared" si="3"/>
        <v>104.52567296461351</v>
      </c>
      <c r="J73" s="2">
        <f t="shared" si="4"/>
        <v>6.0442395932978172</v>
      </c>
      <c r="K73" s="15">
        <f t="shared" si="17"/>
        <v>0.54006410256410253</v>
      </c>
      <c r="L73" s="2">
        <f t="shared" si="14"/>
        <v>68</v>
      </c>
      <c r="M73" s="2">
        <f t="shared" si="15"/>
        <v>38.08</v>
      </c>
      <c r="N73" s="2">
        <v>15.5</v>
      </c>
      <c r="O73" s="2">
        <v>50.26548245743669</v>
      </c>
      <c r="P73" s="11">
        <f t="shared" si="5"/>
        <v>3.0836270224054725</v>
      </c>
      <c r="Q73" s="2">
        <f t="shared" si="6"/>
        <v>117.42451701320039</v>
      </c>
      <c r="R73" s="2">
        <f t="shared" si="7"/>
        <v>2.7659665035131269</v>
      </c>
      <c r="S73" s="2">
        <f t="shared" si="8"/>
        <v>105.32800445377987</v>
      </c>
      <c r="T73" s="2">
        <f t="shared" si="9"/>
        <v>12.096512559420518</v>
      </c>
    </row>
    <row r="74" spans="1:20" x14ac:dyDescent="0.25">
      <c r="A74" s="14">
        <f t="shared" si="16"/>
        <v>0.56538461538461537</v>
      </c>
      <c r="B74" s="2">
        <f t="shared" si="11"/>
        <v>69</v>
      </c>
      <c r="C74" s="4">
        <f t="shared" si="12"/>
        <v>38.83</v>
      </c>
      <c r="D74" s="2">
        <v>14</v>
      </c>
      <c r="E74" s="2">
        <v>50.26548245743669</v>
      </c>
      <c r="F74" s="11">
        <f t="shared" si="0"/>
        <v>2.7852115041081689</v>
      </c>
      <c r="G74" s="2">
        <f t="shared" si="1"/>
        <v>108.1497627045202</v>
      </c>
      <c r="H74" s="2">
        <f t="shared" si="2"/>
        <v>2.7269938159304332</v>
      </c>
      <c r="I74" s="2">
        <f t="shared" si="3"/>
        <v>105.88916987257872</v>
      </c>
      <c r="J74" s="2">
        <f t="shared" si="4"/>
        <v>2.2605928319414801</v>
      </c>
      <c r="K74" s="15">
        <f t="shared" si="17"/>
        <v>0.54022435897435894</v>
      </c>
      <c r="L74" s="2">
        <f t="shared" si="14"/>
        <v>69</v>
      </c>
      <c r="M74" s="2">
        <f t="shared" si="15"/>
        <v>38.58</v>
      </c>
      <c r="N74" s="2">
        <v>16</v>
      </c>
      <c r="O74" s="2">
        <v>50.26548245743669</v>
      </c>
      <c r="P74" s="11">
        <f t="shared" si="5"/>
        <v>3.183098861837907</v>
      </c>
      <c r="Q74" s="2">
        <f t="shared" si="6"/>
        <v>122.80395408970645</v>
      </c>
      <c r="R74" s="2">
        <f t="shared" si="7"/>
        <v>2.7659665035131269</v>
      </c>
      <c r="S74" s="2">
        <f t="shared" si="8"/>
        <v>106.71098770553643</v>
      </c>
      <c r="T74" s="2">
        <f t="shared" si="9"/>
        <v>16.092966384170026</v>
      </c>
    </row>
    <row r="75" spans="1:20" x14ac:dyDescent="0.25">
      <c r="A75" s="14">
        <f t="shared" si="16"/>
        <v>0.56552706552706555</v>
      </c>
      <c r="B75" s="2">
        <f t="shared" si="11"/>
        <v>70</v>
      </c>
      <c r="C75" s="4">
        <f t="shared" si="12"/>
        <v>39.33</v>
      </c>
      <c r="D75" s="2">
        <v>14.5</v>
      </c>
      <c r="E75" s="2">
        <v>50.26548245743669</v>
      </c>
      <c r="F75" s="11">
        <f t="shared" si="0"/>
        <v>2.8846833435406034</v>
      </c>
      <c r="G75" s="2">
        <f t="shared" si="1"/>
        <v>113.45459590145192</v>
      </c>
      <c r="H75" s="2">
        <f t="shared" si="2"/>
        <v>2.7269938159304332</v>
      </c>
      <c r="I75" s="2">
        <f t="shared" si="3"/>
        <v>107.25266678054393</v>
      </c>
      <c r="J75" s="2">
        <f t="shared" si="4"/>
        <v>6.201929120907991</v>
      </c>
      <c r="K75" s="15">
        <f t="shared" si="17"/>
        <v>0.54038461538461535</v>
      </c>
      <c r="L75" s="2">
        <f t="shared" si="14"/>
        <v>70</v>
      </c>
      <c r="M75" s="2">
        <f t="shared" si="15"/>
        <v>39.08</v>
      </c>
      <c r="N75" s="2">
        <v>14</v>
      </c>
      <c r="O75" s="2">
        <v>50.26548245743669</v>
      </c>
      <c r="P75" s="11">
        <f t="shared" si="5"/>
        <v>2.7852115041081689</v>
      </c>
      <c r="Q75" s="2">
        <f t="shared" si="6"/>
        <v>108.84606558054723</v>
      </c>
      <c r="R75" s="2">
        <f t="shared" si="7"/>
        <v>2.7659665035131269</v>
      </c>
      <c r="S75" s="2">
        <f t="shared" si="8"/>
        <v>108.093970957293</v>
      </c>
      <c r="T75" s="2">
        <f t="shared" si="9"/>
        <v>0.75209462325423715</v>
      </c>
    </row>
    <row r="76" spans="1:20" x14ac:dyDescent="0.25">
      <c r="A76" s="14">
        <f t="shared" si="16"/>
        <v>0.56566951566951562</v>
      </c>
      <c r="B76" s="2">
        <f t="shared" si="11"/>
        <v>71</v>
      </c>
      <c r="C76" s="4">
        <f t="shared" si="12"/>
        <v>39.83</v>
      </c>
      <c r="D76" s="2">
        <v>14</v>
      </c>
      <c r="E76" s="2">
        <v>50.26548245743669</v>
      </c>
      <c r="F76" s="11">
        <f t="shared" si="0"/>
        <v>2.7852115041081689</v>
      </c>
      <c r="G76" s="2">
        <f t="shared" si="1"/>
        <v>110.93497420862836</v>
      </c>
      <c r="H76" s="2">
        <f t="shared" si="2"/>
        <v>2.7269938159304332</v>
      </c>
      <c r="I76" s="2">
        <f t="shared" si="3"/>
        <v>108.61616368850915</v>
      </c>
      <c r="J76" s="2">
        <f t="shared" si="4"/>
        <v>2.3188105201192144</v>
      </c>
      <c r="K76" s="15">
        <f t="shared" si="17"/>
        <v>0.54054487179487176</v>
      </c>
      <c r="L76" s="2">
        <f t="shared" si="14"/>
        <v>71</v>
      </c>
      <c r="M76" s="2">
        <f t="shared" si="15"/>
        <v>39.58</v>
      </c>
      <c r="N76" s="2">
        <v>14</v>
      </c>
      <c r="O76" s="2">
        <v>50.26548245743669</v>
      </c>
      <c r="P76" s="11">
        <f t="shared" si="5"/>
        <v>2.7852115041081689</v>
      </c>
      <c r="Q76" s="2">
        <f t="shared" si="6"/>
        <v>110.23867133260131</v>
      </c>
      <c r="R76" s="2">
        <f t="shared" si="7"/>
        <v>2.7659665035131269</v>
      </c>
      <c r="S76" s="2">
        <f t="shared" si="8"/>
        <v>109.47695420904955</v>
      </c>
      <c r="T76" s="2">
        <f t="shared" si="9"/>
        <v>0.76171712355176169</v>
      </c>
    </row>
    <row r="77" spans="1:20" x14ac:dyDescent="0.25">
      <c r="A77" s="14">
        <f t="shared" si="16"/>
        <v>0.5658119658119658</v>
      </c>
      <c r="B77" s="2">
        <f t="shared" si="11"/>
        <v>72</v>
      </c>
      <c r="C77" s="4">
        <f t="shared" si="12"/>
        <v>40.33</v>
      </c>
      <c r="D77" s="2">
        <v>13.5</v>
      </c>
      <c r="E77" s="2">
        <v>50.26548245743669</v>
      </c>
      <c r="F77" s="11">
        <f t="shared" si="0"/>
        <v>2.6857396646757339</v>
      </c>
      <c r="G77" s="2">
        <f t="shared" si="1"/>
        <v>108.31588067637234</v>
      </c>
      <c r="H77" s="2">
        <f t="shared" si="2"/>
        <v>2.7269938159304332</v>
      </c>
      <c r="I77" s="2">
        <f t="shared" si="3"/>
        <v>109.97966059647436</v>
      </c>
      <c r="J77" s="2">
        <f t="shared" si="4"/>
        <v>1.6637799201020158</v>
      </c>
      <c r="K77" s="15">
        <f t="shared" si="17"/>
        <v>0.54070512820512817</v>
      </c>
      <c r="L77" s="2">
        <f t="shared" si="14"/>
        <v>72</v>
      </c>
      <c r="M77" s="2">
        <f t="shared" si="15"/>
        <v>40.08</v>
      </c>
      <c r="N77" s="2">
        <v>14</v>
      </c>
      <c r="O77" s="2">
        <v>50.26548245743669</v>
      </c>
      <c r="P77" s="11">
        <f t="shared" si="5"/>
        <v>2.7852115041081689</v>
      </c>
      <c r="Q77" s="2">
        <f t="shared" si="6"/>
        <v>111.63127708465541</v>
      </c>
      <c r="R77" s="2">
        <f t="shared" si="7"/>
        <v>2.7659665035131269</v>
      </c>
      <c r="S77" s="2">
        <f t="shared" si="8"/>
        <v>110.85993746080612</v>
      </c>
      <c r="T77" s="2">
        <f t="shared" si="9"/>
        <v>0.77133962384928623</v>
      </c>
    </row>
    <row r="78" spans="1:20" x14ac:dyDescent="0.25">
      <c r="A78" s="14">
        <f t="shared" si="16"/>
        <v>0.56595441595441598</v>
      </c>
      <c r="B78" s="2">
        <f t="shared" si="11"/>
        <v>73</v>
      </c>
      <c r="C78" s="4">
        <f t="shared" si="12"/>
        <v>40.83</v>
      </c>
      <c r="D78" s="2">
        <v>13.5</v>
      </c>
      <c r="E78" s="2">
        <v>50.26548245743669</v>
      </c>
      <c r="F78" s="11">
        <f t="shared" si="0"/>
        <v>2.6857396646757339</v>
      </c>
      <c r="G78" s="2">
        <f t="shared" si="1"/>
        <v>109.65875050871021</v>
      </c>
      <c r="H78" s="2">
        <f t="shared" si="2"/>
        <v>2.7269938159304332</v>
      </c>
      <c r="I78" s="2">
        <f t="shared" si="3"/>
        <v>111.34315750443959</v>
      </c>
      <c r="J78" s="2">
        <f t="shared" si="4"/>
        <v>1.6844069957293755</v>
      </c>
      <c r="K78" s="15">
        <f t="shared" si="17"/>
        <v>0.54086538461538458</v>
      </c>
      <c r="L78" s="2">
        <f t="shared" si="14"/>
        <v>73</v>
      </c>
      <c r="M78" s="2">
        <f t="shared" si="15"/>
        <v>40.58</v>
      </c>
      <c r="N78" s="2">
        <v>12.5</v>
      </c>
      <c r="O78" s="2">
        <v>50.26548245743669</v>
      </c>
      <c r="P78" s="11">
        <f t="shared" si="5"/>
        <v>2.4867959858108648</v>
      </c>
      <c r="Q78" s="2">
        <f t="shared" si="6"/>
        <v>100.91418110420489</v>
      </c>
      <c r="R78" s="2">
        <f t="shared" si="7"/>
        <v>2.7659665035131269</v>
      </c>
      <c r="S78" s="2">
        <f t="shared" si="8"/>
        <v>112.24292071256268</v>
      </c>
      <c r="T78" s="2">
        <f t="shared" si="9"/>
        <v>11.328739608357793</v>
      </c>
    </row>
    <row r="79" spans="1:20" x14ac:dyDescent="0.25">
      <c r="A79" s="14">
        <f t="shared" si="16"/>
        <v>0.56609686609686605</v>
      </c>
      <c r="B79" s="2">
        <f t="shared" si="11"/>
        <v>74</v>
      </c>
      <c r="C79" s="4">
        <f t="shared" si="12"/>
        <v>41.33</v>
      </c>
      <c r="D79" s="2">
        <v>14</v>
      </c>
      <c r="E79" s="2">
        <v>50.26548245743669</v>
      </c>
      <c r="F79" s="11">
        <f t="shared" si="0"/>
        <v>2.7852115041081689</v>
      </c>
      <c r="G79" s="2">
        <f t="shared" si="1"/>
        <v>115.11279146479062</v>
      </c>
      <c r="H79" s="2">
        <f t="shared" si="2"/>
        <v>2.7269938159304332</v>
      </c>
      <c r="I79" s="2">
        <f t="shared" si="3"/>
        <v>112.7066544124048</v>
      </c>
      <c r="J79" s="2">
        <f t="shared" si="4"/>
        <v>2.4061370523858159</v>
      </c>
      <c r="K79" s="15">
        <f t="shared" si="17"/>
        <v>0.54102564102564099</v>
      </c>
      <c r="L79" s="2">
        <f t="shared" si="14"/>
        <v>74</v>
      </c>
      <c r="M79" s="2">
        <f t="shared" si="15"/>
        <v>41.08</v>
      </c>
      <c r="N79" s="2">
        <v>15.5</v>
      </c>
      <c r="O79" s="2">
        <v>50.26548245743669</v>
      </c>
      <c r="P79" s="11">
        <f t="shared" si="5"/>
        <v>3.0836270224054725</v>
      </c>
      <c r="Q79" s="2">
        <f t="shared" si="6"/>
        <v>126.6753980804168</v>
      </c>
      <c r="R79" s="2">
        <f t="shared" si="7"/>
        <v>2.7659665035131269</v>
      </c>
      <c r="S79" s="2">
        <f t="shared" si="8"/>
        <v>113.62590396431925</v>
      </c>
      <c r="T79" s="2">
        <f t="shared" si="9"/>
        <v>13.049494116097549</v>
      </c>
    </row>
    <row r="80" spans="1:20" x14ac:dyDescent="0.25">
      <c r="A80" s="14">
        <f t="shared" si="16"/>
        <v>0.56623931623931623</v>
      </c>
      <c r="B80" s="2">
        <f t="shared" si="11"/>
        <v>75</v>
      </c>
      <c r="C80" s="4">
        <f t="shared" si="12"/>
        <v>41.83</v>
      </c>
      <c r="D80" s="2">
        <v>14.5</v>
      </c>
      <c r="E80" s="2">
        <v>50.26548245743669</v>
      </c>
      <c r="F80" s="11">
        <f t="shared" si="0"/>
        <v>2.8846833435406034</v>
      </c>
      <c r="G80" s="2">
        <f t="shared" si="1"/>
        <v>120.66630426030343</v>
      </c>
      <c r="H80" s="2">
        <f t="shared" si="2"/>
        <v>2.7269938159304332</v>
      </c>
      <c r="I80" s="2">
        <f t="shared" si="3"/>
        <v>114.07015132037002</v>
      </c>
      <c r="J80" s="2">
        <f t="shared" si="4"/>
        <v>6.5961529399334182</v>
      </c>
      <c r="K80" s="15">
        <f t="shared" si="17"/>
        <v>0.5411858974358974</v>
      </c>
      <c r="L80" s="2">
        <f t="shared" si="14"/>
        <v>75</v>
      </c>
      <c r="M80" s="2">
        <f t="shared" si="15"/>
        <v>41.58</v>
      </c>
      <c r="N80" s="2">
        <v>15.5</v>
      </c>
      <c r="O80" s="2">
        <v>50.26548245743669</v>
      </c>
      <c r="P80" s="11">
        <f t="shared" si="5"/>
        <v>3.0836270224054725</v>
      </c>
      <c r="Q80" s="2">
        <f t="shared" si="6"/>
        <v>128.21721159161953</v>
      </c>
      <c r="R80" s="2">
        <f t="shared" si="7"/>
        <v>2.7659665035131269</v>
      </c>
      <c r="S80" s="2">
        <f t="shared" si="8"/>
        <v>115.00888721607581</v>
      </c>
      <c r="T80" s="2">
        <f t="shared" si="9"/>
        <v>13.208324375543725</v>
      </c>
    </row>
    <row r="81" spans="1:20" x14ac:dyDescent="0.25">
      <c r="A81" s="14">
        <f t="shared" si="16"/>
        <v>0.5663817663817664</v>
      </c>
      <c r="B81" s="2">
        <f t="shared" si="11"/>
        <v>76</v>
      </c>
      <c r="C81" s="4">
        <f t="shared" si="12"/>
        <v>42.33</v>
      </c>
      <c r="D81" s="2">
        <v>14</v>
      </c>
      <c r="E81" s="2">
        <v>50.26548245743669</v>
      </c>
      <c r="F81" s="11">
        <f t="shared" si="0"/>
        <v>2.7852115041081689</v>
      </c>
      <c r="G81" s="2">
        <f t="shared" si="1"/>
        <v>117.89800296889878</v>
      </c>
      <c r="H81" s="2">
        <f t="shared" si="2"/>
        <v>2.7269938159304332</v>
      </c>
      <c r="I81" s="2">
        <f t="shared" si="3"/>
        <v>115.43364822833523</v>
      </c>
      <c r="J81" s="2">
        <f t="shared" si="4"/>
        <v>2.4643547405635502</v>
      </c>
      <c r="K81" s="15">
        <f t="shared" si="17"/>
        <v>0.54134615384615381</v>
      </c>
      <c r="L81" s="2">
        <f t="shared" si="14"/>
        <v>76</v>
      </c>
      <c r="M81" s="2">
        <f t="shared" si="15"/>
        <v>42.08</v>
      </c>
      <c r="N81" s="2">
        <v>14.5</v>
      </c>
      <c r="O81" s="2">
        <v>50.26548245743669</v>
      </c>
      <c r="P81" s="11">
        <f t="shared" si="5"/>
        <v>2.8846833435406034</v>
      </c>
      <c r="Q81" s="2">
        <f t="shared" si="6"/>
        <v>121.38747509618858</v>
      </c>
      <c r="R81" s="2">
        <f t="shared" si="7"/>
        <v>2.7659665035131269</v>
      </c>
      <c r="S81" s="2">
        <f t="shared" si="8"/>
        <v>116.39187046783238</v>
      </c>
      <c r="T81" s="2">
        <f t="shared" si="9"/>
        <v>4.9956046283562046</v>
      </c>
    </row>
    <row r="82" spans="1:20" x14ac:dyDescent="0.25">
      <c r="A82" s="14">
        <f t="shared" si="16"/>
        <v>0.56652421652421647</v>
      </c>
      <c r="B82" s="2">
        <f t="shared" si="11"/>
        <v>77</v>
      </c>
      <c r="C82" s="4">
        <f t="shared" si="12"/>
        <v>42.83</v>
      </c>
      <c r="D82" s="2">
        <v>14</v>
      </c>
      <c r="E82" s="2">
        <v>50.26548245743669</v>
      </c>
      <c r="F82" s="11">
        <f t="shared" si="0"/>
        <v>2.7852115041081689</v>
      </c>
      <c r="G82" s="2">
        <f t="shared" si="1"/>
        <v>119.29060872095287</v>
      </c>
      <c r="H82" s="2">
        <f t="shared" si="2"/>
        <v>2.7269938159304332</v>
      </c>
      <c r="I82" s="2">
        <f t="shared" si="3"/>
        <v>116.79714513630044</v>
      </c>
      <c r="J82" s="2">
        <f t="shared" si="4"/>
        <v>2.4934635846524316</v>
      </c>
      <c r="K82" s="15">
        <f t="shared" si="17"/>
        <v>0.54150641025641022</v>
      </c>
      <c r="L82" s="2">
        <f t="shared" si="14"/>
        <v>77</v>
      </c>
      <c r="M82" s="2">
        <f t="shared" si="15"/>
        <v>42.58</v>
      </c>
      <c r="N82" s="2">
        <v>14</v>
      </c>
      <c r="O82" s="2">
        <v>50.26548245743669</v>
      </c>
      <c r="P82" s="11">
        <f t="shared" si="5"/>
        <v>2.7852115041081689</v>
      </c>
      <c r="Q82" s="2">
        <f t="shared" si="6"/>
        <v>118.59430584492583</v>
      </c>
      <c r="R82" s="2">
        <f t="shared" si="7"/>
        <v>2.7659665035131269</v>
      </c>
      <c r="S82" s="2">
        <f t="shared" si="8"/>
        <v>117.77485371958893</v>
      </c>
      <c r="T82" s="2">
        <f t="shared" si="9"/>
        <v>0.81945212533689471</v>
      </c>
    </row>
    <row r="83" spans="1:20" x14ac:dyDescent="0.25">
      <c r="A83" s="10">
        <v>0.56666666666666665</v>
      </c>
      <c r="B83" s="2">
        <f t="shared" si="11"/>
        <v>78</v>
      </c>
      <c r="C83" s="4">
        <f t="shared" si="12"/>
        <v>43.33</v>
      </c>
      <c r="D83" s="2">
        <v>14.5</v>
      </c>
      <c r="E83" s="2">
        <v>50.26548245743669</v>
      </c>
      <c r="F83" s="11">
        <f t="shared" si="0"/>
        <v>2.8846833435406034</v>
      </c>
      <c r="G83" s="2">
        <f t="shared" si="1"/>
        <v>124.99332927561434</v>
      </c>
      <c r="H83" s="2">
        <f t="shared" si="2"/>
        <v>2.7269938159304332</v>
      </c>
      <c r="I83" s="2">
        <f t="shared" si="3"/>
        <v>118.16064204426567</v>
      </c>
      <c r="J83" s="2">
        <f t="shared" si="4"/>
        <v>6.8326872313486717</v>
      </c>
      <c r="K83" s="12">
        <v>0.54166666666666663</v>
      </c>
      <c r="L83" s="2">
        <f t="shared" si="14"/>
        <v>78</v>
      </c>
      <c r="M83" s="2">
        <f t="shared" si="15"/>
        <v>43.08</v>
      </c>
      <c r="N83" s="2">
        <v>14</v>
      </c>
      <c r="O83" s="2">
        <v>50.26548245743669</v>
      </c>
      <c r="P83" s="11">
        <f t="shared" si="5"/>
        <v>2.7852115041081689</v>
      </c>
      <c r="Q83" s="2">
        <f t="shared" si="6"/>
        <v>119.98691159697991</v>
      </c>
      <c r="R83" s="2">
        <f t="shared" si="7"/>
        <v>2.7659665035131269</v>
      </c>
      <c r="S83" s="2">
        <f t="shared" si="8"/>
        <v>119.1578369713455</v>
      </c>
      <c r="T83" s="2">
        <f t="shared" si="9"/>
        <v>0.82907462563440504</v>
      </c>
    </row>
    <row r="84" spans="1:20" x14ac:dyDescent="0.25">
      <c r="A84" s="14">
        <f t="shared" ref="A84:A121" si="18">IF(AND($A$83&lt;&gt;"",$A$122&lt;&gt;""), $A$83 + (B84 - $B$83) * (($A$122 - $A$83) / ($B$122 - $B$83)), "")</f>
        <v>0.56682692307692306</v>
      </c>
      <c r="B84" s="2">
        <f t="shared" si="11"/>
        <v>79</v>
      </c>
      <c r="C84" s="4">
        <f t="shared" si="12"/>
        <v>43.83</v>
      </c>
      <c r="D84" s="2">
        <v>14.5</v>
      </c>
      <c r="E84" s="2">
        <v>50.26548245743669</v>
      </c>
      <c r="F84" s="11">
        <f t="shared" si="0"/>
        <v>2.8846833435406034</v>
      </c>
      <c r="G84" s="2">
        <f t="shared" si="1"/>
        <v>126.43567094738464</v>
      </c>
      <c r="H84" s="2">
        <f t="shared" si="2"/>
        <v>2.7269938159304332</v>
      </c>
      <c r="I84" s="2">
        <f t="shared" si="3"/>
        <v>119.52413895223089</v>
      </c>
      <c r="J84" s="2">
        <f t="shared" si="4"/>
        <v>6.9115319951537515</v>
      </c>
      <c r="K84" s="15">
        <f t="shared" ref="K84:K121" si="19">IF(AND($K$83&lt;&gt;"",$K$122&lt;&gt;""), $K$83 + (L84 - $L$83) * (($K$122 - $K$83) / ($L$122 - $L$83)), "")</f>
        <v>0.54179131054131047</v>
      </c>
      <c r="L84" s="2">
        <f t="shared" si="14"/>
        <v>79</v>
      </c>
      <c r="M84" s="2">
        <f t="shared" si="15"/>
        <v>43.58</v>
      </c>
      <c r="N84" s="2">
        <v>15</v>
      </c>
      <c r="O84" s="2">
        <v>50.26548245743669</v>
      </c>
      <c r="P84" s="11">
        <f t="shared" si="5"/>
        <v>2.9841551829730379</v>
      </c>
      <c r="Q84" s="2">
        <f t="shared" si="6"/>
        <v>130.04948287396499</v>
      </c>
      <c r="R84" s="2">
        <f t="shared" si="7"/>
        <v>2.7659665035131269</v>
      </c>
      <c r="S84" s="2">
        <f t="shared" si="8"/>
        <v>120.54082022310206</v>
      </c>
      <c r="T84" s="2">
        <f t="shared" si="9"/>
        <v>9.5086626508629308</v>
      </c>
    </row>
    <row r="85" spans="1:20" x14ac:dyDescent="0.25">
      <c r="A85" s="14">
        <f t="shared" si="18"/>
        <v>0.56698717948717947</v>
      </c>
      <c r="B85" s="2">
        <f t="shared" si="11"/>
        <v>80</v>
      </c>
      <c r="C85" s="4">
        <f t="shared" si="12"/>
        <v>44.33</v>
      </c>
      <c r="D85" s="2">
        <v>13</v>
      </c>
      <c r="E85" s="2">
        <v>50.26548245743669</v>
      </c>
      <c r="F85" s="11">
        <f t="shared" si="0"/>
        <v>2.5862678252432989</v>
      </c>
      <c r="G85" s="2">
        <f t="shared" si="1"/>
        <v>114.64925269303544</v>
      </c>
      <c r="H85" s="2">
        <f t="shared" si="2"/>
        <v>2.7269938159304332</v>
      </c>
      <c r="I85" s="2">
        <f t="shared" si="3"/>
        <v>120.8876358601961</v>
      </c>
      <c r="J85" s="2">
        <f t="shared" si="4"/>
        <v>6.2383831671606629</v>
      </c>
      <c r="K85" s="15">
        <f t="shared" si="19"/>
        <v>0.54191595441595442</v>
      </c>
      <c r="L85" s="2">
        <f t="shared" si="14"/>
        <v>80</v>
      </c>
      <c r="M85" s="2">
        <f t="shared" si="15"/>
        <v>44.08</v>
      </c>
      <c r="N85" s="2">
        <v>14</v>
      </c>
      <c r="O85" s="2">
        <v>50.26548245743669</v>
      </c>
      <c r="P85" s="11">
        <f t="shared" si="5"/>
        <v>2.7852115041081689</v>
      </c>
      <c r="Q85" s="2">
        <f t="shared" si="6"/>
        <v>122.77212310108808</v>
      </c>
      <c r="R85" s="2">
        <f t="shared" si="7"/>
        <v>2.7659665035131269</v>
      </c>
      <c r="S85" s="2">
        <f t="shared" si="8"/>
        <v>121.92380347485863</v>
      </c>
      <c r="T85" s="2">
        <f t="shared" si="9"/>
        <v>0.84831962622945412</v>
      </c>
    </row>
    <row r="86" spans="1:20" x14ac:dyDescent="0.25">
      <c r="A86" s="14">
        <f t="shared" si="18"/>
        <v>0.56714743589743588</v>
      </c>
      <c r="B86" s="2">
        <f t="shared" si="11"/>
        <v>81</v>
      </c>
      <c r="C86" s="4">
        <f t="shared" si="12"/>
        <v>44.83</v>
      </c>
      <c r="D86" s="2">
        <v>13</v>
      </c>
      <c r="E86" s="2">
        <v>50.26548245743669</v>
      </c>
      <c r="F86" s="11">
        <f t="shared" si="0"/>
        <v>2.5862678252432989</v>
      </c>
      <c r="G86" s="2">
        <f t="shared" si="1"/>
        <v>115.94238660565709</v>
      </c>
      <c r="H86" s="2">
        <f t="shared" si="2"/>
        <v>2.7269938159304332</v>
      </c>
      <c r="I86" s="2">
        <f t="shared" si="3"/>
        <v>122.25113276816131</v>
      </c>
      <c r="J86" s="2">
        <f t="shared" si="4"/>
        <v>6.3087461625042209</v>
      </c>
      <c r="K86" s="15">
        <f t="shared" si="19"/>
        <v>0.54204059829059825</v>
      </c>
      <c r="L86" s="2">
        <f t="shared" si="14"/>
        <v>81</v>
      </c>
      <c r="M86" s="2">
        <f t="shared" si="15"/>
        <v>44.58</v>
      </c>
      <c r="N86" s="2">
        <v>14</v>
      </c>
      <c r="O86" s="2">
        <v>50.26548245743669</v>
      </c>
      <c r="P86" s="11">
        <f t="shared" si="5"/>
        <v>2.7852115041081689</v>
      </c>
      <c r="Q86" s="2">
        <f t="shared" si="6"/>
        <v>124.16472885314217</v>
      </c>
      <c r="R86" s="2">
        <f t="shared" si="7"/>
        <v>2.7659665035131269</v>
      </c>
      <c r="S86" s="2">
        <f t="shared" si="8"/>
        <v>123.30678672661519</v>
      </c>
      <c r="T86" s="2">
        <f t="shared" si="9"/>
        <v>0.85794212652697865</v>
      </c>
    </row>
    <row r="87" spans="1:20" x14ac:dyDescent="0.25">
      <c r="A87" s="14">
        <f t="shared" si="18"/>
        <v>0.56730769230769229</v>
      </c>
      <c r="B87" s="2">
        <f t="shared" si="11"/>
        <v>82</v>
      </c>
      <c r="C87" s="4">
        <f t="shared" si="12"/>
        <v>45.33</v>
      </c>
      <c r="D87" s="2">
        <v>13.5</v>
      </c>
      <c r="E87" s="2">
        <v>50.26548245743669</v>
      </c>
      <c r="F87" s="11">
        <f t="shared" si="0"/>
        <v>2.6857396646757339</v>
      </c>
      <c r="G87" s="2">
        <f t="shared" si="1"/>
        <v>121.74457899975101</v>
      </c>
      <c r="H87" s="2">
        <f t="shared" si="2"/>
        <v>2.7269938159304332</v>
      </c>
      <c r="I87" s="2">
        <f t="shared" si="3"/>
        <v>123.61462967612653</v>
      </c>
      <c r="J87" s="2">
        <f t="shared" si="4"/>
        <v>1.8700506763755129</v>
      </c>
      <c r="K87" s="15">
        <f t="shared" si="19"/>
        <v>0.54216524216524209</v>
      </c>
      <c r="L87" s="2">
        <f t="shared" si="14"/>
        <v>82</v>
      </c>
      <c r="M87" s="2">
        <f t="shared" si="15"/>
        <v>45.08</v>
      </c>
      <c r="N87" s="2">
        <v>13.5</v>
      </c>
      <c r="O87" s="2">
        <v>50.26548245743669</v>
      </c>
      <c r="P87" s="11">
        <f t="shared" si="5"/>
        <v>2.6857396646757339</v>
      </c>
      <c r="Q87" s="2">
        <f t="shared" si="6"/>
        <v>121.07314408358208</v>
      </c>
      <c r="R87" s="2">
        <f t="shared" si="7"/>
        <v>2.7659665035131269</v>
      </c>
      <c r="S87" s="2">
        <f t="shared" si="8"/>
        <v>124.68976997837176</v>
      </c>
      <c r="T87" s="2">
        <f t="shared" si="9"/>
        <v>3.6166258947896779</v>
      </c>
    </row>
    <row r="88" spans="1:20" x14ac:dyDescent="0.25">
      <c r="A88" s="14">
        <f t="shared" si="18"/>
        <v>0.5674679487179487</v>
      </c>
      <c r="B88" s="2">
        <f t="shared" si="11"/>
        <v>83</v>
      </c>
      <c r="C88" s="4">
        <f t="shared" si="12"/>
        <v>45.83</v>
      </c>
      <c r="D88" s="2">
        <v>14</v>
      </c>
      <c r="E88" s="2">
        <v>50.26548245743669</v>
      </c>
      <c r="F88" s="11">
        <f t="shared" si="0"/>
        <v>2.7852115041081689</v>
      </c>
      <c r="G88" s="2">
        <f t="shared" si="1"/>
        <v>127.64624323327737</v>
      </c>
      <c r="H88" s="2">
        <f t="shared" si="2"/>
        <v>2.7269938159304332</v>
      </c>
      <c r="I88" s="2">
        <f t="shared" si="3"/>
        <v>124.97812658409175</v>
      </c>
      <c r="J88" s="2">
        <f t="shared" si="4"/>
        <v>2.6681166491856203</v>
      </c>
      <c r="K88" s="15">
        <f t="shared" si="19"/>
        <v>0.54228988603988604</v>
      </c>
      <c r="L88" s="2">
        <f t="shared" si="14"/>
        <v>83</v>
      </c>
      <c r="M88" s="2">
        <f t="shared" si="15"/>
        <v>45.58</v>
      </c>
      <c r="N88" s="2">
        <v>14</v>
      </c>
      <c r="O88" s="2">
        <v>50.26548245743669</v>
      </c>
      <c r="P88" s="11">
        <f t="shared" si="5"/>
        <v>2.7852115041081689</v>
      </c>
      <c r="Q88" s="2">
        <f t="shared" si="6"/>
        <v>126.94994035725033</v>
      </c>
      <c r="R88" s="2">
        <f t="shared" si="7"/>
        <v>2.7659665035131269</v>
      </c>
      <c r="S88" s="2">
        <f t="shared" si="8"/>
        <v>126.07275323012831</v>
      </c>
      <c r="T88" s="2">
        <f t="shared" si="9"/>
        <v>0.87718712712201352</v>
      </c>
    </row>
    <row r="89" spans="1:20" x14ac:dyDescent="0.25">
      <c r="A89" s="14">
        <f t="shared" si="18"/>
        <v>0.56762820512820511</v>
      </c>
      <c r="B89" s="2">
        <f t="shared" si="11"/>
        <v>84</v>
      </c>
      <c r="C89" s="4">
        <f t="shared" si="12"/>
        <v>46.33</v>
      </c>
      <c r="D89" s="2">
        <v>14</v>
      </c>
      <c r="E89" s="2">
        <v>50.26548245743669</v>
      </c>
      <c r="F89" s="11">
        <f t="shared" si="0"/>
        <v>2.7852115041081689</v>
      </c>
      <c r="G89" s="2">
        <f t="shared" si="1"/>
        <v>129.03884898533147</v>
      </c>
      <c r="H89" s="2">
        <f t="shared" si="2"/>
        <v>2.7269938159304332</v>
      </c>
      <c r="I89" s="2">
        <f t="shared" si="3"/>
        <v>126.34162349205697</v>
      </c>
      <c r="J89" s="2">
        <f t="shared" si="4"/>
        <v>2.6972254932745017</v>
      </c>
      <c r="K89" s="15">
        <f t="shared" si="19"/>
        <v>0.54241452991452987</v>
      </c>
      <c r="L89" s="2">
        <f t="shared" si="14"/>
        <v>84</v>
      </c>
      <c r="M89" s="2">
        <f t="shared" si="15"/>
        <v>46.08</v>
      </c>
      <c r="N89" s="2">
        <v>16</v>
      </c>
      <c r="O89" s="2">
        <v>50.26548245743669</v>
      </c>
      <c r="P89" s="11">
        <f t="shared" si="5"/>
        <v>3.183098861837907</v>
      </c>
      <c r="Q89" s="2">
        <f t="shared" si="6"/>
        <v>146.67719555349075</v>
      </c>
      <c r="R89" s="2">
        <f t="shared" si="7"/>
        <v>2.7659665035131269</v>
      </c>
      <c r="S89" s="2">
        <f t="shared" si="8"/>
        <v>127.45573648188488</v>
      </c>
      <c r="T89" s="2">
        <f t="shared" si="9"/>
        <v>19.221459071605864</v>
      </c>
    </row>
    <row r="90" spans="1:20" x14ac:dyDescent="0.25">
      <c r="A90" s="14">
        <f t="shared" si="18"/>
        <v>0.56778846153846152</v>
      </c>
      <c r="B90" s="2">
        <f t="shared" si="11"/>
        <v>85</v>
      </c>
      <c r="C90" s="4">
        <f t="shared" si="12"/>
        <v>46.83</v>
      </c>
      <c r="D90" s="2">
        <v>14.5</v>
      </c>
      <c r="E90" s="2">
        <v>50.26548245743669</v>
      </c>
      <c r="F90" s="11">
        <f t="shared" si="0"/>
        <v>2.8846833435406034</v>
      </c>
      <c r="G90" s="2">
        <f t="shared" si="1"/>
        <v>135.08972097800645</v>
      </c>
      <c r="H90" s="2">
        <f t="shared" si="2"/>
        <v>2.7269938159304332</v>
      </c>
      <c r="I90" s="2">
        <f t="shared" si="3"/>
        <v>127.70512040002218</v>
      </c>
      <c r="J90" s="2">
        <f t="shared" si="4"/>
        <v>7.3846005779842727</v>
      </c>
      <c r="K90" s="15">
        <f t="shared" si="19"/>
        <v>0.54253917378917371</v>
      </c>
      <c r="L90" s="2">
        <f t="shared" si="14"/>
        <v>85</v>
      </c>
      <c r="M90" s="2">
        <f t="shared" si="15"/>
        <v>46.58</v>
      </c>
      <c r="N90" s="2">
        <v>15</v>
      </c>
      <c r="O90" s="2">
        <v>50.26548245743669</v>
      </c>
      <c r="P90" s="11">
        <f t="shared" si="5"/>
        <v>2.9841551829730379</v>
      </c>
      <c r="Q90" s="2">
        <f t="shared" si="6"/>
        <v>139.00194842288411</v>
      </c>
      <c r="R90" s="2">
        <f t="shared" si="7"/>
        <v>2.7659665035131269</v>
      </c>
      <c r="S90" s="2">
        <f t="shared" si="8"/>
        <v>128.83871973364145</v>
      </c>
      <c r="T90" s="2">
        <f t="shared" si="9"/>
        <v>10.163228689242658</v>
      </c>
    </row>
    <row r="91" spans="1:20" x14ac:dyDescent="0.25">
      <c r="A91" s="14">
        <f t="shared" si="18"/>
        <v>0.56794871794871793</v>
      </c>
      <c r="B91" s="2">
        <f t="shared" si="11"/>
        <v>86</v>
      </c>
      <c r="C91" s="4">
        <f t="shared" si="12"/>
        <v>47.33</v>
      </c>
      <c r="D91" s="2">
        <v>14</v>
      </c>
      <c r="E91" s="2">
        <v>50.26548245743669</v>
      </c>
      <c r="F91" s="11">
        <f t="shared" si="0"/>
        <v>2.7852115041081689</v>
      </c>
      <c r="G91" s="2">
        <f t="shared" si="1"/>
        <v>131.82406048943963</v>
      </c>
      <c r="H91" s="2">
        <f t="shared" si="2"/>
        <v>2.7269938159304332</v>
      </c>
      <c r="I91" s="2">
        <f t="shared" si="3"/>
        <v>129.06861730798741</v>
      </c>
      <c r="J91" s="2">
        <f t="shared" si="4"/>
        <v>2.7554431814522218</v>
      </c>
      <c r="K91" s="15">
        <f t="shared" si="19"/>
        <v>0.54266381766381766</v>
      </c>
      <c r="L91" s="2">
        <f t="shared" si="14"/>
        <v>86</v>
      </c>
      <c r="M91" s="2">
        <f t="shared" si="15"/>
        <v>47.08</v>
      </c>
      <c r="N91" s="2">
        <v>15</v>
      </c>
      <c r="O91" s="2">
        <v>50.26548245743669</v>
      </c>
      <c r="P91" s="11">
        <f t="shared" si="5"/>
        <v>2.9841551829730379</v>
      </c>
      <c r="Q91" s="2">
        <f t="shared" si="6"/>
        <v>140.49402601437063</v>
      </c>
      <c r="R91" s="2">
        <f t="shared" si="7"/>
        <v>2.7659665035131269</v>
      </c>
      <c r="S91" s="2">
        <f t="shared" si="8"/>
        <v>130.221702985398</v>
      </c>
      <c r="T91" s="2">
        <f t="shared" si="9"/>
        <v>10.272323028972636</v>
      </c>
    </row>
    <row r="92" spans="1:20" x14ac:dyDescent="0.25">
      <c r="A92" s="14">
        <f t="shared" si="18"/>
        <v>0.56810897435897434</v>
      </c>
      <c r="B92" s="2">
        <f t="shared" si="11"/>
        <v>87</v>
      </c>
      <c r="C92" s="4">
        <f t="shared" si="12"/>
        <v>47.83</v>
      </c>
      <c r="D92" s="2">
        <v>14.5</v>
      </c>
      <c r="E92" s="2">
        <v>50.26548245743669</v>
      </c>
      <c r="F92" s="11">
        <f t="shared" si="0"/>
        <v>2.8846833435406034</v>
      </c>
      <c r="G92" s="2">
        <f t="shared" si="1"/>
        <v>137.97440432154707</v>
      </c>
      <c r="H92" s="2">
        <f t="shared" si="2"/>
        <v>2.7269938159304332</v>
      </c>
      <c r="I92" s="2">
        <f t="shared" si="3"/>
        <v>130.43211421595262</v>
      </c>
      <c r="J92" s="2">
        <f t="shared" si="4"/>
        <v>7.5422901055944465</v>
      </c>
      <c r="K92" s="15">
        <f t="shared" si="19"/>
        <v>0.5427884615384615</v>
      </c>
      <c r="L92" s="2">
        <f t="shared" si="14"/>
        <v>87</v>
      </c>
      <c r="M92" s="2">
        <f t="shared" si="15"/>
        <v>47.58</v>
      </c>
      <c r="N92" s="2">
        <v>13</v>
      </c>
      <c r="O92" s="2">
        <v>50.26548245743669</v>
      </c>
      <c r="P92" s="11">
        <f t="shared" si="5"/>
        <v>2.5862678252432989</v>
      </c>
      <c r="Q92" s="2">
        <f t="shared" si="6"/>
        <v>123.05462312507616</v>
      </c>
      <c r="R92" s="2">
        <f t="shared" si="7"/>
        <v>2.7659665035131269</v>
      </c>
      <c r="S92" s="2">
        <f t="shared" si="8"/>
        <v>131.60468623715457</v>
      </c>
      <c r="T92" s="2">
        <f t="shared" si="9"/>
        <v>8.550063112078405</v>
      </c>
    </row>
    <row r="93" spans="1:20" x14ac:dyDescent="0.25">
      <c r="A93" s="14">
        <f t="shared" si="18"/>
        <v>0.56826923076923075</v>
      </c>
      <c r="B93" s="2">
        <f t="shared" si="11"/>
        <v>88</v>
      </c>
      <c r="C93" s="4">
        <f t="shared" si="12"/>
        <v>48.33</v>
      </c>
      <c r="D93" s="2">
        <v>14</v>
      </c>
      <c r="E93" s="2">
        <v>50.26548245743669</v>
      </c>
      <c r="F93" s="11">
        <f t="shared" si="0"/>
        <v>2.7852115041081689</v>
      </c>
      <c r="G93" s="2">
        <f t="shared" si="1"/>
        <v>134.60927199354779</v>
      </c>
      <c r="H93" s="2">
        <f t="shared" si="2"/>
        <v>2.7269938159304332</v>
      </c>
      <c r="I93" s="2">
        <f t="shared" si="3"/>
        <v>131.79561112391784</v>
      </c>
      <c r="J93" s="2">
        <f t="shared" si="4"/>
        <v>2.8136608696299561</v>
      </c>
      <c r="K93" s="15">
        <f t="shared" si="19"/>
        <v>0.54291310541310533</v>
      </c>
      <c r="L93" s="2">
        <f t="shared" si="14"/>
        <v>88</v>
      </c>
      <c r="M93" s="2">
        <f t="shared" si="15"/>
        <v>48.08</v>
      </c>
      <c r="N93" s="2">
        <v>13.5</v>
      </c>
      <c r="O93" s="2">
        <v>50.26548245743669</v>
      </c>
      <c r="P93" s="11">
        <f t="shared" si="5"/>
        <v>2.6857396646757339</v>
      </c>
      <c r="Q93" s="2">
        <f t="shared" si="6"/>
        <v>129.13036307760927</v>
      </c>
      <c r="R93" s="2">
        <f t="shared" si="7"/>
        <v>2.7659665035131269</v>
      </c>
      <c r="S93" s="2">
        <f t="shared" si="8"/>
        <v>132.98766948891114</v>
      </c>
      <c r="T93" s="2">
        <f t="shared" si="9"/>
        <v>3.8573064113018631</v>
      </c>
    </row>
    <row r="94" spans="1:20" x14ac:dyDescent="0.25">
      <c r="A94" s="14">
        <f t="shared" si="18"/>
        <v>0.56842948717948716</v>
      </c>
      <c r="B94" s="2">
        <f t="shared" si="11"/>
        <v>89</v>
      </c>
      <c r="C94" s="4">
        <f t="shared" si="12"/>
        <v>48.83</v>
      </c>
      <c r="D94" s="2">
        <v>14</v>
      </c>
      <c r="E94" s="2">
        <v>50.26548245743669</v>
      </c>
      <c r="F94" s="11">
        <f t="shared" si="0"/>
        <v>2.7852115041081689</v>
      </c>
      <c r="G94" s="2">
        <f t="shared" si="1"/>
        <v>136.00187774560189</v>
      </c>
      <c r="H94" s="2">
        <f t="shared" si="2"/>
        <v>2.7269938159304332</v>
      </c>
      <c r="I94" s="2">
        <f t="shared" si="3"/>
        <v>133.15910803188305</v>
      </c>
      <c r="J94" s="2">
        <f t="shared" si="4"/>
        <v>2.8427697137188375</v>
      </c>
      <c r="K94" s="15">
        <f t="shared" si="19"/>
        <v>0.54303774928774928</v>
      </c>
      <c r="L94" s="2">
        <f t="shared" si="14"/>
        <v>89</v>
      </c>
      <c r="M94" s="2">
        <f t="shared" si="15"/>
        <v>48.58</v>
      </c>
      <c r="N94" s="2">
        <v>13.5</v>
      </c>
      <c r="O94" s="2">
        <v>50.26548245743669</v>
      </c>
      <c r="P94" s="11">
        <f t="shared" si="5"/>
        <v>2.6857396646757339</v>
      </c>
      <c r="Q94" s="2">
        <f t="shared" si="6"/>
        <v>130.47323290994714</v>
      </c>
      <c r="R94" s="2">
        <f t="shared" si="7"/>
        <v>2.7659665035131269</v>
      </c>
      <c r="S94" s="2">
        <f t="shared" si="8"/>
        <v>134.37065274066771</v>
      </c>
      <c r="T94" s="2">
        <f t="shared" si="9"/>
        <v>3.8974198307205654</v>
      </c>
    </row>
    <row r="95" spans="1:20" x14ac:dyDescent="0.25">
      <c r="A95" s="14">
        <f t="shared" si="18"/>
        <v>0.56858974358974357</v>
      </c>
      <c r="B95" s="2">
        <f t="shared" si="11"/>
        <v>90</v>
      </c>
      <c r="C95" s="4">
        <f t="shared" si="12"/>
        <v>49.33</v>
      </c>
      <c r="D95" s="2">
        <v>13</v>
      </c>
      <c r="E95" s="2">
        <v>50.26548245743669</v>
      </c>
      <c r="F95" s="11">
        <f t="shared" si="0"/>
        <v>2.5862678252432989</v>
      </c>
      <c r="G95" s="2">
        <f t="shared" si="1"/>
        <v>127.58059181925194</v>
      </c>
      <c r="H95" s="2">
        <f t="shared" si="2"/>
        <v>2.7269938159304332</v>
      </c>
      <c r="I95" s="2">
        <f t="shared" si="3"/>
        <v>134.52260493984826</v>
      </c>
      <c r="J95" s="2">
        <f t="shared" si="4"/>
        <v>6.9420131205963287</v>
      </c>
      <c r="K95" s="15">
        <f t="shared" si="19"/>
        <v>0.54316239316239312</v>
      </c>
      <c r="L95" s="2">
        <f t="shared" si="14"/>
        <v>90</v>
      </c>
      <c r="M95" s="2">
        <f t="shared" si="15"/>
        <v>49.08</v>
      </c>
      <c r="N95" s="2">
        <v>13</v>
      </c>
      <c r="O95" s="2">
        <v>50.26548245743669</v>
      </c>
      <c r="P95" s="11">
        <f t="shared" si="5"/>
        <v>2.5862678252432989</v>
      </c>
      <c r="Q95" s="2">
        <f t="shared" si="6"/>
        <v>126.9340248629411</v>
      </c>
      <c r="R95" s="2">
        <f t="shared" si="7"/>
        <v>2.7659665035131269</v>
      </c>
      <c r="S95" s="2">
        <f t="shared" si="8"/>
        <v>135.75363599242425</v>
      </c>
      <c r="T95" s="2">
        <f t="shared" si="9"/>
        <v>8.8196111294831496</v>
      </c>
    </row>
    <row r="96" spans="1:20" x14ac:dyDescent="0.25">
      <c r="A96" s="14">
        <f t="shared" si="18"/>
        <v>0.56874999999999998</v>
      </c>
      <c r="B96" s="2">
        <f t="shared" si="11"/>
        <v>91</v>
      </c>
      <c r="C96" s="4">
        <f t="shared" si="12"/>
        <v>49.83</v>
      </c>
      <c r="D96" s="2">
        <v>14</v>
      </c>
      <c r="E96" s="2">
        <v>50.26548245743669</v>
      </c>
      <c r="F96" s="11">
        <f t="shared" si="0"/>
        <v>2.7852115041081689</v>
      </c>
      <c r="G96" s="2">
        <f t="shared" si="1"/>
        <v>138.78708924971005</v>
      </c>
      <c r="H96" s="2">
        <f t="shared" si="2"/>
        <v>2.7269938159304332</v>
      </c>
      <c r="I96" s="2">
        <f t="shared" si="3"/>
        <v>135.88610184781348</v>
      </c>
      <c r="J96" s="2">
        <f t="shared" si="4"/>
        <v>2.9009874018965718</v>
      </c>
      <c r="K96" s="15">
        <f t="shared" si="19"/>
        <v>0.54328703703703696</v>
      </c>
      <c r="L96" s="2">
        <f t="shared" si="14"/>
        <v>91</v>
      </c>
      <c r="M96" s="2">
        <f t="shared" si="15"/>
        <v>49.58</v>
      </c>
      <c r="N96" s="2">
        <v>15.5</v>
      </c>
      <c r="O96" s="2">
        <v>50.26548245743669</v>
      </c>
      <c r="P96" s="11">
        <f t="shared" si="5"/>
        <v>3.0836270224054725</v>
      </c>
      <c r="Q96" s="2">
        <f t="shared" si="6"/>
        <v>152.88622777086331</v>
      </c>
      <c r="R96" s="2">
        <f t="shared" si="7"/>
        <v>2.7659665035131269</v>
      </c>
      <c r="S96" s="2">
        <f t="shared" si="8"/>
        <v>137.13661924418082</v>
      </c>
      <c r="T96" s="2">
        <f t="shared" si="9"/>
        <v>15.749608526682493</v>
      </c>
    </row>
    <row r="97" spans="1:20" x14ac:dyDescent="0.25">
      <c r="A97" s="14">
        <f t="shared" si="18"/>
        <v>0.56891025641025639</v>
      </c>
      <c r="B97" s="2">
        <f t="shared" si="11"/>
        <v>92</v>
      </c>
      <c r="C97" s="4">
        <f t="shared" si="12"/>
        <v>50.33</v>
      </c>
      <c r="D97" s="2">
        <v>18.5</v>
      </c>
      <c r="E97" s="2">
        <v>50.26548245743669</v>
      </c>
      <c r="F97" s="11">
        <f t="shared" si="0"/>
        <v>3.6804580590000797</v>
      </c>
      <c r="G97" s="2">
        <f t="shared" si="1"/>
        <v>185.23745410947402</v>
      </c>
      <c r="H97" s="2">
        <f t="shared" si="2"/>
        <v>2.7269938159304332</v>
      </c>
      <c r="I97" s="2">
        <f t="shared" si="3"/>
        <v>137.24959875577869</v>
      </c>
      <c r="J97" s="2">
        <f t="shared" si="4"/>
        <v>47.987855353695323</v>
      </c>
      <c r="K97" s="15">
        <f t="shared" si="19"/>
        <v>0.54341168091168091</v>
      </c>
      <c r="L97" s="2">
        <f t="shared" si="14"/>
        <v>92</v>
      </c>
      <c r="M97" s="2">
        <f t="shared" si="15"/>
        <v>50.08</v>
      </c>
      <c r="N97" s="2">
        <v>15</v>
      </c>
      <c r="O97" s="2">
        <v>50.26548245743669</v>
      </c>
      <c r="P97" s="11">
        <f t="shared" si="5"/>
        <v>2.9841551829730379</v>
      </c>
      <c r="Q97" s="2">
        <f t="shared" si="6"/>
        <v>149.44649156328973</v>
      </c>
      <c r="R97" s="2">
        <f t="shared" si="7"/>
        <v>2.7659665035131269</v>
      </c>
      <c r="S97" s="2">
        <f t="shared" si="8"/>
        <v>138.51960249593739</v>
      </c>
      <c r="T97" s="2">
        <f t="shared" si="9"/>
        <v>10.926889067352334</v>
      </c>
    </row>
    <row r="98" spans="1:20" x14ac:dyDescent="0.25">
      <c r="A98" s="14">
        <f t="shared" si="18"/>
        <v>0.5690705128205128</v>
      </c>
      <c r="B98" s="2">
        <f t="shared" si="11"/>
        <v>93</v>
      </c>
      <c r="C98" s="4">
        <f t="shared" si="12"/>
        <v>50.83</v>
      </c>
      <c r="D98" s="2">
        <v>14</v>
      </c>
      <c r="E98" s="2">
        <v>50.26548245743669</v>
      </c>
      <c r="F98" s="11">
        <f t="shared" si="0"/>
        <v>2.7852115041081689</v>
      </c>
      <c r="G98" s="2">
        <f t="shared" si="1"/>
        <v>141.57230075381821</v>
      </c>
      <c r="H98" s="2">
        <f t="shared" si="2"/>
        <v>2.7269938159304332</v>
      </c>
      <c r="I98" s="2">
        <f t="shared" si="3"/>
        <v>138.61309566374391</v>
      </c>
      <c r="J98" s="2">
        <f t="shared" si="4"/>
        <v>2.9592050900743061</v>
      </c>
      <c r="K98" s="15">
        <f t="shared" si="19"/>
        <v>0.54353632478632474</v>
      </c>
      <c r="L98" s="2">
        <f t="shared" si="14"/>
        <v>93</v>
      </c>
      <c r="M98" s="2">
        <f t="shared" si="15"/>
        <v>50.58</v>
      </c>
      <c r="N98" s="2">
        <v>14.5</v>
      </c>
      <c r="O98" s="2">
        <v>50.26548245743669</v>
      </c>
      <c r="P98" s="11">
        <f t="shared" si="5"/>
        <v>2.8846833435406034</v>
      </c>
      <c r="Q98" s="2">
        <f t="shared" si="6"/>
        <v>145.90728351628371</v>
      </c>
      <c r="R98" s="2">
        <f t="shared" si="7"/>
        <v>2.7659665035131269</v>
      </c>
      <c r="S98" s="2">
        <f t="shared" si="8"/>
        <v>139.90258574769396</v>
      </c>
      <c r="T98" s="2">
        <f t="shared" si="9"/>
        <v>6.0046977685897502</v>
      </c>
    </row>
    <row r="99" spans="1:20" x14ac:dyDescent="0.25">
      <c r="A99" s="14">
        <f t="shared" si="18"/>
        <v>0.56923076923076921</v>
      </c>
      <c r="B99" s="2">
        <f t="shared" si="11"/>
        <v>94</v>
      </c>
      <c r="C99" s="4">
        <f t="shared" si="12"/>
        <v>51.33</v>
      </c>
      <c r="D99" s="2">
        <v>13.5</v>
      </c>
      <c r="E99" s="2">
        <v>50.26548245743669</v>
      </c>
      <c r="F99" s="11">
        <f t="shared" si="0"/>
        <v>2.6857396646757339</v>
      </c>
      <c r="G99" s="2">
        <f t="shared" si="1"/>
        <v>137.8590169878054</v>
      </c>
      <c r="H99" s="2">
        <f t="shared" si="2"/>
        <v>2.7269938159304332</v>
      </c>
      <c r="I99" s="2">
        <f t="shared" si="3"/>
        <v>139.97659257170912</v>
      </c>
      <c r="J99" s="2">
        <f t="shared" si="4"/>
        <v>2.1175755839037151</v>
      </c>
      <c r="K99" s="15">
        <f t="shared" si="19"/>
        <v>0.54366096866096858</v>
      </c>
      <c r="L99" s="2">
        <f t="shared" si="14"/>
        <v>94</v>
      </c>
      <c r="M99" s="2">
        <f t="shared" si="15"/>
        <v>51.08</v>
      </c>
      <c r="N99" s="2">
        <v>14</v>
      </c>
      <c r="O99" s="2">
        <v>50.26548245743669</v>
      </c>
      <c r="P99" s="11">
        <f t="shared" si="5"/>
        <v>2.7852115041081689</v>
      </c>
      <c r="Q99" s="2">
        <f t="shared" si="6"/>
        <v>142.26860362984527</v>
      </c>
      <c r="R99" s="2">
        <f t="shared" si="7"/>
        <v>2.7659665035131269</v>
      </c>
      <c r="S99" s="2">
        <f t="shared" si="8"/>
        <v>141.2855689994505</v>
      </c>
      <c r="T99" s="2">
        <f t="shared" si="9"/>
        <v>0.98303463039476924</v>
      </c>
    </row>
    <row r="100" spans="1:20" x14ac:dyDescent="0.25">
      <c r="A100" s="14">
        <f t="shared" si="18"/>
        <v>0.56939102564102562</v>
      </c>
      <c r="B100" s="2">
        <f t="shared" si="11"/>
        <v>95</v>
      </c>
      <c r="C100" s="4">
        <f t="shared" si="12"/>
        <v>51.83</v>
      </c>
      <c r="D100" s="2">
        <v>12.5</v>
      </c>
      <c r="E100" s="2">
        <v>50.26548245743669</v>
      </c>
      <c r="F100" s="11">
        <f t="shared" si="0"/>
        <v>2.4867959858108648</v>
      </c>
      <c r="G100" s="2">
        <f t="shared" si="1"/>
        <v>128.89063594457713</v>
      </c>
      <c r="H100" s="2">
        <f t="shared" si="2"/>
        <v>2.7269938159304332</v>
      </c>
      <c r="I100" s="2">
        <f t="shared" si="3"/>
        <v>141.34008947967436</v>
      </c>
      <c r="J100" s="2">
        <f t="shared" si="4"/>
        <v>12.449453535097234</v>
      </c>
      <c r="K100" s="15">
        <f t="shared" si="19"/>
        <v>0.54378561253561253</v>
      </c>
      <c r="L100" s="2">
        <f t="shared" si="14"/>
        <v>95</v>
      </c>
      <c r="M100" s="2">
        <f t="shared" si="15"/>
        <v>51.58</v>
      </c>
      <c r="N100" s="2">
        <v>13.5</v>
      </c>
      <c r="O100" s="2">
        <v>50.26548245743669</v>
      </c>
      <c r="P100" s="11">
        <f t="shared" si="5"/>
        <v>2.6857396646757339</v>
      </c>
      <c r="Q100" s="2">
        <f t="shared" si="6"/>
        <v>138.53045190397435</v>
      </c>
      <c r="R100" s="2">
        <f t="shared" si="7"/>
        <v>2.7659665035131269</v>
      </c>
      <c r="S100" s="2">
        <f t="shared" si="8"/>
        <v>142.66855225120707</v>
      </c>
      <c r="T100" s="2">
        <f t="shared" si="9"/>
        <v>4.1381003472327222</v>
      </c>
    </row>
    <row r="101" spans="1:20" x14ac:dyDescent="0.25">
      <c r="A101" s="14">
        <f t="shared" si="18"/>
        <v>0.56955128205128203</v>
      </c>
      <c r="B101" s="2">
        <f t="shared" si="11"/>
        <v>96</v>
      </c>
      <c r="C101" s="4">
        <f t="shared" si="12"/>
        <v>52.33</v>
      </c>
      <c r="D101" s="2">
        <v>12.5</v>
      </c>
      <c r="E101" s="2">
        <v>50.26548245743669</v>
      </c>
      <c r="F101" s="11">
        <f t="shared" si="0"/>
        <v>2.4867959858108648</v>
      </c>
      <c r="G101" s="2">
        <f t="shared" si="1"/>
        <v>130.13403393748254</v>
      </c>
      <c r="H101" s="2">
        <f t="shared" si="2"/>
        <v>2.7269938159304332</v>
      </c>
      <c r="I101" s="2">
        <f t="shared" si="3"/>
        <v>142.70358638763958</v>
      </c>
      <c r="J101" s="2">
        <f t="shared" si="4"/>
        <v>12.569552450157033</v>
      </c>
      <c r="K101" s="15">
        <f t="shared" si="19"/>
        <v>0.54391025641025637</v>
      </c>
      <c r="L101" s="2">
        <f t="shared" si="14"/>
        <v>96</v>
      </c>
      <c r="M101" s="2">
        <f t="shared" si="15"/>
        <v>52.08</v>
      </c>
      <c r="N101" s="2">
        <v>13.5</v>
      </c>
      <c r="O101" s="2">
        <v>50.26548245743669</v>
      </c>
      <c r="P101" s="11">
        <f t="shared" si="5"/>
        <v>2.6857396646757339</v>
      </c>
      <c r="Q101" s="2">
        <f t="shared" si="6"/>
        <v>139.87332173631222</v>
      </c>
      <c r="R101" s="2">
        <f t="shared" si="7"/>
        <v>2.7659665035131269</v>
      </c>
      <c r="S101" s="2">
        <f t="shared" si="8"/>
        <v>144.05153550296365</v>
      </c>
      <c r="T101" s="2">
        <f t="shared" si="9"/>
        <v>4.1782137666514245</v>
      </c>
    </row>
    <row r="102" spans="1:20" x14ac:dyDescent="0.25">
      <c r="A102" s="14">
        <f t="shared" si="18"/>
        <v>0.56971153846153844</v>
      </c>
      <c r="B102" s="2">
        <f t="shared" si="11"/>
        <v>97</v>
      </c>
      <c r="C102" s="4">
        <f t="shared" si="12"/>
        <v>52.83</v>
      </c>
      <c r="D102" s="2">
        <v>10.5</v>
      </c>
      <c r="E102" s="2">
        <v>50.26548245743669</v>
      </c>
      <c r="F102" s="11">
        <f t="shared" si="0"/>
        <v>2.0889086280811267</v>
      </c>
      <c r="G102" s="2">
        <f t="shared" si="1"/>
        <v>110.35704282152592</v>
      </c>
      <c r="H102" s="2">
        <f t="shared" si="2"/>
        <v>2.7269938159304332</v>
      </c>
      <c r="I102" s="2">
        <f t="shared" si="3"/>
        <v>144.06708329560479</v>
      </c>
      <c r="J102" s="2">
        <f t="shared" si="4"/>
        <v>33.710040474078866</v>
      </c>
      <c r="K102" s="15">
        <f t="shared" si="19"/>
        <v>0.5440349002849002</v>
      </c>
      <c r="L102" s="2">
        <f t="shared" si="14"/>
        <v>97</v>
      </c>
      <c r="M102" s="2">
        <f t="shared" si="15"/>
        <v>52.58</v>
      </c>
      <c r="N102" s="2">
        <v>12</v>
      </c>
      <c r="O102" s="2">
        <v>50.26548245743669</v>
      </c>
      <c r="P102" s="11">
        <f t="shared" si="5"/>
        <v>2.3873241463784298</v>
      </c>
      <c r="Q102" s="2">
        <f t="shared" si="6"/>
        <v>125.52550361657784</v>
      </c>
      <c r="R102" s="2">
        <f t="shared" si="7"/>
        <v>2.7659665035131269</v>
      </c>
      <c r="S102" s="2">
        <f t="shared" si="8"/>
        <v>145.43451875472022</v>
      </c>
      <c r="T102" s="2">
        <f t="shared" si="9"/>
        <v>19.909015138142379</v>
      </c>
    </row>
    <row r="103" spans="1:20" x14ac:dyDescent="0.25">
      <c r="A103" s="14">
        <f t="shared" si="18"/>
        <v>0.56987179487179485</v>
      </c>
      <c r="B103" s="2">
        <f t="shared" si="11"/>
        <v>98</v>
      </c>
      <c r="C103" s="4">
        <f t="shared" si="12"/>
        <v>53.33</v>
      </c>
      <c r="D103" s="2">
        <v>10.5</v>
      </c>
      <c r="E103" s="2">
        <v>50.26548245743669</v>
      </c>
      <c r="F103" s="11">
        <f t="shared" si="0"/>
        <v>2.0889086280811267</v>
      </c>
      <c r="G103" s="2">
        <f t="shared" si="1"/>
        <v>111.40149713556649</v>
      </c>
      <c r="H103" s="2">
        <f t="shared" si="2"/>
        <v>2.7269938159304332</v>
      </c>
      <c r="I103" s="2">
        <f t="shared" si="3"/>
        <v>145.43058020357</v>
      </c>
      <c r="J103" s="2">
        <f t="shared" si="4"/>
        <v>34.029083068003516</v>
      </c>
      <c r="K103" s="15">
        <f t="shared" si="19"/>
        <v>0.54415954415954415</v>
      </c>
      <c r="L103" s="2">
        <f t="shared" si="14"/>
        <v>98</v>
      </c>
      <c r="M103" s="2">
        <f t="shared" si="15"/>
        <v>53.08</v>
      </c>
      <c r="N103" s="2">
        <v>11</v>
      </c>
      <c r="O103" s="2">
        <v>50.26548245743669</v>
      </c>
      <c r="P103" s="11">
        <f t="shared" si="5"/>
        <v>2.1883804675135607</v>
      </c>
      <c r="Q103" s="2">
        <f t="shared" si="6"/>
        <v>116.1592352156198</v>
      </c>
      <c r="R103" s="2">
        <f t="shared" si="7"/>
        <v>2.7659665035131269</v>
      </c>
      <c r="S103" s="2">
        <f t="shared" si="8"/>
        <v>146.81750200647676</v>
      </c>
      <c r="T103" s="2">
        <f t="shared" si="9"/>
        <v>30.658266790856956</v>
      </c>
    </row>
    <row r="104" spans="1:20" x14ac:dyDescent="0.25">
      <c r="A104" s="14">
        <f t="shared" si="18"/>
        <v>0.57003205128205126</v>
      </c>
      <c r="B104" s="2">
        <f t="shared" si="11"/>
        <v>99</v>
      </c>
      <c r="C104" s="4">
        <f t="shared" si="12"/>
        <v>53.83</v>
      </c>
      <c r="D104" s="2">
        <v>10.5</v>
      </c>
      <c r="E104" s="2">
        <v>50.26548245743669</v>
      </c>
      <c r="F104" s="11">
        <f t="shared" si="0"/>
        <v>2.0889086280811267</v>
      </c>
      <c r="G104" s="2">
        <f t="shared" si="1"/>
        <v>112.44595144960705</v>
      </c>
      <c r="H104" s="2">
        <f t="shared" si="2"/>
        <v>2.7269938159304332</v>
      </c>
      <c r="I104" s="2">
        <f t="shared" si="3"/>
        <v>146.79407711153522</v>
      </c>
      <c r="J104" s="2">
        <f t="shared" si="4"/>
        <v>34.348125661928165</v>
      </c>
      <c r="K104" s="15">
        <f t="shared" si="19"/>
        <v>0.54428418803418799</v>
      </c>
      <c r="L104" s="2">
        <f t="shared" si="14"/>
        <v>99</v>
      </c>
      <c r="M104" s="2">
        <f t="shared" si="15"/>
        <v>53.58</v>
      </c>
      <c r="N104" s="2">
        <v>10.5</v>
      </c>
      <c r="O104" s="2">
        <v>50.26548245743669</v>
      </c>
      <c r="P104" s="11">
        <f t="shared" si="5"/>
        <v>2.0889086280811267</v>
      </c>
      <c r="Q104" s="2">
        <f t="shared" si="6"/>
        <v>111.92372429258677</v>
      </c>
      <c r="R104" s="2">
        <f t="shared" si="7"/>
        <v>2.7659665035131269</v>
      </c>
      <c r="S104" s="2">
        <f t="shared" si="8"/>
        <v>148.20048525823333</v>
      </c>
      <c r="T104" s="2">
        <f t="shared" si="9"/>
        <v>36.276760965646559</v>
      </c>
    </row>
    <row r="105" spans="1:20" x14ac:dyDescent="0.25">
      <c r="A105" s="14">
        <f t="shared" si="18"/>
        <v>0.57019230769230766</v>
      </c>
      <c r="B105" s="2">
        <f t="shared" si="11"/>
        <v>100</v>
      </c>
      <c r="C105" s="4">
        <f t="shared" si="12"/>
        <v>54.33</v>
      </c>
      <c r="D105" s="2">
        <v>11</v>
      </c>
      <c r="E105" s="2">
        <v>50.26548245743669</v>
      </c>
      <c r="F105" s="11">
        <f t="shared" si="0"/>
        <v>2.1883804675135607</v>
      </c>
      <c r="G105" s="2">
        <f t="shared" si="1"/>
        <v>118.89471080001175</v>
      </c>
      <c r="H105" s="2">
        <f t="shared" si="2"/>
        <v>2.7269938159304332</v>
      </c>
      <c r="I105" s="2">
        <f t="shared" si="3"/>
        <v>148.15757401950043</v>
      </c>
      <c r="J105" s="2">
        <f t="shared" si="4"/>
        <v>29.262863219488679</v>
      </c>
      <c r="K105" s="15">
        <f t="shared" si="19"/>
        <v>0.54440883190883183</v>
      </c>
      <c r="L105" s="2">
        <f t="shared" si="14"/>
        <v>100</v>
      </c>
      <c r="M105" s="2">
        <f t="shared" si="15"/>
        <v>54.08</v>
      </c>
      <c r="N105" s="2">
        <v>11</v>
      </c>
      <c r="O105" s="2">
        <v>50.26548245743669</v>
      </c>
      <c r="P105" s="11">
        <f t="shared" si="5"/>
        <v>2.1883804675135607</v>
      </c>
      <c r="Q105" s="2">
        <f t="shared" si="6"/>
        <v>118.34761568313336</v>
      </c>
      <c r="R105" s="2">
        <f t="shared" si="7"/>
        <v>2.7659665035131269</v>
      </c>
      <c r="S105" s="2">
        <f t="shared" si="8"/>
        <v>149.5834685099899</v>
      </c>
      <c r="T105" s="2">
        <f t="shared" si="9"/>
        <v>31.235852826856544</v>
      </c>
    </row>
    <row r="106" spans="1:20" x14ac:dyDescent="0.25">
      <c r="A106" s="14">
        <f t="shared" si="18"/>
        <v>0.57035256410256407</v>
      </c>
      <c r="B106" s="2">
        <f t="shared" si="11"/>
        <v>101</v>
      </c>
      <c r="C106" s="4">
        <f t="shared" si="12"/>
        <v>54.83</v>
      </c>
      <c r="D106" s="2">
        <v>9.5</v>
      </c>
      <c r="E106" s="2">
        <v>50.26548245743669</v>
      </c>
      <c r="F106" s="11">
        <f t="shared" si="0"/>
        <v>1.8899649492162571</v>
      </c>
      <c r="G106" s="2">
        <f t="shared" si="1"/>
        <v>103.62677816552737</v>
      </c>
      <c r="H106" s="2">
        <f t="shared" si="2"/>
        <v>2.7269938159304332</v>
      </c>
      <c r="I106" s="2">
        <f t="shared" si="3"/>
        <v>149.52107092746564</v>
      </c>
      <c r="J106" s="2">
        <f t="shared" si="4"/>
        <v>45.894292761938274</v>
      </c>
      <c r="K106" s="15">
        <f t="shared" si="19"/>
        <v>0.54453347578347577</v>
      </c>
      <c r="L106" s="2">
        <f t="shared" si="14"/>
        <v>101</v>
      </c>
      <c r="M106" s="2">
        <f t="shared" si="15"/>
        <v>54.58</v>
      </c>
      <c r="N106" s="2">
        <v>11</v>
      </c>
      <c r="O106" s="2">
        <v>50.26548245743669</v>
      </c>
      <c r="P106" s="11">
        <f t="shared" si="5"/>
        <v>2.1883804675135607</v>
      </c>
      <c r="Q106" s="2">
        <f t="shared" si="6"/>
        <v>119.44180591689015</v>
      </c>
      <c r="R106" s="2">
        <f t="shared" si="7"/>
        <v>2.7659665035131269</v>
      </c>
      <c r="S106" s="2">
        <f t="shared" si="8"/>
        <v>150.96645176174647</v>
      </c>
      <c r="T106" s="2">
        <f t="shared" si="9"/>
        <v>31.524645844856323</v>
      </c>
    </row>
    <row r="107" spans="1:20" x14ac:dyDescent="0.25">
      <c r="A107" s="14">
        <f t="shared" si="18"/>
        <v>0.57051282051282048</v>
      </c>
      <c r="B107" s="2">
        <f t="shared" si="11"/>
        <v>102</v>
      </c>
      <c r="C107" s="4">
        <f t="shared" si="12"/>
        <v>55.33</v>
      </c>
      <c r="D107" s="2">
        <v>10.5</v>
      </c>
      <c r="E107" s="2">
        <v>50.26548245743669</v>
      </c>
      <c r="F107" s="11">
        <f t="shared" si="0"/>
        <v>2.0889086280811267</v>
      </c>
      <c r="G107" s="2">
        <f t="shared" si="1"/>
        <v>115.57931439172873</v>
      </c>
      <c r="H107" s="2">
        <f t="shared" si="2"/>
        <v>2.7269938159304332</v>
      </c>
      <c r="I107" s="2">
        <f t="shared" si="3"/>
        <v>150.88456783543086</v>
      </c>
      <c r="J107" s="2">
        <f t="shared" si="4"/>
        <v>35.305253443702128</v>
      </c>
      <c r="K107" s="15">
        <f t="shared" si="19"/>
        <v>0.54465811965811961</v>
      </c>
      <c r="L107" s="2">
        <f t="shared" si="14"/>
        <v>102</v>
      </c>
      <c r="M107" s="2">
        <f t="shared" si="15"/>
        <v>55.08</v>
      </c>
      <c r="N107" s="2">
        <v>11</v>
      </c>
      <c r="O107" s="2">
        <v>50.26548245743669</v>
      </c>
      <c r="P107" s="11">
        <f t="shared" si="5"/>
        <v>2.1883804675135607</v>
      </c>
      <c r="Q107" s="2">
        <f t="shared" si="6"/>
        <v>120.53599615064692</v>
      </c>
      <c r="R107" s="2">
        <f t="shared" si="7"/>
        <v>2.7659665035131269</v>
      </c>
      <c r="S107" s="2">
        <f t="shared" si="8"/>
        <v>152.34943501350301</v>
      </c>
      <c r="T107" s="2">
        <f t="shared" si="9"/>
        <v>31.813438862856088</v>
      </c>
    </row>
    <row r="108" spans="1:20" x14ac:dyDescent="0.25">
      <c r="A108" s="14">
        <f t="shared" si="18"/>
        <v>0.57067307692307689</v>
      </c>
      <c r="B108" s="2">
        <f t="shared" si="11"/>
        <v>103</v>
      </c>
      <c r="C108" s="4">
        <f t="shared" si="12"/>
        <v>55.83</v>
      </c>
      <c r="D108" s="2">
        <v>10.5</v>
      </c>
      <c r="E108" s="2">
        <v>50.26548245743669</v>
      </c>
      <c r="F108" s="11">
        <f t="shared" si="0"/>
        <v>2.0889086280811267</v>
      </c>
      <c r="G108" s="2">
        <f t="shared" si="1"/>
        <v>116.62376870576929</v>
      </c>
      <c r="H108" s="2">
        <f t="shared" si="2"/>
        <v>2.7269938159304332</v>
      </c>
      <c r="I108" s="2">
        <f t="shared" si="3"/>
        <v>152.24806474339607</v>
      </c>
      <c r="J108" s="2">
        <f t="shared" si="4"/>
        <v>35.624296037626777</v>
      </c>
      <c r="K108" s="15">
        <f t="shared" si="19"/>
        <v>0.54478276353276345</v>
      </c>
      <c r="L108" s="2">
        <f t="shared" si="14"/>
        <v>103</v>
      </c>
      <c r="M108" s="2">
        <f t="shared" si="15"/>
        <v>55.58</v>
      </c>
      <c r="N108" s="2">
        <v>11.5</v>
      </c>
      <c r="O108" s="2">
        <v>50.26548245743669</v>
      </c>
      <c r="P108" s="11">
        <f t="shared" si="5"/>
        <v>2.2878523069459957</v>
      </c>
      <c r="Q108" s="2">
        <f t="shared" si="6"/>
        <v>127.15883122005845</v>
      </c>
      <c r="R108" s="2">
        <f t="shared" si="7"/>
        <v>2.7659665035131269</v>
      </c>
      <c r="S108" s="2">
        <f t="shared" si="8"/>
        <v>153.73241826525958</v>
      </c>
      <c r="T108" s="2">
        <f t="shared" si="9"/>
        <v>26.573587045201137</v>
      </c>
    </row>
    <row r="109" spans="1:20" x14ac:dyDescent="0.25">
      <c r="A109" s="14">
        <f t="shared" si="18"/>
        <v>0.5708333333333333</v>
      </c>
      <c r="B109" s="21">
        <f t="shared" si="11"/>
        <v>104</v>
      </c>
      <c r="C109" s="22">
        <f t="shared" si="12"/>
        <v>56.33</v>
      </c>
      <c r="D109" s="21">
        <v>11.5</v>
      </c>
      <c r="E109" s="2">
        <v>50.26548245743669</v>
      </c>
      <c r="F109" s="11">
        <f t="shared" si="0"/>
        <v>2.2878523069459957</v>
      </c>
      <c r="G109" s="2">
        <f t="shared" si="1"/>
        <v>128.87472045026794</v>
      </c>
      <c r="H109" s="2">
        <f t="shared" si="2"/>
        <v>2.7269938159304332</v>
      </c>
      <c r="I109" s="2">
        <f t="shared" si="3"/>
        <v>153.61156165136128</v>
      </c>
      <c r="J109" s="2">
        <f t="shared" si="4"/>
        <v>24.736841201093341</v>
      </c>
      <c r="K109" s="15">
        <f t="shared" si="19"/>
        <v>0.5449074074074074</v>
      </c>
      <c r="L109" s="21">
        <f t="shared" si="14"/>
        <v>104</v>
      </c>
      <c r="M109" s="21">
        <f t="shared" si="15"/>
        <v>56.08</v>
      </c>
      <c r="N109" s="21">
        <v>10.5</v>
      </c>
      <c r="O109" s="2">
        <v>50.26548245743669</v>
      </c>
      <c r="P109" s="11">
        <f t="shared" si="5"/>
        <v>2.0889086280811267</v>
      </c>
      <c r="Q109" s="2">
        <f t="shared" si="6"/>
        <v>117.14599586278958</v>
      </c>
      <c r="R109" s="2">
        <f t="shared" si="7"/>
        <v>2.7659665035131269</v>
      </c>
      <c r="S109" s="2">
        <f t="shared" si="8"/>
        <v>155.11540151701615</v>
      </c>
      <c r="T109" s="2">
        <f t="shared" si="9"/>
        <v>37.969405654226577</v>
      </c>
    </row>
    <row r="110" spans="1:20" x14ac:dyDescent="0.25">
      <c r="A110" s="14">
        <f t="shared" si="18"/>
        <v>0.57099358974358971</v>
      </c>
      <c r="B110" s="21">
        <f t="shared" si="11"/>
        <v>105</v>
      </c>
      <c r="C110" s="22">
        <f>C109+1.5</f>
        <v>57.83</v>
      </c>
      <c r="D110" s="21">
        <v>11</v>
      </c>
      <c r="E110" s="2">
        <v>50.26548245743669</v>
      </c>
      <c r="F110" s="11">
        <f t="shared" si="0"/>
        <v>2.1883804675135607</v>
      </c>
      <c r="G110" s="2">
        <f t="shared" si="1"/>
        <v>126.55404243630922</v>
      </c>
      <c r="H110" s="2">
        <f t="shared" si="2"/>
        <v>2.7269938159304332</v>
      </c>
      <c r="I110" s="2">
        <f t="shared" si="3"/>
        <v>157.70205237525695</v>
      </c>
      <c r="J110" s="2">
        <f t="shared" si="4"/>
        <v>31.148009938947737</v>
      </c>
      <c r="K110" s="15">
        <f t="shared" si="19"/>
        <v>0.54503205128205123</v>
      </c>
      <c r="L110" s="21">
        <f t="shared" si="14"/>
        <v>105</v>
      </c>
      <c r="M110" s="21">
        <f>M109+1.5</f>
        <v>57.58</v>
      </c>
      <c r="N110" s="21">
        <v>11</v>
      </c>
      <c r="O110" s="2">
        <v>50.26548245743669</v>
      </c>
      <c r="P110" s="11">
        <f t="shared" si="5"/>
        <v>2.1883804675135607</v>
      </c>
      <c r="Q110" s="2">
        <f t="shared" si="6"/>
        <v>126.00694731943082</v>
      </c>
      <c r="R110" s="2">
        <f t="shared" si="7"/>
        <v>2.7659665035131269</v>
      </c>
      <c r="S110" s="2">
        <f t="shared" si="8"/>
        <v>159.26435127228584</v>
      </c>
      <c r="T110" s="2">
        <f t="shared" si="9"/>
        <v>33.257403952855014</v>
      </c>
    </row>
    <row r="111" spans="1:20" x14ac:dyDescent="0.25">
      <c r="A111" s="14">
        <f t="shared" si="18"/>
        <v>0.57115384615384612</v>
      </c>
      <c r="B111" s="21">
        <f t="shared" si="11"/>
        <v>106</v>
      </c>
      <c r="C111" s="22">
        <f t="shared" ref="C111:C162" si="20">C110+0.5</f>
        <v>58.33</v>
      </c>
      <c r="D111" s="21">
        <v>11.5</v>
      </c>
      <c r="E111" s="2">
        <v>50.26548245743669</v>
      </c>
      <c r="F111" s="11">
        <f t="shared" si="0"/>
        <v>2.2878523069459957</v>
      </c>
      <c r="G111" s="2">
        <f t="shared" si="1"/>
        <v>133.45042506415993</v>
      </c>
      <c r="H111" s="2">
        <f t="shared" si="2"/>
        <v>2.7269938159304332</v>
      </c>
      <c r="I111" s="2">
        <f t="shared" si="3"/>
        <v>159.06554928322217</v>
      </c>
      <c r="J111" s="2">
        <f t="shared" si="4"/>
        <v>25.615124219062238</v>
      </c>
      <c r="K111" s="15">
        <f t="shared" si="19"/>
        <v>0.54515669515669507</v>
      </c>
      <c r="L111" s="21">
        <f t="shared" si="14"/>
        <v>106</v>
      </c>
      <c r="M111" s="21">
        <f t="shared" ref="M111:M162" si="21">M110+0.5</f>
        <v>58.08</v>
      </c>
      <c r="N111" s="21">
        <v>11.5</v>
      </c>
      <c r="O111" s="2">
        <v>50.26548245743669</v>
      </c>
      <c r="P111" s="11">
        <f t="shared" si="5"/>
        <v>2.2878523069459957</v>
      </c>
      <c r="Q111" s="2">
        <f t="shared" si="6"/>
        <v>132.87846198742344</v>
      </c>
      <c r="R111" s="2">
        <f t="shared" si="7"/>
        <v>2.7659665035131269</v>
      </c>
      <c r="S111" s="2">
        <f t="shared" si="8"/>
        <v>160.64733452404241</v>
      </c>
      <c r="T111" s="2">
        <f t="shared" si="9"/>
        <v>27.768872536618971</v>
      </c>
    </row>
    <row r="112" spans="1:20" x14ac:dyDescent="0.25">
      <c r="A112" s="14">
        <f t="shared" si="18"/>
        <v>0.57131410256410253</v>
      </c>
      <c r="B112" s="2">
        <f t="shared" si="11"/>
        <v>107</v>
      </c>
      <c r="C112" s="4">
        <f t="shared" si="20"/>
        <v>58.83</v>
      </c>
      <c r="D112" s="2">
        <v>13</v>
      </c>
      <c r="E112" s="2">
        <v>50.26548245743669</v>
      </c>
      <c r="F112" s="11">
        <f t="shared" si="0"/>
        <v>2.5862678252432989</v>
      </c>
      <c r="G112" s="2">
        <f t="shared" si="1"/>
        <v>152.15013615906327</v>
      </c>
      <c r="H112" s="2">
        <f t="shared" si="2"/>
        <v>2.7269938159304332</v>
      </c>
      <c r="I112" s="2">
        <f t="shared" si="3"/>
        <v>160.42904619118738</v>
      </c>
      <c r="J112" s="2">
        <f t="shared" si="4"/>
        <v>8.2789100321241165</v>
      </c>
      <c r="K112" s="15">
        <f t="shared" si="19"/>
        <v>0.54528133903133902</v>
      </c>
      <c r="L112" s="2">
        <f t="shared" si="14"/>
        <v>107</v>
      </c>
      <c r="M112" s="2">
        <f t="shared" si="21"/>
        <v>58.58</v>
      </c>
      <c r="N112" s="2">
        <v>11.5</v>
      </c>
      <c r="O112" s="2">
        <v>50.26548245743669</v>
      </c>
      <c r="P112" s="11">
        <f t="shared" si="5"/>
        <v>2.2878523069459957</v>
      </c>
      <c r="Q112" s="2">
        <f t="shared" si="6"/>
        <v>134.02238814089642</v>
      </c>
      <c r="R112" s="2">
        <f t="shared" si="7"/>
        <v>2.7659665035131269</v>
      </c>
      <c r="S112" s="2">
        <f t="shared" si="8"/>
        <v>162.03031777579898</v>
      </c>
      <c r="T112" s="2">
        <f t="shared" si="9"/>
        <v>28.007929634902553</v>
      </c>
    </row>
    <row r="113" spans="1:20" x14ac:dyDescent="0.25">
      <c r="A113" s="14">
        <f t="shared" si="18"/>
        <v>0.57147435897435894</v>
      </c>
      <c r="B113" s="2">
        <f t="shared" si="11"/>
        <v>108</v>
      </c>
      <c r="C113" s="4">
        <f t="shared" si="20"/>
        <v>59.33</v>
      </c>
      <c r="D113" s="2">
        <v>10.5</v>
      </c>
      <c r="E113" s="2">
        <v>50.26548245743669</v>
      </c>
      <c r="F113" s="11">
        <f t="shared" si="0"/>
        <v>2.0889086280811267</v>
      </c>
      <c r="G113" s="2">
        <f t="shared" si="1"/>
        <v>123.93494890405324</v>
      </c>
      <c r="H113" s="2">
        <f t="shared" si="2"/>
        <v>2.7269938159304332</v>
      </c>
      <c r="I113" s="2">
        <f t="shared" si="3"/>
        <v>161.7925430991526</v>
      </c>
      <c r="J113" s="2">
        <f t="shared" si="4"/>
        <v>37.857594195099352</v>
      </c>
      <c r="K113" s="15">
        <f t="shared" si="19"/>
        <v>0.54540598290598286</v>
      </c>
      <c r="L113" s="2">
        <f t="shared" si="14"/>
        <v>108</v>
      </c>
      <c r="M113" s="2">
        <f t="shared" si="21"/>
        <v>59.08</v>
      </c>
      <c r="N113" s="2">
        <v>10</v>
      </c>
      <c r="O113" s="2">
        <v>50.26548245743669</v>
      </c>
      <c r="P113" s="11">
        <f t="shared" si="5"/>
        <v>1.9894367886486919</v>
      </c>
      <c r="Q113" s="2">
        <f t="shared" si="6"/>
        <v>117.53592547336471</v>
      </c>
      <c r="R113" s="2">
        <f t="shared" si="7"/>
        <v>2.7659665035131269</v>
      </c>
      <c r="S113" s="2">
        <f t="shared" si="8"/>
        <v>163.41330102755552</v>
      </c>
      <c r="T113" s="2">
        <f t="shared" si="9"/>
        <v>45.877375554190806</v>
      </c>
    </row>
    <row r="114" spans="1:20" x14ac:dyDescent="0.25">
      <c r="A114" s="14">
        <f t="shared" si="18"/>
        <v>0.57163461538461535</v>
      </c>
      <c r="B114" s="2">
        <f t="shared" si="11"/>
        <v>109</v>
      </c>
      <c r="C114" s="4">
        <f t="shared" si="20"/>
        <v>59.83</v>
      </c>
      <c r="D114" s="2">
        <v>9.5</v>
      </c>
      <c r="E114" s="2">
        <v>50.26548245743669</v>
      </c>
      <c r="F114" s="11">
        <f t="shared" si="0"/>
        <v>1.8899649492162571</v>
      </c>
      <c r="G114" s="2">
        <f t="shared" si="1"/>
        <v>113.07660291160866</v>
      </c>
      <c r="H114" s="2">
        <f t="shared" si="2"/>
        <v>2.7269938159304332</v>
      </c>
      <c r="I114" s="2">
        <f t="shared" si="3"/>
        <v>163.15604000711781</v>
      </c>
      <c r="J114" s="2">
        <f t="shared" si="4"/>
        <v>50.079437095509149</v>
      </c>
      <c r="K114" s="15">
        <f t="shared" si="19"/>
        <v>0.54553062678062669</v>
      </c>
      <c r="L114" s="2">
        <f t="shared" si="14"/>
        <v>109</v>
      </c>
      <c r="M114" s="2">
        <f t="shared" si="21"/>
        <v>59.58</v>
      </c>
      <c r="N114" s="2">
        <v>11</v>
      </c>
      <c r="O114" s="2">
        <v>50.26548245743669</v>
      </c>
      <c r="P114" s="11">
        <f t="shared" si="5"/>
        <v>2.1883804675135607</v>
      </c>
      <c r="Q114" s="2">
        <f t="shared" si="6"/>
        <v>130.38370825445796</v>
      </c>
      <c r="R114" s="2">
        <f t="shared" si="7"/>
        <v>2.7659665035131269</v>
      </c>
      <c r="S114" s="2">
        <f t="shared" si="8"/>
        <v>164.79628427931209</v>
      </c>
      <c r="T114" s="2">
        <f t="shared" si="9"/>
        <v>34.412576024854133</v>
      </c>
    </row>
    <row r="115" spans="1:20" x14ac:dyDescent="0.25">
      <c r="A115" s="14">
        <f t="shared" si="18"/>
        <v>0.57179487179487176</v>
      </c>
      <c r="B115" s="2">
        <f t="shared" si="11"/>
        <v>110</v>
      </c>
      <c r="C115" s="4">
        <f t="shared" si="20"/>
        <v>60.33</v>
      </c>
      <c r="D115" s="2">
        <v>10.5</v>
      </c>
      <c r="E115" s="2">
        <v>50.26548245743669</v>
      </c>
      <c r="F115" s="11">
        <f t="shared" si="0"/>
        <v>2.0889086280811267</v>
      </c>
      <c r="G115" s="2">
        <f t="shared" si="1"/>
        <v>126.02385753213437</v>
      </c>
      <c r="H115" s="2">
        <f t="shared" si="2"/>
        <v>2.7269938159304332</v>
      </c>
      <c r="I115" s="2">
        <f t="shared" si="3"/>
        <v>164.51953691508302</v>
      </c>
      <c r="J115" s="2">
        <f t="shared" si="4"/>
        <v>38.495679382948651</v>
      </c>
      <c r="K115" s="15">
        <f t="shared" si="19"/>
        <v>0.54565527065527064</v>
      </c>
      <c r="L115" s="2">
        <f t="shared" si="14"/>
        <v>110</v>
      </c>
      <c r="M115" s="2">
        <f t="shared" si="21"/>
        <v>60.08</v>
      </c>
      <c r="N115" s="2">
        <v>12</v>
      </c>
      <c r="O115" s="2">
        <v>50.26548245743669</v>
      </c>
      <c r="P115" s="11">
        <f t="shared" si="5"/>
        <v>2.3873241463784298</v>
      </c>
      <c r="Q115" s="2">
        <f t="shared" si="6"/>
        <v>143.43043471441607</v>
      </c>
      <c r="R115" s="2">
        <f t="shared" si="7"/>
        <v>2.7659665035131269</v>
      </c>
      <c r="S115" s="2">
        <f t="shared" si="8"/>
        <v>166.17926753106866</v>
      </c>
      <c r="T115" s="2">
        <f t="shared" si="9"/>
        <v>22.748832816652595</v>
      </c>
    </row>
    <row r="116" spans="1:20" x14ac:dyDescent="0.25">
      <c r="A116" s="14">
        <f t="shared" si="18"/>
        <v>0.57195512820512817</v>
      </c>
      <c r="B116" s="2">
        <f t="shared" si="11"/>
        <v>111</v>
      </c>
      <c r="C116" s="4">
        <f t="shared" si="20"/>
        <v>60.83</v>
      </c>
      <c r="D116" s="2">
        <v>11.5</v>
      </c>
      <c r="E116" s="2">
        <v>50.26548245743669</v>
      </c>
      <c r="F116" s="11">
        <f t="shared" si="0"/>
        <v>2.2878523069459957</v>
      </c>
      <c r="G116" s="2">
        <f t="shared" si="1"/>
        <v>139.17005583152491</v>
      </c>
      <c r="H116" s="2">
        <f t="shared" si="2"/>
        <v>2.7269938159304332</v>
      </c>
      <c r="I116" s="2">
        <f t="shared" si="3"/>
        <v>165.88303382304824</v>
      </c>
      <c r="J116" s="2">
        <f t="shared" si="4"/>
        <v>26.712977991523331</v>
      </c>
      <c r="K116" s="15">
        <f t="shared" si="19"/>
        <v>0.54577991452991448</v>
      </c>
      <c r="L116" s="2">
        <f t="shared" si="14"/>
        <v>111</v>
      </c>
      <c r="M116" s="2">
        <f t="shared" si="21"/>
        <v>60.58</v>
      </c>
      <c r="N116" s="2">
        <v>13</v>
      </c>
      <c r="O116" s="2">
        <v>50.26548245743669</v>
      </c>
      <c r="P116" s="11">
        <f t="shared" si="5"/>
        <v>2.5862678252432989</v>
      </c>
      <c r="Q116" s="2">
        <f t="shared" si="6"/>
        <v>156.67610485323905</v>
      </c>
      <c r="R116" s="2">
        <f t="shared" si="7"/>
        <v>2.7659665035131269</v>
      </c>
      <c r="S116" s="2">
        <f t="shared" si="8"/>
        <v>167.56225078282523</v>
      </c>
      <c r="T116" s="2">
        <f t="shared" si="9"/>
        <v>10.886145929586178</v>
      </c>
    </row>
    <row r="117" spans="1:20" x14ac:dyDescent="0.25">
      <c r="A117" s="14">
        <f t="shared" si="18"/>
        <v>0.57211538461538458</v>
      </c>
      <c r="B117" s="2">
        <f t="shared" si="11"/>
        <v>112</v>
      </c>
      <c r="C117" s="4">
        <f t="shared" si="20"/>
        <v>61.33</v>
      </c>
      <c r="D117" s="2">
        <v>11.5</v>
      </c>
      <c r="E117" s="2">
        <v>50.26548245743669</v>
      </c>
      <c r="F117" s="11">
        <f t="shared" si="0"/>
        <v>2.2878523069459957</v>
      </c>
      <c r="G117" s="2">
        <f t="shared" si="1"/>
        <v>140.31398198499792</v>
      </c>
      <c r="H117" s="2">
        <f t="shared" si="2"/>
        <v>2.7269938159304332</v>
      </c>
      <c r="I117" s="2">
        <f t="shared" si="3"/>
        <v>167.24653073101345</v>
      </c>
      <c r="J117" s="2">
        <f t="shared" si="4"/>
        <v>26.932548746015527</v>
      </c>
      <c r="K117" s="15">
        <f t="shared" si="19"/>
        <v>0.54590455840455832</v>
      </c>
      <c r="L117" s="2">
        <f t="shared" si="14"/>
        <v>112</v>
      </c>
      <c r="M117" s="2">
        <f t="shared" si="21"/>
        <v>61.08</v>
      </c>
      <c r="N117" s="2">
        <v>10</v>
      </c>
      <c r="O117" s="2">
        <v>50.26548245743669</v>
      </c>
      <c r="P117" s="11">
        <f t="shared" si="5"/>
        <v>1.9894367886486919</v>
      </c>
      <c r="Q117" s="2">
        <f t="shared" si="6"/>
        <v>121.51479905066209</v>
      </c>
      <c r="R117" s="2">
        <f t="shared" si="7"/>
        <v>2.7659665035131269</v>
      </c>
      <c r="S117" s="2">
        <f t="shared" si="8"/>
        <v>168.94523403458177</v>
      </c>
      <c r="T117" s="2">
        <f t="shared" si="9"/>
        <v>47.430434983919682</v>
      </c>
    </row>
    <row r="118" spans="1:20" x14ac:dyDescent="0.25">
      <c r="A118" s="14">
        <f t="shared" si="18"/>
        <v>0.57227564102564099</v>
      </c>
      <c r="B118" s="2">
        <f t="shared" si="11"/>
        <v>113</v>
      </c>
      <c r="C118" s="4">
        <f t="shared" si="20"/>
        <v>61.83</v>
      </c>
      <c r="D118" s="2">
        <v>10.5</v>
      </c>
      <c r="E118" s="2">
        <v>50.26548245743669</v>
      </c>
      <c r="F118" s="11">
        <f t="shared" si="0"/>
        <v>2.0889086280811267</v>
      </c>
      <c r="G118" s="2">
        <f t="shared" si="1"/>
        <v>129.15722047425606</v>
      </c>
      <c r="H118" s="2">
        <f t="shared" si="2"/>
        <v>2.7269938159304332</v>
      </c>
      <c r="I118" s="2">
        <f t="shared" si="3"/>
        <v>168.61002763897869</v>
      </c>
      <c r="J118" s="2">
        <f t="shared" si="4"/>
        <v>39.452807164722628</v>
      </c>
      <c r="K118" s="15">
        <f t="shared" si="19"/>
        <v>0.54602920227920226</v>
      </c>
      <c r="L118" s="2">
        <f t="shared" si="14"/>
        <v>113</v>
      </c>
      <c r="M118" s="2">
        <f t="shared" si="21"/>
        <v>61.58</v>
      </c>
      <c r="N118" s="2">
        <v>11</v>
      </c>
      <c r="O118" s="2">
        <v>50.26548245743669</v>
      </c>
      <c r="P118" s="11">
        <f t="shared" si="5"/>
        <v>2.1883804675135607</v>
      </c>
      <c r="Q118" s="2">
        <f t="shared" si="6"/>
        <v>134.76046918948506</v>
      </c>
      <c r="R118" s="2">
        <f t="shared" si="7"/>
        <v>2.7659665035131269</v>
      </c>
      <c r="S118" s="2">
        <f t="shared" si="8"/>
        <v>170.32821728633834</v>
      </c>
      <c r="T118" s="2">
        <f t="shared" si="9"/>
        <v>35.567748096853279</v>
      </c>
    </row>
    <row r="119" spans="1:20" x14ac:dyDescent="0.25">
      <c r="A119" s="14">
        <f t="shared" si="18"/>
        <v>0.5724358974358974</v>
      </c>
      <c r="B119" s="2">
        <f t="shared" si="11"/>
        <v>114</v>
      </c>
      <c r="C119" s="4">
        <f t="shared" si="20"/>
        <v>62.33</v>
      </c>
      <c r="D119" s="2">
        <v>11.5</v>
      </c>
      <c r="E119" s="2">
        <v>50.26548245743669</v>
      </c>
      <c r="F119" s="11">
        <f t="shared" si="0"/>
        <v>2.2878523069459957</v>
      </c>
      <c r="G119" s="2">
        <f t="shared" si="1"/>
        <v>142.6018342919439</v>
      </c>
      <c r="H119" s="2">
        <f t="shared" si="2"/>
        <v>2.7269938159304332</v>
      </c>
      <c r="I119" s="2">
        <f t="shared" si="3"/>
        <v>169.97352454694391</v>
      </c>
      <c r="J119" s="2">
        <f t="shared" si="4"/>
        <v>27.371690255000004</v>
      </c>
      <c r="K119" s="15">
        <f t="shared" si="19"/>
        <v>0.5461538461538461</v>
      </c>
      <c r="L119" s="2">
        <f t="shared" si="14"/>
        <v>114</v>
      </c>
      <c r="M119" s="2">
        <f t="shared" si="21"/>
        <v>62.08</v>
      </c>
      <c r="N119" s="2">
        <v>11.5</v>
      </c>
      <c r="O119" s="2">
        <v>50.26548245743669</v>
      </c>
      <c r="P119" s="11">
        <f t="shared" si="5"/>
        <v>2.2878523069459957</v>
      </c>
      <c r="Q119" s="2">
        <f t="shared" si="6"/>
        <v>142.02987121520741</v>
      </c>
      <c r="R119" s="2">
        <f t="shared" si="7"/>
        <v>2.7659665035131269</v>
      </c>
      <c r="S119" s="2">
        <f t="shared" si="8"/>
        <v>171.71120053809491</v>
      </c>
      <c r="T119" s="2">
        <f t="shared" si="9"/>
        <v>29.681329322887507</v>
      </c>
    </row>
    <row r="120" spans="1:20" x14ac:dyDescent="0.25">
      <c r="A120" s="14">
        <f t="shared" si="18"/>
        <v>0.57259615384615381</v>
      </c>
      <c r="B120" s="2">
        <f t="shared" si="11"/>
        <v>115</v>
      </c>
      <c r="C120" s="4">
        <f t="shared" si="20"/>
        <v>62.83</v>
      </c>
      <c r="D120" s="2">
        <v>14</v>
      </c>
      <c r="E120" s="2">
        <v>50.26548245743669</v>
      </c>
      <c r="F120" s="11">
        <f t="shared" si="0"/>
        <v>2.7852115041081689</v>
      </c>
      <c r="G120" s="2">
        <f t="shared" si="1"/>
        <v>174.99483880311624</v>
      </c>
      <c r="H120" s="2">
        <f t="shared" si="2"/>
        <v>2.7269938159304332</v>
      </c>
      <c r="I120" s="2">
        <f t="shared" si="3"/>
        <v>171.33702145490912</v>
      </c>
      <c r="J120" s="2">
        <f t="shared" si="4"/>
        <v>3.6578173482071179</v>
      </c>
      <c r="K120" s="15">
        <f t="shared" si="19"/>
        <v>0.54627849002848994</v>
      </c>
      <c r="L120" s="2">
        <f t="shared" si="14"/>
        <v>115</v>
      </c>
      <c r="M120" s="2">
        <f t="shared" si="21"/>
        <v>62.58</v>
      </c>
      <c r="N120" s="2">
        <v>13.5</v>
      </c>
      <c r="O120" s="2">
        <v>50.26548245743669</v>
      </c>
      <c r="P120" s="11">
        <f t="shared" si="5"/>
        <v>2.6857396646757339</v>
      </c>
      <c r="Q120" s="2">
        <f t="shared" si="6"/>
        <v>168.07358821540743</v>
      </c>
      <c r="R120" s="2">
        <f t="shared" si="7"/>
        <v>2.7659665035131269</v>
      </c>
      <c r="S120" s="2">
        <f t="shared" si="8"/>
        <v>173.09418378985148</v>
      </c>
      <c r="T120" s="2">
        <f t="shared" si="9"/>
        <v>5.0205955744440587</v>
      </c>
    </row>
    <row r="121" spans="1:20" x14ac:dyDescent="0.25">
      <c r="A121" s="14">
        <f t="shared" si="18"/>
        <v>0.57275641025641022</v>
      </c>
      <c r="B121" s="2">
        <f t="shared" si="11"/>
        <v>116</v>
      </c>
      <c r="C121" s="4">
        <f t="shared" si="20"/>
        <v>63.33</v>
      </c>
      <c r="D121" s="2">
        <v>14</v>
      </c>
      <c r="E121" s="2">
        <v>50.26548245743669</v>
      </c>
      <c r="F121" s="11">
        <f t="shared" si="0"/>
        <v>2.7852115041081689</v>
      </c>
      <c r="G121" s="2">
        <f t="shared" si="1"/>
        <v>176.38744455517033</v>
      </c>
      <c r="H121" s="2">
        <f t="shared" si="2"/>
        <v>2.7269938159304332</v>
      </c>
      <c r="I121" s="2">
        <f t="shared" si="3"/>
        <v>172.70051836287433</v>
      </c>
      <c r="J121" s="2">
        <f t="shared" si="4"/>
        <v>3.6869261922959993</v>
      </c>
      <c r="K121" s="15">
        <f t="shared" si="19"/>
        <v>0.54640313390313389</v>
      </c>
      <c r="L121" s="2">
        <f t="shared" si="14"/>
        <v>116</v>
      </c>
      <c r="M121" s="2">
        <f t="shared" si="21"/>
        <v>63.08</v>
      </c>
      <c r="N121" s="2">
        <v>14.5</v>
      </c>
      <c r="O121" s="2">
        <v>50.26548245743669</v>
      </c>
      <c r="P121" s="11">
        <f t="shared" si="5"/>
        <v>2.8846833435406034</v>
      </c>
      <c r="Q121" s="2">
        <f t="shared" si="6"/>
        <v>181.96582531054125</v>
      </c>
      <c r="R121" s="2">
        <f t="shared" si="7"/>
        <v>2.7659665035131269</v>
      </c>
      <c r="S121" s="2">
        <f t="shared" si="8"/>
        <v>174.47716704160803</v>
      </c>
      <c r="T121" s="2">
        <f t="shared" si="9"/>
        <v>7.4886582689332215</v>
      </c>
    </row>
    <row r="122" spans="1:20" x14ac:dyDescent="0.25">
      <c r="A122" s="10">
        <v>0.57291666666666663</v>
      </c>
      <c r="B122" s="2">
        <f t="shared" si="11"/>
        <v>117</v>
      </c>
      <c r="C122" s="4">
        <f t="shared" si="20"/>
        <v>63.83</v>
      </c>
      <c r="D122" s="2">
        <v>14</v>
      </c>
      <c r="E122" s="2">
        <v>50.26548245743669</v>
      </c>
      <c r="F122" s="11">
        <f t="shared" si="0"/>
        <v>2.7852115041081689</v>
      </c>
      <c r="G122" s="2">
        <f t="shared" si="1"/>
        <v>177.78005030722443</v>
      </c>
      <c r="H122" s="2">
        <f t="shared" si="2"/>
        <v>2.7269938159304332</v>
      </c>
      <c r="I122" s="2">
        <f t="shared" si="3"/>
        <v>174.06401527083955</v>
      </c>
      <c r="J122" s="2">
        <f t="shared" si="4"/>
        <v>3.7160350363848806</v>
      </c>
      <c r="K122" s="12">
        <v>0.54652777777777772</v>
      </c>
      <c r="L122" s="2">
        <f t="shared" si="14"/>
        <v>117</v>
      </c>
      <c r="M122" s="2">
        <f t="shared" si="21"/>
        <v>63.58</v>
      </c>
      <c r="N122" s="2">
        <v>14.5</v>
      </c>
      <c r="O122" s="2">
        <v>50.26548245743669</v>
      </c>
      <c r="P122" s="11">
        <f t="shared" si="5"/>
        <v>2.8846833435406034</v>
      </c>
      <c r="Q122" s="2">
        <f t="shared" si="6"/>
        <v>183.40816698231157</v>
      </c>
      <c r="R122" s="2">
        <f t="shared" si="7"/>
        <v>2.7659665035131269</v>
      </c>
      <c r="S122" s="2">
        <f t="shared" si="8"/>
        <v>175.8601502933646</v>
      </c>
      <c r="T122" s="2">
        <f t="shared" si="9"/>
        <v>7.5480166889469729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0.57314814814814807</v>
      </c>
      <c r="B123" s="2">
        <f t="shared" si="11"/>
        <v>118</v>
      </c>
      <c r="C123" s="4">
        <f t="shared" si="20"/>
        <v>64.33</v>
      </c>
      <c r="D123" s="2">
        <v>13.5</v>
      </c>
      <c r="E123" s="2">
        <v>50.26548245743669</v>
      </c>
      <c r="F123" s="11">
        <f t="shared" si="0"/>
        <v>2.6857396646757339</v>
      </c>
      <c r="G123" s="2">
        <f t="shared" si="1"/>
        <v>172.77363262858995</v>
      </c>
      <c r="H123" s="2">
        <f t="shared" si="2"/>
        <v>2.7269938159304332</v>
      </c>
      <c r="I123" s="2">
        <f t="shared" si="3"/>
        <v>175.42751217880476</v>
      </c>
      <c r="J123" s="2">
        <f t="shared" si="4"/>
        <v>2.6538795502148105</v>
      </c>
      <c r="K123" s="15">
        <f t="shared" ref="K123:K160" si="23">IF(AND($K$122&lt;&gt;"",$K$161&lt;&gt;""), $K$122 + (L123 - $L$122) * (($K$161 - $K$122) / ($L$161 - $L$122)), "")</f>
        <v>0.5466702279202279</v>
      </c>
      <c r="L123" s="2">
        <f t="shared" si="14"/>
        <v>118</v>
      </c>
      <c r="M123" s="2">
        <f t="shared" si="21"/>
        <v>64.08</v>
      </c>
      <c r="N123" s="2">
        <v>13.5</v>
      </c>
      <c r="O123" s="2">
        <v>50.26548245743669</v>
      </c>
      <c r="P123" s="11">
        <f t="shared" si="5"/>
        <v>2.6857396646757339</v>
      </c>
      <c r="Q123" s="2">
        <f t="shared" si="6"/>
        <v>172.10219771242103</v>
      </c>
      <c r="R123" s="2">
        <f t="shared" si="7"/>
        <v>2.7659665035131269</v>
      </c>
      <c r="S123" s="2">
        <f t="shared" si="8"/>
        <v>177.24313354512117</v>
      </c>
      <c r="T123" s="2">
        <f t="shared" si="9"/>
        <v>5.1409358327001371</v>
      </c>
    </row>
    <row r="124" spans="1:20" x14ac:dyDescent="0.25">
      <c r="A124" s="14">
        <f t="shared" si="22"/>
        <v>0.57337962962962963</v>
      </c>
      <c r="B124" s="2">
        <f t="shared" si="11"/>
        <v>119</v>
      </c>
      <c r="C124" s="4">
        <f t="shared" si="20"/>
        <v>64.83</v>
      </c>
      <c r="D124" s="2">
        <v>15.5</v>
      </c>
      <c r="E124" s="2">
        <v>50.26548245743669</v>
      </c>
      <c r="F124" s="11">
        <f t="shared" si="0"/>
        <v>3.0836270224054725</v>
      </c>
      <c r="G124" s="2">
        <f t="shared" si="1"/>
        <v>199.91153986254679</v>
      </c>
      <c r="H124" s="2">
        <f t="shared" si="2"/>
        <v>2.7269938159304332</v>
      </c>
      <c r="I124" s="2">
        <f t="shared" si="3"/>
        <v>176.79100908676998</v>
      </c>
      <c r="J124" s="2">
        <f t="shared" si="4"/>
        <v>23.120530775776814</v>
      </c>
      <c r="K124" s="15">
        <f t="shared" si="23"/>
        <v>0.54681267806267797</v>
      </c>
      <c r="L124" s="2">
        <f t="shared" si="14"/>
        <v>119</v>
      </c>
      <c r="M124" s="2">
        <f t="shared" si="21"/>
        <v>64.58</v>
      </c>
      <c r="N124" s="2">
        <v>13.5</v>
      </c>
      <c r="O124" s="2">
        <v>50.26548245743669</v>
      </c>
      <c r="P124" s="11">
        <f t="shared" si="5"/>
        <v>2.6857396646757339</v>
      </c>
      <c r="Q124" s="2">
        <f t="shared" si="6"/>
        <v>173.4450675447589</v>
      </c>
      <c r="R124" s="2">
        <f t="shared" si="7"/>
        <v>2.7659665035131269</v>
      </c>
      <c r="S124" s="2">
        <f t="shared" si="8"/>
        <v>178.62611679687774</v>
      </c>
      <c r="T124" s="2">
        <f t="shared" si="9"/>
        <v>5.1810492521188394</v>
      </c>
    </row>
    <row r="125" spans="1:20" x14ac:dyDescent="0.25">
      <c r="A125" s="14">
        <f t="shared" si="22"/>
        <v>0.57361111111111107</v>
      </c>
      <c r="B125" s="2">
        <f t="shared" si="11"/>
        <v>120</v>
      </c>
      <c r="C125" s="4">
        <f t="shared" si="20"/>
        <v>65.33</v>
      </c>
      <c r="D125" s="2">
        <v>15</v>
      </c>
      <c r="E125" s="2">
        <v>50.26548245743669</v>
      </c>
      <c r="F125" s="11">
        <f t="shared" si="0"/>
        <v>2.9841551829730379</v>
      </c>
      <c r="G125" s="2">
        <f t="shared" si="1"/>
        <v>194.95485810362857</v>
      </c>
      <c r="H125" s="2">
        <f t="shared" si="2"/>
        <v>2.7269938159304332</v>
      </c>
      <c r="I125" s="2">
        <f t="shared" si="3"/>
        <v>178.15450599473519</v>
      </c>
      <c r="J125" s="2">
        <f t="shared" si="4"/>
        <v>16.800352108893378</v>
      </c>
      <c r="K125" s="15">
        <f t="shared" si="23"/>
        <v>0.54695512820512815</v>
      </c>
      <c r="L125" s="2">
        <f t="shared" si="14"/>
        <v>120</v>
      </c>
      <c r="M125" s="2">
        <f t="shared" si="21"/>
        <v>65.08</v>
      </c>
      <c r="N125" s="2">
        <v>15.5</v>
      </c>
      <c r="O125" s="2">
        <v>50.26548245743669</v>
      </c>
      <c r="P125" s="11">
        <f t="shared" si="5"/>
        <v>3.0836270224054725</v>
      </c>
      <c r="Q125" s="2">
        <f t="shared" si="6"/>
        <v>200.68244661814813</v>
      </c>
      <c r="R125" s="2">
        <f t="shared" si="7"/>
        <v>2.7659665035131269</v>
      </c>
      <c r="S125" s="2">
        <f t="shared" si="8"/>
        <v>180.00910004863428</v>
      </c>
      <c r="T125" s="2">
        <f t="shared" si="9"/>
        <v>20.673346569513853</v>
      </c>
    </row>
    <row r="126" spans="1:20" x14ac:dyDescent="0.25">
      <c r="A126" s="14">
        <f t="shared" si="22"/>
        <v>0.57384259259259252</v>
      </c>
      <c r="B126" s="2">
        <f t="shared" si="11"/>
        <v>121</v>
      </c>
      <c r="C126" s="4">
        <f t="shared" si="20"/>
        <v>65.83</v>
      </c>
      <c r="D126" s="2">
        <v>15</v>
      </c>
      <c r="E126" s="2">
        <v>50.26548245743669</v>
      </c>
      <c r="F126" s="11">
        <f t="shared" si="0"/>
        <v>2.9841551829730379</v>
      </c>
      <c r="G126" s="2">
        <f t="shared" si="1"/>
        <v>196.44693569511509</v>
      </c>
      <c r="H126" s="2">
        <f t="shared" si="2"/>
        <v>2.7269938159304332</v>
      </c>
      <c r="I126" s="2">
        <f t="shared" si="3"/>
        <v>179.5180029027004</v>
      </c>
      <c r="J126" s="2">
        <f t="shared" si="4"/>
        <v>16.928932792414685</v>
      </c>
      <c r="K126" s="15">
        <f t="shared" si="23"/>
        <v>0.54709757834757833</v>
      </c>
      <c r="L126" s="2">
        <f t="shared" si="14"/>
        <v>121</v>
      </c>
      <c r="M126" s="2">
        <f t="shared" si="21"/>
        <v>65.58</v>
      </c>
      <c r="N126" s="2">
        <v>14.5</v>
      </c>
      <c r="O126" s="2">
        <v>50.26548245743669</v>
      </c>
      <c r="P126" s="11">
        <f t="shared" si="5"/>
        <v>2.8846833435406034</v>
      </c>
      <c r="Q126" s="2">
        <f t="shared" si="6"/>
        <v>189.17753366939277</v>
      </c>
      <c r="R126" s="2">
        <f t="shared" si="7"/>
        <v>2.7659665035131269</v>
      </c>
      <c r="S126" s="2">
        <f t="shared" si="8"/>
        <v>181.39208330039085</v>
      </c>
      <c r="T126" s="2">
        <f t="shared" si="9"/>
        <v>7.7854503690019214</v>
      </c>
    </row>
    <row r="127" spans="1:20" x14ac:dyDescent="0.25">
      <c r="A127" s="14">
        <f t="shared" si="22"/>
        <v>0.57407407407407407</v>
      </c>
      <c r="B127" s="2">
        <f t="shared" si="11"/>
        <v>122</v>
      </c>
      <c r="C127" s="4">
        <f t="shared" si="20"/>
        <v>66.33</v>
      </c>
      <c r="D127" s="2">
        <v>15</v>
      </c>
      <c r="E127" s="2">
        <v>50.26548245743669</v>
      </c>
      <c r="F127" s="11">
        <f t="shared" si="0"/>
        <v>2.9841551829730379</v>
      </c>
      <c r="G127" s="2">
        <f t="shared" si="1"/>
        <v>197.93901328660161</v>
      </c>
      <c r="H127" s="2">
        <f t="shared" si="2"/>
        <v>2.7269938159304332</v>
      </c>
      <c r="I127" s="2">
        <f t="shared" si="3"/>
        <v>180.88149981066564</v>
      </c>
      <c r="J127" s="2">
        <f t="shared" si="4"/>
        <v>17.057513475935963</v>
      </c>
      <c r="K127" s="15">
        <f t="shared" si="23"/>
        <v>0.5472400284900284</v>
      </c>
      <c r="L127" s="2">
        <f t="shared" si="14"/>
        <v>122</v>
      </c>
      <c r="M127" s="2">
        <f t="shared" si="21"/>
        <v>66.08</v>
      </c>
      <c r="N127" s="2">
        <v>14.5</v>
      </c>
      <c r="O127" s="2">
        <v>50.26548245743669</v>
      </c>
      <c r="P127" s="11">
        <f t="shared" si="5"/>
        <v>2.8846833435406034</v>
      </c>
      <c r="Q127" s="2">
        <f t="shared" si="6"/>
        <v>190.61987534116307</v>
      </c>
      <c r="R127" s="2">
        <f t="shared" si="7"/>
        <v>2.7659665035131269</v>
      </c>
      <c r="S127" s="2">
        <f t="shared" si="8"/>
        <v>182.77506655214742</v>
      </c>
      <c r="T127" s="2">
        <f t="shared" si="9"/>
        <v>7.8448087890156444</v>
      </c>
    </row>
    <row r="128" spans="1:20" x14ac:dyDescent="0.25">
      <c r="A128" s="14">
        <f t="shared" si="22"/>
        <v>0.57430555555555551</v>
      </c>
      <c r="B128" s="2">
        <f t="shared" si="11"/>
        <v>123</v>
      </c>
      <c r="C128" s="4">
        <f t="shared" si="20"/>
        <v>66.83</v>
      </c>
      <c r="D128" s="2">
        <v>14</v>
      </c>
      <c r="E128" s="2">
        <v>50.26548245743669</v>
      </c>
      <c r="F128" s="11">
        <f t="shared" si="0"/>
        <v>2.7852115041081689</v>
      </c>
      <c r="G128" s="2">
        <f t="shared" si="1"/>
        <v>186.13568481954891</v>
      </c>
      <c r="H128" s="2">
        <f t="shared" si="2"/>
        <v>2.7269938159304332</v>
      </c>
      <c r="I128" s="2">
        <f t="shared" si="3"/>
        <v>182.24499671863086</v>
      </c>
      <c r="J128" s="2">
        <f t="shared" si="4"/>
        <v>3.8906881009180552</v>
      </c>
      <c r="K128" s="15">
        <f t="shared" si="23"/>
        <v>0.54738247863247858</v>
      </c>
      <c r="L128" s="2">
        <f t="shared" si="14"/>
        <v>123</v>
      </c>
      <c r="M128" s="2">
        <f t="shared" si="21"/>
        <v>66.58</v>
      </c>
      <c r="N128" s="2">
        <v>14</v>
      </c>
      <c r="O128" s="2">
        <v>50.26548245743669</v>
      </c>
      <c r="P128" s="11">
        <f t="shared" si="5"/>
        <v>2.7852115041081689</v>
      </c>
      <c r="Q128" s="2">
        <f t="shared" si="6"/>
        <v>185.43938194352188</v>
      </c>
      <c r="R128" s="2">
        <f t="shared" si="7"/>
        <v>2.7659665035131269</v>
      </c>
      <c r="S128" s="2">
        <f t="shared" si="8"/>
        <v>184.15804980390399</v>
      </c>
      <c r="T128" s="2">
        <f t="shared" si="9"/>
        <v>1.2813321396178878</v>
      </c>
    </row>
    <row r="129" spans="1:20" x14ac:dyDescent="0.25">
      <c r="A129" s="14">
        <f t="shared" si="22"/>
        <v>0.57453703703703707</v>
      </c>
      <c r="B129" s="2">
        <f t="shared" si="11"/>
        <v>124</v>
      </c>
      <c r="C129" s="4">
        <f t="shared" si="20"/>
        <v>67.33</v>
      </c>
      <c r="D129" s="2">
        <v>16.5</v>
      </c>
      <c r="E129" s="2">
        <v>50.26548245743669</v>
      </c>
      <c r="F129" s="11">
        <f t="shared" si="0"/>
        <v>3.2825707012703416</v>
      </c>
      <c r="G129" s="2">
        <f t="shared" si="1"/>
        <v>221.01548531653208</v>
      </c>
      <c r="H129" s="2">
        <f t="shared" si="2"/>
        <v>2.7269938159304332</v>
      </c>
      <c r="I129" s="2">
        <f t="shared" si="3"/>
        <v>183.60849362659607</v>
      </c>
      <c r="J129" s="2">
        <f t="shared" si="4"/>
        <v>37.406991689936007</v>
      </c>
      <c r="K129" s="15">
        <f t="shared" si="23"/>
        <v>0.54752492877492875</v>
      </c>
      <c r="L129" s="2">
        <f t="shared" si="14"/>
        <v>124</v>
      </c>
      <c r="M129" s="2">
        <f t="shared" si="21"/>
        <v>67.08</v>
      </c>
      <c r="N129" s="2">
        <v>14.5</v>
      </c>
      <c r="O129" s="2">
        <v>50.26548245743669</v>
      </c>
      <c r="P129" s="11">
        <f t="shared" si="5"/>
        <v>2.8846833435406034</v>
      </c>
      <c r="Q129" s="2">
        <f t="shared" si="6"/>
        <v>193.50455868470368</v>
      </c>
      <c r="R129" s="2">
        <f t="shared" si="7"/>
        <v>2.7659665035131269</v>
      </c>
      <c r="S129" s="2">
        <f t="shared" si="8"/>
        <v>185.54103305566053</v>
      </c>
      <c r="T129" s="2">
        <f t="shared" si="9"/>
        <v>7.9635256290431471</v>
      </c>
    </row>
    <row r="130" spans="1:20" x14ac:dyDescent="0.25">
      <c r="A130" s="14">
        <f t="shared" si="22"/>
        <v>0.57476851851851851</v>
      </c>
      <c r="B130" s="2">
        <f t="shared" si="11"/>
        <v>125</v>
      </c>
      <c r="C130" s="4">
        <f t="shared" si="20"/>
        <v>67.83</v>
      </c>
      <c r="D130" s="2">
        <v>14</v>
      </c>
      <c r="E130" s="2">
        <v>50.26548245743669</v>
      </c>
      <c r="F130" s="11">
        <f t="shared" si="0"/>
        <v>2.7852115041081689</v>
      </c>
      <c r="G130" s="2">
        <f t="shared" si="1"/>
        <v>188.9208963236571</v>
      </c>
      <c r="H130" s="2">
        <f t="shared" si="2"/>
        <v>2.7269938159304332</v>
      </c>
      <c r="I130" s="2">
        <f t="shared" si="3"/>
        <v>184.97199053456129</v>
      </c>
      <c r="J130" s="2">
        <f t="shared" si="4"/>
        <v>3.9489057890958179</v>
      </c>
      <c r="K130" s="15">
        <f t="shared" si="23"/>
        <v>0.54766737891737893</v>
      </c>
      <c r="L130" s="2">
        <f t="shared" si="14"/>
        <v>125</v>
      </c>
      <c r="M130" s="2">
        <f t="shared" si="21"/>
        <v>67.58</v>
      </c>
      <c r="N130" s="2">
        <v>15.5</v>
      </c>
      <c r="O130" s="2">
        <v>50.26548245743669</v>
      </c>
      <c r="P130" s="11">
        <f t="shared" si="5"/>
        <v>3.0836270224054725</v>
      </c>
      <c r="Q130" s="2">
        <f t="shared" si="6"/>
        <v>208.39151417416181</v>
      </c>
      <c r="R130" s="2">
        <f t="shared" si="7"/>
        <v>2.7659665035131269</v>
      </c>
      <c r="S130" s="2">
        <f t="shared" si="8"/>
        <v>186.92401630741711</v>
      </c>
      <c r="T130" s="2">
        <f t="shared" si="9"/>
        <v>21.467497866744708</v>
      </c>
    </row>
    <row r="131" spans="1:20" x14ac:dyDescent="0.25">
      <c r="A131" s="14">
        <f t="shared" si="22"/>
        <v>0.57499999999999996</v>
      </c>
      <c r="B131" s="2">
        <f t="shared" si="11"/>
        <v>126</v>
      </c>
      <c r="C131" s="4">
        <f t="shared" si="20"/>
        <v>68.33</v>
      </c>
      <c r="D131" s="2">
        <v>13.5</v>
      </c>
      <c r="E131" s="2">
        <v>50.26548245743669</v>
      </c>
      <c r="F131" s="11">
        <f t="shared" si="0"/>
        <v>2.6857396646757339</v>
      </c>
      <c r="G131" s="2">
        <f t="shared" si="1"/>
        <v>183.5165912872929</v>
      </c>
      <c r="H131" s="2">
        <f t="shared" si="2"/>
        <v>2.7269938159304332</v>
      </c>
      <c r="I131" s="2">
        <f t="shared" si="3"/>
        <v>186.3354874425265</v>
      </c>
      <c r="J131" s="2">
        <f t="shared" si="4"/>
        <v>2.8188961552336025</v>
      </c>
      <c r="K131" s="15">
        <f t="shared" si="23"/>
        <v>0.547809829059829</v>
      </c>
      <c r="L131" s="2">
        <f t="shared" si="14"/>
        <v>126</v>
      </c>
      <c r="M131" s="2">
        <f t="shared" si="21"/>
        <v>68.08</v>
      </c>
      <c r="N131" s="2">
        <v>14.5</v>
      </c>
      <c r="O131" s="2">
        <v>50.26548245743669</v>
      </c>
      <c r="P131" s="11">
        <f t="shared" si="5"/>
        <v>2.8846833435406034</v>
      </c>
      <c r="Q131" s="2">
        <f t="shared" si="6"/>
        <v>196.38924202824427</v>
      </c>
      <c r="R131" s="2">
        <f t="shared" si="7"/>
        <v>2.7659665035131269</v>
      </c>
      <c r="S131" s="2">
        <f t="shared" si="8"/>
        <v>188.30699955917368</v>
      </c>
      <c r="T131" s="2">
        <f t="shared" si="9"/>
        <v>8.082242469070593</v>
      </c>
    </row>
    <row r="132" spans="1:20" x14ac:dyDescent="0.25">
      <c r="A132" s="14">
        <f t="shared" si="22"/>
        <v>0.57523148148148151</v>
      </c>
      <c r="B132" s="2">
        <f t="shared" si="11"/>
        <v>127</v>
      </c>
      <c r="C132" s="4">
        <f t="shared" si="20"/>
        <v>68.83</v>
      </c>
      <c r="D132" s="2">
        <v>13</v>
      </c>
      <c r="E132" s="2">
        <v>50.26548245743669</v>
      </c>
      <c r="F132" s="11">
        <f t="shared" si="0"/>
        <v>2.5862678252432989</v>
      </c>
      <c r="G132" s="2">
        <f t="shared" si="1"/>
        <v>178.01281441149627</v>
      </c>
      <c r="H132" s="2">
        <f t="shared" si="2"/>
        <v>2.7269938159304332</v>
      </c>
      <c r="I132" s="2">
        <f t="shared" si="3"/>
        <v>187.69898435049171</v>
      </c>
      <c r="J132" s="2">
        <f t="shared" si="4"/>
        <v>9.6861699389954481</v>
      </c>
      <c r="K132" s="15">
        <f t="shared" si="23"/>
        <v>0.54795227920227918</v>
      </c>
      <c r="L132" s="2">
        <f t="shared" si="14"/>
        <v>127</v>
      </c>
      <c r="M132" s="2">
        <f t="shared" si="21"/>
        <v>68.58</v>
      </c>
      <c r="N132" s="2">
        <v>13.5</v>
      </c>
      <c r="O132" s="2">
        <v>50.26548245743669</v>
      </c>
      <c r="P132" s="11">
        <f t="shared" si="5"/>
        <v>2.6857396646757339</v>
      </c>
      <c r="Q132" s="2">
        <f t="shared" si="6"/>
        <v>184.18802620346182</v>
      </c>
      <c r="R132" s="2">
        <f t="shared" si="7"/>
        <v>2.7659665035131269</v>
      </c>
      <c r="S132" s="2">
        <f t="shared" si="8"/>
        <v>189.68998281093025</v>
      </c>
      <c r="T132" s="2">
        <f t="shared" si="9"/>
        <v>5.5019566074684292</v>
      </c>
    </row>
    <row r="133" spans="1:20" x14ac:dyDescent="0.25">
      <c r="A133" s="14">
        <f t="shared" si="22"/>
        <v>0.57546296296296295</v>
      </c>
      <c r="B133" s="2">
        <f t="shared" si="11"/>
        <v>128</v>
      </c>
      <c r="C133" s="4">
        <f t="shared" si="20"/>
        <v>69.33</v>
      </c>
      <c r="D133" s="2">
        <v>13.5</v>
      </c>
      <c r="E133" s="2">
        <v>50.26548245743669</v>
      </c>
      <c r="F133" s="11">
        <f t="shared" si="0"/>
        <v>2.6857396646757339</v>
      </c>
      <c r="G133" s="2">
        <f t="shared" si="1"/>
        <v>186.20233095196863</v>
      </c>
      <c r="H133" s="2">
        <f t="shared" si="2"/>
        <v>2.7269938159304332</v>
      </c>
      <c r="I133" s="2">
        <f t="shared" si="3"/>
        <v>189.06248125845693</v>
      </c>
      <c r="J133" s="2">
        <f t="shared" si="4"/>
        <v>2.8601503064882934</v>
      </c>
      <c r="K133" s="15">
        <f t="shared" si="23"/>
        <v>0.54809472934472936</v>
      </c>
      <c r="L133" s="2">
        <f t="shared" si="14"/>
        <v>128</v>
      </c>
      <c r="M133" s="2">
        <f t="shared" si="21"/>
        <v>69.08</v>
      </c>
      <c r="N133" s="2">
        <v>13.5</v>
      </c>
      <c r="O133" s="2">
        <v>50.26548245743669</v>
      </c>
      <c r="P133" s="11">
        <f t="shared" si="5"/>
        <v>2.6857396646757339</v>
      </c>
      <c r="Q133" s="2">
        <f t="shared" si="6"/>
        <v>185.53089603579969</v>
      </c>
      <c r="R133" s="2">
        <f t="shared" si="7"/>
        <v>2.7659665035131269</v>
      </c>
      <c r="S133" s="2">
        <f t="shared" si="8"/>
        <v>191.07296606268679</v>
      </c>
      <c r="T133" s="2">
        <f t="shared" si="9"/>
        <v>5.542070026887103</v>
      </c>
    </row>
    <row r="134" spans="1:20" x14ac:dyDescent="0.25">
      <c r="A134" s="14">
        <f t="shared" si="22"/>
        <v>0.5756944444444444</v>
      </c>
      <c r="B134" s="2">
        <f t="shared" si="11"/>
        <v>129</v>
      </c>
      <c r="C134" s="4">
        <f t="shared" si="20"/>
        <v>69.83</v>
      </c>
      <c r="D134" s="2">
        <v>14</v>
      </c>
      <c r="E134" s="2">
        <v>50.26548245743669</v>
      </c>
      <c r="F134" s="11">
        <f t="shared" si="0"/>
        <v>2.7852115041081689</v>
      </c>
      <c r="G134" s="2">
        <f t="shared" si="1"/>
        <v>194.49131933187343</v>
      </c>
      <c r="H134" s="2">
        <f t="shared" si="2"/>
        <v>2.7269938159304332</v>
      </c>
      <c r="I134" s="2">
        <f t="shared" si="3"/>
        <v>190.42597816642214</v>
      </c>
      <c r="J134" s="2">
        <f t="shared" si="4"/>
        <v>4.0653411654512865</v>
      </c>
      <c r="K134" s="15">
        <f t="shared" si="23"/>
        <v>0.54823717948717943</v>
      </c>
      <c r="L134" s="2">
        <f t="shared" si="14"/>
        <v>129</v>
      </c>
      <c r="M134" s="2">
        <f t="shared" si="21"/>
        <v>69.58</v>
      </c>
      <c r="N134" s="2">
        <v>14.5</v>
      </c>
      <c r="O134" s="2">
        <v>50.26548245743669</v>
      </c>
      <c r="P134" s="11">
        <f t="shared" si="5"/>
        <v>2.8846833435406034</v>
      </c>
      <c r="Q134" s="2">
        <f t="shared" si="6"/>
        <v>200.71626704355518</v>
      </c>
      <c r="R134" s="2">
        <f t="shared" si="7"/>
        <v>2.7659665035131269</v>
      </c>
      <c r="S134" s="2">
        <f t="shared" si="8"/>
        <v>192.45594931444336</v>
      </c>
      <c r="T134" s="2">
        <f t="shared" si="9"/>
        <v>8.2603177291118186</v>
      </c>
    </row>
    <row r="135" spans="1:20" x14ac:dyDescent="0.25">
      <c r="A135" s="14">
        <f t="shared" si="22"/>
        <v>0.57592592592592595</v>
      </c>
      <c r="B135" s="2">
        <f t="shared" si="11"/>
        <v>130</v>
      </c>
      <c r="C135" s="4">
        <f t="shared" si="20"/>
        <v>70.33</v>
      </c>
      <c r="D135" s="2">
        <v>14.5</v>
      </c>
      <c r="E135" s="2">
        <v>50.26548245743669</v>
      </c>
      <c r="F135" s="11">
        <f t="shared" si="0"/>
        <v>2.8846833435406034</v>
      </c>
      <c r="G135" s="2">
        <f t="shared" si="1"/>
        <v>202.87977955121065</v>
      </c>
      <c r="H135" s="2">
        <f t="shared" si="2"/>
        <v>2.7269938159304332</v>
      </c>
      <c r="I135" s="2">
        <f t="shared" si="3"/>
        <v>191.78947507438735</v>
      </c>
      <c r="J135" s="2">
        <f t="shared" si="4"/>
        <v>11.090304476823292</v>
      </c>
      <c r="K135" s="15">
        <f t="shared" si="23"/>
        <v>0.54837962962962961</v>
      </c>
      <c r="L135" s="2">
        <f t="shared" si="14"/>
        <v>130</v>
      </c>
      <c r="M135" s="2">
        <f t="shared" si="21"/>
        <v>70.08</v>
      </c>
      <c r="N135" s="2">
        <v>14.5</v>
      </c>
      <c r="O135" s="2">
        <v>50.26548245743669</v>
      </c>
      <c r="P135" s="11">
        <f t="shared" si="5"/>
        <v>2.8846833435406034</v>
      </c>
      <c r="Q135" s="2">
        <f t="shared" si="6"/>
        <v>202.15860871532547</v>
      </c>
      <c r="R135" s="2">
        <f t="shared" si="7"/>
        <v>2.7659665035131269</v>
      </c>
      <c r="S135" s="2">
        <f t="shared" si="8"/>
        <v>193.83893256619993</v>
      </c>
      <c r="T135" s="2">
        <f t="shared" si="9"/>
        <v>8.3196761491255415</v>
      </c>
    </row>
    <row r="136" spans="1:20" x14ac:dyDescent="0.25">
      <c r="A136" s="14">
        <f t="shared" si="22"/>
        <v>0.5761574074074074</v>
      </c>
      <c r="B136" s="2">
        <f t="shared" si="11"/>
        <v>131</v>
      </c>
      <c r="C136" s="4">
        <f t="shared" si="20"/>
        <v>70.83</v>
      </c>
      <c r="D136" s="2">
        <v>13.5</v>
      </c>
      <c r="E136" s="2">
        <v>50.26548245743669</v>
      </c>
      <c r="F136" s="11">
        <f t="shared" si="0"/>
        <v>2.6857396646757339</v>
      </c>
      <c r="G136" s="2">
        <f t="shared" si="1"/>
        <v>190.23094044898224</v>
      </c>
      <c r="H136" s="2">
        <f t="shared" si="2"/>
        <v>2.7269938159304332</v>
      </c>
      <c r="I136" s="2">
        <f t="shared" si="3"/>
        <v>193.15297198235257</v>
      </c>
      <c r="J136" s="2">
        <f t="shared" si="4"/>
        <v>2.9220315333703297</v>
      </c>
      <c r="K136" s="15">
        <f t="shared" si="23"/>
        <v>0.54852207977207978</v>
      </c>
      <c r="L136" s="2">
        <f t="shared" si="14"/>
        <v>131</v>
      </c>
      <c r="M136" s="2">
        <f t="shared" si="21"/>
        <v>70.58</v>
      </c>
      <c r="N136" s="2">
        <v>15</v>
      </c>
      <c r="O136" s="2">
        <v>50.26548245743669</v>
      </c>
      <c r="P136" s="11">
        <f t="shared" si="5"/>
        <v>2.9841551829730379</v>
      </c>
      <c r="Q136" s="2">
        <f t="shared" si="6"/>
        <v>210.621672814237</v>
      </c>
      <c r="R136" s="2">
        <f t="shared" si="7"/>
        <v>2.7659665035131269</v>
      </c>
      <c r="S136" s="2">
        <f t="shared" si="8"/>
        <v>195.2219158179565</v>
      </c>
      <c r="T136" s="2">
        <f t="shared" si="9"/>
        <v>15.399756996280502</v>
      </c>
    </row>
    <row r="137" spans="1:20" x14ac:dyDescent="0.25">
      <c r="A137" s="14">
        <f t="shared" si="22"/>
        <v>0.57638888888888884</v>
      </c>
      <c r="B137" s="2">
        <f t="shared" si="11"/>
        <v>132</v>
      </c>
      <c r="C137" s="4">
        <f t="shared" si="20"/>
        <v>71.33</v>
      </c>
      <c r="D137" s="2">
        <v>13.5</v>
      </c>
      <c r="E137" s="2">
        <v>50.26548245743669</v>
      </c>
      <c r="F137" s="11">
        <f t="shared" si="0"/>
        <v>2.6857396646757339</v>
      </c>
      <c r="G137" s="2">
        <f t="shared" si="1"/>
        <v>191.57381028132011</v>
      </c>
      <c r="H137" s="2">
        <f t="shared" si="2"/>
        <v>2.7269938159304332</v>
      </c>
      <c r="I137" s="2">
        <f t="shared" si="3"/>
        <v>194.51646889031781</v>
      </c>
      <c r="J137" s="2">
        <f t="shared" si="4"/>
        <v>2.9426586089977036</v>
      </c>
      <c r="K137" s="15">
        <f t="shared" si="23"/>
        <v>0.54866452991452985</v>
      </c>
      <c r="L137" s="2">
        <f t="shared" si="14"/>
        <v>132</v>
      </c>
      <c r="M137" s="2">
        <f t="shared" si="21"/>
        <v>71.08</v>
      </c>
      <c r="N137" s="2">
        <v>14.5</v>
      </c>
      <c r="O137" s="2">
        <v>50.26548245743669</v>
      </c>
      <c r="P137" s="11">
        <f t="shared" si="5"/>
        <v>2.8846833435406034</v>
      </c>
      <c r="Q137" s="2">
        <f t="shared" si="6"/>
        <v>205.04329205886609</v>
      </c>
      <c r="R137" s="2">
        <f t="shared" si="7"/>
        <v>2.7659665035131269</v>
      </c>
      <c r="S137" s="2">
        <f t="shared" si="8"/>
        <v>196.60489906971304</v>
      </c>
      <c r="T137" s="2">
        <f t="shared" si="9"/>
        <v>8.4383929891530443</v>
      </c>
    </row>
    <row r="138" spans="1:20" x14ac:dyDescent="0.25">
      <c r="A138" s="14">
        <f t="shared" si="22"/>
        <v>0.57662037037037039</v>
      </c>
      <c r="B138" s="2">
        <f t="shared" si="11"/>
        <v>133</v>
      </c>
      <c r="C138" s="4">
        <f t="shared" si="20"/>
        <v>71.83</v>
      </c>
      <c r="D138" s="2">
        <v>13.5</v>
      </c>
      <c r="E138" s="2">
        <v>50.26548245743669</v>
      </c>
      <c r="F138" s="11">
        <f t="shared" si="0"/>
        <v>2.6857396646757339</v>
      </c>
      <c r="G138" s="2">
        <f t="shared" si="1"/>
        <v>192.91668011365795</v>
      </c>
      <c r="H138" s="2">
        <f t="shared" si="2"/>
        <v>2.7269938159304332</v>
      </c>
      <c r="I138" s="2">
        <f t="shared" si="3"/>
        <v>195.87996579828302</v>
      </c>
      <c r="J138" s="2">
        <f t="shared" si="4"/>
        <v>2.9632856846250775</v>
      </c>
      <c r="K138" s="15">
        <f t="shared" si="23"/>
        <v>0.54880698005698003</v>
      </c>
      <c r="L138" s="2">
        <f t="shared" si="14"/>
        <v>133</v>
      </c>
      <c r="M138" s="2">
        <f t="shared" si="21"/>
        <v>71.58</v>
      </c>
      <c r="N138" s="2">
        <v>13.5</v>
      </c>
      <c r="O138" s="2">
        <v>50.26548245743669</v>
      </c>
      <c r="P138" s="11">
        <f t="shared" si="5"/>
        <v>2.6857396646757339</v>
      </c>
      <c r="Q138" s="2">
        <f t="shared" si="6"/>
        <v>192.24524519748903</v>
      </c>
      <c r="R138" s="2">
        <f t="shared" si="7"/>
        <v>2.7659665035131269</v>
      </c>
      <c r="S138" s="2">
        <f t="shared" si="8"/>
        <v>197.98788232146961</v>
      </c>
      <c r="T138" s="2">
        <f t="shared" si="9"/>
        <v>5.742637123980586</v>
      </c>
    </row>
    <row r="139" spans="1:20" x14ac:dyDescent="0.25">
      <c r="A139" s="14">
        <f t="shared" si="22"/>
        <v>0.57685185185185184</v>
      </c>
      <c r="B139" s="2">
        <f t="shared" si="11"/>
        <v>134</v>
      </c>
      <c r="C139" s="4">
        <f t="shared" si="20"/>
        <v>72.33</v>
      </c>
      <c r="D139" s="2">
        <v>15</v>
      </c>
      <c r="E139" s="2">
        <v>50.26548245743669</v>
      </c>
      <c r="F139" s="11">
        <f t="shared" si="0"/>
        <v>2.9841551829730379</v>
      </c>
      <c r="G139" s="2">
        <f t="shared" si="1"/>
        <v>215.84394438443982</v>
      </c>
      <c r="H139" s="2">
        <f t="shared" si="2"/>
        <v>2.7269938159304332</v>
      </c>
      <c r="I139" s="2">
        <f t="shared" si="3"/>
        <v>197.24346270624824</v>
      </c>
      <c r="J139" s="2">
        <f t="shared" si="4"/>
        <v>18.600481678191585</v>
      </c>
      <c r="K139" s="15">
        <f t="shared" si="23"/>
        <v>0.54894943019943021</v>
      </c>
      <c r="L139" s="2">
        <f t="shared" si="14"/>
        <v>134</v>
      </c>
      <c r="M139" s="2">
        <f t="shared" si="21"/>
        <v>72.08</v>
      </c>
      <c r="N139" s="2">
        <v>13</v>
      </c>
      <c r="O139" s="2">
        <v>50.26548245743669</v>
      </c>
      <c r="P139" s="11">
        <f t="shared" si="5"/>
        <v>2.5862678252432989</v>
      </c>
      <c r="Q139" s="2">
        <f t="shared" si="6"/>
        <v>186.41818484353698</v>
      </c>
      <c r="R139" s="2">
        <f t="shared" si="7"/>
        <v>2.7659665035131269</v>
      </c>
      <c r="S139" s="2">
        <f t="shared" si="8"/>
        <v>199.37086557322618</v>
      </c>
      <c r="T139" s="2">
        <f t="shared" si="9"/>
        <v>12.952680729689206</v>
      </c>
    </row>
    <row r="140" spans="1:20" x14ac:dyDescent="0.25">
      <c r="A140" s="14">
        <f t="shared" si="22"/>
        <v>0.57708333333333328</v>
      </c>
      <c r="B140" s="2">
        <f t="shared" si="11"/>
        <v>135</v>
      </c>
      <c r="C140" s="4">
        <f t="shared" si="20"/>
        <v>72.83</v>
      </c>
      <c r="D140" s="2">
        <v>14</v>
      </c>
      <c r="E140" s="2">
        <v>50.26548245743669</v>
      </c>
      <c r="F140" s="11">
        <f t="shared" si="0"/>
        <v>2.7852115041081689</v>
      </c>
      <c r="G140" s="2">
        <f t="shared" si="1"/>
        <v>202.84695384419794</v>
      </c>
      <c r="H140" s="2">
        <f t="shared" si="2"/>
        <v>2.7269938159304332</v>
      </c>
      <c r="I140" s="2">
        <f t="shared" si="3"/>
        <v>198.60695961421345</v>
      </c>
      <c r="J140" s="2">
        <f t="shared" si="4"/>
        <v>4.2399942299844895</v>
      </c>
      <c r="K140" s="15">
        <f t="shared" si="23"/>
        <v>0.54909188034188028</v>
      </c>
      <c r="L140" s="2">
        <f t="shared" si="14"/>
        <v>135</v>
      </c>
      <c r="M140" s="2">
        <f t="shared" si="21"/>
        <v>72.58</v>
      </c>
      <c r="N140" s="2">
        <v>13.5</v>
      </c>
      <c r="O140" s="2">
        <v>50.26548245743669</v>
      </c>
      <c r="P140" s="11">
        <f t="shared" si="5"/>
        <v>2.6857396646757339</v>
      </c>
      <c r="Q140" s="2">
        <f t="shared" si="6"/>
        <v>194.93098486216476</v>
      </c>
      <c r="R140" s="2">
        <f t="shared" si="7"/>
        <v>2.7659665035131269</v>
      </c>
      <c r="S140" s="2">
        <f t="shared" si="8"/>
        <v>200.75384882498275</v>
      </c>
      <c r="T140" s="2">
        <f t="shared" si="9"/>
        <v>5.8228639628179906</v>
      </c>
    </row>
    <row r="141" spans="1:20" x14ac:dyDescent="0.25">
      <c r="A141" s="14">
        <f t="shared" si="22"/>
        <v>0.57731481481481484</v>
      </c>
      <c r="B141" s="2">
        <f t="shared" si="11"/>
        <v>136</v>
      </c>
      <c r="C141" s="4">
        <f t="shared" si="20"/>
        <v>73.33</v>
      </c>
      <c r="D141" s="2">
        <v>15</v>
      </c>
      <c r="E141" s="2">
        <v>50.26548245743669</v>
      </c>
      <c r="F141" s="11">
        <f t="shared" si="0"/>
        <v>2.9841551829730379</v>
      </c>
      <c r="G141" s="2">
        <f t="shared" si="1"/>
        <v>218.82809956741286</v>
      </c>
      <c r="H141" s="2">
        <f t="shared" si="2"/>
        <v>2.7269938159304332</v>
      </c>
      <c r="I141" s="2">
        <f t="shared" si="3"/>
        <v>199.97045652217867</v>
      </c>
      <c r="J141" s="2">
        <f t="shared" si="4"/>
        <v>18.857643045234198</v>
      </c>
      <c r="K141" s="15">
        <f t="shared" si="23"/>
        <v>0.54923433048433046</v>
      </c>
      <c r="L141" s="2">
        <f t="shared" si="14"/>
        <v>136</v>
      </c>
      <c r="M141" s="2">
        <f t="shared" si="21"/>
        <v>73.08</v>
      </c>
      <c r="N141" s="2">
        <v>14</v>
      </c>
      <c r="O141" s="2">
        <v>50.26548245743669</v>
      </c>
      <c r="P141" s="11">
        <f t="shared" si="5"/>
        <v>2.7852115041081689</v>
      </c>
      <c r="Q141" s="2">
        <f t="shared" si="6"/>
        <v>203.54325672022497</v>
      </c>
      <c r="R141" s="2">
        <f t="shared" si="7"/>
        <v>2.7659665035131269</v>
      </c>
      <c r="S141" s="2">
        <f t="shared" si="8"/>
        <v>202.1368320767393</v>
      </c>
      <c r="T141" s="2">
        <f t="shared" si="9"/>
        <v>1.4064246434856784</v>
      </c>
    </row>
    <row r="142" spans="1:20" x14ac:dyDescent="0.25">
      <c r="A142" s="14">
        <f t="shared" si="22"/>
        <v>0.57754629629629628</v>
      </c>
      <c r="B142" s="2">
        <f t="shared" si="11"/>
        <v>137</v>
      </c>
      <c r="C142" s="4">
        <f t="shared" si="20"/>
        <v>73.83</v>
      </c>
      <c r="D142" s="2">
        <v>14.5</v>
      </c>
      <c r="E142" s="2">
        <v>50.26548245743669</v>
      </c>
      <c r="F142" s="11">
        <f t="shared" si="0"/>
        <v>2.8846833435406034</v>
      </c>
      <c r="G142" s="2">
        <f t="shared" si="1"/>
        <v>212.97617125360276</v>
      </c>
      <c r="H142" s="2">
        <f t="shared" si="2"/>
        <v>2.7269938159304332</v>
      </c>
      <c r="I142" s="2">
        <f t="shared" si="3"/>
        <v>201.33395343014388</v>
      </c>
      <c r="J142" s="2">
        <f t="shared" si="4"/>
        <v>11.642217823458878</v>
      </c>
      <c r="K142" s="15">
        <f t="shared" si="23"/>
        <v>0.54937678062678064</v>
      </c>
      <c r="L142" s="2">
        <f t="shared" si="14"/>
        <v>137</v>
      </c>
      <c r="M142" s="2">
        <f t="shared" si="21"/>
        <v>73.58</v>
      </c>
      <c r="N142" s="2">
        <v>16.5</v>
      </c>
      <c r="O142" s="2">
        <v>50.26548245743669</v>
      </c>
      <c r="P142" s="11">
        <f t="shared" si="5"/>
        <v>3.2825707012703416</v>
      </c>
      <c r="Q142" s="2">
        <f t="shared" si="6"/>
        <v>241.53155219947172</v>
      </c>
      <c r="R142" s="2">
        <f t="shared" si="7"/>
        <v>2.7659665035131269</v>
      </c>
      <c r="S142" s="2">
        <f t="shared" si="8"/>
        <v>203.51981532849587</v>
      </c>
      <c r="T142" s="2">
        <f t="shared" si="9"/>
        <v>38.011736870975852</v>
      </c>
    </row>
    <row r="143" spans="1:20" x14ac:dyDescent="0.25">
      <c r="A143" s="14">
        <f t="shared" si="22"/>
        <v>0.57777777777777783</v>
      </c>
      <c r="B143" s="2">
        <f t="shared" si="11"/>
        <v>138</v>
      </c>
      <c r="C143" s="4">
        <f t="shared" si="20"/>
        <v>74.33</v>
      </c>
      <c r="D143" s="2">
        <v>14.5</v>
      </c>
      <c r="E143" s="2">
        <v>50.26548245743669</v>
      </c>
      <c r="F143" s="11">
        <f t="shared" si="0"/>
        <v>2.8846833435406034</v>
      </c>
      <c r="G143" s="2">
        <f t="shared" si="1"/>
        <v>214.41851292537305</v>
      </c>
      <c r="H143" s="2">
        <f t="shared" si="2"/>
        <v>2.7269938159304332</v>
      </c>
      <c r="I143" s="2">
        <f t="shared" si="3"/>
        <v>202.69745033810909</v>
      </c>
      <c r="J143" s="2">
        <f t="shared" si="4"/>
        <v>11.721062587263958</v>
      </c>
      <c r="K143" s="15">
        <f t="shared" si="23"/>
        <v>0.54951923076923082</v>
      </c>
      <c r="L143" s="2">
        <f t="shared" si="14"/>
        <v>138</v>
      </c>
      <c r="M143" s="2">
        <f t="shared" si="21"/>
        <v>74.08</v>
      </c>
      <c r="N143" s="2">
        <v>15.5</v>
      </c>
      <c r="O143" s="2">
        <v>50.26548245743669</v>
      </c>
      <c r="P143" s="11">
        <f t="shared" si="5"/>
        <v>3.0836270224054725</v>
      </c>
      <c r="Q143" s="2">
        <f t="shared" si="6"/>
        <v>228.43508981979738</v>
      </c>
      <c r="R143" s="2">
        <f t="shared" si="7"/>
        <v>2.7659665035131269</v>
      </c>
      <c r="S143" s="2">
        <f t="shared" si="8"/>
        <v>204.90279858025244</v>
      </c>
      <c r="T143" s="2">
        <f t="shared" si="9"/>
        <v>23.532291239544946</v>
      </c>
    </row>
    <row r="144" spans="1:20" x14ac:dyDescent="0.25">
      <c r="A144" s="14">
        <f t="shared" si="22"/>
        <v>0.57800925925925928</v>
      </c>
      <c r="B144" s="2">
        <f t="shared" si="11"/>
        <v>139</v>
      </c>
      <c r="C144" s="4">
        <f t="shared" si="20"/>
        <v>74.83</v>
      </c>
      <c r="D144" s="2">
        <v>14.5</v>
      </c>
      <c r="E144" s="2">
        <v>50.26548245743669</v>
      </c>
      <c r="F144" s="11">
        <f t="shared" si="0"/>
        <v>2.8846833435406034</v>
      </c>
      <c r="G144" s="2">
        <f t="shared" si="1"/>
        <v>215.86085459714334</v>
      </c>
      <c r="H144" s="2">
        <f t="shared" si="2"/>
        <v>2.7269938159304332</v>
      </c>
      <c r="I144" s="2">
        <f t="shared" si="3"/>
        <v>204.06094724607431</v>
      </c>
      <c r="J144" s="2">
        <f t="shared" si="4"/>
        <v>11.799907351069038</v>
      </c>
      <c r="K144" s="15">
        <f t="shared" si="23"/>
        <v>0.54966168091168088</v>
      </c>
      <c r="L144" s="2">
        <f t="shared" si="14"/>
        <v>139</v>
      </c>
      <c r="M144" s="2">
        <f t="shared" si="21"/>
        <v>74.58</v>
      </c>
      <c r="N144" s="2">
        <v>14</v>
      </c>
      <c r="O144" s="2">
        <v>50.26548245743669</v>
      </c>
      <c r="P144" s="11">
        <f t="shared" si="5"/>
        <v>2.7852115041081689</v>
      </c>
      <c r="Q144" s="2">
        <f t="shared" si="6"/>
        <v>207.72107397638723</v>
      </c>
      <c r="R144" s="2">
        <f t="shared" si="7"/>
        <v>2.7659665035131269</v>
      </c>
      <c r="S144" s="2">
        <f t="shared" si="8"/>
        <v>206.28578183200901</v>
      </c>
      <c r="T144" s="2">
        <f t="shared" si="9"/>
        <v>1.4352921443782236</v>
      </c>
    </row>
    <row r="145" spans="1:20" x14ac:dyDescent="0.25">
      <c r="A145" s="14">
        <f t="shared" si="22"/>
        <v>0.57824074074074072</v>
      </c>
      <c r="B145" s="2">
        <f t="shared" si="11"/>
        <v>140</v>
      </c>
      <c r="C145" s="4">
        <f t="shared" si="20"/>
        <v>75.33</v>
      </c>
      <c r="D145" s="2">
        <v>14.5</v>
      </c>
      <c r="E145" s="2">
        <v>50.26548245743669</v>
      </c>
      <c r="F145" s="11">
        <f t="shared" si="0"/>
        <v>2.8846833435406034</v>
      </c>
      <c r="G145" s="2">
        <f t="shared" si="1"/>
        <v>217.30319626891364</v>
      </c>
      <c r="H145" s="2">
        <f t="shared" si="2"/>
        <v>2.7269938159304332</v>
      </c>
      <c r="I145" s="2">
        <f t="shared" si="3"/>
        <v>205.42444415403952</v>
      </c>
      <c r="J145" s="2">
        <f t="shared" si="4"/>
        <v>11.878752114874118</v>
      </c>
      <c r="K145" s="15">
        <f t="shared" si="23"/>
        <v>0.54980413105413106</v>
      </c>
      <c r="L145" s="2">
        <f t="shared" si="14"/>
        <v>140</v>
      </c>
      <c r="M145" s="2">
        <f t="shared" si="21"/>
        <v>75.08</v>
      </c>
      <c r="N145" s="2">
        <v>14.5</v>
      </c>
      <c r="O145" s="2">
        <v>50.26548245743669</v>
      </c>
      <c r="P145" s="11">
        <f t="shared" si="5"/>
        <v>2.8846833435406034</v>
      </c>
      <c r="Q145" s="2">
        <f t="shared" si="6"/>
        <v>216.58202543302849</v>
      </c>
      <c r="R145" s="2">
        <f t="shared" si="7"/>
        <v>2.7659665035131269</v>
      </c>
      <c r="S145" s="2">
        <f t="shared" si="8"/>
        <v>207.66876508376555</v>
      </c>
      <c r="T145" s="2">
        <f t="shared" si="9"/>
        <v>8.9132603492629414</v>
      </c>
    </row>
    <row r="146" spans="1:20" x14ac:dyDescent="0.25">
      <c r="A146" s="14">
        <f t="shared" si="22"/>
        <v>0.57847222222222228</v>
      </c>
      <c r="B146" s="2">
        <f t="shared" si="11"/>
        <v>141</v>
      </c>
      <c r="C146" s="4">
        <f t="shared" si="20"/>
        <v>75.83</v>
      </c>
      <c r="D146" s="2">
        <v>14.5</v>
      </c>
      <c r="E146" s="2">
        <v>50.26548245743669</v>
      </c>
      <c r="F146" s="11">
        <f t="shared" si="0"/>
        <v>2.8846833435406034</v>
      </c>
      <c r="G146" s="2">
        <f t="shared" si="1"/>
        <v>218.74553794068396</v>
      </c>
      <c r="H146" s="2">
        <f t="shared" si="2"/>
        <v>2.7269938159304332</v>
      </c>
      <c r="I146" s="2">
        <f t="shared" si="3"/>
        <v>206.78794106200473</v>
      </c>
      <c r="J146" s="2">
        <f t="shared" si="4"/>
        <v>11.957596878679226</v>
      </c>
      <c r="K146" s="15">
        <f t="shared" si="23"/>
        <v>0.54994658119658124</v>
      </c>
      <c r="L146" s="2">
        <f t="shared" si="14"/>
        <v>141</v>
      </c>
      <c r="M146" s="2">
        <f t="shared" si="21"/>
        <v>75.58</v>
      </c>
      <c r="N146" s="2">
        <v>14.5</v>
      </c>
      <c r="O146" s="2">
        <v>50.26548245743669</v>
      </c>
      <c r="P146" s="11">
        <f t="shared" si="5"/>
        <v>2.8846833435406034</v>
      </c>
      <c r="Q146" s="2">
        <f t="shared" si="6"/>
        <v>218.02436710479881</v>
      </c>
      <c r="R146" s="2">
        <f t="shared" si="7"/>
        <v>2.7659665035131269</v>
      </c>
      <c r="S146" s="2">
        <f t="shared" si="8"/>
        <v>209.05174833552212</v>
      </c>
      <c r="T146" s="2">
        <f t="shared" si="9"/>
        <v>8.9726187692766928</v>
      </c>
    </row>
    <row r="147" spans="1:20" x14ac:dyDescent="0.25">
      <c r="A147" s="14">
        <f t="shared" si="22"/>
        <v>0.57870370370370372</v>
      </c>
      <c r="B147" s="2">
        <f t="shared" si="11"/>
        <v>142</v>
      </c>
      <c r="C147" s="4">
        <f t="shared" si="20"/>
        <v>76.33</v>
      </c>
      <c r="D147" s="2">
        <v>14</v>
      </c>
      <c r="E147" s="2">
        <v>50.26548245743669</v>
      </c>
      <c r="F147" s="11">
        <f t="shared" si="0"/>
        <v>2.7852115041081689</v>
      </c>
      <c r="G147" s="2">
        <f t="shared" si="1"/>
        <v>212.59519410857652</v>
      </c>
      <c r="H147" s="2">
        <f t="shared" si="2"/>
        <v>2.7269938159304332</v>
      </c>
      <c r="I147" s="2">
        <f t="shared" si="3"/>
        <v>208.15143796996998</v>
      </c>
      <c r="J147" s="2">
        <f t="shared" si="4"/>
        <v>4.4437561386065454</v>
      </c>
      <c r="K147" s="15">
        <f t="shared" si="23"/>
        <v>0.55008903133903131</v>
      </c>
      <c r="L147" s="2">
        <f t="shared" si="14"/>
        <v>142</v>
      </c>
      <c r="M147" s="2">
        <f t="shared" si="21"/>
        <v>76.08</v>
      </c>
      <c r="N147" s="2">
        <v>15</v>
      </c>
      <c r="O147" s="2">
        <v>50.26548245743669</v>
      </c>
      <c r="P147" s="11">
        <f t="shared" si="5"/>
        <v>2.9841551829730379</v>
      </c>
      <c r="Q147" s="2">
        <f t="shared" si="6"/>
        <v>227.03452632058872</v>
      </c>
      <c r="R147" s="2">
        <f t="shared" si="7"/>
        <v>2.7659665035131269</v>
      </c>
      <c r="S147" s="2">
        <f t="shared" si="8"/>
        <v>210.43473158727869</v>
      </c>
      <c r="T147" s="2">
        <f t="shared" si="9"/>
        <v>16.599794733310034</v>
      </c>
    </row>
    <row r="148" spans="1:20" x14ac:dyDescent="0.25">
      <c r="A148" s="14">
        <f t="shared" si="22"/>
        <v>0.57893518518518516</v>
      </c>
      <c r="B148" s="2">
        <f t="shared" si="11"/>
        <v>143</v>
      </c>
      <c r="C148" s="4">
        <f t="shared" si="20"/>
        <v>76.83</v>
      </c>
      <c r="D148" s="2">
        <v>14.5</v>
      </c>
      <c r="E148" s="2">
        <v>50.26548245743669</v>
      </c>
      <c r="F148" s="11">
        <f t="shared" si="0"/>
        <v>2.8846833435406034</v>
      </c>
      <c r="G148" s="2">
        <f t="shared" si="1"/>
        <v>221.63022128422455</v>
      </c>
      <c r="H148" s="2">
        <f t="shared" si="2"/>
        <v>2.7269938159304332</v>
      </c>
      <c r="I148" s="2">
        <f t="shared" si="3"/>
        <v>209.51493487793519</v>
      </c>
      <c r="J148" s="2">
        <f t="shared" si="4"/>
        <v>12.115286406289357</v>
      </c>
      <c r="K148" s="15">
        <f t="shared" si="23"/>
        <v>0.55023148148148149</v>
      </c>
      <c r="L148" s="2">
        <f t="shared" si="14"/>
        <v>143</v>
      </c>
      <c r="M148" s="2">
        <f t="shared" si="21"/>
        <v>76.58</v>
      </c>
      <c r="N148" s="2">
        <v>15</v>
      </c>
      <c r="O148" s="2">
        <v>50.26548245743669</v>
      </c>
      <c r="P148" s="11">
        <f t="shared" si="5"/>
        <v>2.9841551829730379</v>
      </c>
      <c r="Q148" s="2">
        <f t="shared" si="6"/>
        <v>228.52660391207525</v>
      </c>
      <c r="R148" s="2">
        <f t="shared" si="7"/>
        <v>2.7659665035131269</v>
      </c>
      <c r="S148" s="2">
        <f t="shared" si="8"/>
        <v>211.81771483903526</v>
      </c>
      <c r="T148" s="2">
        <f t="shared" si="9"/>
        <v>16.708889073039984</v>
      </c>
    </row>
    <row r="149" spans="1:20" x14ac:dyDescent="0.25">
      <c r="A149" s="14">
        <f t="shared" si="22"/>
        <v>0.57916666666666672</v>
      </c>
      <c r="B149" s="2">
        <f t="shared" si="11"/>
        <v>144</v>
      </c>
      <c r="C149" s="4">
        <f t="shared" si="20"/>
        <v>77.33</v>
      </c>
      <c r="D149" s="2">
        <v>15</v>
      </c>
      <c r="E149" s="2">
        <v>50.26548245743669</v>
      </c>
      <c r="F149" s="11">
        <f t="shared" si="0"/>
        <v>2.9841551829730379</v>
      </c>
      <c r="G149" s="2">
        <f t="shared" si="1"/>
        <v>230.76472029930503</v>
      </c>
      <c r="H149" s="2">
        <f t="shared" si="2"/>
        <v>2.7269938159304332</v>
      </c>
      <c r="I149" s="2">
        <f t="shared" si="3"/>
        <v>210.8784317859004</v>
      </c>
      <c r="J149" s="2">
        <f t="shared" si="4"/>
        <v>19.886288513404622</v>
      </c>
      <c r="K149" s="15">
        <f t="shared" si="23"/>
        <v>0.55037393162393167</v>
      </c>
      <c r="L149" s="2">
        <f t="shared" si="14"/>
        <v>144</v>
      </c>
      <c r="M149" s="2">
        <f t="shared" si="21"/>
        <v>77.08</v>
      </c>
      <c r="N149" s="2">
        <v>14</v>
      </c>
      <c r="O149" s="2">
        <v>50.26548245743669</v>
      </c>
      <c r="P149" s="11">
        <f t="shared" si="5"/>
        <v>2.7852115041081689</v>
      </c>
      <c r="Q149" s="2">
        <f t="shared" si="6"/>
        <v>214.68410273665765</v>
      </c>
      <c r="R149" s="2">
        <f t="shared" si="7"/>
        <v>2.7659665035131269</v>
      </c>
      <c r="S149" s="2">
        <f t="shared" si="8"/>
        <v>213.2006980907918</v>
      </c>
      <c r="T149" s="2">
        <f t="shared" si="9"/>
        <v>1.4834046458658463</v>
      </c>
    </row>
    <row r="150" spans="1:20" x14ac:dyDescent="0.25">
      <c r="A150" s="14">
        <f t="shared" si="22"/>
        <v>0.57939814814814816</v>
      </c>
      <c r="B150" s="2">
        <f t="shared" si="11"/>
        <v>145</v>
      </c>
      <c r="C150" s="4">
        <f t="shared" si="20"/>
        <v>77.83</v>
      </c>
      <c r="D150" s="2">
        <v>13.5</v>
      </c>
      <c r="E150" s="2">
        <v>50.26548245743669</v>
      </c>
      <c r="F150" s="11">
        <f t="shared" si="0"/>
        <v>2.6857396646757339</v>
      </c>
      <c r="G150" s="2">
        <f t="shared" si="1"/>
        <v>209.03111810171237</v>
      </c>
      <c r="H150" s="2">
        <f t="shared" si="2"/>
        <v>2.7269938159304332</v>
      </c>
      <c r="I150" s="2">
        <f t="shared" si="3"/>
        <v>212.24192869386562</v>
      </c>
      <c r="J150" s="2">
        <f t="shared" si="4"/>
        <v>3.2108105921532513</v>
      </c>
      <c r="K150" s="15">
        <f t="shared" si="23"/>
        <v>0.55051638176638173</v>
      </c>
      <c r="L150" s="2">
        <f t="shared" si="14"/>
        <v>145</v>
      </c>
      <c r="M150" s="2">
        <f t="shared" si="21"/>
        <v>77.58</v>
      </c>
      <c r="N150" s="2">
        <v>15</v>
      </c>
      <c r="O150" s="2">
        <v>50.26548245743669</v>
      </c>
      <c r="P150" s="11">
        <f t="shared" si="5"/>
        <v>2.9841551829730379</v>
      </c>
      <c r="Q150" s="2">
        <f t="shared" si="6"/>
        <v>231.51075909504829</v>
      </c>
      <c r="R150" s="2">
        <f t="shared" si="7"/>
        <v>2.7659665035131269</v>
      </c>
      <c r="S150" s="2">
        <f t="shared" si="8"/>
        <v>214.58368134254837</v>
      </c>
      <c r="T150" s="2">
        <f t="shared" si="9"/>
        <v>16.927077752499912</v>
      </c>
    </row>
    <row r="151" spans="1:20" x14ac:dyDescent="0.25">
      <c r="A151" s="14">
        <f t="shared" si="22"/>
        <v>0.57962962962962961</v>
      </c>
      <c r="B151" s="2">
        <f t="shared" si="11"/>
        <v>146</v>
      </c>
      <c r="C151" s="4">
        <f t="shared" si="20"/>
        <v>78.33</v>
      </c>
      <c r="D151" s="2">
        <v>13.5</v>
      </c>
      <c r="E151" s="2">
        <v>50.26548245743669</v>
      </c>
      <c r="F151" s="11">
        <f t="shared" si="0"/>
        <v>2.6857396646757339</v>
      </c>
      <c r="G151" s="2">
        <f t="shared" si="1"/>
        <v>210.37398793405023</v>
      </c>
      <c r="H151" s="2">
        <f t="shared" si="2"/>
        <v>2.7269938159304332</v>
      </c>
      <c r="I151" s="2">
        <f t="shared" si="3"/>
        <v>213.60542560183083</v>
      </c>
      <c r="J151" s="2">
        <f t="shared" si="4"/>
        <v>3.2314376677805967</v>
      </c>
      <c r="K151" s="15">
        <f t="shared" si="23"/>
        <v>0.55065883190883191</v>
      </c>
      <c r="L151" s="2">
        <f t="shared" si="14"/>
        <v>146</v>
      </c>
      <c r="M151" s="2">
        <f t="shared" si="21"/>
        <v>78.08</v>
      </c>
      <c r="N151" s="2">
        <v>15</v>
      </c>
      <c r="O151" s="2">
        <v>50.26548245743669</v>
      </c>
      <c r="P151" s="11">
        <f t="shared" si="5"/>
        <v>2.9841551829730379</v>
      </c>
      <c r="Q151" s="2">
        <f t="shared" si="6"/>
        <v>233.00283668653481</v>
      </c>
      <c r="R151" s="2">
        <f t="shared" si="7"/>
        <v>2.7659665035131269</v>
      </c>
      <c r="S151" s="2">
        <f t="shared" si="8"/>
        <v>215.96666459430494</v>
      </c>
      <c r="T151" s="2">
        <f t="shared" si="9"/>
        <v>17.036172092229862</v>
      </c>
    </row>
    <row r="152" spans="1:20" x14ac:dyDescent="0.25">
      <c r="A152" s="14">
        <f t="shared" si="22"/>
        <v>0.57986111111111116</v>
      </c>
      <c r="B152" s="2">
        <f t="shared" si="11"/>
        <v>147</v>
      </c>
      <c r="C152" s="4">
        <f t="shared" si="20"/>
        <v>78.83</v>
      </c>
      <c r="D152" s="2">
        <v>14.5</v>
      </c>
      <c r="E152" s="2">
        <v>50.26548245743669</v>
      </c>
      <c r="F152" s="11">
        <f t="shared" si="0"/>
        <v>2.8846833435406034</v>
      </c>
      <c r="G152" s="2">
        <f t="shared" si="1"/>
        <v>227.39958797130575</v>
      </c>
      <c r="H152" s="2">
        <f t="shared" si="2"/>
        <v>2.7269938159304332</v>
      </c>
      <c r="I152" s="2">
        <f t="shared" si="3"/>
        <v>214.96892250979604</v>
      </c>
      <c r="J152" s="2">
        <f t="shared" si="4"/>
        <v>12.430665461509705</v>
      </c>
      <c r="K152" s="15">
        <f t="shared" si="23"/>
        <v>0.55080128205128209</v>
      </c>
      <c r="L152" s="2">
        <f t="shared" si="14"/>
        <v>147</v>
      </c>
      <c r="M152" s="2">
        <f t="shared" si="21"/>
        <v>78.58</v>
      </c>
      <c r="N152" s="2">
        <v>14.5</v>
      </c>
      <c r="O152" s="2">
        <v>50.26548245743669</v>
      </c>
      <c r="P152" s="11">
        <f t="shared" si="5"/>
        <v>2.8846833435406034</v>
      </c>
      <c r="Q152" s="2">
        <f t="shared" si="6"/>
        <v>226.6784171354206</v>
      </c>
      <c r="R152" s="2">
        <f t="shared" si="7"/>
        <v>2.7659665035131269</v>
      </c>
      <c r="S152" s="2">
        <f t="shared" si="8"/>
        <v>217.34964784606152</v>
      </c>
      <c r="T152" s="2">
        <f t="shared" si="9"/>
        <v>9.3287692893590872</v>
      </c>
    </row>
    <row r="153" spans="1:20" x14ac:dyDescent="0.25">
      <c r="A153" s="14">
        <f t="shared" si="22"/>
        <v>0.5800925925925926</v>
      </c>
      <c r="B153" s="2">
        <f t="shared" si="11"/>
        <v>148</v>
      </c>
      <c r="C153" s="4">
        <f t="shared" si="20"/>
        <v>79.33</v>
      </c>
      <c r="D153" s="2">
        <v>15.5</v>
      </c>
      <c r="E153" s="2">
        <v>50.26548245743669</v>
      </c>
      <c r="F153" s="11">
        <f t="shared" si="0"/>
        <v>3.0836270224054725</v>
      </c>
      <c r="G153" s="2">
        <f t="shared" si="1"/>
        <v>244.62413168742611</v>
      </c>
      <c r="H153" s="2">
        <f t="shared" si="2"/>
        <v>2.7269938159304332</v>
      </c>
      <c r="I153" s="2">
        <f t="shared" si="3"/>
        <v>216.33241941776126</v>
      </c>
      <c r="J153" s="2">
        <f t="shared" si="4"/>
        <v>28.291712269664856</v>
      </c>
      <c r="K153" s="15">
        <f t="shared" si="23"/>
        <v>0.55094373219373216</v>
      </c>
      <c r="L153" s="2">
        <f t="shared" si="14"/>
        <v>148</v>
      </c>
      <c r="M153" s="2">
        <f t="shared" si="21"/>
        <v>79.08</v>
      </c>
      <c r="N153" s="2">
        <v>15</v>
      </c>
      <c r="O153" s="2">
        <v>50.26548245743669</v>
      </c>
      <c r="P153" s="11">
        <f t="shared" si="5"/>
        <v>2.9841551829730379</v>
      </c>
      <c r="Q153" s="2">
        <f t="shared" si="6"/>
        <v>235.98699186950785</v>
      </c>
      <c r="R153" s="2">
        <f t="shared" si="7"/>
        <v>2.7659665035131269</v>
      </c>
      <c r="S153" s="2">
        <f t="shared" si="8"/>
        <v>218.73263109781806</v>
      </c>
      <c r="T153" s="2">
        <f t="shared" si="9"/>
        <v>17.25436077168979</v>
      </c>
    </row>
    <row r="154" spans="1:20" x14ac:dyDescent="0.25">
      <c r="A154" s="14">
        <f t="shared" si="22"/>
        <v>0.58032407407407405</v>
      </c>
      <c r="B154" s="2">
        <f t="shared" si="11"/>
        <v>149</v>
      </c>
      <c r="C154" s="4">
        <f t="shared" si="20"/>
        <v>79.83</v>
      </c>
      <c r="D154" s="2">
        <v>16</v>
      </c>
      <c r="E154" s="2">
        <v>50.26548245743669</v>
      </c>
      <c r="F154" s="11">
        <f t="shared" si="0"/>
        <v>3.183098861837907</v>
      </c>
      <c r="G154" s="2">
        <f t="shared" si="1"/>
        <v>254.10678214052012</v>
      </c>
      <c r="H154" s="2">
        <f t="shared" si="2"/>
        <v>2.7269938159304332</v>
      </c>
      <c r="I154" s="2">
        <f t="shared" si="3"/>
        <v>217.69591632572647</v>
      </c>
      <c r="J154" s="2">
        <f t="shared" si="4"/>
        <v>36.410865814793652</v>
      </c>
      <c r="K154" s="15">
        <f t="shared" si="23"/>
        <v>0.55108618233618234</v>
      </c>
      <c r="L154" s="2">
        <f t="shared" si="14"/>
        <v>149</v>
      </c>
      <c r="M154" s="2">
        <f t="shared" si="21"/>
        <v>79.58</v>
      </c>
      <c r="N154" s="2">
        <v>15</v>
      </c>
      <c r="O154" s="2">
        <v>50.26548245743669</v>
      </c>
      <c r="P154" s="11">
        <f t="shared" si="5"/>
        <v>2.9841551829730379</v>
      </c>
      <c r="Q154" s="2">
        <f t="shared" si="6"/>
        <v>237.47906946099437</v>
      </c>
      <c r="R154" s="2">
        <f t="shared" si="7"/>
        <v>2.7659665035131269</v>
      </c>
      <c r="S154" s="2">
        <f t="shared" si="8"/>
        <v>220.11561434957463</v>
      </c>
      <c r="T154" s="2">
        <f t="shared" si="9"/>
        <v>17.363455111419739</v>
      </c>
    </row>
    <row r="155" spans="1:20" x14ac:dyDescent="0.25">
      <c r="A155" s="14">
        <f t="shared" si="22"/>
        <v>0.5805555555555556</v>
      </c>
      <c r="B155" s="2">
        <f t="shared" si="11"/>
        <v>150</v>
      </c>
      <c r="C155" s="4">
        <f t="shared" si="20"/>
        <v>80.33</v>
      </c>
      <c r="D155" s="2">
        <v>16</v>
      </c>
      <c r="E155" s="2">
        <v>50.26548245743669</v>
      </c>
      <c r="F155" s="11">
        <f t="shared" si="0"/>
        <v>3.183098861837907</v>
      </c>
      <c r="G155" s="2">
        <f t="shared" si="1"/>
        <v>255.69833157143907</v>
      </c>
      <c r="H155" s="2">
        <f t="shared" si="2"/>
        <v>2.7269938159304332</v>
      </c>
      <c r="I155" s="2">
        <f t="shared" si="3"/>
        <v>219.05941323369169</v>
      </c>
      <c r="J155" s="2">
        <f t="shared" si="4"/>
        <v>36.638918337747384</v>
      </c>
      <c r="K155" s="15">
        <f t="shared" si="23"/>
        <v>0.55122863247863252</v>
      </c>
      <c r="L155" s="2">
        <f t="shared" si="14"/>
        <v>150</v>
      </c>
      <c r="M155" s="2">
        <f t="shared" si="21"/>
        <v>80.08</v>
      </c>
      <c r="N155" s="2">
        <v>15.5</v>
      </c>
      <c r="O155" s="2">
        <v>50.26548245743669</v>
      </c>
      <c r="P155" s="11">
        <f t="shared" si="5"/>
        <v>3.0836270224054725</v>
      </c>
      <c r="Q155" s="2">
        <f t="shared" si="6"/>
        <v>246.93685195423024</v>
      </c>
      <c r="R155" s="2">
        <f t="shared" si="7"/>
        <v>2.7659665035131269</v>
      </c>
      <c r="S155" s="2">
        <f t="shared" si="8"/>
        <v>221.4985976013312</v>
      </c>
      <c r="T155" s="2">
        <f t="shared" si="9"/>
        <v>25.438254352899037</v>
      </c>
    </row>
    <row r="156" spans="1:20" x14ac:dyDescent="0.25">
      <c r="A156" s="14">
        <f t="shared" si="22"/>
        <v>0.58078703703703705</v>
      </c>
      <c r="B156" s="2">
        <f t="shared" si="11"/>
        <v>151</v>
      </c>
      <c r="C156" s="4">
        <f t="shared" si="20"/>
        <v>80.83</v>
      </c>
      <c r="D156" s="2">
        <v>13</v>
      </c>
      <c r="E156" s="2">
        <v>50.26548245743669</v>
      </c>
      <c r="F156" s="11">
        <f t="shared" si="0"/>
        <v>2.5862678252432989</v>
      </c>
      <c r="G156" s="2">
        <f t="shared" si="1"/>
        <v>209.04802831441586</v>
      </c>
      <c r="H156" s="2">
        <f t="shared" si="2"/>
        <v>2.7269938159304332</v>
      </c>
      <c r="I156" s="2">
        <f t="shared" si="3"/>
        <v>220.4229101416569</v>
      </c>
      <c r="J156" s="2">
        <f t="shared" si="4"/>
        <v>11.37488182724104</v>
      </c>
      <c r="K156" s="15">
        <f t="shared" si="23"/>
        <v>0.5513710826210827</v>
      </c>
      <c r="L156" s="2">
        <f t="shared" si="14"/>
        <v>151</v>
      </c>
      <c r="M156" s="2">
        <f t="shared" si="21"/>
        <v>80.58</v>
      </c>
      <c r="N156" s="2">
        <v>14</v>
      </c>
      <c r="O156" s="2">
        <v>50.26548245743669</v>
      </c>
      <c r="P156" s="11">
        <f t="shared" si="5"/>
        <v>2.7852115041081689</v>
      </c>
      <c r="Q156" s="2">
        <f t="shared" si="6"/>
        <v>224.43234300103623</v>
      </c>
      <c r="R156" s="2">
        <f t="shared" si="7"/>
        <v>2.7659665035131269</v>
      </c>
      <c r="S156" s="2">
        <f t="shared" si="8"/>
        <v>222.88158085308777</v>
      </c>
      <c r="T156" s="2">
        <f t="shared" si="9"/>
        <v>1.5507621479484612</v>
      </c>
    </row>
    <row r="157" spans="1:20" x14ac:dyDescent="0.25">
      <c r="A157" s="14">
        <f t="shared" si="22"/>
        <v>0.5810185185185186</v>
      </c>
      <c r="B157" s="2">
        <f t="shared" si="11"/>
        <v>152</v>
      </c>
      <c r="C157" s="4">
        <f t="shared" si="20"/>
        <v>81.33</v>
      </c>
      <c r="D157" s="2">
        <v>12</v>
      </c>
      <c r="E157" s="2">
        <v>50.26548245743669</v>
      </c>
      <c r="F157" s="11">
        <f t="shared" si="0"/>
        <v>2.3873241463784298</v>
      </c>
      <c r="G157" s="2">
        <f t="shared" si="1"/>
        <v>194.1610728249577</v>
      </c>
      <c r="H157" s="2">
        <f t="shared" si="2"/>
        <v>2.7269938159304332</v>
      </c>
      <c r="I157" s="2">
        <f t="shared" si="3"/>
        <v>221.78640704962214</v>
      </c>
      <c r="J157" s="2">
        <f t="shared" si="4"/>
        <v>27.625334224664442</v>
      </c>
      <c r="K157" s="15">
        <f t="shared" si="23"/>
        <v>0.55151353276353277</v>
      </c>
      <c r="L157" s="2">
        <f t="shared" si="14"/>
        <v>152</v>
      </c>
      <c r="M157" s="2">
        <f t="shared" si="21"/>
        <v>81.08</v>
      </c>
      <c r="N157" s="2">
        <v>13</v>
      </c>
      <c r="O157" s="2">
        <v>50.26548245743669</v>
      </c>
      <c r="P157" s="11">
        <f t="shared" si="5"/>
        <v>2.5862678252432989</v>
      </c>
      <c r="Q157" s="2">
        <f t="shared" si="6"/>
        <v>209.69459527072667</v>
      </c>
      <c r="R157" s="2">
        <f t="shared" si="7"/>
        <v>2.7659665035131269</v>
      </c>
      <c r="S157" s="2">
        <f t="shared" si="8"/>
        <v>224.26456410484431</v>
      </c>
      <c r="T157" s="2">
        <f t="shared" si="9"/>
        <v>14.569968834117645</v>
      </c>
    </row>
    <row r="158" spans="1:20" x14ac:dyDescent="0.25">
      <c r="A158" s="14">
        <f t="shared" si="22"/>
        <v>0.58125000000000004</v>
      </c>
      <c r="B158" s="2">
        <f t="shared" si="11"/>
        <v>153</v>
      </c>
      <c r="C158" s="4">
        <f t="shared" si="20"/>
        <v>81.83</v>
      </c>
      <c r="D158" s="2">
        <v>12</v>
      </c>
      <c r="E158" s="2">
        <v>50.26548245743669</v>
      </c>
      <c r="F158" s="11">
        <f t="shared" si="0"/>
        <v>2.3873241463784298</v>
      </c>
      <c r="G158" s="2">
        <f t="shared" si="1"/>
        <v>195.35473489814692</v>
      </c>
      <c r="H158" s="2">
        <f t="shared" si="2"/>
        <v>2.7269938159304332</v>
      </c>
      <c r="I158" s="2">
        <f t="shared" si="3"/>
        <v>223.14990395758736</v>
      </c>
      <c r="J158" s="2">
        <f t="shared" si="4"/>
        <v>27.79516905944044</v>
      </c>
      <c r="K158" s="15">
        <f t="shared" si="23"/>
        <v>0.55165598290598294</v>
      </c>
      <c r="L158" s="2">
        <f t="shared" si="14"/>
        <v>153</v>
      </c>
      <c r="M158" s="2">
        <f t="shared" si="21"/>
        <v>81.58</v>
      </c>
      <c r="N158" s="2">
        <v>12</v>
      </c>
      <c r="O158" s="2">
        <v>50.26548245743669</v>
      </c>
      <c r="P158" s="11">
        <f t="shared" si="5"/>
        <v>2.3873241463784298</v>
      </c>
      <c r="Q158" s="2">
        <f t="shared" si="6"/>
        <v>194.75790386155231</v>
      </c>
      <c r="R158" s="2">
        <f t="shared" si="7"/>
        <v>2.7659665035131269</v>
      </c>
      <c r="S158" s="2">
        <f t="shared" si="8"/>
        <v>225.64754735660088</v>
      </c>
      <c r="T158" s="2">
        <f t="shared" si="9"/>
        <v>30.889643495048574</v>
      </c>
    </row>
    <row r="159" spans="1:20" x14ac:dyDescent="0.25">
      <c r="A159" s="14">
        <f t="shared" si="22"/>
        <v>0.58148148148148149</v>
      </c>
      <c r="B159" s="2">
        <f t="shared" si="11"/>
        <v>154</v>
      </c>
      <c r="C159" s="4">
        <f t="shared" si="20"/>
        <v>82.33</v>
      </c>
      <c r="D159" s="2">
        <v>13</v>
      </c>
      <c r="E159" s="2">
        <v>50.26548245743669</v>
      </c>
      <c r="F159" s="11">
        <f t="shared" si="0"/>
        <v>2.5862678252432989</v>
      </c>
      <c r="G159" s="2">
        <f t="shared" si="1"/>
        <v>212.92743005228078</v>
      </c>
      <c r="H159" s="2">
        <f t="shared" si="2"/>
        <v>2.7269938159304332</v>
      </c>
      <c r="I159" s="2">
        <f t="shared" si="3"/>
        <v>224.51340086555257</v>
      </c>
      <c r="J159" s="2">
        <f t="shared" si="4"/>
        <v>11.585970813271786</v>
      </c>
      <c r="K159" s="15">
        <f t="shared" si="23"/>
        <v>0.55179843304843312</v>
      </c>
      <c r="L159" s="2">
        <f t="shared" si="14"/>
        <v>154</v>
      </c>
      <c r="M159" s="2">
        <f t="shared" si="21"/>
        <v>82.08</v>
      </c>
      <c r="N159" s="2">
        <v>11.5</v>
      </c>
      <c r="O159" s="2">
        <v>50.26548245743669</v>
      </c>
      <c r="P159" s="11">
        <f t="shared" si="5"/>
        <v>2.2878523069459957</v>
      </c>
      <c r="Q159" s="2">
        <f t="shared" si="6"/>
        <v>187.78691735412733</v>
      </c>
      <c r="R159" s="2">
        <f t="shared" si="7"/>
        <v>2.7659665035131269</v>
      </c>
      <c r="S159" s="2">
        <f t="shared" si="8"/>
        <v>227.03053060835745</v>
      </c>
      <c r="T159" s="2">
        <f t="shared" si="9"/>
        <v>39.243613254230127</v>
      </c>
    </row>
    <row r="160" spans="1:20" x14ac:dyDescent="0.25">
      <c r="A160" s="14">
        <f t="shared" si="22"/>
        <v>0.58171296296296304</v>
      </c>
      <c r="B160" s="2">
        <f t="shared" si="11"/>
        <v>155</v>
      </c>
      <c r="C160" s="4">
        <f t="shared" si="20"/>
        <v>82.83</v>
      </c>
      <c r="D160" s="2">
        <v>11</v>
      </c>
      <c r="E160" s="2">
        <v>50.26548245743669</v>
      </c>
      <c r="F160" s="11">
        <f t="shared" si="0"/>
        <v>2.1883804675135607</v>
      </c>
      <c r="G160" s="2">
        <f t="shared" si="1"/>
        <v>181.26355412414824</v>
      </c>
      <c r="H160" s="2">
        <f t="shared" si="2"/>
        <v>2.7269938159304332</v>
      </c>
      <c r="I160" s="2">
        <f t="shared" si="3"/>
        <v>225.87689777351778</v>
      </c>
      <c r="J160" s="2">
        <f t="shared" si="4"/>
        <v>44.61334364936954</v>
      </c>
      <c r="K160" s="15">
        <f t="shared" si="23"/>
        <v>0.55194088319088319</v>
      </c>
      <c r="L160" s="2">
        <f t="shared" si="14"/>
        <v>155</v>
      </c>
      <c r="M160" s="2">
        <f t="shared" si="21"/>
        <v>82.58</v>
      </c>
      <c r="N160" s="2">
        <v>11</v>
      </c>
      <c r="O160" s="2">
        <v>50.26548245743669</v>
      </c>
      <c r="P160" s="11">
        <f t="shared" si="5"/>
        <v>2.1883804675135607</v>
      </c>
      <c r="Q160" s="2">
        <f t="shared" si="6"/>
        <v>180.71645900726983</v>
      </c>
      <c r="R160" s="2">
        <f t="shared" si="7"/>
        <v>2.7659665035131269</v>
      </c>
      <c r="S160" s="2">
        <f t="shared" si="8"/>
        <v>228.41351386011402</v>
      </c>
      <c r="T160" s="2">
        <f t="shared" si="9"/>
        <v>47.69705485284419</v>
      </c>
    </row>
    <row r="161" spans="1:20" x14ac:dyDescent="0.25">
      <c r="A161" s="10">
        <v>0.58194444444444449</v>
      </c>
      <c r="B161" s="2">
        <f t="shared" si="11"/>
        <v>156</v>
      </c>
      <c r="C161" s="4">
        <f t="shared" si="20"/>
        <v>83.33</v>
      </c>
      <c r="D161" s="2">
        <v>9.5</v>
      </c>
      <c r="E161" s="2">
        <v>50.26548245743669</v>
      </c>
      <c r="F161" s="11">
        <f t="shared" si="0"/>
        <v>1.8899649492162571</v>
      </c>
      <c r="G161" s="2">
        <f t="shared" si="1"/>
        <v>157.49077921819071</v>
      </c>
      <c r="H161" s="2">
        <f t="shared" si="2"/>
        <v>2.7269938159304332</v>
      </c>
      <c r="I161" s="2">
        <f t="shared" si="3"/>
        <v>227.240394681483</v>
      </c>
      <c r="J161" s="2">
        <f t="shared" si="4"/>
        <v>69.749615463292287</v>
      </c>
      <c r="K161" s="12">
        <v>0.55208333333333337</v>
      </c>
      <c r="L161" s="2">
        <f t="shared" si="14"/>
        <v>156</v>
      </c>
      <c r="M161" s="2">
        <f t="shared" si="21"/>
        <v>83.08</v>
      </c>
      <c r="N161" s="2">
        <v>10</v>
      </c>
      <c r="O161" s="2">
        <v>50.26548245743669</v>
      </c>
      <c r="P161" s="11">
        <f t="shared" si="5"/>
        <v>1.9894367886486919</v>
      </c>
      <c r="Q161" s="2">
        <f t="shared" si="6"/>
        <v>165.28240840093332</v>
      </c>
      <c r="R161" s="2">
        <f t="shared" si="7"/>
        <v>2.7659665035131269</v>
      </c>
      <c r="S161" s="2">
        <f t="shared" si="8"/>
        <v>229.79649711187056</v>
      </c>
      <c r="T161" s="2">
        <f t="shared" si="9"/>
        <v>64.514088710937244</v>
      </c>
    </row>
    <row r="162" spans="1:20" x14ac:dyDescent="0.25">
      <c r="A162" s="14">
        <v>0.58194444444444449</v>
      </c>
      <c r="B162" s="2">
        <f t="shared" si="11"/>
        <v>157</v>
      </c>
      <c r="C162" s="4">
        <f t="shared" si="20"/>
        <v>83.83</v>
      </c>
      <c r="D162" s="2">
        <v>9.5</v>
      </c>
      <c r="E162" s="2">
        <v>50.26548245743669</v>
      </c>
      <c r="F162" s="11">
        <f t="shared" si="0"/>
        <v>1.8899649492162571</v>
      </c>
      <c r="G162" s="2">
        <f t="shared" si="1"/>
        <v>158.43576169279882</v>
      </c>
      <c r="H162" s="2">
        <f t="shared" si="2"/>
        <v>2.7269938159304332</v>
      </c>
      <c r="I162" s="2">
        <f t="shared" si="3"/>
        <v>228.60389158944821</v>
      </c>
      <c r="J162" s="2">
        <f t="shared" si="4"/>
        <v>70.16812989664939</v>
      </c>
      <c r="K162" s="15">
        <v>0.55208333333333337</v>
      </c>
      <c r="L162" s="2">
        <f t="shared" si="14"/>
        <v>157</v>
      </c>
      <c r="M162" s="2">
        <f t="shared" si="21"/>
        <v>83.58</v>
      </c>
      <c r="N162" s="2">
        <v>10</v>
      </c>
      <c r="O162" s="2">
        <v>50.26548245743669</v>
      </c>
      <c r="P162" s="11">
        <f t="shared" si="5"/>
        <v>1.9894367886486919</v>
      </c>
      <c r="Q162" s="2">
        <f t="shared" si="6"/>
        <v>166.27712679525766</v>
      </c>
      <c r="R162" s="2">
        <f t="shared" si="7"/>
        <v>2.7659665035131269</v>
      </c>
      <c r="S162" s="2">
        <f t="shared" si="8"/>
        <v>231.17948036362714</v>
      </c>
      <c r="T162" s="2">
        <f t="shared" si="9"/>
        <v>64.902353568369477</v>
      </c>
    </row>
    <row r="163" spans="1:20" x14ac:dyDescent="0.25">
      <c r="C163" s="4"/>
      <c r="F163" s="11"/>
      <c r="K163" s="15"/>
      <c r="P163" s="11"/>
    </row>
    <row r="164" spans="1:20" x14ac:dyDescent="0.25">
      <c r="C164" s="4"/>
      <c r="F164" s="11"/>
      <c r="K164" s="25"/>
      <c r="P164" s="11"/>
    </row>
    <row r="165" spans="1:20" x14ac:dyDescent="0.25">
      <c r="C165" s="4"/>
      <c r="F165" s="11"/>
      <c r="K165" s="25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31">
    <mergeCell ref="V28:X28"/>
    <mergeCell ref="V18:W18"/>
    <mergeCell ref="V19:X19"/>
    <mergeCell ref="W20:X20"/>
    <mergeCell ref="V21:W21"/>
    <mergeCell ref="V22:W23"/>
    <mergeCell ref="X22:X23"/>
    <mergeCell ref="V25:X25"/>
    <mergeCell ref="V15:W15"/>
    <mergeCell ref="V16:W16"/>
    <mergeCell ref="V17:W17"/>
    <mergeCell ref="V26:X26"/>
    <mergeCell ref="V27:X27"/>
    <mergeCell ref="V10:W10"/>
    <mergeCell ref="V11:W11"/>
    <mergeCell ref="V12:W12"/>
    <mergeCell ref="V13:W13"/>
    <mergeCell ref="V14:W14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E4:F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174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15639.905588605185</v>
      </c>
      <c r="G2" s="4">
        <f>SUM(C6:C174)</f>
        <v>6934.3099999999931</v>
      </c>
      <c r="H2" s="2">
        <f>F2/G2</f>
        <v>2.2554379006137886</v>
      </c>
      <c r="I2" s="2">
        <f>SUM(J6:J174)</f>
        <v>2518.6639537864044</v>
      </c>
      <c r="J2" s="2">
        <f>(1-(I2/(F2)))*100</f>
        <v>83.895913312792402</v>
      </c>
      <c r="K2" s="1"/>
      <c r="L2" s="1"/>
      <c r="M2" s="1"/>
      <c r="N2" s="1"/>
      <c r="O2" s="1"/>
      <c r="P2" s="2">
        <f>SUM(Q6:Q174)</f>
        <v>16549.484046122525</v>
      </c>
      <c r="Q2" s="2">
        <f>SUM(M6:M174)</f>
        <v>6895.0599999999931</v>
      </c>
      <c r="R2" s="2">
        <f>P2/Q2</f>
        <v>2.4001943487253978</v>
      </c>
      <c r="S2" s="2">
        <f>SUM(T6:T174)</f>
        <v>2494.5063829223118</v>
      </c>
      <c r="T2" s="2">
        <f>(1-(S2/(P2)))*100</f>
        <v>84.926983971402038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48" t="s">
        <v>56</v>
      </c>
      <c r="F4" s="32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48" t="s">
        <v>56</v>
      </c>
      <c r="P4" s="32"/>
      <c r="V4" s="34" t="s">
        <v>12</v>
      </c>
      <c r="W4" s="36"/>
      <c r="X4" s="6" t="s">
        <v>56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45784</v>
      </c>
    </row>
    <row r="6" spans="1:24" x14ac:dyDescent="0.25">
      <c r="A6" s="10">
        <v>0.63680555555555551</v>
      </c>
      <c r="B6" s="2">
        <v>1</v>
      </c>
      <c r="C6" s="4">
        <v>4.83</v>
      </c>
      <c r="D6" s="2">
        <v>7.5</v>
      </c>
      <c r="E6" s="2">
        <v>50.26548245743669</v>
      </c>
      <c r="F6" s="11">
        <f t="shared" ref="F6:F162" si="0">(D6/E6)*10</f>
        <v>1.492077591486519</v>
      </c>
      <c r="G6" s="2">
        <f t="shared" ref="G6:G162" si="1">F6*C6</f>
        <v>7.2067347668798867</v>
      </c>
      <c r="H6" s="2">
        <f t="shared" ref="H6:H162" si="2">$H$2</f>
        <v>2.2554379006137886</v>
      </c>
      <c r="I6" s="2">
        <f t="shared" ref="I6:I162" si="3">H6*C6</f>
        <v>10.893765059964599</v>
      </c>
      <c r="J6" s="2">
        <f t="shared" ref="J6:J162" si="4">ABS(G6-I6)</f>
        <v>3.6870302930847121</v>
      </c>
      <c r="K6" s="12">
        <v>0.52986111111111112</v>
      </c>
      <c r="L6" s="2">
        <v>1</v>
      </c>
      <c r="M6" s="2">
        <v>4.58</v>
      </c>
      <c r="N6" s="2">
        <v>7</v>
      </c>
      <c r="O6" s="2">
        <v>50.26548245743669</v>
      </c>
      <c r="P6" s="11">
        <f t="shared" ref="P6:P162" si="5">(N6/O6)*10</f>
        <v>1.3926057520540844</v>
      </c>
      <c r="Q6" s="2">
        <f t="shared" ref="Q6:Q162" si="6">P6*M6</f>
        <v>6.378134344407707</v>
      </c>
      <c r="R6" s="2">
        <f t="shared" ref="R6:R162" si="7">$R$2</f>
        <v>2.4001943487253978</v>
      </c>
      <c r="S6" s="2">
        <f t="shared" ref="S6:S162" si="8">R6*M6</f>
        <v>10.992890117162322</v>
      </c>
      <c r="T6" s="2">
        <f t="shared" ref="T6:T162" si="9">ABS(Q6-S6)</f>
        <v>4.6147557727546147</v>
      </c>
      <c r="V6" s="37" t="s">
        <v>23</v>
      </c>
      <c r="W6" s="36"/>
      <c r="X6" s="13" t="s">
        <v>57</v>
      </c>
    </row>
    <row r="7" spans="1:24" x14ac:dyDescent="0.25">
      <c r="A7" s="14">
        <f t="shared" ref="A7:A43" si="10">IF(AND($A$6&lt;&gt;"",$A$44&lt;&gt;""), $A$6 + (B7 - $B$6) * (($A$44 - $A$6) / ($B$44 - $B$6)), "")</f>
        <v>0.63707967836257307</v>
      </c>
      <c r="B7" s="2">
        <f t="shared" ref="B7:B162" si="11">B6+1</f>
        <v>2</v>
      </c>
      <c r="C7" s="4">
        <f t="shared" ref="C7:C109" si="12">C6+0.5</f>
        <v>5.33</v>
      </c>
      <c r="D7" s="2">
        <v>8</v>
      </c>
      <c r="E7" s="2">
        <v>50.26548245743669</v>
      </c>
      <c r="F7" s="11">
        <f t="shared" si="0"/>
        <v>1.5915494309189535</v>
      </c>
      <c r="G7" s="2">
        <f t="shared" si="1"/>
        <v>8.4829584667980225</v>
      </c>
      <c r="H7" s="2">
        <f t="shared" si="2"/>
        <v>2.2554379006137886</v>
      </c>
      <c r="I7" s="2">
        <f t="shared" si="3"/>
        <v>12.021484010271493</v>
      </c>
      <c r="J7" s="2">
        <f t="shared" si="4"/>
        <v>3.5385255434734706</v>
      </c>
      <c r="K7" s="15">
        <f t="shared" ref="K7:K43" si="13">IF(AND($K$6&lt;&gt;"",$K$44&lt;&gt;""), $K$6 + (L7 - $L$6) * (($K$44 - $K$6) / ($L$44 - $L$6)), "")</f>
        <v>0.53183479532163747</v>
      </c>
      <c r="L7" s="2">
        <f t="shared" ref="L7:L162" si="14">L6+1</f>
        <v>2</v>
      </c>
      <c r="M7" s="2">
        <f t="shared" ref="M7:M109" si="15">M6+0.5</f>
        <v>5.08</v>
      </c>
      <c r="N7" s="2">
        <v>9</v>
      </c>
      <c r="O7" s="2">
        <v>50.26548245743669</v>
      </c>
      <c r="P7" s="11">
        <f t="shared" si="5"/>
        <v>1.7904931097838226</v>
      </c>
      <c r="Q7" s="2">
        <f t="shared" si="6"/>
        <v>9.0957049977018194</v>
      </c>
      <c r="R7" s="2">
        <f t="shared" si="7"/>
        <v>2.4001943487253978</v>
      </c>
      <c r="S7" s="2">
        <f t="shared" si="8"/>
        <v>12.192987291525021</v>
      </c>
      <c r="T7" s="2">
        <f t="shared" si="9"/>
        <v>3.0972822938232021</v>
      </c>
      <c r="V7" s="37" t="s">
        <v>24</v>
      </c>
      <c r="W7" s="36"/>
      <c r="X7" s="6" t="s">
        <v>58</v>
      </c>
    </row>
    <row r="8" spans="1:24" x14ac:dyDescent="0.25">
      <c r="A8" s="14">
        <f t="shared" si="10"/>
        <v>0.63735380116959062</v>
      </c>
      <c r="B8" s="2">
        <f t="shared" si="11"/>
        <v>3</v>
      </c>
      <c r="C8" s="4">
        <f t="shared" si="12"/>
        <v>5.83</v>
      </c>
      <c r="D8" s="2">
        <v>11</v>
      </c>
      <c r="E8" s="2">
        <v>50.26548245743669</v>
      </c>
      <c r="F8" s="11">
        <f t="shared" si="0"/>
        <v>2.1883804675135607</v>
      </c>
      <c r="G8" s="2">
        <f t="shared" si="1"/>
        <v>12.75825812560406</v>
      </c>
      <c r="H8" s="2">
        <f t="shared" si="2"/>
        <v>2.2554379006137886</v>
      </c>
      <c r="I8" s="2">
        <f t="shared" si="3"/>
        <v>13.149202960578387</v>
      </c>
      <c r="J8" s="2">
        <f t="shared" si="4"/>
        <v>0.39094483497432719</v>
      </c>
      <c r="K8" s="15">
        <f t="shared" si="13"/>
        <v>0.5338084795321637</v>
      </c>
      <c r="L8" s="2">
        <f t="shared" si="14"/>
        <v>3</v>
      </c>
      <c r="M8" s="2">
        <f t="shared" si="15"/>
        <v>5.58</v>
      </c>
      <c r="N8" s="2">
        <v>11</v>
      </c>
      <c r="O8" s="2">
        <v>50.26548245743669</v>
      </c>
      <c r="P8" s="11">
        <f t="shared" si="5"/>
        <v>2.1883804675135607</v>
      </c>
      <c r="Q8" s="2">
        <f t="shared" si="6"/>
        <v>12.21116300872567</v>
      </c>
      <c r="R8" s="2">
        <f t="shared" si="7"/>
        <v>2.4001943487253978</v>
      </c>
      <c r="S8" s="2">
        <f t="shared" si="8"/>
        <v>13.39308446588772</v>
      </c>
      <c r="T8" s="2">
        <f t="shared" si="9"/>
        <v>1.1819214571620495</v>
      </c>
      <c r="V8" s="34" t="s">
        <v>25</v>
      </c>
      <c r="W8" s="35"/>
      <c r="X8" s="36"/>
    </row>
    <row r="9" spans="1:24" x14ac:dyDescent="0.25">
      <c r="A9" s="14">
        <f t="shared" si="10"/>
        <v>0.63762792397660817</v>
      </c>
      <c r="B9" s="2">
        <f t="shared" si="11"/>
        <v>4</v>
      </c>
      <c r="C9" s="4">
        <f t="shared" si="12"/>
        <v>6.33</v>
      </c>
      <c r="D9" s="2">
        <v>12.5</v>
      </c>
      <c r="E9" s="2">
        <v>50.26548245743669</v>
      </c>
      <c r="F9" s="11">
        <f t="shared" si="0"/>
        <v>2.4867959858108648</v>
      </c>
      <c r="G9" s="2">
        <f t="shared" si="1"/>
        <v>15.741418590182775</v>
      </c>
      <c r="H9" s="2">
        <f t="shared" si="2"/>
        <v>2.2554379006137886</v>
      </c>
      <c r="I9" s="2">
        <f t="shared" si="3"/>
        <v>14.276921910885282</v>
      </c>
      <c r="J9" s="2">
        <f t="shared" si="4"/>
        <v>1.4644966792974934</v>
      </c>
      <c r="K9" s="15">
        <f t="shared" si="13"/>
        <v>0.53578216374269005</v>
      </c>
      <c r="L9" s="2">
        <f t="shared" si="14"/>
        <v>4</v>
      </c>
      <c r="M9" s="2">
        <f t="shared" si="15"/>
        <v>6.08</v>
      </c>
      <c r="N9" s="2">
        <v>12</v>
      </c>
      <c r="O9" s="2">
        <v>50.26548245743669</v>
      </c>
      <c r="P9" s="11">
        <f t="shared" si="5"/>
        <v>2.3873241463784298</v>
      </c>
      <c r="Q9" s="2">
        <f t="shared" si="6"/>
        <v>14.514930809980854</v>
      </c>
      <c r="R9" s="2">
        <f t="shared" si="7"/>
        <v>2.4001943487253978</v>
      </c>
      <c r="S9" s="2">
        <f t="shared" si="8"/>
        <v>14.593181640250419</v>
      </c>
      <c r="T9" s="2">
        <f t="shared" si="9"/>
        <v>7.8250830269565697E-2</v>
      </c>
      <c r="V9" s="34" t="s">
        <v>26</v>
      </c>
      <c r="W9" s="36"/>
      <c r="X9" s="16">
        <v>0.55069444444444449</v>
      </c>
    </row>
    <row r="10" spans="1:24" x14ac:dyDescent="0.25">
      <c r="A10" s="14">
        <f t="shared" si="10"/>
        <v>0.63790204678362572</v>
      </c>
      <c r="B10" s="2">
        <f t="shared" si="11"/>
        <v>5</v>
      </c>
      <c r="C10" s="4">
        <f t="shared" si="12"/>
        <v>6.83</v>
      </c>
      <c r="D10" s="2">
        <v>15.5</v>
      </c>
      <c r="E10" s="2">
        <v>50.26548245743669</v>
      </c>
      <c r="F10" s="11">
        <f t="shared" si="0"/>
        <v>3.0836270224054725</v>
      </c>
      <c r="G10" s="2">
        <f t="shared" si="1"/>
        <v>21.061172563029377</v>
      </c>
      <c r="H10" s="2">
        <f t="shared" si="2"/>
        <v>2.2554379006137886</v>
      </c>
      <c r="I10" s="2">
        <f t="shared" si="3"/>
        <v>15.404640861192176</v>
      </c>
      <c r="J10" s="2">
        <f t="shared" si="4"/>
        <v>5.656531701837201</v>
      </c>
      <c r="K10" s="15">
        <f t="shared" si="13"/>
        <v>0.5377558479532164</v>
      </c>
      <c r="L10" s="2">
        <f t="shared" si="14"/>
        <v>5</v>
      </c>
      <c r="M10" s="2">
        <f t="shared" si="15"/>
        <v>6.58</v>
      </c>
      <c r="N10" s="2">
        <v>14</v>
      </c>
      <c r="O10" s="2">
        <v>50.26548245743669</v>
      </c>
      <c r="P10" s="11">
        <f t="shared" si="5"/>
        <v>2.7852115041081689</v>
      </c>
      <c r="Q10" s="2">
        <f t="shared" si="6"/>
        <v>18.326691697031752</v>
      </c>
      <c r="R10" s="2">
        <f t="shared" si="7"/>
        <v>2.4001943487253978</v>
      </c>
      <c r="S10" s="2">
        <f t="shared" si="8"/>
        <v>15.793278814613117</v>
      </c>
      <c r="T10" s="2">
        <f t="shared" si="9"/>
        <v>2.5334128824186344</v>
      </c>
      <c r="V10" s="34" t="s">
        <v>27</v>
      </c>
      <c r="W10" s="36"/>
      <c r="X10" s="6">
        <v>50</v>
      </c>
    </row>
    <row r="11" spans="1:24" x14ac:dyDescent="0.25">
      <c r="A11" s="14">
        <f t="shared" si="10"/>
        <v>0.63817616959064327</v>
      </c>
      <c r="B11" s="2">
        <f t="shared" si="11"/>
        <v>6</v>
      </c>
      <c r="C11" s="4">
        <f t="shared" si="12"/>
        <v>7.33</v>
      </c>
      <c r="D11" s="2">
        <v>29.5</v>
      </c>
      <c r="E11" s="2">
        <v>50.26548245743669</v>
      </c>
      <c r="F11" s="11">
        <f t="shared" si="0"/>
        <v>5.8688385265136409</v>
      </c>
      <c r="G11" s="2">
        <f t="shared" si="1"/>
        <v>43.01858639934499</v>
      </c>
      <c r="H11" s="2">
        <f t="shared" si="2"/>
        <v>2.2554379006137886</v>
      </c>
      <c r="I11" s="2">
        <f t="shared" si="3"/>
        <v>16.53235981149907</v>
      </c>
      <c r="J11" s="2">
        <f t="shared" si="4"/>
        <v>26.48622658784592</v>
      </c>
      <c r="K11" s="15">
        <f t="shared" si="13"/>
        <v>0.53972953216374264</v>
      </c>
      <c r="L11" s="2">
        <f t="shared" si="14"/>
        <v>6</v>
      </c>
      <c r="M11" s="2">
        <f t="shared" si="15"/>
        <v>7.08</v>
      </c>
      <c r="N11" s="2">
        <v>15.5</v>
      </c>
      <c r="O11" s="2">
        <v>50.26548245743669</v>
      </c>
      <c r="P11" s="11">
        <f t="shared" si="5"/>
        <v>3.0836270224054725</v>
      </c>
      <c r="Q11" s="2">
        <f t="shared" si="6"/>
        <v>21.832079318630747</v>
      </c>
      <c r="R11" s="2">
        <f t="shared" si="7"/>
        <v>2.4001943487253978</v>
      </c>
      <c r="S11" s="2">
        <f t="shared" si="8"/>
        <v>16.993375988975817</v>
      </c>
      <c r="T11" s="2">
        <f t="shared" si="9"/>
        <v>4.8387033296549298</v>
      </c>
      <c r="V11" s="34" t="s">
        <v>28</v>
      </c>
      <c r="W11" s="36"/>
      <c r="X11" s="6">
        <v>50</v>
      </c>
    </row>
    <row r="12" spans="1:24" x14ac:dyDescent="0.25">
      <c r="A12" s="14">
        <f t="shared" si="10"/>
        <v>0.63845029239766082</v>
      </c>
      <c r="B12" s="2">
        <f t="shared" si="11"/>
        <v>7</v>
      </c>
      <c r="C12" s="4">
        <f t="shared" si="12"/>
        <v>7.83</v>
      </c>
      <c r="D12" s="23">
        <v>14.5</v>
      </c>
      <c r="E12" s="2">
        <v>50.26548245743669</v>
      </c>
      <c r="F12" s="11">
        <f t="shared" si="0"/>
        <v>2.8846833435406034</v>
      </c>
      <c r="G12" s="2">
        <f t="shared" si="1"/>
        <v>22.587070579922926</v>
      </c>
      <c r="H12" s="2">
        <f t="shared" si="2"/>
        <v>2.2554379006137886</v>
      </c>
      <c r="I12" s="2">
        <f t="shared" si="3"/>
        <v>17.660078761805966</v>
      </c>
      <c r="J12" s="2">
        <f t="shared" si="4"/>
        <v>4.9269918181169601</v>
      </c>
      <c r="K12" s="15">
        <f t="shared" si="13"/>
        <v>0.54170321637426899</v>
      </c>
      <c r="L12" s="2">
        <f t="shared" si="14"/>
        <v>7</v>
      </c>
      <c r="M12" s="2">
        <f t="shared" si="15"/>
        <v>7.58</v>
      </c>
      <c r="N12" s="21">
        <v>18.5</v>
      </c>
      <c r="O12" s="2">
        <v>50.26548245743669</v>
      </c>
      <c r="P12" s="11">
        <f t="shared" si="5"/>
        <v>3.6804580590000797</v>
      </c>
      <c r="Q12" s="2">
        <f t="shared" si="6"/>
        <v>27.897872087220605</v>
      </c>
      <c r="R12" s="2">
        <f t="shared" si="7"/>
        <v>2.4001943487253978</v>
      </c>
      <c r="S12" s="2">
        <f t="shared" si="8"/>
        <v>18.193473163338517</v>
      </c>
      <c r="T12" s="2">
        <f t="shared" si="9"/>
        <v>9.7043989238820885</v>
      </c>
      <c r="V12" s="34" t="s">
        <v>29</v>
      </c>
      <c r="W12" s="36"/>
      <c r="X12" s="6">
        <v>50</v>
      </c>
    </row>
    <row r="13" spans="1:24" x14ac:dyDescent="0.25">
      <c r="A13" s="14">
        <f t="shared" si="10"/>
        <v>0.63872441520467838</v>
      </c>
      <c r="B13" s="2">
        <f t="shared" si="11"/>
        <v>8</v>
      </c>
      <c r="C13" s="4">
        <f t="shared" si="12"/>
        <v>8.33</v>
      </c>
      <c r="D13" s="2">
        <v>14</v>
      </c>
      <c r="E13" s="2">
        <v>50.26548245743669</v>
      </c>
      <c r="F13" s="11">
        <f t="shared" si="0"/>
        <v>2.7852115041081689</v>
      </c>
      <c r="G13" s="2">
        <f t="shared" si="1"/>
        <v>23.200811829221045</v>
      </c>
      <c r="H13" s="2">
        <f t="shared" si="2"/>
        <v>2.2554379006137886</v>
      </c>
      <c r="I13" s="2">
        <f t="shared" si="3"/>
        <v>18.787797712112859</v>
      </c>
      <c r="J13" s="2">
        <f t="shared" si="4"/>
        <v>4.4130141171081867</v>
      </c>
      <c r="K13" s="15">
        <f t="shared" si="13"/>
        <v>0.54367690058479534</v>
      </c>
      <c r="L13" s="2">
        <f t="shared" si="14"/>
        <v>8</v>
      </c>
      <c r="M13" s="2">
        <f t="shared" si="15"/>
        <v>8.08</v>
      </c>
      <c r="N13" s="2">
        <v>15</v>
      </c>
      <c r="O13" s="2">
        <v>50.26548245743669</v>
      </c>
      <c r="P13" s="11">
        <f t="shared" si="5"/>
        <v>2.9841551829730379</v>
      </c>
      <c r="Q13" s="2">
        <f t="shared" si="6"/>
        <v>24.111973878422148</v>
      </c>
      <c r="R13" s="2">
        <f t="shared" si="7"/>
        <v>2.4001943487253978</v>
      </c>
      <c r="S13" s="2">
        <f t="shared" si="8"/>
        <v>19.393570337701213</v>
      </c>
      <c r="T13" s="2">
        <f t="shared" si="9"/>
        <v>4.718403540720935</v>
      </c>
      <c r="V13" s="34" t="s">
        <v>30</v>
      </c>
      <c r="W13" s="36"/>
      <c r="X13" s="16">
        <v>0.67500000000000004</v>
      </c>
    </row>
    <row r="14" spans="1:24" x14ac:dyDescent="0.25">
      <c r="A14" s="14">
        <f t="shared" si="10"/>
        <v>0.63899853801169593</v>
      </c>
      <c r="B14" s="2">
        <f t="shared" si="11"/>
        <v>9</v>
      </c>
      <c r="C14" s="4">
        <f t="shared" si="12"/>
        <v>8.83</v>
      </c>
      <c r="D14" s="2">
        <v>14.5</v>
      </c>
      <c r="E14" s="2">
        <v>50.26548245743669</v>
      </c>
      <c r="F14" s="11">
        <f t="shared" si="0"/>
        <v>2.8846833435406034</v>
      </c>
      <c r="G14" s="2">
        <f t="shared" si="1"/>
        <v>25.471753923463528</v>
      </c>
      <c r="H14" s="2">
        <f t="shared" si="2"/>
        <v>2.2554379006137886</v>
      </c>
      <c r="I14" s="2">
        <f t="shared" si="3"/>
        <v>19.915516662419755</v>
      </c>
      <c r="J14" s="2">
        <f t="shared" si="4"/>
        <v>5.5562372610437727</v>
      </c>
      <c r="K14" s="15">
        <f t="shared" si="13"/>
        <v>0.54565058479532158</v>
      </c>
      <c r="L14" s="2">
        <f t="shared" si="14"/>
        <v>9</v>
      </c>
      <c r="M14" s="2">
        <f t="shared" si="15"/>
        <v>8.58</v>
      </c>
      <c r="N14" s="2">
        <v>16</v>
      </c>
      <c r="O14" s="2">
        <v>50.26548245743669</v>
      </c>
      <c r="P14" s="11">
        <f t="shared" si="5"/>
        <v>3.183098861837907</v>
      </c>
      <c r="Q14" s="2">
        <f t="shared" si="6"/>
        <v>27.310988234569244</v>
      </c>
      <c r="R14" s="2">
        <f t="shared" si="7"/>
        <v>2.4001943487253978</v>
      </c>
      <c r="S14" s="2">
        <f t="shared" si="8"/>
        <v>20.593667512063913</v>
      </c>
      <c r="T14" s="2">
        <f t="shared" si="9"/>
        <v>6.7173207225053311</v>
      </c>
      <c r="V14" s="34" t="s">
        <v>31</v>
      </c>
      <c r="W14" s="36"/>
      <c r="X14" s="6">
        <v>45</v>
      </c>
    </row>
    <row r="15" spans="1:24" x14ac:dyDescent="0.25">
      <c r="A15" s="14">
        <f t="shared" si="10"/>
        <v>0.63927266081871348</v>
      </c>
      <c r="B15" s="2">
        <f t="shared" si="11"/>
        <v>10</v>
      </c>
      <c r="C15" s="4">
        <f t="shared" si="12"/>
        <v>9.33</v>
      </c>
      <c r="D15" s="2">
        <v>15.5</v>
      </c>
      <c r="E15" s="2">
        <v>50.26548245743669</v>
      </c>
      <c r="F15" s="11">
        <f t="shared" si="0"/>
        <v>3.0836270224054725</v>
      </c>
      <c r="G15" s="2">
        <f t="shared" si="1"/>
        <v>28.770240119043059</v>
      </c>
      <c r="H15" s="2">
        <f t="shared" si="2"/>
        <v>2.2554379006137886</v>
      </c>
      <c r="I15" s="2">
        <f t="shared" si="3"/>
        <v>21.043235612726647</v>
      </c>
      <c r="J15" s="2">
        <f t="shared" si="4"/>
        <v>7.7270045063164119</v>
      </c>
      <c r="K15" s="15">
        <f t="shared" si="13"/>
        <v>0.54762426900584793</v>
      </c>
      <c r="L15" s="2">
        <f t="shared" si="14"/>
        <v>10</v>
      </c>
      <c r="M15" s="2">
        <f t="shared" si="15"/>
        <v>9.08</v>
      </c>
      <c r="N15" s="2">
        <v>15.5</v>
      </c>
      <c r="O15" s="2">
        <v>50.26548245743669</v>
      </c>
      <c r="P15" s="11">
        <f t="shared" si="5"/>
        <v>3.0836270224054725</v>
      </c>
      <c r="Q15" s="2">
        <f t="shared" si="6"/>
        <v>27.999333363441689</v>
      </c>
      <c r="R15" s="2">
        <f t="shared" si="7"/>
        <v>2.4001943487253978</v>
      </c>
      <c r="S15" s="2">
        <f t="shared" si="8"/>
        <v>21.793764686426613</v>
      </c>
      <c r="T15" s="2">
        <f t="shared" si="9"/>
        <v>6.2055686770150764</v>
      </c>
      <c r="V15" s="34" t="s">
        <v>32</v>
      </c>
      <c r="W15" s="36"/>
      <c r="X15" s="6">
        <v>45</v>
      </c>
    </row>
    <row r="16" spans="1:24" x14ac:dyDescent="0.25">
      <c r="A16" s="14">
        <f t="shared" si="10"/>
        <v>0.63954678362573092</v>
      </c>
      <c r="B16" s="2">
        <f t="shared" si="11"/>
        <v>11</v>
      </c>
      <c r="C16" s="4">
        <f t="shared" si="12"/>
        <v>9.83</v>
      </c>
      <c r="D16" s="2">
        <v>14.5</v>
      </c>
      <c r="E16" s="2">
        <v>50.26548245743669</v>
      </c>
      <c r="F16" s="11">
        <f t="shared" si="0"/>
        <v>2.8846833435406034</v>
      </c>
      <c r="G16" s="2">
        <f t="shared" si="1"/>
        <v>28.356437267004132</v>
      </c>
      <c r="H16" s="2">
        <f t="shared" si="2"/>
        <v>2.2554379006137886</v>
      </c>
      <c r="I16" s="2">
        <f t="shared" si="3"/>
        <v>22.170954563033543</v>
      </c>
      <c r="J16" s="2">
        <f t="shared" si="4"/>
        <v>6.1854827039705889</v>
      </c>
      <c r="K16" s="15">
        <f t="shared" si="13"/>
        <v>0.54959795321637428</v>
      </c>
      <c r="L16" s="2">
        <f t="shared" si="14"/>
        <v>11</v>
      </c>
      <c r="M16" s="2">
        <f t="shared" si="15"/>
        <v>9.58</v>
      </c>
      <c r="N16" s="2">
        <v>17</v>
      </c>
      <c r="O16" s="2">
        <v>50.26548245743669</v>
      </c>
      <c r="P16" s="11">
        <f t="shared" si="5"/>
        <v>3.3820425407027761</v>
      </c>
      <c r="Q16" s="2">
        <f t="shared" si="6"/>
        <v>32.399967539932597</v>
      </c>
      <c r="R16" s="2">
        <f t="shared" si="7"/>
        <v>2.4001943487253978</v>
      </c>
      <c r="S16" s="2">
        <f t="shared" si="8"/>
        <v>22.993861860789313</v>
      </c>
      <c r="T16" s="2">
        <f t="shared" si="9"/>
        <v>9.406105679143284</v>
      </c>
      <c r="V16" s="34" t="s">
        <v>33</v>
      </c>
      <c r="W16" s="36"/>
      <c r="X16" s="6">
        <v>45</v>
      </c>
    </row>
    <row r="17" spans="1:24" x14ac:dyDescent="0.25">
      <c r="A17" s="14">
        <f t="shared" si="10"/>
        <v>0.63982090643274847</v>
      </c>
      <c r="B17" s="2">
        <f t="shared" si="11"/>
        <v>12</v>
      </c>
      <c r="C17" s="4">
        <f t="shared" si="12"/>
        <v>10.33</v>
      </c>
      <c r="D17" s="2">
        <v>10</v>
      </c>
      <c r="E17" s="2">
        <v>50.26548245743669</v>
      </c>
      <c r="F17" s="11">
        <f t="shared" si="0"/>
        <v>1.9894367886486919</v>
      </c>
      <c r="G17" s="2">
        <f t="shared" si="1"/>
        <v>20.550882026740986</v>
      </c>
      <c r="H17" s="2">
        <f t="shared" si="2"/>
        <v>2.2554379006137886</v>
      </c>
      <c r="I17" s="2">
        <f t="shared" si="3"/>
        <v>23.298673513340436</v>
      </c>
      <c r="J17" s="2">
        <f t="shared" si="4"/>
        <v>2.7477914865994499</v>
      </c>
      <c r="K17" s="15">
        <f t="shared" si="13"/>
        <v>0.55157163742690063</v>
      </c>
      <c r="L17" s="2">
        <f t="shared" si="14"/>
        <v>12</v>
      </c>
      <c r="M17" s="2">
        <f t="shared" si="15"/>
        <v>10.08</v>
      </c>
      <c r="N17" s="2">
        <v>13</v>
      </c>
      <c r="O17" s="2">
        <v>50.26548245743669</v>
      </c>
      <c r="P17" s="11">
        <f t="shared" si="5"/>
        <v>2.5862678252432989</v>
      </c>
      <c r="Q17" s="2">
        <f t="shared" si="6"/>
        <v>26.069579678452452</v>
      </c>
      <c r="R17" s="2">
        <f t="shared" si="7"/>
        <v>2.4001943487253978</v>
      </c>
      <c r="S17" s="2">
        <f t="shared" si="8"/>
        <v>24.193959035152009</v>
      </c>
      <c r="T17" s="2">
        <f t="shared" si="9"/>
        <v>1.8756206433004436</v>
      </c>
      <c r="V17" s="38" t="s">
        <v>34</v>
      </c>
      <c r="W17" s="36"/>
      <c r="X17" s="17">
        <f>((X10-X14)+(X11-X15)+(X12-X16))/3</f>
        <v>5</v>
      </c>
    </row>
    <row r="18" spans="1:24" x14ac:dyDescent="0.25">
      <c r="A18" s="14">
        <f t="shared" si="10"/>
        <v>0.64009502923976602</v>
      </c>
      <c r="B18" s="2">
        <f t="shared" si="11"/>
        <v>13</v>
      </c>
      <c r="C18" s="4">
        <f t="shared" si="12"/>
        <v>10.83</v>
      </c>
      <c r="D18" s="2">
        <v>9</v>
      </c>
      <c r="E18" s="2">
        <v>50.26548245743669</v>
      </c>
      <c r="F18" s="11">
        <f t="shared" si="0"/>
        <v>1.7904931097838226</v>
      </c>
      <c r="G18" s="2">
        <f t="shared" si="1"/>
        <v>19.391040378958799</v>
      </c>
      <c r="H18" s="2">
        <f t="shared" si="2"/>
        <v>2.2554379006137886</v>
      </c>
      <c r="I18" s="2">
        <f t="shared" si="3"/>
        <v>24.426392463647332</v>
      </c>
      <c r="J18" s="2">
        <f t="shared" si="4"/>
        <v>5.0353520846885331</v>
      </c>
      <c r="K18" s="15">
        <f t="shared" si="13"/>
        <v>0.55354532163742687</v>
      </c>
      <c r="L18" s="2">
        <f t="shared" si="14"/>
        <v>13</v>
      </c>
      <c r="M18" s="2">
        <f t="shared" si="15"/>
        <v>10.58</v>
      </c>
      <c r="N18" s="2">
        <v>11.5</v>
      </c>
      <c r="O18" s="2">
        <v>50.26548245743669</v>
      </c>
      <c r="P18" s="11">
        <f t="shared" si="5"/>
        <v>2.2878523069459957</v>
      </c>
      <c r="Q18" s="2">
        <f t="shared" si="6"/>
        <v>24.205477407488637</v>
      </c>
      <c r="R18" s="2">
        <f t="shared" si="7"/>
        <v>2.4001943487253978</v>
      </c>
      <c r="S18" s="2">
        <f t="shared" si="8"/>
        <v>25.394056209514709</v>
      </c>
      <c r="T18" s="2">
        <f t="shared" si="9"/>
        <v>1.1885788020260719</v>
      </c>
      <c r="V18" s="38" t="s">
        <v>35</v>
      </c>
      <c r="W18" s="36"/>
      <c r="X18" s="18" t="s">
        <v>41</v>
      </c>
    </row>
    <row r="19" spans="1:24" x14ac:dyDescent="0.25">
      <c r="A19" s="14">
        <f t="shared" si="10"/>
        <v>0.64036915204678357</v>
      </c>
      <c r="B19" s="2">
        <f t="shared" si="11"/>
        <v>14</v>
      </c>
      <c r="C19" s="4">
        <f t="shared" si="12"/>
        <v>11.33</v>
      </c>
      <c r="D19" s="2">
        <v>10</v>
      </c>
      <c r="E19" s="2">
        <v>50.26548245743669</v>
      </c>
      <c r="F19" s="11">
        <f t="shared" si="0"/>
        <v>1.9894367886486919</v>
      </c>
      <c r="G19" s="2">
        <f t="shared" si="1"/>
        <v>22.540318815389679</v>
      </c>
      <c r="H19" s="2">
        <f t="shared" si="2"/>
        <v>2.2554379006137886</v>
      </c>
      <c r="I19" s="2">
        <f t="shared" si="3"/>
        <v>25.554111413954224</v>
      </c>
      <c r="J19" s="2">
        <f t="shared" si="4"/>
        <v>3.013792598564546</v>
      </c>
      <c r="K19" s="15">
        <f t="shared" si="13"/>
        <v>0.55551900584795322</v>
      </c>
      <c r="L19" s="2">
        <f t="shared" si="14"/>
        <v>14</v>
      </c>
      <c r="M19" s="2">
        <f t="shared" si="15"/>
        <v>11.08</v>
      </c>
      <c r="N19" s="2">
        <v>12</v>
      </c>
      <c r="O19" s="2">
        <v>50.26548245743669</v>
      </c>
      <c r="P19" s="11">
        <f t="shared" si="5"/>
        <v>2.3873241463784298</v>
      </c>
      <c r="Q19" s="2">
        <f t="shared" si="6"/>
        <v>26.451551541873002</v>
      </c>
      <c r="R19" s="2">
        <f t="shared" si="7"/>
        <v>2.4001943487253978</v>
      </c>
      <c r="S19" s="2">
        <f t="shared" si="8"/>
        <v>26.594153383877408</v>
      </c>
      <c r="T19" s="2">
        <f t="shared" si="9"/>
        <v>0.14260184200440662</v>
      </c>
      <c r="V19" s="39" t="s">
        <v>37</v>
      </c>
      <c r="W19" s="35"/>
      <c r="X19" s="36"/>
    </row>
    <row r="20" spans="1:24" x14ac:dyDescent="0.25">
      <c r="A20" s="14">
        <f t="shared" si="10"/>
        <v>0.64064327485380113</v>
      </c>
      <c r="B20" s="2">
        <f t="shared" si="11"/>
        <v>15</v>
      </c>
      <c r="C20" s="4">
        <f t="shared" si="12"/>
        <v>11.83</v>
      </c>
      <c r="D20" s="2">
        <v>9</v>
      </c>
      <c r="E20" s="2">
        <v>50.26548245743669</v>
      </c>
      <c r="F20" s="11">
        <f t="shared" si="0"/>
        <v>1.7904931097838226</v>
      </c>
      <c r="G20" s="2">
        <f t="shared" si="1"/>
        <v>21.18153348874262</v>
      </c>
      <c r="H20" s="2">
        <f t="shared" si="2"/>
        <v>2.2554379006137886</v>
      </c>
      <c r="I20" s="2">
        <f t="shared" si="3"/>
        <v>26.681830364261121</v>
      </c>
      <c r="J20" s="2">
        <f t="shared" si="4"/>
        <v>5.5002968755185009</v>
      </c>
      <c r="K20" s="15">
        <f t="shared" si="13"/>
        <v>0.55749269005847957</v>
      </c>
      <c r="L20" s="2">
        <f t="shared" si="14"/>
        <v>15</v>
      </c>
      <c r="M20" s="2">
        <f t="shared" si="15"/>
        <v>11.58</v>
      </c>
      <c r="N20" s="2">
        <v>10</v>
      </c>
      <c r="O20" s="2">
        <v>50.26548245743669</v>
      </c>
      <c r="P20" s="11">
        <f t="shared" si="5"/>
        <v>1.9894367886486919</v>
      </c>
      <c r="Q20" s="2">
        <f t="shared" si="6"/>
        <v>23.037678012551851</v>
      </c>
      <c r="R20" s="2">
        <f t="shared" si="7"/>
        <v>2.4001943487253978</v>
      </c>
      <c r="S20" s="2">
        <f t="shared" si="8"/>
        <v>27.794250558240108</v>
      </c>
      <c r="T20" s="2">
        <f t="shared" si="9"/>
        <v>4.7565725456882575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14">
        <f t="shared" si="10"/>
        <v>0.64091739766081868</v>
      </c>
      <c r="B21" s="2">
        <f t="shared" si="11"/>
        <v>16</v>
      </c>
      <c r="C21" s="4">
        <f t="shared" si="12"/>
        <v>12.33</v>
      </c>
      <c r="D21" s="2">
        <v>9</v>
      </c>
      <c r="E21" s="2">
        <v>50.26548245743669</v>
      </c>
      <c r="F21" s="11">
        <f t="shared" si="0"/>
        <v>1.7904931097838226</v>
      </c>
      <c r="G21" s="2">
        <f t="shared" si="1"/>
        <v>22.076780043634532</v>
      </c>
      <c r="H21" s="2">
        <f t="shared" si="2"/>
        <v>2.2554379006137886</v>
      </c>
      <c r="I21" s="2">
        <f t="shared" si="3"/>
        <v>27.809549314568013</v>
      </c>
      <c r="J21" s="2">
        <f t="shared" si="4"/>
        <v>5.7327692709334812</v>
      </c>
      <c r="K21" s="15">
        <f t="shared" si="13"/>
        <v>0.55946637426900581</v>
      </c>
      <c r="L21" s="2">
        <f t="shared" si="14"/>
        <v>16</v>
      </c>
      <c r="M21" s="2">
        <f t="shared" si="15"/>
        <v>12.08</v>
      </c>
      <c r="N21" s="2">
        <v>9.5</v>
      </c>
      <c r="O21" s="2">
        <v>50.26548245743669</v>
      </c>
      <c r="P21" s="11">
        <f t="shared" si="5"/>
        <v>1.8899649492162571</v>
      </c>
      <c r="Q21" s="2">
        <f t="shared" si="6"/>
        <v>22.830776586532387</v>
      </c>
      <c r="R21" s="2">
        <f t="shared" si="7"/>
        <v>2.4001943487253978</v>
      </c>
      <c r="S21" s="2">
        <f t="shared" si="8"/>
        <v>28.994347732602805</v>
      </c>
      <c r="T21" s="2">
        <f t="shared" si="9"/>
        <v>6.1635711460704172</v>
      </c>
      <c r="V21" s="39" t="s">
        <v>39</v>
      </c>
      <c r="W21" s="36"/>
      <c r="X21" s="20">
        <f>(J2+T2)/2</f>
        <v>84.411448642097213</v>
      </c>
    </row>
    <row r="22" spans="1:24" x14ac:dyDescent="0.25">
      <c r="A22" s="14">
        <f t="shared" si="10"/>
        <v>0.64119152046783623</v>
      </c>
      <c r="B22" s="2">
        <f t="shared" si="11"/>
        <v>17</v>
      </c>
      <c r="C22" s="4">
        <f t="shared" si="12"/>
        <v>12.83</v>
      </c>
      <c r="D22" s="2">
        <v>8.5</v>
      </c>
      <c r="E22" s="2">
        <v>50.26548245743669</v>
      </c>
      <c r="F22" s="11">
        <f t="shared" si="0"/>
        <v>1.6910212703513881</v>
      </c>
      <c r="G22" s="2">
        <f t="shared" si="1"/>
        <v>21.69580289860831</v>
      </c>
      <c r="H22" s="2">
        <f t="shared" si="2"/>
        <v>2.2554379006137886</v>
      </c>
      <c r="I22" s="2">
        <f t="shared" si="3"/>
        <v>28.937268264874909</v>
      </c>
      <c r="J22" s="2">
        <f t="shared" si="4"/>
        <v>7.2414653662665991</v>
      </c>
      <c r="K22" s="15">
        <f t="shared" si="13"/>
        <v>0.56144005847953216</v>
      </c>
      <c r="L22" s="2">
        <f t="shared" si="14"/>
        <v>17</v>
      </c>
      <c r="M22" s="2">
        <f t="shared" si="15"/>
        <v>12.58</v>
      </c>
      <c r="N22" s="2">
        <v>9</v>
      </c>
      <c r="O22" s="2">
        <v>50.26548245743669</v>
      </c>
      <c r="P22" s="11">
        <f t="shared" si="5"/>
        <v>1.7904931097838226</v>
      </c>
      <c r="Q22" s="2">
        <f t="shared" si="6"/>
        <v>22.524403321080488</v>
      </c>
      <c r="R22" s="2">
        <f t="shared" si="7"/>
        <v>2.4001943487253978</v>
      </c>
      <c r="S22" s="2">
        <f t="shared" si="8"/>
        <v>30.194444906965504</v>
      </c>
      <c r="T22" s="2">
        <f t="shared" si="9"/>
        <v>7.6700415858850164</v>
      </c>
      <c r="V22" s="27"/>
      <c r="W22" s="27"/>
      <c r="X22" s="28"/>
    </row>
    <row r="23" spans="1:24" x14ac:dyDescent="0.25">
      <c r="A23" s="14">
        <f t="shared" si="10"/>
        <v>0.64146564327485378</v>
      </c>
      <c r="B23" s="2">
        <f t="shared" si="11"/>
        <v>18</v>
      </c>
      <c r="C23" s="4">
        <f t="shared" si="12"/>
        <v>13.33</v>
      </c>
      <c r="D23" s="2">
        <v>9</v>
      </c>
      <c r="E23" s="2">
        <v>50.26548245743669</v>
      </c>
      <c r="F23" s="11">
        <f t="shared" si="0"/>
        <v>1.7904931097838226</v>
      </c>
      <c r="G23" s="2">
        <f t="shared" si="1"/>
        <v>23.867273153418356</v>
      </c>
      <c r="H23" s="2">
        <f t="shared" si="2"/>
        <v>2.2554379006137886</v>
      </c>
      <c r="I23" s="2">
        <f t="shared" si="3"/>
        <v>30.064987215181802</v>
      </c>
      <c r="J23" s="2">
        <f t="shared" si="4"/>
        <v>6.1977140617634454</v>
      </c>
      <c r="K23" s="15">
        <f t="shared" si="13"/>
        <v>0.56341374269005851</v>
      </c>
      <c r="L23" s="2">
        <f t="shared" si="14"/>
        <v>18</v>
      </c>
      <c r="M23" s="2">
        <f t="shared" si="15"/>
        <v>13.08</v>
      </c>
      <c r="N23" s="2">
        <v>10</v>
      </c>
      <c r="O23" s="2">
        <v>50.26548245743669</v>
      </c>
      <c r="P23" s="11">
        <f t="shared" si="5"/>
        <v>1.9894367886486919</v>
      </c>
      <c r="Q23" s="2">
        <f t="shared" si="6"/>
        <v>26.021833195524891</v>
      </c>
      <c r="R23" s="2">
        <f t="shared" si="7"/>
        <v>2.4001943487253978</v>
      </c>
      <c r="S23" s="2">
        <f t="shared" si="8"/>
        <v>31.394542081328204</v>
      </c>
      <c r="T23" s="2">
        <f t="shared" si="9"/>
        <v>5.3727088858033127</v>
      </c>
      <c r="V23" s="38" t="s">
        <v>45</v>
      </c>
      <c r="W23" s="35"/>
      <c r="X23" s="36"/>
    </row>
    <row r="24" spans="1:24" x14ac:dyDescent="0.25">
      <c r="A24" s="14">
        <f t="shared" si="10"/>
        <v>0.64173976608187133</v>
      </c>
      <c r="B24" s="2">
        <f t="shared" si="11"/>
        <v>19</v>
      </c>
      <c r="C24" s="4">
        <f t="shared" si="12"/>
        <v>13.83</v>
      </c>
      <c r="D24" s="2">
        <v>10</v>
      </c>
      <c r="E24" s="2">
        <v>50.26548245743669</v>
      </c>
      <c r="F24" s="11">
        <f t="shared" si="0"/>
        <v>1.9894367886486919</v>
      </c>
      <c r="G24" s="2">
        <f t="shared" si="1"/>
        <v>27.513910787011408</v>
      </c>
      <c r="H24" s="2">
        <f t="shared" si="2"/>
        <v>2.2554379006137886</v>
      </c>
      <c r="I24" s="2">
        <f t="shared" si="3"/>
        <v>31.192706165488698</v>
      </c>
      <c r="J24" s="2">
        <f t="shared" si="4"/>
        <v>3.6787953784772895</v>
      </c>
      <c r="K24" s="15">
        <f t="shared" si="13"/>
        <v>0.56538742690058474</v>
      </c>
      <c r="L24" s="2">
        <f t="shared" si="14"/>
        <v>19</v>
      </c>
      <c r="M24" s="2">
        <f t="shared" si="15"/>
        <v>13.58</v>
      </c>
      <c r="N24" s="2">
        <v>10.5</v>
      </c>
      <c r="O24" s="2">
        <v>50.26548245743669</v>
      </c>
      <c r="P24" s="11">
        <f t="shared" si="5"/>
        <v>2.0889086280811267</v>
      </c>
      <c r="Q24" s="2">
        <f t="shared" si="6"/>
        <v>28.367379169341699</v>
      </c>
      <c r="R24" s="2">
        <f t="shared" si="7"/>
        <v>2.4001943487253978</v>
      </c>
      <c r="S24" s="2">
        <f t="shared" si="8"/>
        <v>32.5946392556909</v>
      </c>
      <c r="T24" s="2">
        <f t="shared" si="9"/>
        <v>4.2272600863492009</v>
      </c>
      <c r="V24" s="40" t="s">
        <v>46</v>
      </c>
      <c r="W24" s="35"/>
      <c r="X24" s="36"/>
    </row>
    <row r="25" spans="1:24" x14ac:dyDescent="0.25">
      <c r="A25" s="14">
        <f t="shared" si="10"/>
        <v>0.64201388888888888</v>
      </c>
      <c r="B25" s="2">
        <f t="shared" si="11"/>
        <v>20</v>
      </c>
      <c r="C25" s="4">
        <f t="shared" si="12"/>
        <v>14.33</v>
      </c>
      <c r="D25" s="2">
        <v>9.5</v>
      </c>
      <c r="E25" s="2">
        <v>50.26548245743669</v>
      </c>
      <c r="F25" s="11">
        <f t="shared" si="0"/>
        <v>1.8899649492162571</v>
      </c>
      <c r="G25" s="2">
        <f t="shared" si="1"/>
        <v>27.083197722268963</v>
      </c>
      <c r="H25" s="2">
        <f t="shared" si="2"/>
        <v>2.2554379006137886</v>
      </c>
      <c r="I25" s="2">
        <f t="shared" si="3"/>
        <v>32.320425115795594</v>
      </c>
      <c r="J25" s="2">
        <f t="shared" si="4"/>
        <v>5.2372273935266307</v>
      </c>
      <c r="K25" s="15">
        <f t="shared" si="13"/>
        <v>0.56736111111111109</v>
      </c>
      <c r="L25" s="2">
        <f t="shared" si="14"/>
        <v>20</v>
      </c>
      <c r="M25" s="2">
        <f t="shared" si="15"/>
        <v>14.08</v>
      </c>
      <c r="N25" s="2">
        <v>11.5</v>
      </c>
      <c r="O25" s="2">
        <v>50.26548245743669</v>
      </c>
      <c r="P25" s="11">
        <f t="shared" si="5"/>
        <v>2.2878523069459957</v>
      </c>
      <c r="Q25" s="2">
        <f t="shared" si="6"/>
        <v>32.21296048179962</v>
      </c>
      <c r="R25" s="2">
        <f t="shared" si="7"/>
        <v>2.4001943487253978</v>
      </c>
      <c r="S25" s="2">
        <f t="shared" si="8"/>
        <v>33.794736430053604</v>
      </c>
      <c r="T25" s="2">
        <f t="shared" si="9"/>
        <v>1.5817759482539842</v>
      </c>
      <c r="V25" s="38" t="s">
        <v>47</v>
      </c>
      <c r="W25" s="35"/>
      <c r="X25" s="36"/>
    </row>
    <row r="26" spans="1:24" x14ac:dyDescent="0.25">
      <c r="A26" s="14">
        <f t="shared" si="10"/>
        <v>0.64228801169590644</v>
      </c>
      <c r="B26" s="2">
        <f t="shared" si="11"/>
        <v>21</v>
      </c>
      <c r="C26" s="4">
        <f t="shared" si="12"/>
        <v>14.83</v>
      </c>
      <c r="D26" s="2">
        <v>11</v>
      </c>
      <c r="E26" s="2">
        <v>50.26548245743669</v>
      </c>
      <c r="F26" s="11">
        <f t="shared" si="0"/>
        <v>2.1883804675135607</v>
      </c>
      <c r="G26" s="2">
        <f t="shared" si="1"/>
        <v>32.453682333226105</v>
      </c>
      <c r="H26" s="2">
        <f t="shared" si="2"/>
        <v>2.2554379006137886</v>
      </c>
      <c r="I26" s="2">
        <f t="shared" si="3"/>
        <v>33.448144066102486</v>
      </c>
      <c r="J26" s="2">
        <f t="shared" si="4"/>
        <v>0.99446173287638118</v>
      </c>
      <c r="K26" s="15">
        <f t="shared" si="13"/>
        <v>0.56933479532163744</v>
      </c>
      <c r="L26" s="2">
        <f t="shared" si="14"/>
        <v>21</v>
      </c>
      <c r="M26" s="2">
        <f t="shared" si="15"/>
        <v>14.58</v>
      </c>
      <c r="N26" s="2">
        <v>14</v>
      </c>
      <c r="O26" s="2">
        <v>50.26548245743669</v>
      </c>
      <c r="P26" s="11">
        <f t="shared" si="5"/>
        <v>2.7852115041081689</v>
      </c>
      <c r="Q26" s="2">
        <f t="shared" si="6"/>
        <v>40.608383729897099</v>
      </c>
      <c r="R26" s="2">
        <f t="shared" si="7"/>
        <v>2.4001943487253978</v>
      </c>
      <c r="S26" s="2">
        <f t="shared" si="8"/>
        <v>34.9948336044163</v>
      </c>
      <c r="T26" s="2">
        <f t="shared" si="9"/>
        <v>5.6135501254807991</v>
      </c>
      <c r="V26" s="40" t="s">
        <v>48</v>
      </c>
      <c r="W26" s="35"/>
      <c r="X26" s="36"/>
    </row>
    <row r="27" spans="1:24" x14ac:dyDescent="0.25">
      <c r="A27" s="14">
        <f t="shared" si="10"/>
        <v>0.64256213450292399</v>
      </c>
      <c r="B27" s="2">
        <f t="shared" si="11"/>
        <v>22</v>
      </c>
      <c r="C27" s="4">
        <f t="shared" si="12"/>
        <v>15.33</v>
      </c>
      <c r="D27" s="2">
        <v>13</v>
      </c>
      <c r="E27" s="2">
        <v>50.26548245743669</v>
      </c>
      <c r="F27" s="11">
        <f t="shared" si="0"/>
        <v>2.5862678252432989</v>
      </c>
      <c r="G27" s="2">
        <f t="shared" si="1"/>
        <v>39.64748576097977</v>
      </c>
      <c r="H27" s="2">
        <f t="shared" si="2"/>
        <v>2.2554379006137886</v>
      </c>
      <c r="I27" s="2">
        <f t="shared" si="3"/>
        <v>34.575863016409379</v>
      </c>
      <c r="J27" s="2">
        <f t="shared" si="4"/>
        <v>5.0716227445703908</v>
      </c>
      <c r="K27" s="15">
        <f t="shared" si="13"/>
        <v>0.57130847953216368</v>
      </c>
      <c r="L27" s="2">
        <f t="shared" si="14"/>
        <v>22</v>
      </c>
      <c r="M27" s="2">
        <f t="shared" si="15"/>
        <v>15.08</v>
      </c>
      <c r="N27" s="2">
        <v>13.5</v>
      </c>
      <c r="O27" s="2">
        <v>50.26548245743669</v>
      </c>
      <c r="P27" s="11">
        <f t="shared" si="5"/>
        <v>2.6857396646757339</v>
      </c>
      <c r="Q27" s="2">
        <f t="shared" si="6"/>
        <v>40.500954143310068</v>
      </c>
      <c r="R27" s="2">
        <f t="shared" si="7"/>
        <v>2.4001943487253978</v>
      </c>
      <c r="S27" s="2">
        <f t="shared" si="8"/>
        <v>36.194930778778996</v>
      </c>
      <c r="T27" s="2">
        <f t="shared" si="9"/>
        <v>4.3060233645310717</v>
      </c>
    </row>
    <row r="28" spans="1:24" x14ac:dyDescent="0.25">
      <c r="A28" s="14">
        <f t="shared" si="10"/>
        <v>0.64283625730994154</v>
      </c>
      <c r="B28" s="2">
        <f t="shared" si="11"/>
        <v>23</v>
      </c>
      <c r="C28" s="4">
        <f t="shared" si="12"/>
        <v>15.83</v>
      </c>
      <c r="D28" s="2">
        <v>14</v>
      </c>
      <c r="E28" s="2">
        <v>50.26548245743669</v>
      </c>
      <c r="F28" s="11">
        <f t="shared" si="0"/>
        <v>2.7852115041081689</v>
      </c>
      <c r="G28" s="2">
        <f t="shared" si="1"/>
        <v>44.089898110032316</v>
      </c>
      <c r="H28" s="2">
        <f t="shared" si="2"/>
        <v>2.2554379006137886</v>
      </c>
      <c r="I28" s="2">
        <f t="shared" si="3"/>
        <v>35.703581966716271</v>
      </c>
      <c r="J28" s="2">
        <f t="shared" si="4"/>
        <v>8.3863161433160442</v>
      </c>
      <c r="K28" s="15">
        <f t="shared" si="13"/>
        <v>0.57328216374269003</v>
      </c>
      <c r="L28" s="2">
        <f t="shared" si="14"/>
        <v>23</v>
      </c>
      <c r="M28" s="2">
        <f t="shared" si="15"/>
        <v>15.58</v>
      </c>
      <c r="N28" s="2">
        <v>14.5</v>
      </c>
      <c r="O28" s="2">
        <v>50.26548245743669</v>
      </c>
      <c r="P28" s="11">
        <f t="shared" si="5"/>
        <v>2.8846833435406034</v>
      </c>
      <c r="Q28" s="2">
        <f t="shared" si="6"/>
        <v>44.9433664923626</v>
      </c>
      <c r="R28" s="2">
        <f t="shared" si="7"/>
        <v>2.4001943487253978</v>
      </c>
      <c r="S28" s="2">
        <f t="shared" si="8"/>
        <v>37.3950279531417</v>
      </c>
      <c r="T28" s="2">
        <f t="shared" si="9"/>
        <v>7.5483385392209001</v>
      </c>
      <c r="V28" s="24" t="s">
        <v>49</v>
      </c>
      <c r="W28" s="24" t="s">
        <v>50</v>
      </c>
    </row>
    <row r="29" spans="1:24" x14ac:dyDescent="0.25">
      <c r="A29" s="14">
        <f t="shared" si="10"/>
        <v>0.64311038011695909</v>
      </c>
      <c r="B29" s="2">
        <f t="shared" si="11"/>
        <v>24</v>
      </c>
      <c r="C29" s="4">
        <f t="shared" si="12"/>
        <v>16.329999999999998</v>
      </c>
      <c r="D29" s="2">
        <v>13</v>
      </c>
      <c r="E29" s="2">
        <v>50.26548245743669</v>
      </c>
      <c r="F29" s="11">
        <f t="shared" si="0"/>
        <v>2.5862678252432989</v>
      </c>
      <c r="G29" s="2">
        <f t="shared" si="1"/>
        <v>42.233753586223067</v>
      </c>
      <c r="H29" s="2">
        <f t="shared" si="2"/>
        <v>2.2554379006137886</v>
      </c>
      <c r="I29" s="2">
        <f t="shared" si="3"/>
        <v>36.831300917023164</v>
      </c>
      <c r="J29" s="2">
        <f t="shared" si="4"/>
        <v>5.4024526691999029</v>
      </c>
      <c r="K29" s="15">
        <f t="shared" si="13"/>
        <v>0.57525584795321638</v>
      </c>
      <c r="L29" s="2">
        <f t="shared" si="14"/>
        <v>24</v>
      </c>
      <c r="M29" s="2">
        <f t="shared" si="15"/>
        <v>16.079999999999998</v>
      </c>
      <c r="N29" s="2">
        <v>15</v>
      </c>
      <c r="O29" s="2">
        <v>50.26548245743669</v>
      </c>
      <c r="P29" s="11">
        <f t="shared" si="5"/>
        <v>2.9841551829730379</v>
      </c>
      <c r="Q29" s="2">
        <f t="shared" si="6"/>
        <v>47.985215342206445</v>
      </c>
      <c r="R29" s="2">
        <f t="shared" si="7"/>
        <v>2.4001943487253978</v>
      </c>
      <c r="S29" s="2">
        <f t="shared" si="8"/>
        <v>38.595125127504396</v>
      </c>
      <c r="T29" s="2">
        <f t="shared" si="9"/>
        <v>9.3900902147020489</v>
      </c>
      <c r="V29" s="24">
        <f>MAX(D4:D160)</f>
        <v>29.5</v>
      </c>
      <c r="W29" s="24">
        <f>MAX(N4:N160)</f>
        <v>18.5</v>
      </c>
    </row>
    <row r="30" spans="1:24" x14ac:dyDescent="0.25">
      <c r="A30" s="14">
        <f t="shared" si="10"/>
        <v>0.64338450292397664</v>
      </c>
      <c r="B30" s="2">
        <f t="shared" si="11"/>
        <v>25</v>
      </c>
      <c r="C30" s="4">
        <f t="shared" si="12"/>
        <v>16.829999999999998</v>
      </c>
      <c r="D30" s="2">
        <v>13</v>
      </c>
      <c r="E30" s="2">
        <v>50.26548245743669</v>
      </c>
      <c r="F30" s="11">
        <f t="shared" si="0"/>
        <v>2.5862678252432989</v>
      </c>
      <c r="G30" s="2">
        <f t="shared" si="1"/>
        <v>43.526887498844715</v>
      </c>
      <c r="H30" s="2">
        <f t="shared" si="2"/>
        <v>2.2554379006137886</v>
      </c>
      <c r="I30" s="2">
        <f t="shared" si="3"/>
        <v>37.959019867330056</v>
      </c>
      <c r="J30" s="2">
        <f t="shared" si="4"/>
        <v>5.5678676315146589</v>
      </c>
      <c r="K30" s="15">
        <f t="shared" si="13"/>
        <v>0.57722953216374262</v>
      </c>
      <c r="L30" s="2">
        <f t="shared" si="14"/>
        <v>25</v>
      </c>
      <c r="M30" s="2">
        <f t="shared" si="15"/>
        <v>16.579999999999998</v>
      </c>
      <c r="N30" s="2">
        <v>13</v>
      </c>
      <c r="O30" s="2">
        <v>50.26548245743669</v>
      </c>
      <c r="P30" s="11">
        <f t="shared" si="5"/>
        <v>2.5862678252432989</v>
      </c>
      <c r="Q30" s="2">
        <f t="shared" si="6"/>
        <v>42.880320542533894</v>
      </c>
      <c r="R30" s="2">
        <f t="shared" si="7"/>
        <v>2.4001943487253978</v>
      </c>
      <c r="S30" s="2">
        <f t="shared" si="8"/>
        <v>39.795222301867092</v>
      </c>
      <c r="T30" s="2">
        <f t="shared" si="9"/>
        <v>3.0850982406668024</v>
      </c>
      <c r="V30" s="24" t="s">
        <v>14</v>
      </c>
      <c r="W30" s="24" t="s">
        <v>14</v>
      </c>
    </row>
    <row r="31" spans="1:24" x14ac:dyDescent="0.25">
      <c r="A31" s="14">
        <f t="shared" si="10"/>
        <v>0.64365862573099419</v>
      </c>
      <c r="B31" s="2">
        <f t="shared" si="11"/>
        <v>26</v>
      </c>
      <c r="C31" s="4">
        <f t="shared" si="12"/>
        <v>17.329999999999998</v>
      </c>
      <c r="D31" s="2">
        <v>12.5</v>
      </c>
      <c r="E31" s="2">
        <v>50.26548245743669</v>
      </c>
      <c r="F31" s="11">
        <f t="shared" si="0"/>
        <v>2.4867959858108648</v>
      </c>
      <c r="G31" s="2">
        <f t="shared" si="1"/>
        <v>43.096174434102281</v>
      </c>
      <c r="H31" s="2">
        <f t="shared" si="2"/>
        <v>2.2554379006137886</v>
      </c>
      <c r="I31" s="2">
        <f t="shared" si="3"/>
        <v>39.086738817636949</v>
      </c>
      <c r="J31" s="2">
        <f t="shared" si="4"/>
        <v>4.009435616465332</v>
      </c>
      <c r="K31" s="15">
        <f t="shared" si="13"/>
        <v>0.57920321637426897</v>
      </c>
      <c r="L31" s="2">
        <f t="shared" si="14"/>
        <v>26</v>
      </c>
      <c r="M31" s="2">
        <f t="shared" si="15"/>
        <v>17.079999999999998</v>
      </c>
      <c r="N31" s="2">
        <v>14.5</v>
      </c>
      <c r="O31" s="2">
        <v>50.26548245743669</v>
      </c>
      <c r="P31" s="11">
        <f t="shared" si="5"/>
        <v>2.8846833435406034</v>
      </c>
      <c r="Q31" s="2">
        <f t="shared" si="6"/>
        <v>49.270391507673502</v>
      </c>
      <c r="R31" s="2">
        <f t="shared" si="7"/>
        <v>2.4001943487253978</v>
      </c>
      <c r="S31" s="2">
        <f t="shared" si="8"/>
        <v>40.995319476229788</v>
      </c>
      <c r="T31" s="2">
        <f t="shared" si="9"/>
        <v>8.2750720314437132</v>
      </c>
      <c r="V31" s="24">
        <f t="array" ref="V31">INDEX(B4:B160, MATCH(MAX(D4:D160), D4:D160, 0))</f>
        <v>6</v>
      </c>
      <c r="W31" s="24">
        <f t="array" ref="W31">INDEX(L4:L160, MATCH(MAX(N4:N160), N4:N160, 0))</f>
        <v>7</v>
      </c>
    </row>
    <row r="32" spans="1:24" x14ac:dyDescent="0.25">
      <c r="A32" s="14">
        <f t="shared" si="10"/>
        <v>0.64393274853801175</v>
      </c>
      <c r="B32" s="2">
        <f t="shared" si="11"/>
        <v>27</v>
      </c>
      <c r="C32" s="4">
        <f t="shared" si="12"/>
        <v>17.829999999999998</v>
      </c>
      <c r="D32" s="2">
        <v>15</v>
      </c>
      <c r="E32" s="2">
        <v>50.26548245743669</v>
      </c>
      <c r="F32" s="11">
        <f t="shared" si="0"/>
        <v>2.9841551829730379</v>
      </c>
      <c r="G32" s="2">
        <f t="shared" si="1"/>
        <v>53.207486912409259</v>
      </c>
      <c r="H32" s="2">
        <f t="shared" si="2"/>
        <v>2.2554379006137886</v>
      </c>
      <c r="I32" s="2">
        <f t="shared" si="3"/>
        <v>40.214457767943848</v>
      </c>
      <c r="J32" s="2">
        <f t="shared" si="4"/>
        <v>12.99302914446541</v>
      </c>
      <c r="K32" s="15">
        <f t="shared" si="13"/>
        <v>0.58117690058479532</v>
      </c>
      <c r="L32" s="2">
        <f t="shared" si="14"/>
        <v>27</v>
      </c>
      <c r="M32" s="2">
        <f t="shared" si="15"/>
        <v>17.579999999999998</v>
      </c>
      <c r="N32" s="2">
        <v>14.5</v>
      </c>
      <c r="O32" s="2">
        <v>50.26548245743669</v>
      </c>
      <c r="P32" s="11">
        <f t="shared" si="5"/>
        <v>2.8846833435406034</v>
      </c>
      <c r="Q32" s="2">
        <f t="shared" si="6"/>
        <v>50.712733179443802</v>
      </c>
      <c r="R32" s="2">
        <f t="shared" si="7"/>
        <v>2.4001943487253978</v>
      </c>
      <c r="S32" s="2">
        <f t="shared" si="8"/>
        <v>42.195416650592492</v>
      </c>
      <c r="T32" s="2">
        <f t="shared" si="9"/>
        <v>8.5173165288513104</v>
      </c>
    </row>
    <row r="33" spans="1:20" x14ac:dyDescent="0.25">
      <c r="A33" s="14">
        <f t="shared" si="10"/>
        <v>0.6442068713450293</v>
      </c>
      <c r="B33" s="2">
        <f t="shared" si="11"/>
        <v>28</v>
      </c>
      <c r="C33" s="4">
        <f t="shared" si="12"/>
        <v>18.329999999999998</v>
      </c>
      <c r="D33" s="2">
        <v>14.5</v>
      </c>
      <c r="E33" s="2">
        <v>50.26548245743669</v>
      </c>
      <c r="F33" s="11">
        <f t="shared" si="0"/>
        <v>2.8846833435406034</v>
      </c>
      <c r="G33" s="2">
        <f t="shared" si="1"/>
        <v>52.876245687099257</v>
      </c>
      <c r="H33" s="2">
        <f t="shared" si="2"/>
        <v>2.2554379006137886</v>
      </c>
      <c r="I33" s="2">
        <f t="shared" si="3"/>
        <v>41.342176718250741</v>
      </c>
      <c r="J33" s="2">
        <f t="shared" si="4"/>
        <v>11.534068968848516</v>
      </c>
      <c r="K33" s="15">
        <f t="shared" si="13"/>
        <v>0.58315058479532156</v>
      </c>
      <c r="L33" s="2">
        <f t="shared" si="14"/>
        <v>28</v>
      </c>
      <c r="M33" s="2">
        <f t="shared" si="15"/>
        <v>18.079999999999998</v>
      </c>
      <c r="N33" s="2">
        <v>16</v>
      </c>
      <c r="O33" s="2">
        <v>50.26548245743669</v>
      </c>
      <c r="P33" s="11">
        <f t="shared" si="5"/>
        <v>3.183098861837907</v>
      </c>
      <c r="Q33" s="2">
        <f t="shared" si="6"/>
        <v>57.550427422029351</v>
      </c>
      <c r="R33" s="2">
        <f t="shared" si="7"/>
        <v>2.4001943487253978</v>
      </c>
      <c r="S33" s="2">
        <f t="shared" si="8"/>
        <v>43.395513824955188</v>
      </c>
      <c r="T33" s="2">
        <f t="shared" si="9"/>
        <v>14.154913597074163</v>
      </c>
    </row>
    <row r="34" spans="1:20" x14ac:dyDescent="0.25">
      <c r="A34" s="14">
        <f t="shared" si="10"/>
        <v>0.64448099415204685</v>
      </c>
      <c r="B34" s="2">
        <f t="shared" si="11"/>
        <v>29</v>
      </c>
      <c r="C34" s="4">
        <f t="shared" si="12"/>
        <v>18.829999999999998</v>
      </c>
      <c r="D34" s="2">
        <v>13.5</v>
      </c>
      <c r="E34" s="2">
        <v>50.26548245743669</v>
      </c>
      <c r="F34" s="11">
        <f t="shared" si="0"/>
        <v>2.6857396646757339</v>
      </c>
      <c r="G34" s="2">
        <f t="shared" si="1"/>
        <v>50.572477885844066</v>
      </c>
      <c r="H34" s="2">
        <f t="shared" si="2"/>
        <v>2.2554379006137886</v>
      </c>
      <c r="I34" s="2">
        <f t="shared" si="3"/>
        <v>42.469895668557633</v>
      </c>
      <c r="J34" s="2">
        <f t="shared" si="4"/>
        <v>8.1025822172864324</v>
      </c>
      <c r="K34" s="15">
        <f t="shared" si="13"/>
        <v>0.58512426900584791</v>
      </c>
      <c r="L34" s="2">
        <f t="shared" si="14"/>
        <v>29</v>
      </c>
      <c r="M34" s="2">
        <f t="shared" si="15"/>
        <v>18.579999999999998</v>
      </c>
      <c r="N34" s="2">
        <v>14</v>
      </c>
      <c r="O34" s="2">
        <v>50.26548245743669</v>
      </c>
      <c r="P34" s="11">
        <f t="shared" si="5"/>
        <v>2.7852115041081689</v>
      </c>
      <c r="Q34" s="2">
        <f t="shared" si="6"/>
        <v>51.749229746329775</v>
      </c>
      <c r="R34" s="2">
        <f t="shared" si="7"/>
        <v>2.4001943487253978</v>
      </c>
      <c r="S34" s="2">
        <f t="shared" si="8"/>
        <v>44.595610999317884</v>
      </c>
      <c r="T34" s="2">
        <f t="shared" si="9"/>
        <v>7.1536187470118904</v>
      </c>
    </row>
    <row r="35" spans="1:20" x14ac:dyDescent="0.25">
      <c r="A35" s="14">
        <f t="shared" si="10"/>
        <v>0.64475511695906429</v>
      </c>
      <c r="B35" s="2">
        <f t="shared" si="11"/>
        <v>30</v>
      </c>
      <c r="C35" s="4">
        <f t="shared" si="12"/>
        <v>19.329999999999998</v>
      </c>
      <c r="D35" s="2">
        <v>15.5</v>
      </c>
      <c r="E35" s="2">
        <v>50.26548245743669</v>
      </c>
      <c r="F35" s="11">
        <f t="shared" si="0"/>
        <v>3.0836270224054725</v>
      </c>
      <c r="G35" s="2">
        <f t="shared" si="1"/>
        <v>59.606510343097781</v>
      </c>
      <c r="H35" s="2">
        <f t="shared" si="2"/>
        <v>2.2554379006137886</v>
      </c>
      <c r="I35" s="2">
        <f t="shared" si="3"/>
        <v>43.597614618864526</v>
      </c>
      <c r="J35" s="2">
        <f t="shared" si="4"/>
        <v>16.008895724233255</v>
      </c>
      <c r="K35" s="15">
        <f t="shared" si="13"/>
        <v>0.58709795321637426</v>
      </c>
      <c r="L35" s="2">
        <f t="shared" si="14"/>
        <v>30</v>
      </c>
      <c r="M35" s="2">
        <f t="shared" si="15"/>
        <v>19.079999999999998</v>
      </c>
      <c r="N35" s="2">
        <v>14</v>
      </c>
      <c r="O35" s="2">
        <v>50.26548245743669</v>
      </c>
      <c r="P35" s="11">
        <f t="shared" si="5"/>
        <v>2.7852115041081689</v>
      </c>
      <c r="Q35" s="2">
        <f t="shared" si="6"/>
        <v>53.141835498383855</v>
      </c>
      <c r="R35" s="2">
        <f t="shared" si="7"/>
        <v>2.4001943487253978</v>
      </c>
      <c r="S35" s="2">
        <f t="shared" si="8"/>
        <v>45.795708173680588</v>
      </c>
      <c r="T35" s="2">
        <f t="shared" si="9"/>
        <v>7.3461273247032679</v>
      </c>
    </row>
    <row r="36" spans="1:20" x14ac:dyDescent="0.25">
      <c r="A36" s="14">
        <f t="shared" si="10"/>
        <v>0.64502923976608184</v>
      </c>
      <c r="B36" s="2">
        <f t="shared" si="11"/>
        <v>31</v>
      </c>
      <c r="C36" s="4">
        <f t="shared" si="12"/>
        <v>19.829999999999998</v>
      </c>
      <c r="D36" s="2">
        <v>14</v>
      </c>
      <c r="E36" s="2">
        <v>50.26548245743669</v>
      </c>
      <c r="F36" s="11">
        <f t="shared" si="0"/>
        <v>2.7852115041081689</v>
      </c>
      <c r="G36" s="2">
        <f t="shared" si="1"/>
        <v>55.230744126464984</v>
      </c>
      <c r="H36" s="2">
        <f t="shared" si="2"/>
        <v>2.2554379006137886</v>
      </c>
      <c r="I36" s="2">
        <f t="shared" si="3"/>
        <v>44.725333569171426</v>
      </c>
      <c r="J36" s="2">
        <f t="shared" si="4"/>
        <v>10.505410557293558</v>
      </c>
      <c r="K36" s="15">
        <f t="shared" si="13"/>
        <v>0.5890716374269005</v>
      </c>
      <c r="L36" s="2">
        <f t="shared" si="14"/>
        <v>31</v>
      </c>
      <c r="M36" s="2">
        <f t="shared" si="15"/>
        <v>19.579999999999998</v>
      </c>
      <c r="N36" s="2">
        <v>16</v>
      </c>
      <c r="O36" s="2">
        <v>50.26548245743669</v>
      </c>
      <c r="P36" s="11">
        <f t="shared" si="5"/>
        <v>3.183098861837907</v>
      </c>
      <c r="Q36" s="2">
        <f t="shared" si="6"/>
        <v>62.325075714786216</v>
      </c>
      <c r="R36" s="2">
        <f t="shared" si="7"/>
        <v>2.4001943487253978</v>
      </c>
      <c r="S36" s="2">
        <f t="shared" si="8"/>
        <v>46.995805348043284</v>
      </c>
      <c r="T36" s="2">
        <f t="shared" si="9"/>
        <v>15.329270366742932</v>
      </c>
    </row>
    <row r="37" spans="1:20" x14ac:dyDescent="0.25">
      <c r="A37" s="14">
        <f t="shared" si="10"/>
        <v>0.64530336257309939</v>
      </c>
      <c r="B37" s="2">
        <f t="shared" si="11"/>
        <v>32</v>
      </c>
      <c r="C37" s="4">
        <f t="shared" si="12"/>
        <v>20.329999999999998</v>
      </c>
      <c r="D37" s="2">
        <v>16.5</v>
      </c>
      <c r="E37" s="2">
        <v>50.26548245743669</v>
      </c>
      <c r="F37" s="11">
        <f t="shared" si="0"/>
        <v>3.2825707012703416</v>
      </c>
      <c r="G37" s="2">
        <f t="shared" si="1"/>
        <v>66.734662356826036</v>
      </c>
      <c r="H37" s="2">
        <f t="shared" si="2"/>
        <v>2.2554379006137886</v>
      </c>
      <c r="I37" s="2">
        <f t="shared" si="3"/>
        <v>45.853052519478318</v>
      </c>
      <c r="J37" s="2">
        <f t="shared" si="4"/>
        <v>20.881609837347717</v>
      </c>
      <c r="K37" s="15">
        <f t="shared" si="13"/>
        <v>0.59104532163742685</v>
      </c>
      <c r="L37" s="2">
        <f t="shared" si="14"/>
        <v>32</v>
      </c>
      <c r="M37" s="2">
        <f t="shared" si="15"/>
        <v>20.079999999999998</v>
      </c>
      <c r="N37" s="2">
        <v>15</v>
      </c>
      <c r="O37" s="2">
        <v>50.26548245743669</v>
      </c>
      <c r="P37" s="11">
        <f t="shared" si="5"/>
        <v>2.9841551829730379</v>
      </c>
      <c r="Q37" s="2">
        <f t="shared" si="6"/>
        <v>59.9218360740986</v>
      </c>
      <c r="R37" s="2">
        <f t="shared" si="7"/>
        <v>2.4001943487253978</v>
      </c>
      <c r="S37" s="2">
        <f t="shared" si="8"/>
        <v>48.195902522405987</v>
      </c>
      <c r="T37" s="2">
        <f t="shared" si="9"/>
        <v>11.725933551692613</v>
      </c>
    </row>
    <row r="38" spans="1:20" x14ac:dyDescent="0.25">
      <c r="A38" s="14">
        <f t="shared" si="10"/>
        <v>0.64557748538011694</v>
      </c>
      <c r="B38" s="2">
        <f t="shared" si="11"/>
        <v>33</v>
      </c>
      <c r="C38" s="4">
        <f t="shared" si="12"/>
        <v>20.83</v>
      </c>
      <c r="D38" s="2">
        <v>12</v>
      </c>
      <c r="E38" s="2">
        <v>50.26548245743669</v>
      </c>
      <c r="F38" s="11">
        <f t="shared" si="0"/>
        <v>2.3873241463784298</v>
      </c>
      <c r="G38" s="2">
        <f t="shared" si="1"/>
        <v>49.72796196906269</v>
      </c>
      <c r="H38" s="2">
        <f t="shared" si="2"/>
        <v>2.2554379006137886</v>
      </c>
      <c r="I38" s="2">
        <f t="shared" si="3"/>
        <v>46.980771469785211</v>
      </c>
      <c r="J38" s="2">
        <f t="shared" si="4"/>
        <v>2.7471904992774796</v>
      </c>
      <c r="K38" s="15">
        <f t="shared" si="13"/>
        <v>0.5930190058479532</v>
      </c>
      <c r="L38" s="2">
        <f t="shared" si="14"/>
        <v>33</v>
      </c>
      <c r="M38" s="2">
        <f t="shared" si="15"/>
        <v>20.58</v>
      </c>
      <c r="N38" s="2">
        <v>13</v>
      </c>
      <c r="O38" s="2">
        <v>50.26548245743669</v>
      </c>
      <c r="P38" s="11">
        <f t="shared" si="5"/>
        <v>2.5862678252432989</v>
      </c>
      <c r="Q38" s="2">
        <f t="shared" si="6"/>
        <v>53.22539184350709</v>
      </c>
      <c r="R38" s="2">
        <f t="shared" si="7"/>
        <v>2.4001943487253978</v>
      </c>
      <c r="S38" s="2">
        <f t="shared" si="8"/>
        <v>49.395999696768683</v>
      </c>
      <c r="T38" s="2">
        <f t="shared" si="9"/>
        <v>3.8293921467384067</v>
      </c>
    </row>
    <row r="39" spans="1:20" x14ac:dyDescent="0.25">
      <c r="A39" s="14">
        <f t="shared" si="10"/>
        <v>0.6458516081871345</v>
      </c>
      <c r="B39" s="2">
        <f t="shared" si="11"/>
        <v>34</v>
      </c>
      <c r="C39" s="4">
        <f t="shared" si="12"/>
        <v>21.33</v>
      </c>
      <c r="D39" s="2">
        <v>13</v>
      </c>
      <c r="E39" s="2">
        <v>50.26548245743669</v>
      </c>
      <c r="F39" s="11">
        <f t="shared" si="0"/>
        <v>2.5862678252432989</v>
      </c>
      <c r="G39" s="2">
        <f t="shared" si="1"/>
        <v>55.165092712439559</v>
      </c>
      <c r="H39" s="2">
        <f t="shared" si="2"/>
        <v>2.2554379006137886</v>
      </c>
      <c r="I39" s="2">
        <f t="shared" si="3"/>
        <v>48.108490420092103</v>
      </c>
      <c r="J39" s="2">
        <f t="shared" si="4"/>
        <v>7.0566022923474563</v>
      </c>
      <c r="K39" s="15">
        <f t="shared" si="13"/>
        <v>0.59499269005847943</v>
      </c>
      <c r="L39" s="2">
        <f t="shared" si="14"/>
        <v>34</v>
      </c>
      <c r="M39" s="2">
        <f t="shared" si="15"/>
        <v>21.08</v>
      </c>
      <c r="N39" s="2">
        <v>11.5</v>
      </c>
      <c r="O39" s="2">
        <v>50.26548245743669</v>
      </c>
      <c r="P39" s="11">
        <f t="shared" si="5"/>
        <v>2.2878523069459957</v>
      </c>
      <c r="Q39" s="2">
        <f t="shared" si="6"/>
        <v>48.227926630421585</v>
      </c>
      <c r="R39" s="2">
        <f t="shared" si="7"/>
        <v>2.4001943487253978</v>
      </c>
      <c r="S39" s="2">
        <f t="shared" si="8"/>
        <v>50.59609687113138</v>
      </c>
      <c r="T39" s="2">
        <f t="shared" si="9"/>
        <v>2.3681702407097944</v>
      </c>
    </row>
    <row r="40" spans="1:20" x14ac:dyDescent="0.25">
      <c r="A40" s="14">
        <f t="shared" si="10"/>
        <v>0.64612573099415205</v>
      </c>
      <c r="B40" s="2">
        <f t="shared" si="11"/>
        <v>35</v>
      </c>
      <c r="C40" s="4">
        <f t="shared" si="12"/>
        <v>21.83</v>
      </c>
      <c r="D40" s="2">
        <v>15</v>
      </c>
      <c r="E40" s="2">
        <v>50.26548245743669</v>
      </c>
      <c r="F40" s="11">
        <f t="shared" si="0"/>
        <v>2.9841551829730379</v>
      </c>
      <c r="G40" s="2">
        <f t="shared" si="1"/>
        <v>65.144107644301414</v>
      </c>
      <c r="H40" s="2">
        <f t="shared" si="2"/>
        <v>2.2554379006137886</v>
      </c>
      <c r="I40" s="2">
        <f t="shared" si="3"/>
        <v>49.236209370399003</v>
      </c>
      <c r="J40" s="2">
        <f t="shared" si="4"/>
        <v>15.907898273902411</v>
      </c>
      <c r="K40" s="15">
        <f t="shared" si="13"/>
        <v>0.59696637426900578</v>
      </c>
      <c r="L40" s="2">
        <f t="shared" si="14"/>
        <v>35</v>
      </c>
      <c r="M40" s="2">
        <f t="shared" si="15"/>
        <v>21.58</v>
      </c>
      <c r="N40" s="2">
        <v>12.5</v>
      </c>
      <c r="O40" s="2">
        <v>50.26548245743669</v>
      </c>
      <c r="P40" s="11">
        <f t="shared" si="5"/>
        <v>2.4867959858108648</v>
      </c>
      <c r="Q40" s="2">
        <f t="shared" si="6"/>
        <v>53.665057373798462</v>
      </c>
      <c r="R40" s="2">
        <f t="shared" si="7"/>
        <v>2.4001943487253978</v>
      </c>
      <c r="S40" s="2">
        <f t="shared" si="8"/>
        <v>51.796194045494083</v>
      </c>
      <c r="T40" s="2">
        <f t="shared" si="9"/>
        <v>1.8688633283043785</v>
      </c>
    </row>
    <row r="41" spans="1:20" x14ac:dyDescent="0.25">
      <c r="A41" s="14">
        <f t="shared" si="10"/>
        <v>0.6463998538011696</v>
      </c>
      <c r="B41" s="2">
        <f t="shared" si="11"/>
        <v>36</v>
      </c>
      <c r="C41" s="4">
        <f t="shared" si="12"/>
        <v>22.33</v>
      </c>
      <c r="D41" s="2">
        <v>14</v>
      </c>
      <c r="E41" s="2">
        <v>50.26548245743669</v>
      </c>
      <c r="F41" s="11">
        <f t="shared" si="0"/>
        <v>2.7852115041081689</v>
      </c>
      <c r="G41" s="2">
        <f t="shared" si="1"/>
        <v>62.19377288673541</v>
      </c>
      <c r="H41" s="2">
        <f t="shared" si="2"/>
        <v>2.2554379006137886</v>
      </c>
      <c r="I41" s="2">
        <f t="shared" si="3"/>
        <v>50.363928320705895</v>
      </c>
      <c r="J41" s="2">
        <f t="shared" si="4"/>
        <v>11.829844566029514</v>
      </c>
      <c r="K41" s="15">
        <f t="shared" si="13"/>
        <v>0.59894005847953213</v>
      </c>
      <c r="L41" s="2">
        <f t="shared" si="14"/>
        <v>36</v>
      </c>
      <c r="M41" s="2">
        <f t="shared" si="15"/>
        <v>22.08</v>
      </c>
      <c r="N41" s="2">
        <v>14</v>
      </c>
      <c r="O41" s="2">
        <v>50.26548245743669</v>
      </c>
      <c r="P41" s="11">
        <f t="shared" si="5"/>
        <v>2.7852115041081689</v>
      </c>
      <c r="Q41" s="2">
        <f t="shared" si="6"/>
        <v>61.497470010708362</v>
      </c>
      <c r="R41" s="2">
        <f t="shared" si="7"/>
        <v>2.4001943487253978</v>
      </c>
      <c r="S41" s="2">
        <f t="shared" si="8"/>
        <v>52.996291219856779</v>
      </c>
      <c r="T41" s="2">
        <f t="shared" si="9"/>
        <v>8.5011787908515828</v>
      </c>
    </row>
    <row r="42" spans="1:20" x14ac:dyDescent="0.25">
      <c r="A42" s="14">
        <f t="shared" si="10"/>
        <v>0.64667397660818715</v>
      </c>
      <c r="B42" s="2">
        <f t="shared" si="11"/>
        <v>37</v>
      </c>
      <c r="C42" s="4">
        <f t="shared" si="12"/>
        <v>22.83</v>
      </c>
      <c r="D42" s="2">
        <v>13</v>
      </c>
      <c r="E42" s="2">
        <v>50.26548245743669</v>
      </c>
      <c r="F42" s="11">
        <f t="shared" si="0"/>
        <v>2.5862678252432989</v>
      </c>
      <c r="G42" s="2">
        <f t="shared" si="1"/>
        <v>59.044494450304512</v>
      </c>
      <c r="H42" s="2">
        <f t="shared" si="2"/>
        <v>2.2554379006137886</v>
      </c>
      <c r="I42" s="2">
        <f t="shared" si="3"/>
        <v>51.491647271012788</v>
      </c>
      <c r="J42" s="2">
        <f t="shared" si="4"/>
        <v>7.5528471792917244</v>
      </c>
      <c r="K42" s="15">
        <f t="shared" si="13"/>
        <v>0.60091374269005848</v>
      </c>
      <c r="L42" s="2">
        <f t="shared" si="14"/>
        <v>37</v>
      </c>
      <c r="M42" s="2">
        <f t="shared" si="15"/>
        <v>22.58</v>
      </c>
      <c r="N42" s="2">
        <v>14.5</v>
      </c>
      <c r="O42" s="2">
        <v>50.26548245743669</v>
      </c>
      <c r="P42" s="11">
        <f t="shared" si="5"/>
        <v>2.8846833435406034</v>
      </c>
      <c r="Q42" s="2">
        <f t="shared" si="6"/>
        <v>65.136149897146822</v>
      </c>
      <c r="R42" s="2">
        <f t="shared" si="7"/>
        <v>2.4001943487253978</v>
      </c>
      <c r="S42" s="2">
        <f t="shared" si="8"/>
        <v>54.196388394219476</v>
      </c>
      <c r="T42" s="2">
        <f t="shared" si="9"/>
        <v>10.939761502927347</v>
      </c>
    </row>
    <row r="43" spans="1:20" x14ac:dyDescent="0.25">
      <c r="A43" s="14">
        <f t="shared" si="10"/>
        <v>0.6469480994152047</v>
      </c>
      <c r="B43" s="2">
        <f t="shared" si="11"/>
        <v>38</v>
      </c>
      <c r="C43" s="4">
        <f t="shared" si="12"/>
        <v>23.33</v>
      </c>
      <c r="D43" s="2">
        <v>13.5</v>
      </c>
      <c r="E43" s="2">
        <v>50.26548245743669</v>
      </c>
      <c r="F43" s="11">
        <f t="shared" si="0"/>
        <v>2.6857396646757339</v>
      </c>
      <c r="G43" s="2">
        <f t="shared" si="1"/>
        <v>62.658306376884866</v>
      </c>
      <c r="H43" s="2">
        <f t="shared" si="2"/>
        <v>2.2554379006137886</v>
      </c>
      <c r="I43" s="2">
        <f t="shared" si="3"/>
        <v>52.61936622131968</v>
      </c>
      <c r="J43" s="2">
        <f t="shared" si="4"/>
        <v>10.038940155565186</v>
      </c>
      <c r="K43" s="15">
        <f t="shared" si="13"/>
        <v>0.60288742690058472</v>
      </c>
      <c r="L43" s="2">
        <f t="shared" si="14"/>
        <v>38</v>
      </c>
      <c r="M43" s="2">
        <f t="shared" si="15"/>
        <v>23.08</v>
      </c>
      <c r="N43" s="2">
        <v>15</v>
      </c>
      <c r="O43" s="2">
        <v>50.26548245743669</v>
      </c>
      <c r="P43" s="11">
        <f t="shared" si="5"/>
        <v>2.9841551829730379</v>
      </c>
      <c r="Q43" s="2">
        <f t="shared" si="6"/>
        <v>68.874301623017715</v>
      </c>
      <c r="R43" s="2">
        <f t="shared" si="7"/>
        <v>2.4001943487253978</v>
      </c>
      <c r="S43" s="2">
        <f t="shared" si="8"/>
        <v>55.396485568582179</v>
      </c>
      <c r="T43" s="2">
        <f t="shared" si="9"/>
        <v>13.477816054435536</v>
      </c>
    </row>
    <row r="44" spans="1:20" x14ac:dyDescent="0.25">
      <c r="A44" s="10">
        <v>0.64722222222222225</v>
      </c>
      <c r="B44" s="2">
        <f t="shared" si="11"/>
        <v>39</v>
      </c>
      <c r="C44" s="4">
        <f t="shared" si="12"/>
        <v>23.83</v>
      </c>
      <c r="D44" s="2">
        <v>14</v>
      </c>
      <c r="E44" s="2">
        <v>50.26548245743669</v>
      </c>
      <c r="F44" s="11">
        <f t="shared" si="0"/>
        <v>2.7852115041081689</v>
      </c>
      <c r="G44" s="2">
        <f t="shared" si="1"/>
        <v>66.371590142897659</v>
      </c>
      <c r="H44" s="2">
        <f t="shared" si="2"/>
        <v>2.2554379006137886</v>
      </c>
      <c r="I44" s="2">
        <f t="shared" si="3"/>
        <v>53.74708517162658</v>
      </c>
      <c r="J44" s="2">
        <f t="shared" si="4"/>
        <v>12.62450497127108</v>
      </c>
      <c r="K44" s="12">
        <v>0.60486111111111107</v>
      </c>
      <c r="L44" s="2">
        <f t="shared" si="14"/>
        <v>39</v>
      </c>
      <c r="M44" s="2">
        <f t="shared" si="15"/>
        <v>23.58</v>
      </c>
      <c r="N44" s="2">
        <v>15.5</v>
      </c>
      <c r="O44" s="2">
        <v>50.26548245743669</v>
      </c>
      <c r="P44" s="11">
        <f t="shared" si="5"/>
        <v>3.0836270224054725</v>
      </c>
      <c r="Q44" s="2">
        <f t="shared" si="6"/>
        <v>72.711925188321032</v>
      </c>
      <c r="R44" s="2">
        <f t="shared" si="7"/>
        <v>2.4001943487253978</v>
      </c>
      <c r="S44" s="2">
        <f t="shared" si="8"/>
        <v>56.596582742944875</v>
      </c>
      <c r="T44" s="2">
        <f t="shared" si="9"/>
        <v>16.115342445376157</v>
      </c>
    </row>
    <row r="45" spans="1:20" x14ac:dyDescent="0.25">
      <c r="A45" s="14">
        <f t="shared" ref="A45:A82" si="16">IF(AND($A$44&lt;&gt;"",$A$83&lt;&gt;""), $A$44 + (B45 - $B$44) * (($A$83 - $A$44) / ($B$83 - $B$44)), "")</f>
        <v>0.64740028490028489</v>
      </c>
      <c r="B45" s="2">
        <f t="shared" si="11"/>
        <v>40</v>
      </c>
      <c r="C45" s="4">
        <f t="shared" si="12"/>
        <v>24.33</v>
      </c>
      <c r="D45" s="2">
        <v>15</v>
      </c>
      <c r="E45" s="2">
        <v>50.26548245743669</v>
      </c>
      <c r="F45" s="11">
        <f t="shared" si="0"/>
        <v>2.9841551829730379</v>
      </c>
      <c r="G45" s="2">
        <f t="shared" si="1"/>
        <v>72.604495601734001</v>
      </c>
      <c r="H45" s="2">
        <f t="shared" si="2"/>
        <v>2.2554379006137886</v>
      </c>
      <c r="I45" s="2">
        <f t="shared" si="3"/>
        <v>54.874804121933472</v>
      </c>
      <c r="J45" s="2">
        <f t="shared" si="4"/>
        <v>17.729691479800529</v>
      </c>
      <c r="K45" s="15">
        <f t="shared" ref="K45:K82" si="17">IF(AND($K$44&lt;&gt;"",$K$83&lt;&gt;""), $K$44 + (L45 - $L$44) * (($K$83 - $K$44) / ($L$83 - $L$44)), "")</f>
        <v>0.60512820512820509</v>
      </c>
      <c r="L45" s="2">
        <f t="shared" si="14"/>
        <v>40</v>
      </c>
      <c r="M45" s="2">
        <f t="shared" si="15"/>
        <v>24.08</v>
      </c>
      <c r="N45" s="2">
        <v>14.5</v>
      </c>
      <c r="O45" s="2">
        <v>50.26548245743669</v>
      </c>
      <c r="P45" s="11">
        <f t="shared" si="5"/>
        <v>2.8846833435406034</v>
      </c>
      <c r="Q45" s="2">
        <f t="shared" si="6"/>
        <v>69.463174912457731</v>
      </c>
      <c r="R45" s="2">
        <f t="shared" si="7"/>
        <v>2.4001943487253978</v>
      </c>
      <c r="S45" s="2">
        <f t="shared" si="8"/>
        <v>57.796679917307578</v>
      </c>
      <c r="T45" s="2">
        <f t="shared" si="9"/>
        <v>11.666494995150153</v>
      </c>
    </row>
    <row r="46" spans="1:20" x14ac:dyDescent="0.25">
      <c r="A46" s="14">
        <f t="shared" si="16"/>
        <v>0.64757834757834765</v>
      </c>
      <c r="B46" s="2">
        <f t="shared" si="11"/>
        <v>41</v>
      </c>
      <c r="C46" s="4">
        <f t="shared" si="12"/>
        <v>24.83</v>
      </c>
      <c r="D46" s="2">
        <v>13</v>
      </c>
      <c r="E46" s="2">
        <v>50.26548245743669</v>
      </c>
      <c r="F46" s="11">
        <f t="shared" si="0"/>
        <v>2.5862678252432989</v>
      </c>
      <c r="G46" s="2">
        <f t="shared" si="1"/>
        <v>64.217030100791106</v>
      </c>
      <c r="H46" s="2">
        <f t="shared" si="2"/>
        <v>2.2554379006137886</v>
      </c>
      <c r="I46" s="2">
        <f t="shared" si="3"/>
        <v>56.002523072240365</v>
      </c>
      <c r="J46" s="2">
        <f t="shared" si="4"/>
        <v>8.2145070285507416</v>
      </c>
      <c r="K46" s="15">
        <f t="shared" si="17"/>
        <v>0.6053952991452991</v>
      </c>
      <c r="L46" s="2">
        <f t="shared" si="14"/>
        <v>41</v>
      </c>
      <c r="M46" s="2">
        <f t="shared" si="15"/>
        <v>24.58</v>
      </c>
      <c r="N46" s="2">
        <v>16</v>
      </c>
      <c r="O46" s="2">
        <v>50.26548245743669</v>
      </c>
      <c r="P46" s="11">
        <f t="shared" si="5"/>
        <v>3.183098861837907</v>
      </c>
      <c r="Q46" s="2">
        <f t="shared" si="6"/>
        <v>78.240570023975749</v>
      </c>
      <c r="R46" s="2">
        <f t="shared" si="7"/>
        <v>2.4001943487253978</v>
      </c>
      <c r="S46" s="2">
        <f t="shared" si="8"/>
        <v>58.996777091670275</v>
      </c>
      <c r="T46" s="2">
        <f t="shared" si="9"/>
        <v>19.243792932305475</v>
      </c>
    </row>
    <row r="47" spans="1:20" x14ac:dyDescent="0.25">
      <c r="A47" s="14">
        <f t="shared" si="16"/>
        <v>0.64775641025641029</v>
      </c>
      <c r="B47" s="2">
        <f t="shared" si="11"/>
        <v>42</v>
      </c>
      <c r="C47" s="4">
        <f t="shared" si="12"/>
        <v>25.33</v>
      </c>
      <c r="D47" s="2">
        <v>14</v>
      </c>
      <c r="E47" s="2">
        <v>50.26548245743669</v>
      </c>
      <c r="F47" s="11">
        <f t="shared" si="0"/>
        <v>2.7852115041081689</v>
      </c>
      <c r="G47" s="2">
        <f t="shared" si="1"/>
        <v>70.549407399059916</v>
      </c>
      <c r="H47" s="2">
        <f t="shared" si="2"/>
        <v>2.2554379006137886</v>
      </c>
      <c r="I47" s="2">
        <f t="shared" si="3"/>
        <v>57.130242022547257</v>
      </c>
      <c r="J47" s="2">
        <f t="shared" si="4"/>
        <v>13.419165376512659</v>
      </c>
      <c r="K47" s="15">
        <f t="shared" si="17"/>
        <v>0.60566239316239312</v>
      </c>
      <c r="L47" s="2">
        <f t="shared" si="14"/>
        <v>42</v>
      </c>
      <c r="M47" s="2">
        <f t="shared" si="15"/>
        <v>25.08</v>
      </c>
      <c r="N47" s="2">
        <v>14</v>
      </c>
      <c r="O47" s="2">
        <v>50.26548245743669</v>
      </c>
      <c r="P47" s="11">
        <f t="shared" si="5"/>
        <v>2.7852115041081689</v>
      </c>
      <c r="Q47" s="2">
        <f t="shared" si="6"/>
        <v>69.853104523032869</v>
      </c>
      <c r="R47" s="2">
        <f t="shared" si="7"/>
        <v>2.4001943487253978</v>
      </c>
      <c r="S47" s="2">
        <f t="shared" si="8"/>
        <v>60.196874266032971</v>
      </c>
      <c r="T47" s="2">
        <f t="shared" si="9"/>
        <v>9.6562302569998977</v>
      </c>
    </row>
    <row r="48" spans="1:20" x14ac:dyDescent="0.25">
      <c r="A48" s="14">
        <f t="shared" si="16"/>
        <v>0.64793447293447293</v>
      </c>
      <c r="B48" s="2">
        <f t="shared" si="11"/>
        <v>43</v>
      </c>
      <c r="C48" s="4">
        <f t="shared" si="12"/>
        <v>25.83</v>
      </c>
      <c r="D48" s="2">
        <v>15</v>
      </c>
      <c r="E48" s="2">
        <v>50.26548245743669</v>
      </c>
      <c r="F48" s="11">
        <f t="shared" si="0"/>
        <v>2.9841551829730379</v>
      </c>
      <c r="G48" s="2">
        <f t="shared" si="1"/>
        <v>77.080728376193562</v>
      </c>
      <c r="H48" s="2">
        <f t="shared" si="2"/>
        <v>2.2554379006137886</v>
      </c>
      <c r="I48" s="2">
        <f t="shared" si="3"/>
        <v>58.257960972854157</v>
      </c>
      <c r="J48" s="2">
        <f t="shared" si="4"/>
        <v>18.822767403339405</v>
      </c>
      <c r="K48" s="15">
        <f t="shared" si="17"/>
        <v>0.60592948717948714</v>
      </c>
      <c r="L48" s="2">
        <f t="shared" si="14"/>
        <v>43</v>
      </c>
      <c r="M48" s="2">
        <f t="shared" si="15"/>
        <v>25.58</v>
      </c>
      <c r="N48" s="2">
        <v>15</v>
      </c>
      <c r="O48" s="2">
        <v>50.26548245743669</v>
      </c>
      <c r="P48" s="11">
        <f t="shared" si="5"/>
        <v>2.9841551829730379</v>
      </c>
      <c r="Q48" s="2">
        <f t="shared" si="6"/>
        <v>76.334689580450302</v>
      </c>
      <c r="R48" s="2">
        <f t="shared" si="7"/>
        <v>2.4001943487253978</v>
      </c>
      <c r="S48" s="2">
        <f t="shared" si="8"/>
        <v>61.396971440395674</v>
      </c>
      <c r="T48" s="2">
        <f t="shared" si="9"/>
        <v>14.937718140054628</v>
      </c>
    </row>
    <row r="49" spans="1:20" x14ac:dyDescent="0.25">
      <c r="A49" s="14">
        <f t="shared" si="16"/>
        <v>0.64811253561253568</v>
      </c>
      <c r="B49" s="2">
        <f t="shared" si="11"/>
        <v>44</v>
      </c>
      <c r="C49" s="4">
        <f t="shared" si="12"/>
        <v>26.33</v>
      </c>
      <c r="D49" s="2">
        <v>15</v>
      </c>
      <c r="E49" s="2">
        <v>50.26548245743669</v>
      </c>
      <c r="F49" s="11">
        <f t="shared" si="0"/>
        <v>2.9841551829730379</v>
      </c>
      <c r="G49" s="2">
        <f t="shared" si="1"/>
        <v>78.572805967680083</v>
      </c>
      <c r="H49" s="2">
        <f t="shared" si="2"/>
        <v>2.2554379006137886</v>
      </c>
      <c r="I49" s="2">
        <f t="shared" si="3"/>
        <v>59.385679923161049</v>
      </c>
      <c r="J49" s="2">
        <f t="shared" si="4"/>
        <v>19.187126044519033</v>
      </c>
      <c r="K49" s="15">
        <f t="shared" si="17"/>
        <v>0.60619658119658115</v>
      </c>
      <c r="L49" s="2">
        <f t="shared" si="14"/>
        <v>44</v>
      </c>
      <c r="M49" s="2">
        <f t="shared" si="15"/>
        <v>26.08</v>
      </c>
      <c r="N49" s="2">
        <v>14.5</v>
      </c>
      <c r="O49" s="2">
        <v>50.26548245743669</v>
      </c>
      <c r="P49" s="11">
        <f t="shared" si="5"/>
        <v>2.8846833435406034</v>
      </c>
      <c r="Q49" s="2">
        <f t="shared" si="6"/>
        <v>75.232541599538933</v>
      </c>
      <c r="R49" s="2">
        <f t="shared" si="7"/>
        <v>2.4001943487253978</v>
      </c>
      <c r="S49" s="2">
        <f t="shared" si="8"/>
        <v>62.597068614758371</v>
      </c>
      <c r="T49" s="2">
        <f t="shared" si="9"/>
        <v>12.635472984780563</v>
      </c>
    </row>
    <row r="50" spans="1:20" x14ac:dyDescent="0.25">
      <c r="A50" s="14">
        <f t="shared" si="16"/>
        <v>0.64829059829059832</v>
      </c>
      <c r="B50" s="2">
        <f t="shared" si="11"/>
        <v>45</v>
      </c>
      <c r="C50" s="4">
        <f t="shared" si="12"/>
        <v>26.83</v>
      </c>
      <c r="D50" s="2">
        <v>14.5</v>
      </c>
      <c r="E50" s="2">
        <v>50.26548245743669</v>
      </c>
      <c r="F50" s="11">
        <f t="shared" si="0"/>
        <v>2.8846833435406034</v>
      </c>
      <c r="G50" s="2">
        <f t="shared" si="1"/>
        <v>77.396054107194388</v>
      </c>
      <c r="H50" s="2">
        <f t="shared" si="2"/>
        <v>2.2554379006137886</v>
      </c>
      <c r="I50" s="2">
        <f t="shared" si="3"/>
        <v>60.513398873467942</v>
      </c>
      <c r="J50" s="2">
        <f t="shared" si="4"/>
        <v>16.882655233726446</v>
      </c>
      <c r="K50" s="15">
        <f t="shared" si="17"/>
        <v>0.60646367521367517</v>
      </c>
      <c r="L50" s="2">
        <f t="shared" si="14"/>
        <v>45</v>
      </c>
      <c r="M50" s="2">
        <f t="shared" si="15"/>
        <v>26.58</v>
      </c>
      <c r="N50" s="2">
        <v>15.5</v>
      </c>
      <c r="O50" s="2">
        <v>50.26548245743669</v>
      </c>
      <c r="P50" s="11">
        <f t="shared" si="5"/>
        <v>3.0836270224054725</v>
      </c>
      <c r="Q50" s="2">
        <f t="shared" si="6"/>
        <v>81.962806255537458</v>
      </c>
      <c r="R50" s="2">
        <f t="shared" si="7"/>
        <v>2.4001943487253978</v>
      </c>
      <c r="S50" s="2">
        <f t="shared" si="8"/>
        <v>63.797165789121067</v>
      </c>
      <c r="T50" s="2">
        <f t="shared" si="9"/>
        <v>18.165640466416392</v>
      </c>
    </row>
    <row r="51" spans="1:20" x14ac:dyDescent="0.25">
      <c r="A51" s="14">
        <f t="shared" si="16"/>
        <v>0.64846866096866096</v>
      </c>
      <c r="B51" s="2">
        <f t="shared" si="11"/>
        <v>46</v>
      </c>
      <c r="C51" s="4">
        <f t="shared" si="12"/>
        <v>27.33</v>
      </c>
      <c r="D51" s="2">
        <v>14.5</v>
      </c>
      <c r="E51" s="2">
        <v>50.26548245743669</v>
      </c>
      <c r="F51" s="11">
        <f t="shared" si="0"/>
        <v>2.8846833435406034</v>
      </c>
      <c r="G51" s="2">
        <f t="shared" si="1"/>
        <v>78.838395778964681</v>
      </c>
      <c r="H51" s="2">
        <f t="shared" si="2"/>
        <v>2.2554379006137886</v>
      </c>
      <c r="I51" s="2">
        <f t="shared" si="3"/>
        <v>61.641117823774835</v>
      </c>
      <c r="J51" s="2">
        <f t="shared" si="4"/>
        <v>17.197277955189847</v>
      </c>
      <c r="K51" s="15">
        <f t="shared" si="17"/>
        <v>0.60673076923076918</v>
      </c>
      <c r="L51" s="2">
        <f t="shared" si="14"/>
        <v>46</v>
      </c>
      <c r="M51" s="2">
        <f t="shared" si="15"/>
        <v>27.08</v>
      </c>
      <c r="N51" s="2">
        <v>14</v>
      </c>
      <c r="O51" s="2">
        <v>50.26548245743669</v>
      </c>
      <c r="P51" s="11">
        <f t="shared" si="5"/>
        <v>2.7852115041081689</v>
      </c>
      <c r="Q51" s="2">
        <f t="shared" si="6"/>
        <v>75.423527531249206</v>
      </c>
      <c r="R51" s="2">
        <f t="shared" si="7"/>
        <v>2.4001943487253978</v>
      </c>
      <c r="S51" s="2">
        <f t="shared" si="8"/>
        <v>64.997262963483763</v>
      </c>
      <c r="T51" s="2">
        <f t="shared" si="9"/>
        <v>10.426264567765443</v>
      </c>
    </row>
    <row r="52" spans="1:20" x14ac:dyDescent="0.25">
      <c r="A52" s="14">
        <f t="shared" si="16"/>
        <v>0.64864672364672371</v>
      </c>
      <c r="B52" s="2">
        <f t="shared" si="11"/>
        <v>47</v>
      </c>
      <c r="C52" s="4">
        <f t="shared" si="12"/>
        <v>27.83</v>
      </c>
      <c r="D52" s="2">
        <v>14.5</v>
      </c>
      <c r="E52" s="2">
        <v>50.26548245743669</v>
      </c>
      <c r="F52" s="11">
        <f t="shared" si="0"/>
        <v>2.8846833435406034</v>
      </c>
      <c r="G52" s="2">
        <f t="shared" si="1"/>
        <v>80.280737450734989</v>
      </c>
      <c r="H52" s="2">
        <f t="shared" si="2"/>
        <v>2.2554379006137886</v>
      </c>
      <c r="I52" s="2">
        <f t="shared" si="3"/>
        <v>62.768836774081734</v>
      </c>
      <c r="J52" s="2">
        <f t="shared" si="4"/>
        <v>17.511900676653255</v>
      </c>
      <c r="K52" s="15">
        <f t="shared" si="17"/>
        <v>0.6069978632478632</v>
      </c>
      <c r="L52" s="2">
        <f t="shared" si="14"/>
        <v>47</v>
      </c>
      <c r="M52" s="2">
        <f t="shared" si="15"/>
        <v>27.58</v>
      </c>
      <c r="N52" s="2">
        <v>15.5</v>
      </c>
      <c r="O52" s="2">
        <v>50.26548245743669</v>
      </c>
      <c r="P52" s="11">
        <f t="shared" si="5"/>
        <v>3.0836270224054725</v>
      </c>
      <c r="Q52" s="2">
        <f t="shared" si="6"/>
        <v>85.046433277942924</v>
      </c>
      <c r="R52" s="2">
        <f t="shared" si="7"/>
        <v>2.4001943487253978</v>
      </c>
      <c r="S52" s="2">
        <f t="shared" si="8"/>
        <v>66.197360137846474</v>
      </c>
      <c r="T52" s="2">
        <f t="shared" si="9"/>
        <v>18.849073140096451</v>
      </c>
    </row>
    <row r="53" spans="1:20" x14ac:dyDescent="0.25">
      <c r="A53" s="14">
        <f t="shared" si="16"/>
        <v>0.64882478632478635</v>
      </c>
      <c r="B53" s="2">
        <f t="shared" si="11"/>
        <v>48</v>
      </c>
      <c r="C53" s="4">
        <f t="shared" si="12"/>
        <v>28.33</v>
      </c>
      <c r="D53" s="2">
        <v>17</v>
      </c>
      <c r="E53" s="2">
        <v>50.26548245743669</v>
      </c>
      <c r="F53" s="11">
        <f t="shared" si="0"/>
        <v>3.3820425407027761</v>
      </c>
      <c r="G53" s="2">
        <f t="shared" si="1"/>
        <v>95.813265178109646</v>
      </c>
      <c r="H53" s="2">
        <f t="shared" si="2"/>
        <v>2.2554379006137886</v>
      </c>
      <c r="I53" s="2">
        <f t="shared" si="3"/>
        <v>63.896555724388627</v>
      </c>
      <c r="J53" s="2">
        <f t="shared" si="4"/>
        <v>31.916709453721019</v>
      </c>
      <c r="K53" s="15">
        <f t="shared" si="17"/>
        <v>0.60726495726495722</v>
      </c>
      <c r="L53" s="2">
        <f t="shared" si="14"/>
        <v>48</v>
      </c>
      <c r="M53" s="2">
        <f t="shared" si="15"/>
        <v>28.08</v>
      </c>
      <c r="N53" s="2">
        <v>14</v>
      </c>
      <c r="O53" s="2">
        <v>50.26548245743669</v>
      </c>
      <c r="P53" s="11">
        <f t="shared" si="5"/>
        <v>2.7852115041081689</v>
      </c>
      <c r="Q53" s="2">
        <f t="shared" si="6"/>
        <v>78.208739035357382</v>
      </c>
      <c r="R53" s="2">
        <f t="shared" si="7"/>
        <v>2.4001943487253978</v>
      </c>
      <c r="S53" s="2">
        <f t="shared" si="8"/>
        <v>67.39745731220917</v>
      </c>
      <c r="T53" s="2">
        <f t="shared" si="9"/>
        <v>10.811281723148213</v>
      </c>
    </row>
    <row r="54" spans="1:20" x14ac:dyDescent="0.25">
      <c r="A54" s="14">
        <f t="shared" si="16"/>
        <v>0.64900284900284899</v>
      </c>
      <c r="B54" s="2">
        <f t="shared" si="11"/>
        <v>49</v>
      </c>
      <c r="C54" s="4">
        <f t="shared" si="12"/>
        <v>28.83</v>
      </c>
      <c r="D54" s="2">
        <v>12.5</v>
      </c>
      <c r="E54" s="2">
        <v>50.26548245743669</v>
      </c>
      <c r="F54" s="11">
        <f t="shared" si="0"/>
        <v>2.4867959858108648</v>
      </c>
      <c r="G54" s="2">
        <f t="shared" si="1"/>
        <v>71.69432827092723</v>
      </c>
      <c r="H54" s="2">
        <f t="shared" si="2"/>
        <v>2.2554379006137886</v>
      </c>
      <c r="I54" s="2">
        <f t="shared" si="3"/>
        <v>65.024274674695519</v>
      </c>
      <c r="J54" s="2">
        <f t="shared" si="4"/>
        <v>6.6700535962317105</v>
      </c>
      <c r="K54" s="15">
        <f t="shared" si="17"/>
        <v>0.60753205128205123</v>
      </c>
      <c r="L54" s="2">
        <f t="shared" si="14"/>
        <v>49</v>
      </c>
      <c r="M54" s="2">
        <f t="shared" si="15"/>
        <v>28.58</v>
      </c>
      <c r="N54" s="2">
        <v>16</v>
      </c>
      <c r="O54" s="2">
        <v>50.26548245743669</v>
      </c>
      <c r="P54" s="11">
        <f t="shared" si="5"/>
        <v>3.183098861837907</v>
      </c>
      <c r="Q54" s="2">
        <f t="shared" si="6"/>
        <v>90.97296547132737</v>
      </c>
      <c r="R54" s="2">
        <f t="shared" si="7"/>
        <v>2.4001943487253978</v>
      </c>
      <c r="S54" s="2">
        <f t="shared" si="8"/>
        <v>68.597554486571866</v>
      </c>
      <c r="T54" s="2">
        <f t="shared" si="9"/>
        <v>22.375410984755504</v>
      </c>
    </row>
    <row r="55" spans="1:20" x14ac:dyDescent="0.25">
      <c r="A55" s="14">
        <f t="shared" si="16"/>
        <v>0.64918091168091174</v>
      </c>
      <c r="B55" s="2">
        <f t="shared" si="11"/>
        <v>50</v>
      </c>
      <c r="C55" s="4">
        <f t="shared" si="12"/>
        <v>29.33</v>
      </c>
      <c r="D55" s="2">
        <v>12.5</v>
      </c>
      <c r="E55" s="2">
        <v>50.26548245743669</v>
      </c>
      <c r="F55" s="11">
        <f t="shared" si="0"/>
        <v>2.4867959858108648</v>
      </c>
      <c r="G55" s="2">
        <f t="shared" si="1"/>
        <v>72.937726263832658</v>
      </c>
      <c r="H55" s="2">
        <f t="shared" si="2"/>
        <v>2.2554379006137886</v>
      </c>
      <c r="I55" s="2">
        <f t="shared" si="3"/>
        <v>66.151993625002419</v>
      </c>
      <c r="J55" s="2">
        <f t="shared" si="4"/>
        <v>6.7857326388302397</v>
      </c>
      <c r="K55" s="15">
        <f t="shared" si="17"/>
        <v>0.60779914529914525</v>
      </c>
      <c r="L55" s="2">
        <f t="shared" si="14"/>
        <v>50</v>
      </c>
      <c r="M55" s="2">
        <f t="shared" si="15"/>
        <v>29.08</v>
      </c>
      <c r="N55" s="2">
        <v>14</v>
      </c>
      <c r="O55" s="2">
        <v>50.26548245743669</v>
      </c>
      <c r="P55" s="11">
        <f t="shared" si="5"/>
        <v>2.7852115041081689</v>
      </c>
      <c r="Q55" s="2">
        <f t="shared" si="6"/>
        <v>80.993950539465544</v>
      </c>
      <c r="R55" s="2">
        <f t="shared" si="7"/>
        <v>2.4001943487253978</v>
      </c>
      <c r="S55" s="2">
        <f t="shared" si="8"/>
        <v>69.797651660934562</v>
      </c>
      <c r="T55" s="2">
        <f t="shared" si="9"/>
        <v>11.196298878530982</v>
      </c>
    </row>
    <row r="56" spans="1:20" x14ac:dyDescent="0.25">
      <c r="A56" s="14">
        <f t="shared" si="16"/>
        <v>0.64935897435897438</v>
      </c>
      <c r="B56" s="2">
        <f t="shared" si="11"/>
        <v>51</v>
      </c>
      <c r="C56" s="4">
        <f t="shared" si="12"/>
        <v>29.83</v>
      </c>
      <c r="D56" s="2">
        <v>13.5</v>
      </c>
      <c r="E56" s="2">
        <v>50.26548245743669</v>
      </c>
      <c r="F56" s="11">
        <f t="shared" si="0"/>
        <v>2.6857396646757339</v>
      </c>
      <c r="G56" s="2">
        <f t="shared" si="1"/>
        <v>80.115614197277139</v>
      </c>
      <c r="H56" s="2">
        <f t="shared" si="2"/>
        <v>2.2554379006137886</v>
      </c>
      <c r="I56" s="2">
        <f t="shared" si="3"/>
        <v>67.279712575309304</v>
      </c>
      <c r="J56" s="2">
        <f t="shared" si="4"/>
        <v>12.835901621967835</v>
      </c>
      <c r="K56" s="15">
        <f t="shared" si="17"/>
        <v>0.60806623931623927</v>
      </c>
      <c r="L56" s="2">
        <f t="shared" si="14"/>
        <v>51</v>
      </c>
      <c r="M56" s="2">
        <f t="shared" si="15"/>
        <v>29.58</v>
      </c>
      <c r="N56" s="2">
        <v>13</v>
      </c>
      <c r="O56" s="2">
        <v>50.26548245743669</v>
      </c>
      <c r="P56" s="11">
        <f t="shared" si="5"/>
        <v>2.5862678252432989</v>
      </c>
      <c r="Q56" s="2">
        <f t="shared" si="6"/>
        <v>76.501802270696771</v>
      </c>
      <c r="R56" s="2">
        <f t="shared" si="7"/>
        <v>2.4001943487253978</v>
      </c>
      <c r="S56" s="2">
        <f t="shared" si="8"/>
        <v>70.997748835297259</v>
      </c>
      <c r="T56" s="2">
        <f t="shared" si="9"/>
        <v>5.5040534353995128</v>
      </c>
    </row>
    <row r="57" spans="1:20" x14ac:dyDescent="0.25">
      <c r="A57" s="14">
        <f t="shared" si="16"/>
        <v>0.64953703703703702</v>
      </c>
      <c r="B57" s="2">
        <f t="shared" si="11"/>
        <v>52</v>
      </c>
      <c r="C57" s="4">
        <f t="shared" si="12"/>
        <v>30.33</v>
      </c>
      <c r="D57" s="2">
        <v>15.5</v>
      </c>
      <c r="E57" s="2">
        <v>50.26548245743669</v>
      </c>
      <c r="F57" s="11">
        <f t="shared" si="0"/>
        <v>3.0836270224054725</v>
      </c>
      <c r="G57" s="2">
        <f t="shared" si="1"/>
        <v>93.526407589557977</v>
      </c>
      <c r="H57" s="2">
        <f t="shared" si="2"/>
        <v>2.2554379006137886</v>
      </c>
      <c r="I57" s="2">
        <f t="shared" si="3"/>
        <v>68.407431525616204</v>
      </c>
      <c r="J57" s="2">
        <f t="shared" si="4"/>
        <v>25.118976063941773</v>
      </c>
      <c r="K57" s="15">
        <f t="shared" si="17"/>
        <v>0.60833333333333328</v>
      </c>
      <c r="L57" s="2">
        <f t="shared" si="14"/>
        <v>52</v>
      </c>
      <c r="M57" s="2">
        <f t="shared" si="15"/>
        <v>30.08</v>
      </c>
      <c r="N57" s="2">
        <v>15</v>
      </c>
      <c r="O57" s="2">
        <v>50.26548245743669</v>
      </c>
      <c r="P57" s="11">
        <f t="shared" si="5"/>
        <v>2.9841551829730379</v>
      </c>
      <c r="Q57" s="2">
        <f t="shared" si="6"/>
        <v>89.763387903828971</v>
      </c>
      <c r="R57" s="2">
        <f t="shared" si="7"/>
        <v>2.4001943487253978</v>
      </c>
      <c r="S57" s="2">
        <f t="shared" si="8"/>
        <v>72.197846009659969</v>
      </c>
      <c r="T57" s="2">
        <f t="shared" si="9"/>
        <v>17.565541894169002</v>
      </c>
    </row>
    <row r="58" spans="1:20" x14ac:dyDescent="0.25">
      <c r="A58" s="14">
        <f t="shared" si="16"/>
        <v>0.64971509971509978</v>
      </c>
      <c r="B58" s="2">
        <f t="shared" si="11"/>
        <v>53</v>
      </c>
      <c r="C58" s="4">
        <f t="shared" si="12"/>
        <v>30.83</v>
      </c>
      <c r="D58" s="2">
        <v>14</v>
      </c>
      <c r="E58" s="2">
        <v>50.26548245743669</v>
      </c>
      <c r="F58" s="11">
        <f t="shared" si="0"/>
        <v>2.7852115041081689</v>
      </c>
      <c r="G58" s="2">
        <f t="shared" si="1"/>
        <v>85.868070671654849</v>
      </c>
      <c r="H58" s="2">
        <f t="shared" si="2"/>
        <v>2.2554379006137886</v>
      </c>
      <c r="I58" s="2">
        <f t="shared" si="3"/>
        <v>69.535150475923103</v>
      </c>
      <c r="J58" s="2">
        <f t="shared" si="4"/>
        <v>16.332920195731745</v>
      </c>
      <c r="K58" s="15">
        <f t="shared" si="17"/>
        <v>0.6086004273504273</v>
      </c>
      <c r="L58" s="2">
        <f t="shared" si="14"/>
        <v>53</v>
      </c>
      <c r="M58" s="2">
        <f t="shared" si="15"/>
        <v>30.58</v>
      </c>
      <c r="N58" s="2">
        <v>15</v>
      </c>
      <c r="O58" s="2">
        <v>50.26548245743669</v>
      </c>
      <c r="P58" s="11">
        <f t="shared" si="5"/>
        <v>2.9841551829730379</v>
      </c>
      <c r="Q58" s="2">
        <f t="shared" si="6"/>
        <v>91.255465495315491</v>
      </c>
      <c r="R58" s="2">
        <f t="shared" si="7"/>
        <v>2.4001943487253978</v>
      </c>
      <c r="S58" s="2">
        <f t="shared" si="8"/>
        <v>73.397943184022665</v>
      </c>
      <c r="T58" s="2">
        <f t="shared" si="9"/>
        <v>17.857522311292826</v>
      </c>
    </row>
    <row r="59" spans="1:20" x14ac:dyDescent="0.25">
      <c r="A59" s="14">
        <f t="shared" si="16"/>
        <v>0.64989316239316242</v>
      </c>
      <c r="B59" s="2">
        <f t="shared" si="11"/>
        <v>54</v>
      </c>
      <c r="C59" s="4">
        <f t="shared" si="12"/>
        <v>31.33</v>
      </c>
      <c r="D59" s="2">
        <v>13</v>
      </c>
      <c r="E59" s="2">
        <v>50.26548245743669</v>
      </c>
      <c r="F59" s="11">
        <f t="shared" si="0"/>
        <v>2.5862678252432989</v>
      </c>
      <c r="G59" s="2">
        <f t="shared" si="1"/>
        <v>81.027770964872545</v>
      </c>
      <c r="H59" s="2">
        <f t="shared" si="2"/>
        <v>2.2554379006137886</v>
      </c>
      <c r="I59" s="2">
        <f t="shared" si="3"/>
        <v>70.662869426229989</v>
      </c>
      <c r="J59" s="2">
        <f t="shared" si="4"/>
        <v>10.364901538642556</v>
      </c>
      <c r="K59" s="15">
        <f t="shared" si="17"/>
        <v>0.60886752136752131</v>
      </c>
      <c r="L59" s="2">
        <f t="shared" si="14"/>
        <v>54</v>
      </c>
      <c r="M59" s="2">
        <f t="shared" si="15"/>
        <v>31.08</v>
      </c>
      <c r="N59" s="2">
        <v>14</v>
      </c>
      <c r="O59" s="2">
        <v>50.26548245743669</v>
      </c>
      <c r="P59" s="11">
        <f t="shared" si="5"/>
        <v>2.7852115041081689</v>
      </c>
      <c r="Q59" s="2">
        <f t="shared" si="6"/>
        <v>86.564373547681882</v>
      </c>
      <c r="R59" s="2">
        <f t="shared" si="7"/>
        <v>2.4001943487253978</v>
      </c>
      <c r="S59" s="2">
        <f t="shared" si="8"/>
        <v>74.598040358385362</v>
      </c>
      <c r="T59" s="2">
        <f t="shared" si="9"/>
        <v>11.96633318929652</v>
      </c>
    </row>
    <row r="60" spans="1:20" x14ac:dyDescent="0.25">
      <c r="A60" s="14">
        <f t="shared" si="16"/>
        <v>0.65007122507122506</v>
      </c>
      <c r="B60" s="2">
        <f t="shared" si="11"/>
        <v>55</v>
      </c>
      <c r="C60" s="4">
        <f t="shared" si="12"/>
        <v>31.83</v>
      </c>
      <c r="D60" s="2">
        <v>14.5</v>
      </c>
      <c r="E60" s="2">
        <v>50.26548245743669</v>
      </c>
      <c r="F60" s="11">
        <f t="shared" si="0"/>
        <v>2.8846833435406034</v>
      </c>
      <c r="G60" s="2">
        <f t="shared" si="1"/>
        <v>91.819470824897408</v>
      </c>
      <c r="H60" s="2">
        <f t="shared" si="2"/>
        <v>2.2554379006137886</v>
      </c>
      <c r="I60" s="2">
        <f t="shared" si="3"/>
        <v>71.790588376536888</v>
      </c>
      <c r="J60" s="2">
        <f t="shared" si="4"/>
        <v>20.02888244836052</v>
      </c>
      <c r="K60" s="15">
        <f t="shared" si="17"/>
        <v>0.60913461538461533</v>
      </c>
      <c r="L60" s="2">
        <f t="shared" si="14"/>
        <v>55</v>
      </c>
      <c r="M60" s="2">
        <f t="shared" si="15"/>
        <v>31.58</v>
      </c>
      <c r="N60" s="2">
        <v>15.5</v>
      </c>
      <c r="O60" s="2">
        <v>50.26548245743669</v>
      </c>
      <c r="P60" s="11">
        <f t="shared" si="5"/>
        <v>3.0836270224054725</v>
      </c>
      <c r="Q60" s="2">
        <f t="shared" si="6"/>
        <v>97.380941367564816</v>
      </c>
      <c r="R60" s="2">
        <f t="shared" si="7"/>
        <v>2.4001943487253978</v>
      </c>
      <c r="S60" s="2">
        <f t="shared" si="8"/>
        <v>75.798137532748058</v>
      </c>
      <c r="T60" s="2">
        <f t="shared" si="9"/>
        <v>21.582803834816758</v>
      </c>
    </row>
    <row r="61" spans="1:20" x14ac:dyDescent="0.25">
      <c r="A61" s="14">
        <f t="shared" si="16"/>
        <v>0.65024928774928781</v>
      </c>
      <c r="B61" s="2">
        <f t="shared" si="11"/>
        <v>56</v>
      </c>
      <c r="C61" s="4">
        <f t="shared" si="12"/>
        <v>32.33</v>
      </c>
      <c r="D61" s="2">
        <v>14</v>
      </c>
      <c r="E61" s="2">
        <v>50.26548245743669</v>
      </c>
      <c r="F61" s="11">
        <f t="shared" si="0"/>
        <v>2.7852115041081689</v>
      </c>
      <c r="G61" s="2">
        <f t="shared" si="1"/>
        <v>90.045887927817091</v>
      </c>
      <c r="H61" s="2">
        <f t="shared" si="2"/>
        <v>2.2554379006137886</v>
      </c>
      <c r="I61" s="2">
        <f t="shared" si="3"/>
        <v>72.918307326843774</v>
      </c>
      <c r="J61" s="2">
        <f t="shared" si="4"/>
        <v>17.127580600973317</v>
      </c>
      <c r="K61" s="15">
        <f t="shared" si="17"/>
        <v>0.60940170940170935</v>
      </c>
      <c r="L61" s="2">
        <f t="shared" si="14"/>
        <v>56</v>
      </c>
      <c r="M61" s="2">
        <f t="shared" si="15"/>
        <v>32.08</v>
      </c>
      <c r="N61" s="2">
        <v>16.5</v>
      </c>
      <c r="O61" s="2">
        <v>50.26548245743669</v>
      </c>
      <c r="P61" s="11">
        <f t="shared" si="5"/>
        <v>3.2825707012703416</v>
      </c>
      <c r="Q61" s="2">
        <f t="shared" si="6"/>
        <v>105.30486809675256</v>
      </c>
      <c r="R61" s="2">
        <f t="shared" si="7"/>
        <v>2.4001943487253978</v>
      </c>
      <c r="S61" s="2">
        <f t="shared" si="8"/>
        <v>76.998234707110754</v>
      </c>
      <c r="T61" s="2">
        <f t="shared" si="9"/>
        <v>28.306633389641803</v>
      </c>
    </row>
    <row r="62" spans="1:20" x14ac:dyDescent="0.25">
      <c r="A62" s="14">
        <f t="shared" si="16"/>
        <v>0.65042735042735045</v>
      </c>
      <c r="B62" s="2">
        <f t="shared" si="11"/>
        <v>57</v>
      </c>
      <c r="C62" s="4">
        <f t="shared" si="12"/>
        <v>32.83</v>
      </c>
      <c r="D62" s="2">
        <v>15</v>
      </c>
      <c r="E62" s="2">
        <v>50.26548245743669</v>
      </c>
      <c r="F62" s="11">
        <f t="shared" si="0"/>
        <v>2.9841551829730379</v>
      </c>
      <c r="G62" s="2">
        <f t="shared" si="1"/>
        <v>97.969814657004832</v>
      </c>
      <c r="H62" s="2">
        <f t="shared" si="2"/>
        <v>2.2554379006137886</v>
      </c>
      <c r="I62" s="2">
        <f t="shared" si="3"/>
        <v>74.046026277150673</v>
      </c>
      <c r="J62" s="2">
        <f t="shared" si="4"/>
        <v>23.923788379854159</v>
      </c>
      <c r="K62" s="15">
        <f t="shared" si="17"/>
        <v>0.60966880341880336</v>
      </c>
      <c r="L62" s="2">
        <f t="shared" si="14"/>
        <v>57</v>
      </c>
      <c r="M62" s="2">
        <f t="shared" si="15"/>
        <v>32.58</v>
      </c>
      <c r="N62" s="2">
        <v>14.5</v>
      </c>
      <c r="O62" s="2">
        <v>50.26548245743669</v>
      </c>
      <c r="P62" s="11">
        <f t="shared" si="5"/>
        <v>2.8846833435406034</v>
      </c>
      <c r="Q62" s="2">
        <f t="shared" si="6"/>
        <v>93.982983332552848</v>
      </c>
      <c r="R62" s="2">
        <f t="shared" si="7"/>
        <v>2.4001943487253978</v>
      </c>
      <c r="S62" s="2">
        <f t="shared" si="8"/>
        <v>78.19833188147345</v>
      </c>
      <c r="T62" s="2">
        <f t="shared" si="9"/>
        <v>15.784651451079398</v>
      </c>
    </row>
    <row r="63" spans="1:20" x14ac:dyDescent="0.25">
      <c r="A63" s="14">
        <f t="shared" si="16"/>
        <v>0.65060541310541309</v>
      </c>
      <c r="B63" s="2">
        <f t="shared" si="11"/>
        <v>58</v>
      </c>
      <c r="C63" s="4">
        <f t="shared" si="12"/>
        <v>33.33</v>
      </c>
      <c r="D63" s="2">
        <v>14</v>
      </c>
      <c r="E63" s="2">
        <v>50.26548245743669</v>
      </c>
      <c r="F63" s="11">
        <f t="shared" si="0"/>
        <v>2.7852115041081689</v>
      </c>
      <c r="G63" s="2">
        <f t="shared" si="1"/>
        <v>92.831099431925267</v>
      </c>
      <c r="H63" s="2">
        <f t="shared" si="2"/>
        <v>2.2554379006137886</v>
      </c>
      <c r="I63" s="2">
        <f t="shared" si="3"/>
        <v>75.173745227457573</v>
      </c>
      <c r="J63" s="2">
        <f t="shared" si="4"/>
        <v>17.657354204467694</v>
      </c>
      <c r="K63" s="15">
        <f t="shared" si="17"/>
        <v>0.60993589743589738</v>
      </c>
      <c r="L63" s="2">
        <f t="shared" si="14"/>
        <v>58</v>
      </c>
      <c r="M63" s="2">
        <f t="shared" si="15"/>
        <v>33.08</v>
      </c>
      <c r="N63" s="2">
        <v>14.5</v>
      </c>
      <c r="O63" s="2">
        <v>50.26548245743669</v>
      </c>
      <c r="P63" s="11">
        <f t="shared" si="5"/>
        <v>2.8846833435406034</v>
      </c>
      <c r="Q63" s="2">
        <f t="shared" si="6"/>
        <v>95.425325004323156</v>
      </c>
      <c r="R63" s="2">
        <f t="shared" si="7"/>
        <v>2.4001943487253978</v>
      </c>
      <c r="S63" s="2">
        <f t="shared" si="8"/>
        <v>79.398429055836161</v>
      </c>
      <c r="T63" s="2">
        <f t="shared" si="9"/>
        <v>16.026895948486995</v>
      </c>
    </row>
    <row r="64" spans="1:20" x14ac:dyDescent="0.25">
      <c r="A64" s="14">
        <f t="shared" si="16"/>
        <v>0.65078347578347584</v>
      </c>
      <c r="B64" s="2">
        <f t="shared" si="11"/>
        <v>59</v>
      </c>
      <c r="C64" s="4">
        <f t="shared" si="12"/>
        <v>33.83</v>
      </c>
      <c r="D64" s="2">
        <v>14</v>
      </c>
      <c r="E64" s="2">
        <v>50.26548245743669</v>
      </c>
      <c r="F64" s="11">
        <f t="shared" si="0"/>
        <v>2.7852115041081689</v>
      </c>
      <c r="G64" s="2">
        <f t="shared" si="1"/>
        <v>94.223705183979348</v>
      </c>
      <c r="H64" s="2">
        <f t="shared" si="2"/>
        <v>2.2554379006137886</v>
      </c>
      <c r="I64" s="2">
        <f t="shared" si="3"/>
        <v>76.301464177764458</v>
      </c>
      <c r="J64" s="2">
        <f t="shared" si="4"/>
        <v>17.92224100621489</v>
      </c>
      <c r="K64" s="15">
        <f t="shared" si="17"/>
        <v>0.61020299145299151</v>
      </c>
      <c r="L64" s="2">
        <f t="shared" si="14"/>
        <v>59</v>
      </c>
      <c r="M64" s="2">
        <f t="shared" si="15"/>
        <v>33.58</v>
      </c>
      <c r="N64" s="2">
        <v>14.5</v>
      </c>
      <c r="O64" s="2">
        <v>50.26548245743669</v>
      </c>
      <c r="P64" s="11">
        <f t="shared" si="5"/>
        <v>2.8846833435406034</v>
      </c>
      <c r="Q64" s="2">
        <f t="shared" si="6"/>
        <v>96.867666676093464</v>
      </c>
      <c r="R64" s="2">
        <f t="shared" si="7"/>
        <v>2.4001943487253978</v>
      </c>
      <c r="S64" s="2">
        <f t="shared" si="8"/>
        <v>80.598526230198857</v>
      </c>
      <c r="T64" s="2">
        <f t="shared" si="9"/>
        <v>16.269140445894607</v>
      </c>
    </row>
    <row r="65" spans="1:20" x14ac:dyDescent="0.25">
      <c r="A65" s="14">
        <f t="shared" si="16"/>
        <v>0.65096153846153848</v>
      </c>
      <c r="B65" s="2">
        <f t="shared" si="11"/>
        <v>60</v>
      </c>
      <c r="C65" s="4">
        <f t="shared" si="12"/>
        <v>34.33</v>
      </c>
      <c r="D65" s="2">
        <v>12</v>
      </c>
      <c r="E65" s="2">
        <v>50.26548245743669</v>
      </c>
      <c r="F65" s="11">
        <f t="shared" si="0"/>
        <v>2.3873241463784298</v>
      </c>
      <c r="G65" s="2">
        <f t="shared" si="1"/>
        <v>81.956837945171486</v>
      </c>
      <c r="H65" s="2">
        <f t="shared" si="2"/>
        <v>2.2554379006137886</v>
      </c>
      <c r="I65" s="2">
        <f t="shared" si="3"/>
        <v>77.429183128071358</v>
      </c>
      <c r="J65" s="2">
        <f t="shared" si="4"/>
        <v>4.5276548171001281</v>
      </c>
      <c r="K65" s="15">
        <f t="shared" si="17"/>
        <v>0.61047008547008552</v>
      </c>
      <c r="L65" s="2">
        <f t="shared" si="14"/>
        <v>60</v>
      </c>
      <c r="M65" s="2">
        <f t="shared" si="15"/>
        <v>34.08</v>
      </c>
      <c r="N65" s="2">
        <v>13.5</v>
      </c>
      <c r="O65" s="2">
        <v>50.26548245743669</v>
      </c>
      <c r="P65" s="11">
        <f t="shared" si="5"/>
        <v>2.6857396646757339</v>
      </c>
      <c r="Q65" s="2">
        <f t="shared" si="6"/>
        <v>91.530007772149006</v>
      </c>
      <c r="R65" s="2">
        <f t="shared" si="7"/>
        <v>2.4001943487253978</v>
      </c>
      <c r="S65" s="2">
        <f t="shared" si="8"/>
        <v>81.798623404561553</v>
      </c>
      <c r="T65" s="2">
        <f t="shared" si="9"/>
        <v>9.7313843675874523</v>
      </c>
    </row>
    <row r="66" spans="1:20" x14ac:dyDescent="0.25">
      <c r="A66" s="14">
        <f t="shared" si="16"/>
        <v>0.65113960113960112</v>
      </c>
      <c r="B66" s="2">
        <f t="shared" si="11"/>
        <v>61</v>
      </c>
      <c r="C66" s="4">
        <f t="shared" si="12"/>
        <v>34.83</v>
      </c>
      <c r="D66" s="2">
        <v>14</v>
      </c>
      <c r="E66" s="2">
        <v>50.26548245743669</v>
      </c>
      <c r="F66" s="11">
        <f t="shared" si="0"/>
        <v>2.7852115041081689</v>
      </c>
      <c r="G66" s="2">
        <f t="shared" si="1"/>
        <v>97.008916688087524</v>
      </c>
      <c r="H66" s="2">
        <f t="shared" si="2"/>
        <v>2.2554379006137886</v>
      </c>
      <c r="I66" s="2">
        <f t="shared" si="3"/>
        <v>78.556902078378258</v>
      </c>
      <c r="J66" s="2">
        <f t="shared" si="4"/>
        <v>18.452014609709266</v>
      </c>
      <c r="K66" s="15">
        <f t="shared" si="17"/>
        <v>0.61073717948717954</v>
      </c>
      <c r="L66" s="2">
        <f t="shared" si="14"/>
        <v>61</v>
      </c>
      <c r="M66" s="2">
        <f t="shared" si="15"/>
        <v>34.58</v>
      </c>
      <c r="N66" s="2">
        <v>13.5</v>
      </c>
      <c r="O66" s="2">
        <v>50.26548245743669</v>
      </c>
      <c r="P66" s="11">
        <f t="shared" si="5"/>
        <v>2.6857396646757339</v>
      </c>
      <c r="Q66" s="2">
        <f t="shared" si="6"/>
        <v>92.872877604486874</v>
      </c>
      <c r="R66" s="2">
        <f t="shared" si="7"/>
        <v>2.4001943487253978</v>
      </c>
      <c r="S66" s="2">
        <f t="shared" si="8"/>
        <v>82.998720578924249</v>
      </c>
      <c r="T66" s="2">
        <f t="shared" si="9"/>
        <v>9.8741570255626243</v>
      </c>
    </row>
    <row r="67" spans="1:20" x14ac:dyDescent="0.25">
      <c r="A67" s="14">
        <f t="shared" si="16"/>
        <v>0.65131766381766387</v>
      </c>
      <c r="B67" s="2">
        <f t="shared" si="11"/>
        <v>62</v>
      </c>
      <c r="C67" s="4">
        <f t="shared" si="12"/>
        <v>35.33</v>
      </c>
      <c r="D67" s="2">
        <v>14</v>
      </c>
      <c r="E67" s="2">
        <v>50.26548245743669</v>
      </c>
      <c r="F67" s="11">
        <f t="shared" si="0"/>
        <v>2.7852115041081689</v>
      </c>
      <c r="G67" s="2">
        <f t="shared" si="1"/>
        <v>98.401522440141605</v>
      </c>
      <c r="H67" s="2">
        <f t="shared" si="2"/>
        <v>2.2554379006137886</v>
      </c>
      <c r="I67" s="2">
        <f t="shared" si="3"/>
        <v>79.684621028685143</v>
      </c>
      <c r="J67" s="2">
        <f t="shared" si="4"/>
        <v>18.716901411456462</v>
      </c>
      <c r="K67" s="15">
        <f t="shared" si="17"/>
        <v>0.61100427350427355</v>
      </c>
      <c r="L67" s="2">
        <f t="shared" si="14"/>
        <v>62</v>
      </c>
      <c r="M67" s="2">
        <f t="shared" si="15"/>
        <v>35.08</v>
      </c>
      <c r="N67" s="2">
        <v>15</v>
      </c>
      <c r="O67" s="2">
        <v>50.26548245743669</v>
      </c>
      <c r="P67" s="11">
        <f t="shared" si="5"/>
        <v>2.9841551829730379</v>
      </c>
      <c r="Q67" s="2">
        <f t="shared" si="6"/>
        <v>104.68416381869416</v>
      </c>
      <c r="R67" s="2">
        <f t="shared" si="7"/>
        <v>2.4001943487253978</v>
      </c>
      <c r="S67" s="2">
        <f t="shared" si="8"/>
        <v>84.198817753286946</v>
      </c>
      <c r="T67" s="2">
        <f t="shared" si="9"/>
        <v>20.485346065407214</v>
      </c>
    </row>
    <row r="68" spans="1:20" x14ac:dyDescent="0.25">
      <c r="A68" s="14">
        <f t="shared" si="16"/>
        <v>0.65149572649572651</v>
      </c>
      <c r="B68" s="2">
        <f t="shared" si="11"/>
        <v>63</v>
      </c>
      <c r="C68" s="4">
        <f t="shared" si="12"/>
        <v>35.83</v>
      </c>
      <c r="D68" s="2">
        <v>12.5</v>
      </c>
      <c r="E68" s="2">
        <v>50.26548245743669</v>
      </c>
      <c r="F68" s="11">
        <f t="shared" si="0"/>
        <v>2.4867959858108648</v>
      </c>
      <c r="G68" s="2">
        <f t="shared" si="1"/>
        <v>89.101900171603276</v>
      </c>
      <c r="H68" s="2">
        <f t="shared" si="2"/>
        <v>2.2554379006137886</v>
      </c>
      <c r="I68" s="2">
        <f t="shared" si="3"/>
        <v>80.812339978992043</v>
      </c>
      <c r="J68" s="2">
        <f t="shared" si="4"/>
        <v>8.2895601926112334</v>
      </c>
      <c r="K68" s="15">
        <f t="shared" si="17"/>
        <v>0.61127136752136757</v>
      </c>
      <c r="L68" s="2">
        <f t="shared" si="14"/>
        <v>63</v>
      </c>
      <c r="M68" s="2">
        <f t="shared" si="15"/>
        <v>35.58</v>
      </c>
      <c r="N68" s="2">
        <v>12.5</v>
      </c>
      <c r="O68" s="2">
        <v>50.26548245743669</v>
      </c>
      <c r="P68" s="11">
        <f t="shared" si="5"/>
        <v>2.4867959858108648</v>
      </c>
      <c r="Q68" s="2">
        <f t="shared" si="6"/>
        <v>88.480201175150569</v>
      </c>
      <c r="R68" s="2">
        <f t="shared" si="7"/>
        <v>2.4001943487253978</v>
      </c>
      <c r="S68" s="2">
        <f t="shared" si="8"/>
        <v>85.398914927649656</v>
      </c>
      <c r="T68" s="2">
        <f t="shared" si="9"/>
        <v>3.0812862475009126</v>
      </c>
    </row>
    <row r="69" spans="1:20" x14ac:dyDescent="0.25">
      <c r="A69" s="14">
        <f t="shared" si="16"/>
        <v>0.65167378917378915</v>
      </c>
      <c r="B69" s="2">
        <f t="shared" si="11"/>
        <v>64</v>
      </c>
      <c r="C69" s="4">
        <f t="shared" si="12"/>
        <v>36.33</v>
      </c>
      <c r="D69" s="2">
        <v>14</v>
      </c>
      <c r="E69" s="2">
        <v>50.26548245743669</v>
      </c>
      <c r="F69" s="11">
        <f t="shared" si="0"/>
        <v>2.7852115041081689</v>
      </c>
      <c r="G69" s="2">
        <f t="shared" si="1"/>
        <v>101.18673394424977</v>
      </c>
      <c r="H69" s="2">
        <f t="shared" si="2"/>
        <v>2.2554379006137886</v>
      </c>
      <c r="I69" s="2">
        <f t="shared" si="3"/>
        <v>81.940058929298928</v>
      </c>
      <c r="J69" s="2">
        <f t="shared" si="4"/>
        <v>19.246675014950839</v>
      </c>
      <c r="K69" s="15">
        <f t="shared" si="17"/>
        <v>0.61153846153846159</v>
      </c>
      <c r="L69" s="2">
        <f t="shared" si="14"/>
        <v>64</v>
      </c>
      <c r="M69" s="2">
        <f t="shared" si="15"/>
        <v>36.08</v>
      </c>
      <c r="N69" s="2">
        <v>12</v>
      </c>
      <c r="O69" s="2">
        <v>50.26548245743669</v>
      </c>
      <c r="P69" s="11">
        <f t="shared" si="5"/>
        <v>2.3873241463784298</v>
      </c>
      <c r="Q69" s="2">
        <f t="shared" si="6"/>
        <v>86.134655201333743</v>
      </c>
      <c r="R69" s="2">
        <f t="shared" si="7"/>
        <v>2.4001943487253978</v>
      </c>
      <c r="S69" s="2">
        <f t="shared" si="8"/>
        <v>86.599012102012352</v>
      </c>
      <c r="T69" s="2">
        <f t="shared" si="9"/>
        <v>0.46435690067860946</v>
      </c>
    </row>
    <row r="70" spans="1:20" x14ac:dyDescent="0.25">
      <c r="A70" s="14">
        <f t="shared" si="16"/>
        <v>0.6518518518518519</v>
      </c>
      <c r="B70" s="2">
        <f t="shared" si="11"/>
        <v>65</v>
      </c>
      <c r="C70" s="4">
        <f t="shared" si="12"/>
        <v>36.83</v>
      </c>
      <c r="D70" s="2">
        <v>16.5</v>
      </c>
      <c r="E70" s="2">
        <v>50.26548245743669</v>
      </c>
      <c r="F70" s="11">
        <f t="shared" si="0"/>
        <v>3.2825707012703416</v>
      </c>
      <c r="G70" s="2">
        <f t="shared" si="1"/>
        <v>120.89707892778668</v>
      </c>
      <c r="H70" s="2">
        <f t="shared" si="2"/>
        <v>2.2554379006137886</v>
      </c>
      <c r="I70" s="2">
        <f t="shared" si="3"/>
        <v>83.067777879605828</v>
      </c>
      <c r="J70" s="2">
        <f t="shared" si="4"/>
        <v>37.829301048180852</v>
      </c>
      <c r="K70" s="15">
        <f t="shared" si="17"/>
        <v>0.6118055555555556</v>
      </c>
      <c r="L70" s="2">
        <f t="shared" si="14"/>
        <v>65</v>
      </c>
      <c r="M70" s="2">
        <f t="shared" si="15"/>
        <v>36.58</v>
      </c>
      <c r="N70" s="2">
        <v>13</v>
      </c>
      <c r="O70" s="2">
        <v>50.26548245743669</v>
      </c>
      <c r="P70" s="11">
        <f t="shared" si="5"/>
        <v>2.5862678252432989</v>
      </c>
      <c r="Q70" s="2">
        <f t="shared" si="6"/>
        <v>94.605677047399865</v>
      </c>
      <c r="R70" s="2">
        <f t="shared" si="7"/>
        <v>2.4001943487253978</v>
      </c>
      <c r="S70" s="2">
        <f t="shared" si="8"/>
        <v>87.799109276375049</v>
      </c>
      <c r="T70" s="2">
        <f t="shared" si="9"/>
        <v>6.8065677710248167</v>
      </c>
    </row>
    <row r="71" spans="1:20" x14ac:dyDescent="0.25">
      <c r="A71" s="14">
        <f t="shared" si="16"/>
        <v>0.65202991452991454</v>
      </c>
      <c r="B71" s="2">
        <f t="shared" si="11"/>
        <v>66</v>
      </c>
      <c r="C71" s="4">
        <f t="shared" si="12"/>
        <v>37.33</v>
      </c>
      <c r="D71" s="2">
        <v>12.5</v>
      </c>
      <c r="E71" s="2">
        <v>50.26548245743669</v>
      </c>
      <c r="F71" s="11">
        <f t="shared" si="0"/>
        <v>2.4867959858108648</v>
      </c>
      <c r="G71" s="2">
        <f t="shared" si="1"/>
        <v>92.832094150319577</v>
      </c>
      <c r="H71" s="2">
        <f t="shared" si="2"/>
        <v>2.2554379006137886</v>
      </c>
      <c r="I71" s="2">
        <f t="shared" si="3"/>
        <v>84.195496829912727</v>
      </c>
      <c r="J71" s="2">
        <f t="shared" si="4"/>
        <v>8.6365973204068496</v>
      </c>
      <c r="K71" s="15">
        <f t="shared" si="17"/>
        <v>0.61207264957264962</v>
      </c>
      <c r="L71" s="2">
        <f t="shared" si="14"/>
        <v>66</v>
      </c>
      <c r="M71" s="2">
        <f t="shared" si="15"/>
        <v>37.08</v>
      </c>
      <c r="N71" s="2">
        <v>13.5</v>
      </c>
      <c r="O71" s="2">
        <v>50.26548245743669</v>
      </c>
      <c r="P71" s="11">
        <f t="shared" si="5"/>
        <v>2.6857396646757339</v>
      </c>
      <c r="Q71" s="2">
        <f t="shared" si="6"/>
        <v>99.587226766176201</v>
      </c>
      <c r="R71" s="2">
        <f t="shared" si="7"/>
        <v>2.4001943487253978</v>
      </c>
      <c r="S71" s="2">
        <f t="shared" si="8"/>
        <v>88.999206450737745</v>
      </c>
      <c r="T71" s="2">
        <f t="shared" si="9"/>
        <v>10.588020315438456</v>
      </c>
    </row>
    <row r="72" spans="1:20" x14ac:dyDescent="0.25">
      <c r="A72" s="14">
        <f t="shared" si="16"/>
        <v>0.65220797720797719</v>
      </c>
      <c r="B72" s="2">
        <f t="shared" si="11"/>
        <v>67</v>
      </c>
      <c r="C72" s="4">
        <f t="shared" si="12"/>
        <v>37.83</v>
      </c>
      <c r="D72" s="2">
        <v>13</v>
      </c>
      <c r="E72" s="2">
        <v>50.26548245743669</v>
      </c>
      <c r="F72" s="11">
        <f t="shared" si="0"/>
        <v>2.5862678252432989</v>
      </c>
      <c r="G72" s="2">
        <f t="shared" si="1"/>
        <v>97.838511828953997</v>
      </c>
      <c r="H72" s="2">
        <f t="shared" si="2"/>
        <v>2.2554379006137886</v>
      </c>
      <c r="I72" s="2">
        <f t="shared" si="3"/>
        <v>85.323215780219613</v>
      </c>
      <c r="J72" s="2">
        <f t="shared" si="4"/>
        <v>12.515296048734385</v>
      </c>
      <c r="K72" s="15">
        <f t="shared" si="17"/>
        <v>0.61233974358974363</v>
      </c>
      <c r="L72" s="2">
        <f t="shared" si="14"/>
        <v>67</v>
      </c>
      <c r="M72" s="2">
        <f t="shared" si="15"/>
        <v>37.58</v>
      </c>
      <c r="N72" s="2">
        <v>13</v>
      </c>
      <c r="O72" s="2">
        <v>50.26548245743669</v>
      </c>
      <c r="P72" s="11">
        <f t="shared" si="5"/>
        <v>2.5862678252432989</v>
      </c>
      <c r="Q72" s="2">
        <f t="shared" si="6"/>
        <v>97.191944872643163</v>
      </c>
      <c r="R72" s="2">
        <f t="shared" si="7"/>
        <v>2.4001943487253978</v>
      </c>
      <c r="S72" s="2">
        <f t="shared" si="8"/>
        <v>90.199303625100441</v>
      </c>
      <c r="T72" s="2">
        <f t="shared" si="9"/>
        <v>6.9926412475427213</v>
      </c>
    </row>
    <row r="73" spans="1:20" x14ac:dyDescent="0.25">
      <c r="A73" s="14">
        <f t="shared" si="16"/>
        <v>0.65238603988603994</v>
      </c>
      <c r="B73" s="2">
        <f t="shared" si="11"/>
        <v>68</v>
      </c>
      <c r="C73" s="4">
        <f t="shared" si="12"/>
        <v>38.33</v>
      </c>
      <c r="D73" s="2">
        <v>12</v>
      </c>
      <c r="E73" s="2">
        <v>50.26548245743669</v>
      </c>
      <c r="F73" s="11">
        <f t="shared" si="0"/>
        <v>2.3873241463784298</v>
      </c>
      <c r="G73" s="2">
        <f t="shared" si="1"/>
        <v>91.506134530685216</v>
      </c>
      <c r="H73" s="2">
        <f t="shared" si="2"/>
        <v>2.2554379006137886</v>
      </c>
      <c r="I73" s="2">
        <f t="shared" si="3"/>
        <v>86.450934730526512</v>
      </c>
      <c r="J73" s="2">
        <f t="shared" si="4"/>
        <v>5.0551998001587037</v>
      </c>
      <c r="K73" s="15">
        <f t="shared" si="17"/>
        <v>0.61260683760683765</v>
      </c>
      <c r="L73" s="2">
        <f t="shared" si="14"/>
        <v>68</v>
      </c>
      <c r="M73" s="2">
        <f t="shared" si="15"/>
        <v>38.08</v>
      </c>
      <c r="N73" s="2">
        <v>13.5</v>
      </c>
      <c r="O73" s="2">
        <v>50.26548245743669</v>
      </c>
      <c r="P73" s="11">
        <f t="shared" si="5"/>
        <v>2.6857396646757339</v>
      </c>
      <c r="Q73" s="2">
        <f t="shared" si="6"/>
        <v>102.27296643085194</v>
      </c>
      <c r="R73" s="2">
        <f t="shared" si="7"/>
        <v>2.4001943487253978</v>
      </c>
      <c r="S73" s="2">
        <f t="shared" si="8"/>
        <v>91.399400799463152</v>
      </c>
      <c r="T73" s="2">
        <f t="shared" si="9"/>
        <v>10.873565631388786</v>
      </c>
    </row>
    <row r="74" spans="1:20" x14ac:dyDescent="0.25">
      <c r="A74" s="14">
        <f t="shared" si="16"/>
        <v>0.65256410256410258</v>
      </c>
      <c r="B74" s="2">
        <f t="shared" si="11"/>
        <v>69</v>
      </c>
      <c r="C74" s="4">
        <f t="shared" si="12"/>
        <v>38.83</v>
      </c>
      <c r="D74" s="2">
        <v>12</v>
      </c>
      <c r="E74" s="2">
        <v>50.26548245743669</v>
      </c>
      <c r="F74" s="11">
        <f t="shared" si="0"/>
        <v>2.3873241463784298</v>
      </c>
      <c r="G74" s="2">
        <f t="shared" si="1"/>
        <v>92.699796603874432</v>
      </c>
      <c r="H74" s="2">
        <f t="shared" si="2"/>
        <v>2.2554379006137886</v>
      </c>
      <c r="I74" s="2">
        <f t="shared" si="3"/>
        <v>87.578653680833412</v>
      </c>
      <c r="J74" s="2">
        <f t="shared" si="4"/>
        <v>5.1211429230410204</v>
      </c>
      <c r="K74" s="15">
        <f t="shared" si="17"/>
        <v>0.61287393162393167</v>
      </c>
      <c r="L74" s="2">
        <f t="shared" si="14"/>
        <v>69</v>
      </c>
      <c r="M74" s="2">
        <f t="shared" si="15"/>
        <v>38.58</v>
      </c>
      <c r="N74" s="2">
        <v>12.5</v>
      </c>
      <c r="O74" s="2">
        <v>50.26548245743669</v>
      </c>
      <c r="P74" s="11">
        <f t="shared" si="5"/>
        <v>2.4867959858108648</v>
      </c>
      <c r="Q74" s="2">
        <f t="shared" si="6"/>
        <v>95.940589132583156</v>
      </c>
      <c r="R74" s="2">
        <f t="shared" si="7"/>
        <v>2.4001943487253978</v>
      </c>
      <c r="S74" s="2">
        <f t="shared" si="8"/>
        <v>92.599497973825848</v>
      </c>
      <c r="T74" s="2">
        <f t="shared" si="9"/>
        <v>3.3410911587573082</v>
      </c>
    </row>
    <row r="75" spans="1:20" x14ac:dyDescent="0.25">
      <c r="A75" s="14">
        <f t="shared" si="16"/>
        <v>0.65274216524216522</v>
      </c>
      <c r="B75" s="2">
        <f t="shared" si="11"/>
        <v>70</v>
      </c>
      <c r="C75" s="4">
        <f t="shared" si="12"/>
        <v>39.33</v>
      </c>
      <c r="D75" s="2">
        <v>11.5</v>
      </c>
      <c r="E75" s="2">
        <v>50.26548245743669</v>
      </c>
      <c r="F75" s="11">
        <f t="shared" si="0"/>
        <v>2.2878523069459957</v>
      </c>
      <c r="G75" s="2">
        <f t="shared" si="1"/>
        <v>89.981231232186005</v>
      </c>
      <c r="H75" s="2">
        <f t="shared" si="2"/>
        <v>2.2554379006137886</v>
      </c>
      <c r="I75" s="2">
        <f t="shared" si="3"/>
        <v>88.706372631140297</v>
      </c>
      <c r="J75" s="2">
        <f t="shared" si="4"/>
        <v>1.2748586010457075</v>
      </c>
      <c r="K75" s="15">
        <f t="shared" si="17"/>
        <v>0.61314102564102568</v>
      </c>
      <c r="L75" s="2">
        <f t="shared" si="14"/>
        <v>70</v>
      </c>
      <c r="M75" s="2">
        <f t="shared" si="15"/>
        <v>39.08</v>
      </c>
      <c r="N75" s="2">
        <v>12</v>
      </c>
      <c r="O75" s="2">
        <v>50.26548245743669</v>
      </c>
      <c r="P75" s="11">
        <f t="shared" si="5"/>
        <v>2.3873241463784298</v>
      </c>
      <c r="Q75" s="2">
        <f t="shared" si="6"/>
        <v>93.29662764046904</v>
      </c>
      <c r="R75" s="2">
        <f t="shared" si="7"/>
        <v>2.4001943487253978</v>
      </c>
      <c r="S75" s="2">
        <f t="shared" si="8"/>
        <v>93.799595148188544</v>
      </c>
      <c r="T75" s="2">
        <f t="shared" si="9"/>
        <v>0.50296750771950371</v>
      </c>
    </row>
    <row r="76" spans="1:20" x14ac:dyDescent="0.25">
      <c r="A76" s="14">
        <f t="shared" si="16"/>
        <v>0.65292022792022797</v>
      </c>
      <c r="B76" s="2">
        <f t="shared" si="11"/>
        <v>71</v>
      </c>
      <c r="C76" s="4">
        <f t="shared" si="12"/>
        <v>39.83</v>
      </c>
      <c r="D76" s="2">
        <v>12.5</v>
      </c>
      <c r="E76" s="2">
        <v>50.26548245743669</v>
      </c>
      <c r="F76" s="11">
        <f t="shared" si="0"/>
        <v>2.4867959858108648</v>
      </c>
      <c r="G76" s="2">
        <f t="shared" si="1"/>
        <v>99.049084114846735</v>
      </c>
      <c r="H76" s="2">
        <f t="shared" si="2"/>
        <v>2.2554379006137886</v>
      </c>
      <c r="I76" s="2">
        <f t="shared" si="3"/>
        <v>89.834091581447197</v>
      </c>
      <c r="J76" s="2">
        <f t="shared" si="4"/>
        <v>9.2149925333995384</v>
      </c>
      <c r="K76" s="15">
        <f t="shared" si="17"/>
        <v>0.6134081196581197</v>
      </c>
      <c r="L76" s="2">
        <f t="shared" si="14"/>
        <v>71</v>
      </c>
      <c r="M76" s="2">
        <f t="shared" si="15"/>
        <v>39.58</v>
      </c>
      <c r="N76" s="2">
        <v>11.5</v>
      </c>
      <c r="O76" s="2">
        <v>50.26548245743669</v>
      </c>
      <c r="P76" s="11">
        <f t="shared" si="5"/>
        <v>2.2878523069459957</v>
      </c>
      <c r="Q76" s="2">
        <f t="shared" si="6"/>
        <v>90.553194308922514</v>
      </c>
      <c r="R76" s="2">
        <f t="shared" si="7"/>
        <v>2.4001943487253978</v>
      </c>
      <c r="S76" s="2">
        <f t="shared" si="8"/>
        <v>94.99969232255124</v>
      </c>
      <c r="T76" s="2">
        <f t="shared" si="9"/>
        <v>4.4464980136287267</v>
      </c>
    </row>
    <row r="77" spans="1:20" x14ac:dyDescent="0.25">
      <c r="A77" s="14">
        <f t="shared" si="16"/>
        <v>0.65309829059829061</v>
      </c>
      <c r="B77" s="2">
        <f t="shared" si="11"/>
        <v>72</v>
      </c>
      <c r="C77" s="4">
        <f t="shared" si="12"/>
        <v>40.33</v>
      </c>
      <c r="D77" s="2">
        <v>12.5</v>
      </c>
      <c r="E77" s="2">
        <v>50.26548245743669</v>
      </c>
      <c r="F77" s="11">
        <f t="shared" si="0"/>
        <v>2.4867959858108648</v>
      </c>
      <c r="G77" s="2">
        <f t="shared" si="1"/>
        <v>100.29248210775218</v>
      </c>
      <c r="H77" s="2">
        <f t="shared" si="2"/>
        <v>2.2554379006137886</v>
      </c>
      <c r="I77" s="2">
        <f t="shared" si="3"/>
        <v>90.961810531754082</v>
      </c>
      <c r="J77" s="2">
        <f t="shared" si="4"/>
        <v>9.330671575998096</v>
      </c>
      <c r="K77" s="15">
        <f t="shared" si="17"/>
        <v>0.61367521367521372</v>
      </c>
      <c r="L77" s="2">
        <f t="shared" si="14"/>
        <v>72</v>
      </c>
      <c r="M77" s="2">
        <f t="shared" si="15"/>
        <v>40.08</v>
      </c>
      <c r="N77" s="2">
        <v>12.5</v>
      </c>
      <c r="O77" s="2">
        <v>50.26548245743669</v>
      </c>
      <c r="P77" s="11">
        <f t="shared" si="5"/>
        <v>2.4867959858108648</v>
      </c>
      <c r="Q77" s="2">
        <f t="shared" si="6"/>
        <v>99.670783111299457</v>
      </c>
      <c r="R77" s="2">
        <f t="shared" si="7"/>
        <v>2.4001943487253978</v>
      </c>
      <c r="S77" s="2">
        <f t="shared" si="8"/>
        <v>96.199789496913937</v>
      </c>
      <c r="T77" s="2">
        <f t="shared" si="9"/>
        <v>3.4709936143855202</v>
      </c>
    </row>
    <row r="78" spans="1:20" x14ac:dyDescent="0.25">
      <c r="A78" s="14">
        <f t="shared" si="16"/>
        <v>0.65327635327635325</v>
      </c>
      <c r="B78" s="2">
        <f t="shared" si="11"/>
        <v>73</v>
      </c>
      <c r="C78" s="4">
        <f t="shared" si="12"/>
        <v>40.83</v>
      </c>
      <c r="D78" s="2">
        <v>13</v>
      </c>
      <c r="E78" s="2">
        <v>50.26548245743669</v>
      </c>
      <c r="F78" s="11">
        <f t="shared" si="0"/>
        <v>2.5862678252432989</v>
      </c>
      <c r="G78" s="2">
        <f t="shared" si="1"/>
        <v>105.59731530468389</v>
      </c>
      <c r="H78" s="2">
        <f t="shared" si="2"/>
        <v>2.2554379006137886</v>
      </c>
      <c r="I78" s="2">
        <f t="shared" si="3"/>
        <v>92.089529482060982</v>
      </c>
      <c r="J78" s="2">
        <f t="shared" si="4"/>
        <v>13.507785822622907</v>
      </c>
      <c r="K78" s="15">
        <f t="shared" si="17"/>
        <v>0.61394230769230773</v>
      </c>
      <c r="L78" s="2">
        <f t="shared" si="14"/>
        <v>73</v>
      </c>
      <c r="M78" s="2">
        <f t="shared" si="15"/>
        <v>40.58</v>
      </c>
      <c r="N78" s="2">
        <v>13</v>
      </c>
      <c r="O78" s="2">
        <v>50.26548245743669</v>
      </c>
      <c r="P78" s="11">
        <f t="shared" si="5"/>
        <v>2.5862678252432989</v>
      </c>
      <c r="Q78" s="2">
        <f t="shared" si="6"/>
        <v>104.95074834837307</v>
      </c>
      <c r="R78" s="2">
        <f t="shared" si="7"/>
        <v>2.4001943487253978</v>
      </c>
      <c r="S78" s="2">
        <f t="shared" si="8"/>
        <v>97.399886671276633</v>
      </c>
      <c r="T78" s="2">
        <f t="shared" si="9"/>
        <v>7.5508616770964352</v>
      </c>
    </row>
    <row r="79" spans="1:20" x14ac:dyDescent="0.25">
      <c r="A79" s="14">
        <f t="shared" si="16"/>
        <v>0.653454415954416</v>
      </c>
      <c r="B79" s="2">
        <f t="shared" si="11"/>
        <v>74</v>
      </c>
      <c r="C79" s="4">
        <f t="shared" si="12"/>
        <v>41.33</v>
      </c>
      <c r="D79" s="2">
        <v>12.5</v>
      </c>
      <c r="E79" s="2">
        <v>50.26548245743669</v>
      </c>
      <c r="F79" s="11">
        <f t="shared" si="0"/>
        <v>2.4867959858108648</v>
      </c>
      <c r="G79" s="2">
        <f t="shared" si="1"/>
        <v>102.77927809356304</v>
      </c>
      <c r="H79" s="2">
        <f t="shared" si="2"/>
        <v>2.2554379006137886</v>
      </c>
      <c r="I79" s="2">
        <f t="shared" si="3"/>
        <v>93.217248432367882</v>
      </c>
      <c r="J79" s="2">
        <f t="shared" si="4"/>
        <v>9.5620296611951545</v>
      </c>
      <c r="K79" s="15">
        <f t="shared" si="17"/>
        <v>0.61420940170940175</v>
      </c>
      <c r="L79" s="2">
        <f t="shared" si="14"/>
        <v>74</v>
      </c>
      <c r="M79" s="2">
        <f t="shared" si="15"/>
        <v>41.08</v>
      </c>
      <c r="N79" s="2">
        <v>13</v>
      </c>
      <c r="O79" s="2">
        <v>50.26548245743669</v>
      </c>
      <c r="P79" s="11">
        <f t="shared" si="5"/>
        <v>2.5862678252432989</v>
      </c>
      <c r="Q79" s="2">
        <f t="shared" si="6"/>
        <v>106.24388226099471</v>
      </c>
      <c r="R79" s="2">
        <f t="shared" si="7"/>
        <v>2.4001943487253978</v>
      </c>
      <c r="S79" s="2">
        <f t="shared" si="8"/>
        <v>98.599983845639343</v>
      </c>
      <c r="T79" s="2">
        <f t="shared" si="9"/>
        <v>7.6438984153553662</v>
      </c>
    </row>
    <row r="80" spans="1:20" x14ac:dyDescent="0.25">
      <c r="A80" s="14">
        <f t="shared" si="16"/>
        <v>0.65363247863247864</v>
      </c>
      <c r="B80" s="2">
        <f t="shared" si="11"/>
        <v>75</v>
      </c>
      <c r="C80" s="4">
        <f t="shared" si="12"/>
        <v>41.83</v>
      </c>
      <c r="D80" s="2">
        <v>12.5</v>
      </c>
      <c r="E80" s="2">
        <v>50.26548245743669</v>
      </c>
      <c r="F80" s="11">
        <f t="shared" si="0"/>
        <v>2.4867959858108648</v>
      </c>
      <c r="G80" s="2">
        <f t="shared" si="1"/>
        <v>104.02267608646846</v>
      </c>
      <c r="H80" s="2">
        <f t="shared" si="2"/>
        <v>2.2554379006137886</v>
      </c>
      <c r="I80" s="2">
        <f t="shared" si="3"/>
        <v>94.344967382674767</v>
      </c>
      <c r="J80" s="2">
        <f t="shared" si="4"/>
        <v>9.677708703793698</v>
      </c>
      <c r="K80" s="15">
        <f t="shared" si="17"/>
        <v>0.61447649572649576</v>
      </c>
      <c r="L80" s="2">
        <f t="shared" si="14"/>
        <v>75</v>
      </c>
      <c r="M80" s="2">
        <f t="shared" si="15"/>
        <v>41.58</v>
      </c>
      <c r="N80" s="2">
        <v>12.5</v>
      </c>
      <c r="O80" s="2">
        <v>50.26548245743669</v>
      </c>
      <c r="P80" s="11">
        <f t="shared" si="5"/>
        <v>2.4867959858108648</v>
      </c>
      <c r="Q80" s="2">
        <f t="shared" si="6"/>
        <v>103.40097709001576</v>
      </c>
      <c r="R80" s="2">
        <f t="shared" si="7"/>
        <v>2.4001943487253978</v>
      </c>
      <c r="S80" s="2">
        <f t="shared" si="8"/>
        <v>99.80008102000204</v>
      </c>
      <c r="T80" s="2">
        <f t="shared" si="9"/>
        <v>3.600896070013718</v>
      </c>
    </row>
    <row r="81" spans="1:20" x14ac:dyDescent="0.25">
      <c r="A81" s="14">
        <f t="shared" si="16"/>
        <v>0.65381054131054128</v>
      </c>
      <c r="B81" s="2">
        <f t="shared" si="11"/>
        <v>76</v>
      </c>
      <c r="C81" s="4">
        <f t="shared" si="12"/>
        <v>42.33</v>
      </c>
      <c r="D81" s="2">
        <v>11.5</v>
      </c>
      <c r="E81" s="2">
        <v>50.26548245743669</v>
      </c>
      <c r="F81" s="11">
        <f t="shared" si="0"/>
        <v>2.2878523069459957</v>
      </c>
      <c r="G81" s="2">
        <f t="shared" si="1"/>
        <v>96.844788153023998</v>
      </c>
      <c r="H81" s="2">
        <f t="shared" si="2"/>
        <v>2.2554379006137886</v>
      </c>
      <c r="I81" s="2">
        <f t="shared" si="3"/>
        <v>95.472686332981667</v>
      </c>
      <c r="J81" s="2">
        <f t="shared" si="4"/>
        <v>1.3721018200423316</v>
      </c>
      <c r="K81" s="15">
        <f t="shared" si="17"/>
        <v>0.61474358974358978</v>
      </c>
      <c r="L81" s="2">
        <f t="shared" si="14"/>
        <v>76</v>
      </c>
      <c r="M81" s="2">
        <f t="shared" si="15"/>
        <v>42.08</v>
      </c>
      <c r="N81" s="2">
        <v>13</v>
      </c>
      <c r="O81" s="2">
        <v>50.26548245743669</v>
      </c>
      <c r="P81" s="11">
        <f t="shared" si="5"/>
        <v>2.5862678252432989</v>
      </c>
      <c r="Q81" s="2">
        <f t="shared" si="6"/>
        <v>108.83015008623801</v>
      </c>
      <c r="R81" s="2">
        <f t="shared" si="7"/>
        <v>2.4001943487253978</v>
      </c>
      <c r="S81" s="2">
        <f t="shared" si="8"/>
        <v>101.00017819436474</v>
      </c>
      <c r="T81" s="2">
        <f t="shared" si="9"/>
        <v>7.8299718918732708</v>
      </c>
    </row>
    <row r="82" spans="1:20" x14ac:dyDescent="0.25">
      <c r="A82" s="14">
        <f t="shared" si="16"/>
        <v>0.65398860398860403</v>
      </c>
      <c r="B82" s="2">
        <f t="shared" si="11"/>
        <v>77</v>
      </c>
      <c r="C82" s="4">
        <f t="shared" si="12"/>
        <v>42.83</v>
      </c>
      <c r="D82" s="2">
        <v>12.5</v>
      </c>
      <c r="E82" s="2">
        <v>50.26548245743669</v>
      </c>
      <c r="F82" s="11">
        <f t="shared" si="0"/>
        <v>2.4867959858108648</v>
      </c>
      <c r="G82" s="2">
        <f t="shared" si="1"/>
        <v>106.50947207227934</v>
      </c>
      <c r="H82" s="2">
        <f t="shared" si="2"/>
        <v>2.2554379006137886</v>
      </c>
      <c r="I82" s="2">
        <f t="shared" si="3"/>
        <v>96.600405283288566</v>
      </c>
      <c r="J82" s="2">
        <f t="shared" si="4"/>
        <v>9.9090667889907706</v>
      </c>
      <c r="K82" s="15">
        <f t="shared" si="17"/>
        <v>0.6150106837606838</v>
      </c>
      <c r="L82" s="2">
        <f t="shared" si="14"/>
        <v>77</v>
      </c>
      <c r="M82" s="2">
        <f t="shared" si="15"/>
        <v>42.58</v>
      </c>
      <c r="N82" s="2">
        <v>12.5</v>
      </c>
      <c r="O82" s="2">
        <v>50.26548245743669</v>
      </c>
      <c r="P82" s="11">
        <f t="shared" si="5"/>
        <v>2.4867959858108648</v>
      </c>
      <c r="Q82" s="2">
        <f t="shared" si="6"/>
        <v>105.88777307582662</v>
      </c>
      <c r="R82" s="2">
        <f t="shared" si="7"/>
        <v>2.4001943487253978</v>
      </c>
      <c r="S82" s="2">
        <f t="shared" si="8"/>
        <v>102.20027536872743</v>
      </c>
      <c r="T82" s="2">
        <f t="shared" si="9"/>
        <v>3.6874977070991832</v>
      </c>
    </row>
    <row r="83" spans="1:20" x14ac:dyDescent="0.25">
      <c r="A83" s="10">
        <v>0.65416666666666667</v>
      </c>
      <c r="B83" s="2">
        <f t="shared" si="11"/>
        <v>78</v>
      </c>
      <c r="C83" s="4">
        <f t="shared" si="12"/>
        <v>43.33</v>
      </c>
      <c r="D83" s="2">
        <v>14.5</v>
      </c>
      <c r="E83" s="2">
        <v>50.26548245743669</v>
      </c>
      <c r="F83" s="11">
        <f t="shared" si="0"/>
        <v>2.8846833435406034</v>
      </c>
      <c r="G83" s="2">
        <f t="shared" si="1"/>
        <v>124.99332927561434</v>
      </c>
      <c r="H83" s="2">
        <f t="shared" si="2"/>
        <v>2.2554379006137886</v>
      </c>
      <c r="I83" s="2">
        <f t="shared" si="3"/>
        <v>97.728124233595452</v>
      </c>
      <c r="J83" s="2">
        <f t="shared" si="4"/>
        <v>27.265205042018891</v>
      </c>
      <c r="K83" s="12">
        <v>0.61527777777777781</v>
      </c>
      <c r="L83" s="2">
        <f t="shared" si="14"/>
        <v>78</v>
      </c>
      <c r="M83" s="2">
        <f t="shared" si="15"/>
        <v>43.08</v>
      </c>
      <c r="N83" s="2">
        <v>14</v>
      </c>
      <c r="O83" s="2">
        <v>50.26548245743669</v>
      </c>
      <c r="P83" s="11">
        <f t="shared" si="5"/>
        <v>2.7852115041081689</v>
      </c>
      <c r="Q83" s="2">
        <f t="shared" si="6"/>
        <v>119.98691159697991</v>
      </c>
      <c r="R83" s="2">
        <f t="shared" si="7"/>
        <v>2.4001943487253978</v>
      </c>
      <c r="S83" s="2">
        <f t="shared" si="8"/>
        <v>103.40037254309013</v>
      </c>
      <c r="T83" s="2">
        <f t="shared" si="9"/>
        <v>16.58653905388978</v>
      </c>
    </row>
    <row r="84" spans="1:20" x14ac:dyDescent="0.25">
      <c r="A84" s="14">
        <f t="shared" ref="A84:A121" si="18">IF(AND($A$83&lt;&gt;"",$A$122&lt;&gt;""), $A$83 + (B84 - $B$83) * (($A$122 - $A$83) / ($B$122 - $B$83)), "")</f>
        <v>0.65439814814814812</v>
      </c>
      <c r="B84" s="2">
        <f t="shared" si="11"/>
        <v>79</v>
      </c>
      <c r="C84" s="4">
        <f t="shared" si="12"/>
        <v>43.83</v>
      </c>
      <c r="D84" s="2">
        <v>12.5</v>
      </c>
      <c r="E84" s="2">
        <v>50.26548245743669</v>
      </c>
      <c r="F84" s="11">
        <f t="shared" si="0"/>
        <v>2.4867959858108648</v>
      </c>
      <c r="G84" s="2">
        <f t="shared" si="1"/>
        <v>108.99626805809019</v>
      </c>
      <c r="H84" s="2">
        <f t="shared" si="2"/>
        <v>2.2554379006137886</v>
      </c>
      <c r="I84" s="2">
        <f t="shared" si="3"/>
        <v>98.855843183902351</v>
      </c>
      <c r="J84" s="2">
        <f t="shared" si="4"/>
        <v>10.140424874187843</v>
      </c>
      <c r="K84" s="15">
        <f t="shared" ref="K84:K121" si="19">IF(AND($K$83&lt;&gt;"",$K$122&lt;&gt;""), $K$83 + (L84 - $L$83) * (($K$122 - $K$83) / ($L$122 - $L$83)), "")</f>
        <v>0.6155270655270656</v>
      </c>
      <c r="L84" s="2">
        <f t="shared" si="14"/>
        <v>79</v>
      </c>
      <c r="M84" s="2">
        <f t="shared" si="15"/>
        <v>43.58</v>
      </c>
      <c r="N84" s="2">
        <v>14</v>
      </c>
      <c r="O84" s="2">
        <v>50.26548245743669</v>
      </c>
      <c r="P84" s="11">
        <f t="shared" si="5"/>
        <v>2.7852115041081689</v>
      </c>
      <c r="Q84" s="2">
        <f t="shared" si="6"/>
        <v>121.37951734903399</v>
      </c>
      <c r="R84" s="2">
        <f t="shared" si="7"/>
        <v>2.4001943487253978</v>
      </c>
      <c r="S84" s="2">
        <f t="shared" si="8"/>
        <v>104.60046971745284</v>
      </c>
      <c r="T84" s="2">
        <f t="shared" si="9"/>
        <v>16.77904763158115</v>
      </c>
    </row>
    <row r="85" spans="1:20" x14ac:dyDescent="0.25">
      <c r="A85" s="14">
        <f t="shared" si="18"/>
        <v>0.65462962962962967</v>
      </c>
      <c r="B85" s="2">
        <f t="shared" si="11"/>
        <v>80</v>
      </c>
      <c r="C85" s="4">
        <f t="shared" si="12"/>
        <v>44.33</v>
      </c>
      <c r="D85" s="2">
        <v>11.5</v>
      </c>
      <c r="E85" s="2">
        <v>50.26548245743669</v>
      </c>
      <c r="F85" s="11">
        <f t="shared" si="0"/>
        <v>2.2878523069459957</v>
      </c>
      <c r="G85" s="2">
        <f t="shared" si="1"/>
        <v>101.42049276691598</v>
      </c>
      <c r="H85" s="2">
        <f t="shared" si="2"/>
        <v>2.2554379006137886</v>
      </c>
      <c r="I85" s="2">
        <f t="shared" si="3"/>
        <v>99.983562134209237</v>
      </c>
      <c r="J85" s="2">
        <f t="shared" si="4"/>
        <v>1.4369306327067477</v>
      </c>
      <c r="K85" s="15">
        <f t="shared" si="19"/>
        <v>0.61577635327635327</v>
      </c>
      <c r="L85" s="2">
        <f t="shared" si="14"/>
        <v>80</v>
      </c>
      <c r="M85" s="2">
        <f t="shared" si="15"/>
        <v>44.08</v>
      </c>
      <c r="N85" s="2">
        <v>13.5</v>
      </c>
      <c r="O85" s="2">
        <v>50.26548245743669</v>
      </c>
      <c r="P85" s="11">
        <f t="shared" si="5"/>
        <v>2.6857396646757339</v>
      </c>
      <c r="Q85" s="2">
        <f t="shared" si="6"/>
        <v>118.38740441890634</v>
      </c>
      <c r="R85" s="2">
        <f t="shared" si="7"/>
        <v>2.4001943487253978</v>
      </c>
      <c r="S85" s="2">
        <f t="shared" si="8"/>
        <v>105.80056689181554</v>
      </c>
      <c r="T85" s="2">
        <f t="shared" si="9"/>
        <v>12.586837527090807</v>
      </c>
    </row>
    <row r="86" spans="1:20" x14ac:dyDescent="0.25">
      <c r="A86" s="14">
        <f t="shared" si="18"/>
        <v>0.65486111111111112</v>
      </c>
      <c r="B86" s="2">
        <f t="shared" si="11"/>
        <v>81</v>
      </c>
      <c r="C86" s="4">
        <f t="shared" si="12"/>
        <v>44.83</v>
      </c>
      <c r="D86" s="2">
        <v>12.5</v>
      </c>
      <c r="E86" s="2">
        <v>50.26548245743669</v>
      </c>
      <c r="F86" s="11">
        <f t="shared" si="0"/>
        <v>2.4867959858108648</v>
      </c>
      <c r="G86" s="2">
        <f t="shared" si="1"/>
        <v>111.48306404390107</v>
      </c>
      <c r="H86" s="2">
        <f t="shared" si="2"/>
        <v>2.2554379006137886</v>
      </c>
      <c r="I86" s="2">
        <f t="shared" si="3"/>
        <v>101.11128108451614</v>
      </c>
      <c r="J86" s="2">
        <f t="shared" si="4"/>
        <v>10.37178295938493</v>
      </c>
      <c r="K86" s="15">
        <f t="shared" si="19"/>
        <v>0.61602564102564106</v>
      </c>
      <c r="L86" s="2">
        <f t="shared" si="14"/>
        <v>81</v>
      </c>
      <c r="M86" s="2">
        <f t="shared" si="15"/>
        <v>44.58</v>
      </c>
      <c r="N86" s="2">
        <v>14</v>
      </c>
      <c r="O86" s="2">
        <v>50.26548245743669</v>
      </c>
      <c r="P86" s="11">
        <f t="shared" si="5"/>
        <v>2.7852115041081689</v>
      </c>
      <c r="Q86" s="2">
        <f t="shared" si="6"/>
        <v>124.16472885314217</v>
      </c>
      <c r="R86" s="2">
        <f t="shared" si="7"/>
        <v>2.4001943487253978</v>
      </c>
      <c r="S86" s="2">
        <f t="shared" si="8"/>
        <v>107.00066406617823</v>
      </c>
      <c r="T86" s="2">
        <f t="shared" si="9"/>
        <v>17.164064786963934</v>
      </c>
    </row>
    <row r="87" spans="1:20" x14ac:dyDescent="0.25">
      <c r="A87" s="14">
        <f t="shared" si="18"/>
        <v>0.65509259259259256</v>
      </c>
      <c r="B87" s="2">
        <f t="shared" si="11"/>
        <v>82</v>
      </c>
      <c r="C87" s="4">
        <f t="shared" si="12"/>
        <v>45.33</v>
      </c>
      <c r="D87" s="2">
        <v>13</v>
      </c>
      <c r="E87" s="2">
        <v>50.26548245743669</v>
      </c>
      <c r="F87" s="11">
        <f t="shared" si="0"/>
        <v>2.5862678252432989</v>
      </c>
      <c r="G87" s="2">
        <f t="shared" si="1"/>
        <v>117.23552051827873</v>
      </c>
      <c r="H87" s="2">
        <f t="shared" si="2"/>
        <v>2.2554379006137886</v>
      </c>
      <c r="I87" s="2">
        <f t="shared" si="3"/>
        <v>102.23900003482304</v>
      </c>
      <c r="J87" s="2">
        <f t="shared" si="4"/>
        <v>14.996520483455697</v>
      </c>
      <c r="K87" s="15">
        <f t="shared" si="19"/>
        <v>0.61627492877492884</v>
      </c>
      <c r="L87" s="2">
        <f t="shared" si="14"/>
        <v>82</v>
      </c>
      <c r="M87" s="2">
        <f t="shared" si="15"/>
        <v>45.08</v>
      </c>
      <c r="N87" s="2">
        <v>14.5</v>
      </c>
      <c r="O87" s="2">
        <v>50.26548245743669</v>
      </c>
      <c r="P87" s="11">
        <f t="shared" si="5"/>
        <v>2.8846833435406034</v>
      </c>
      <c r="Q87" s="2">
        <f t="shared" si="6"/>
        <v>130.0415251268104</v>
      </c>
      <c r="R87" s="2">
        <f t="shared" si="7"/>
        <v>2.4001943487253978</v>
      </c>
      <c r="S87" s="2">
        <f t="shared" si="8"/>
        <v>108.20076124054093</v>
      </c>
      <c r="T87" s="2">
        <f t="shared" si="9"/>
        <v>21.840763886269471</v>
      </c>
    </row>
    <row r="88" spans="1:20" x14ac:dyDescent="0.25">
      <c r="A88" s="14">
        <f t="shared" si="18"/>
        <v>0.65532407407407411</v>
      </c>
      <c r="B88" s="2">
        <f t="shared" si="11"/>
        <v>83</v>
      </c>
      <c r="C88" s="4">
        <f t="shared" si="12"/>
        <v>45.83</v>
      </c>
      <c r="D88" s="2">
        <v>11.5</v>
      </c>
      <c r="E88" s="2">
        <v>50.26548245743669</v>
      </c>
      <c r="F88" s="11">
        <f t="shared" si="0"/>
        <v>2.2878523069459957</v>
      </c>
      <c r="G88" s="2">
        <f t="shared" si="1"/>
        <v>104.85227122733498</v>
      </c>
      <c r="H88" s="2">
        <f t="shared" si="2"/>
        <v>2.2554379006137886</v>
      </c>
      <c r="I88" s="2">
        <f t="shared" si="3"/>
        <v>103.36671898512992</v>
      </c>
      <c r="J88" s="2">
        <f t="shared" si="4"/>
        <v>1.4855522422050598</v>
      </c>
      <c r="K88" s="15">
        <f t="shared" si="19"/>
        <v>0.61652421652421652</v>
      </c>
      <c r="L88" s="2">
        <f t="shared" si="14"/>
        <v>83</v>
      </c>
      <c r="M88" s="2">
        <f t="shared" si="15"/>
        <v>45.58</v>
      </c>
      <c r="N88" s="2">
        <v>15.5</v>
      </c>
      <c r="O88" s="2">
        <v>50.26548245743669</v>
      </c>
      <c r="P88" s="11">
        <f t="shared" si="5"/>
        <v>3.0836270224054725</v>
      </c>
      <c r="Q88" s="2">
        <f t="shared" si="6"/>
        <v>140.55171968124142</v>
      </c>
      <c r="R88" s="2">
        <f t="shared" si="7"/>
        <v>2.4001943487253978</v>
      </c>
      <c r="S88" s="2">
        <f t="shared" si="8"/>
        <v>109.40085841490362</v>
      </c>
      <c r="T88" s="2">
        <f t="shared" si="9"/>
        <v>31.150861266337799</v>
      </c>
    </row>
    <row r="89" spans="1:20" x14ac:dyDescent="0.25">
      <c r="A89" s="14">
        <f t="shared" si="18"/>
        <v>0.65555555555555556</v>
      </c>
      <c r="B89" s="2">
        <f t="shared" si="11"/>
        <v>84</v>
      </c>
      <c r="C89" s="4">
        <f t="shared" si="12"/>
        <v>46.33</v>
      </c>
      <c r="D89" s="2">
        <v>13</v>
      </c>
      <c r="E89" s="2">
        <v>50.26548245743669</v>
      </c>
      <c r="F89" s="11">
        <f t="shared" si="0"/>
        <v>2.5862678252432989</v>
      </c>
      <c r="G89" s="2">
        <f t="shared" si="1"/>
        <v>119.82178834352203</v>
      </c>
      <c r="H89" s="2">
        <f t="shared" si="2"/>
        <v>2.2554379006137886</v>
      </c>
      <c r="I89" s="2">
        <f t="shared" si="3"/>
        <v>104.49443793543682</v>
      </c>
      <c r="J89" s="2">
        <f t="shared" si="4"/>
        <v>15.327350408085209</v>
      </c>
      <c r="K89" s="15">
        <f t="shared" si="19"/>
        <v>0.6167735042735043</v>
      </c>
      <c r="L89" s="2">
        <f t="shared" si="14"/>
        <v>84</v>
      </c>
      <c r="M89" s="2">
        <f t="shared" si="15"/>
        <v>46.08</v>
      </c>
      <c r="N89" s="2">
        <v>13.5</v>
      </c>
      <c r="O89" s="2">
        <v>50.26548245743669</v>
      </c>
      <c r="P89" s="11">
        <f t="shared" si="5"/>
        <v>2.6857396646757339</v>
      </c>
      <c r="Q89" s="2">
        <f t="shared" si="6"/>
        <v>123.75888374825782</v>
      </c>
      <c r="R89" s="2">
        <f t="shared" si="7"/>
        <v>2.4001943487253978</v>
      </c>
      <c r="S89" s="2">
        <f t="shared" si="8"/>
        <v>110.60095558926633</v>
      </c>
      <c r="T89" s="2">
        <f t="shared" si="9"/>
        <v>13.157928158991481</v>
      </c>
    </row>
    <row r="90" spans="1:20" x14ac:dyDescent="0.25">
      <c r="A90" s="14">
        <f t="shared" si="18"/>
        <v>0.655787037037037</v>
      </c>
      <c r="B90" s="2">
        <f t="shared" si="11"/>
        <v>85</v>
      </c>
      <c r="C90" s="4">
        <f t="shared" si="12"/>
        <v>46.83</v>
      </c>
      <c r="D90" s="2">
        <v>12</v>
      </c>
      <c r="E90" s="2">
        <v>50.26548245743669</v>
      </c>
      <c r="F90" s="11">
        <f t="shared" si="0"/>
        <v>2.3873241463784298</v>
      </c>
      <c r="G90" s="2">
        <f t="shared" si="1"/>
        <v>111.79838977490186</v>
      </c>
      <c r="H90" s="2">
        <f t="shared" si="2"/>
        <v>2.2554379006137886</v>
      </c>
      <c r="I90" s="2">
        <f t="shared" si="3"/>
        <v>105.62215688574372</v>
      </c>
      <c r="J90" s="2">
        <f t="shared" si="4"/>
        <v>6.1762328891581433</v>
      </c>
      <c r="K90" s="15">
        <f t="shared" si="19"/>
        <v>0.61702279202279209</v>
      </c>
      <c r="L90" s="2">
        <f t="shared" si="14"/>
        <v>85</v>
      </c>
      <c r="M90" s="2">
        <f t="shared" si="15"/>
        <v>46.58</v>
      </c>
      <c r="N90" s="2">
        <v>12</v>
      </c>
      <c r="O90" s="2">
        <v>50.26548245743669</v>
      </c>
      <c r="P90" s="11">
        <f t="shared" si="5"/>
        <v>2.3873241463784298</v>
      </c>
      <c r="Q90" s="2">
        <f t="shared" si="6"/>
        <v>111.20155873830726</v>
      </c>
      <c r="R90" s="2">
        <f t="shared" si="7"/>
        <v>2.4001943487253978</v>
      </c>
      <c r="S90" s="2">
        <f t="shared" si="8"/>
        <v>111.80105276362903</v>
      </c>
      <c r="T90" s="2">
        <f t="shared" si="9"/>
        <v>0.59949402532177487</v>
      </c>
    </row>
    <row r="91" spans="1:20" x14ac:dyDescent="0.25">
      <c r="A91" s="14">
        <f t="shared" si="18"/>
        <v>0.65601851851851856</v>
      </c>
      <c r="B91" s="2">
        <f t="shared" si="11"/>
        <v>86</v>
      </c>
      <c r="C91" s="4">
        <f t="shared" si="12"/>
        <v>47.33</v>
      </c>
      <c r="D91" s="2">
        <v>13.5</v>
      </c>
      <c r="E91" s="2">
        <v>50.26548245743669</v>
      </c>
      <c r="F91" s="11">
        <f t="shared" si="0"/>
        <v>2.6857396646757339</v>
      </c>
      <c r="G91" s="2">
        <f t="shared" si="1"/>
        <v>127.11605832910249</v>
      </c>
      <c r="H91" s="2">
        <f t="shared" si="2"/>
        <v>2.2554379006137886</v>
      </c>
      <c r="I91" s="2">
        <f t="shared" si="3"/>
        <v>106.74987583605061</v>
      </c>
      <c r="J91" s="2">
        <f t="shared" si="4"/>
        <v>20.36618249305188</v>
      </c>
      <c r="K91" s="15">
        <f t="shared" si="19"/>
        <v>0.61727207977207976</v>
      </c>
      <c r="L91" s="2">
        <f t="shared" si="14"/>
        <v>86</v>
      </c>
      <c r="M91" s="2">
        <f t="shared" si="15"/>
        <v>47.08</v>
      </c>
      <c r="N91" s="2">
        <v>11.5</v>
      </c>
      <c r="O91" s="2">
        <v>50.26548245743669</v>
      </c>
      <c r="P91" s="11">
        <f t="shared" si="5"/>
        <v>2.2878523069459957</v>
      </c>
      <c r="Q91" s="2">
        <f t="shared" si="6"/>
        <v>107.71208661101747</v>
      </c>
      <c r="R91" s="2">
        <f t="shared" si="7"/>
        <v>2.4001943487253978</v>
      </c>
      <c r="S91" s="2">
        <f t="shared" si="8"/>
        <v>113.00114993799173</v>
      </c>
      <c r="T91" s="2">
        <f t="shared" si="9"/>
        <v>5.289063326974258</v>
      </c>
    </row>
    <row r="92" spans="1:20" x14ac:dyDescent="0.25">
      <c r="A92" s="14">
        <f t="shared" si="18"/>
        <v>0.65625</v>
      </c>
      <c r="B92" s="2">
        <f t="shared" si="11"/>
        <v>87</v>
      </c>
      <c r="C92" s="4">
        <f t="shared" si="12"/>
        <v>47.83</v>
      </c>
      <c r="D92" s="2">
        <v>12</v>
      </c>
      <c r="E92" s="2">
        <v>50.26548245743669</v>
      </c>
      <c r="F92" s="11">
        <f t="shared" si="0"/>
        <v>2.3873241463784298</v>
      </c>
      <c r="G92" s="2">
        <f t="shared" si="1"/>
        <v>114.1857139212803</v>
      </c>
      <c r="H92" s="2">
        <f t="shared" si="2"/>
        <v>2.2554379006137886</v>
      </c>
      <c r="I92" s="2">
        <f t="shared" si="3"/>
        <v>107.87759478635751</v>
      </c>
      <c r="J92" s="2">
        <f t="shared" si="4"/>
        <v>6.3081191349227907</v>
      </c>
      <c r="K92" s="15">
        <f t="shared" si="19"/>
        <v>0.61752136752136755</v>
      </c>
      <c r="L92" s="2">
        <f t="shared" si="14"/>
        <v>87</v>
      </c>
      <c r="M92" s="2">
        <f t="shared" si="15"/>
        <v>47.58</v>
      </c>
      <c r="N92" s="2">
        <v>13</v>
      </c>
      <c r="O92" s="2">
        <v>50.26548245743669</v>
      </c>
      <c r="P92" s="11">
        <f t="shared" si="5"/>
        <v>2.5862678252432989</v>
      </c>
      <c r="Q92" s="2">
        <f t="shared" si="6"/>
        <v>123.05462312507616</v>
      </c>
      <c r="R92" s="2">
        <f t="shared" si="7"/>
        <v>2.4001943487253978</v>
      </c>
      <c r="S92" s="2">
        <f t="shared" si="8"/>
        <v>114.20124711235442</v>
      </c>
      <c r="T92" s="2">
        <f t="shared" si="9"/>
        <v>8.8533760127217391</v>
      </c>
    </row>
    <row r="93" spans="1:20" x14ac:dyDescent="0.25">
      <c r="A93" s="14">
        <f t="shared" si="18"/>
        <v>0.65648148148148144</v>
      </c>
      <c r="B93" s="2">
        <f t="shared" si="11"/>
        <v>88</v>
      </c>
      <c r="C93" s="4">
        <f t="shared" si="12"/>
        <v>48.33</v>
      </c>
      <c r="D93" s="2">
        <v>12.5</v>
      </c>
      <c r="E93" s="2">
        <v>50.26548245743669</v>
      </c>
      <c r="F93" s="11">
        <f t="shared" si="0"/>
        <v>2.4867959858108648</v>
      </c>
      <c r="G93" s="2">
        <f t="shared" si="1"/>
        <v>120.1868499942391</v>
      </c>
      <c r="H93" s="2">
        <f t="shared" si="2"/>
        <v>2.2554379006137886</v>
      </c>
      <c r="I93" s="2">
        <f t="shared" si="3"/>
        <v>109.00531373666439</v>
      </c>
      <c r="J93" s="2">
        <f t="shared" si="4"/>
        <v>11.181536257574706</v>
      </c>
      <c r="K93" s="15">
        <f t="shared" si="19"/>
        <v>0.61777065527065533</v>
      </c>
      <c r="L93" s="2">
        <f t="shared" si="14"/>
        <v>88</v>
      </c>
      <c r="M93" s="2">
        <f t="shared" si="15"/>
        <v>48.08</v>
      </c>
      <c r="N93" s="2">
        <v>13</v>
      </c>
      <c r="O93" s="2">
        <v>50.26548245743669</v>
      </c>
      <c r="P93" s="11">
        <f t="shared" si="5"/>
        <v>2.5862678252432989</v>
      </c>
      <c r="Q93" s="2">
        <f t="shared" si="6"/>
        <v>124.3477570376978</v>
      </c>
      <c r="R93" s="2">
        <f t="shared" si="7"/>
        <v>2.4001943487253978</v>
      </c>
      <c r="S93" s="2">
        <f t="shared" si="8"/>
        <v>115.40134428671712</v>
      </c>
      <c r="T93" s="2">
        <f t="shared" si="9"/>
        <v>8.9464127509806843</v>
      </c>
    </row>
    <row r="94" spans="1:20" x14ac:dyDescent="0.25">
      <c r="A94" s="14">
        <f t="shared" si="18"/>
        <v>0.656712962962963</v>
      </c>
      <c r="B94" s="2">
        <f t="shared" si="11"/>
        <v>89</v>
      </c>
      <c r="C94" s="4">
        <f t="shared" si="12"/>
        <v>48.83</v>
      </c>
      <c r="D94" s="2">
        <v>12</v>
      </c>
      <c r="E94" s="2">
        <v>50.26548245743669</v>
      </c>
      <c r="F94" s="11">
        <f t="shared" si="0"/>
        <v>2.3873241463784298</v>
      </c>
      <c r="G94" s="2">
        <f t="shared" si="1"/>
        <v>116.57303806765873</v>
      </c>
      <c r="H94" s="2">
        <f t="shared" si="2"/>
        <v>2.2554379006137886</v>
      </c>
      <c r="I94" s="2">
        <f t="shared" si="3"/>
        <v>110.13303268697129</v>
      </c>
      <c r="J94" s="2">
        <f t="shared" si="4"/>
        <v>6.4400053806874382</v>
      </c>
      <c r="K94" s="15">
        <f t="shared" si="19"/>
        <v>0.61801994301994301</v>
      </c>
      <c r="L94" s="2">
        <f t="shared" si="14"/>
        <v>89</v>
      </c>
      <c r="M94" s="2">
        <f t="shared" si="15"/>
        <v>48.58</v>
      </c>
      <c r="N94" s="2">
        <v>13</v>
      </c>
      <c r="O94" s="2">
        <v>50.26548245743669</v>
      </c>
      <c r="P94" s="11">
        <f t="shared" si="5"/>
        <v>2.5862678252432989</v>
      </c>
      <c r="Q94" s="2">
        <f t="shared" si="6"/>
        <v>125.64089095031946</v>
      </c>
      <c r="R94" s="2">
        <f t="shared" si="7"/>
        <v>2.4001943487253978</v>
      </c>
      <c r="S94" s="2">
        <f t="shared" si="8"/>
        <v>116.60144146107982</v>
      </c>
      <c r="T94" s="2">
        <f t="shared" si="9"/>
        <v>9.0394494892396438</v>
      </c>
    </row>
    <row r="95" spans="1:20" x14ac:dyDescent="0.25">
      <c r="A95" s="14">
        <f t="shared" si="18"/>
        <v>0.65694444444444444</v>
      </c>
      <c r="B95" s="2">
        <f t="shared" si="11"/>
        <v>90</v>
      </c>
      <c r="C95" s="4">
        <f t="shared" si="12"/>
        <v>49.33</v>
      </c>
      <c r="D95" s="2">
        <v>11</v>
      </c>
      <c r="E95" s="2">
        <v>50.26548245743669</v>
      </c>
      <c r="F95" s="11">
        <f t="shared" si="0"/>
        <v>2.1883804675135607</v>
      </c>
      <c r="G95" s="2">
        <f t="shared" si="1"/>
        <v>107.95280846244395</v>
      </c>
      <c r="H95" s="2">
        <f t="shared" si="2"/>
        <v>2.2554379006137886</v>
      </c>
      <c r="I95" s="2">
        <f t="shared" si="3"/>
        <v>111.26075163727819</v>
      </c>
      <c r="J95" s="2">
        <f t="shared" si="4"/>
        <v>3.3079431748342358</v>
      </c>
      <c r="K95" s="15">
        <f t="shared" si="19"/>
        <v>0.61826923076923079</v>
      </c>
      <c r="L95" s="2">
        <f t="shared" si="14"/>
        <v>90</v>
      </c>
      <c r="M95" s="2">
        <f t="shared" si="15"/>
        <v>49.08</v>
      </c>
      <c r="N95" s="2">
        <v>12.5</v>
      </c>
      <c r="O95" s="2">
        <v>50.26548245743669</v>
      </c>
      <c r="P95" s="11">
        <f t="shared" si="5"/>
        <v>2.4867959858108648</v>
      </c>
      <c r="Q95" s="2">
        <f t="shared" si="6"/>
        <v>122.05194698359725</v>
      </c>
      <c r="R95" s="2">
        <f t="shared" si="7"/>
        <v>2.4001943487253978</v>
      </c>
      <c r="S95" s="2">
        <f t="shared" si="8"/>
        <v>117.80153863544253</v>
      </c>
      <c r="T95" s="2">
        <f t="shared" si="9"/>
        <v>4.2504083481547212</v>
      </c>
    </row>
    <row r="96" spans="1:20" x14ac:dyDescent="0.25">
      <c r="A96" s="14">
        <f t="shared" si="18"/>
        <v>0.65717592592592589</v>
      </c>
      <c r="B96" s="2">
        <f t="shared" si="11"/>
        <v>91</v>
      </c>
      <c r="C96" s="4">
        <f t="shared" si="12"/>
        <v>49.83</v>
      </c>
      <c r="D96" s="2">
        <v>10.5</v>
      </c>
      <c r="E96" s="2">
        <v>50.26548245743669</v>
      </c>
      <c r="F96" s="11">
        <f t="shared" si="0"/>
        <v>2.0889086280811267</v>
      </c>
      <c r="G96" s="2">
        <f t="shared" si="1"/>
        <v>104.09031693728254</v>
      </c>
      <c r="H96" s="2">
        <f t="shared" si="2"/>
        <v>2.2554379006137886</v>
      </c>
      <c r="I96" s="2">
        <f t="shared" si="3"/>
        <v>112.38847058758508</v>
      </c>
      <c r="J96" s="2">
        <f t="shared" si="4"/>
        <v>8.2981536503025382</v>
      </c>
      <c r="K96" s="15">
        <f t="shared" si="19"/>
        <v>0.61851851851851858</v>
      </c>
      <c r="L96" s="2">
        <f t="shared" si="14"/>
        <v>91</v>
      </c>
      <c r="M96" s="2">
        <f t="shared" si="15"/>
        <v>49.58</v>
      </c>
      <c r="N96" s="2">
        <v>12</v>
      </c>
      <c r="O96" s="2">
        <v>50.26548245743669</v>
      </c>
      <c r="P96" s="11">
        <f t="shared" si="5"/>
        <v>2.3873241463784298</v>
      </c>
      <c r="Q96" s="2">
        <f t="shared" si="6"/>
        <v>118.36353117744255</v>
      </c>
      <c r="R96" s="2">
        <f t="shared" si="7"/>
        <v>2.4001943487253978</v>
      </c>
      <c r="S96" s="2">
        <f t="shared" si="8"/>
        <v>119.00163580980522</v>
      </c>
      <c r="T96" s="2">
        <f t="shared" si="9"/>
        <v>0.63810463236266912</v>
      </c>
    </row>
    <row r="97" spans="1:20" x14ac:dyDescent="0.25">
      <c r="A97" s="14">
        <f t="shared" si="18"/>
        <v>0.65740740740740744</v>
      </c>
      <c r="B97" s="2">
        <f t="shared" si="11"/>
        <v>92</v>
      </c>
      <c r="C97" s="4">
        <f t="shared" si="12"/>
        <v>50.33</v>
      </c>
      <c r="D97" s="2">
        <v>9.5</v>
      </c>
      <c r="E97" s="2">
        <v>50.26548245743669</v>
      </c>
      <c r="F97" s="11">
        <f t="shared" si="0"/>
        <v>1.8899649492162571</v>
      </c>
      <c r="G97" s="2">
        <f t="shared" si="1"/>
        <v>95.121935894054218</v>
      </c>
      <c r="H97" s="2">
        <f t="shared" si="2"/>
        <v>2.2554379006137886</v>
      </c>
      <c r="I97" s="2">
        <f t="shared" si="3"/>
        <v>113.51618953789198</v>
      </c>
      <c r="J97" s="2">
        <f t="shared" si="4"/>
        <v>18.394253643837757</v>
      </c>
      <c r="K97" s="15">
        <f t="shared" si="19"/>
        <v>0.61876780626780625</v>
      </c>
      <c r="L97" s="2">
        <f t="shared" si="14"/>
        <v>92</v>
      </c>
      <c r="M97" s="2">
        <f t="shared" si="15"/>
        <v>50.08</v>
      </c>
      <c r="N97" s="2">
        <v>13.5</v>
      </c>
      <c r="O97" s="2">
        <v>50.26548245743669</v>
      </c>
      <c r="P97" s="11">
        <f t="shared" si="5"/>
        <v>2.6857396646757339</v>
      </c>
      <c r="Q97" s="2">
        <f t="shared" si="6"/>
        <v>134.50184240696075</v>
      </c>
      <c r="R97" s="2">
        <f t="shared" si="7"/>
        <v>2.4001943487253978</v>
      </c>
      <c r="S97" s="2">
        <f t="shared" si="8"/>
        <v>120.20173298416792</v>
      </c>
      <c r="T97" s="2">
        <f t="shared" si="9"/>
        <v>14.300109422792829</v>
      </c>
    </row>
    <row r="98" spans="1:20" x14ac:dyDescent="0.25">
      <c r="A98" s="14">
        <f t="shared" si="18"/>
        <v>0.65763888888888888</v>
      </c>
      <c r="B98" s="2">
        <f t="shared" si="11"/>
        <v>93</v>
      </c>
      <c r="C98" s="4">
        <f t="shared" si="12"/>
        <v>50.83</v>
      </c>
      <c r="D98" s="2">
        <v>9</v>
      </c>
      <c r="E98" s="2">
        <v>50.26548245743669</v>
      </c>
      <c r="F98" s="11">
        <f t="shared" si="0"/>
        <v>1.7904931097838226</v>
      </c>
      <c r="G98" s="2">
        <f t="shared" si="1"/>
        <v>91.010764770311695</v>
      </c>
      <c r="H98" s="2">
        <f t="shared" si="2"/>
        <v>2.2554379006137886</v>
      </c>
      <c r="I98" s="2">
        <f t="shared" si="3"/>
        <v>114.64390848819887</v>
      </c>
      <c r="J98" s="2">
        <f t="shared" si="4"/>
        <v>23.633143717887179</v>
      </c>
      <c r="K98" s="15">
        <f t="shared" si="19"/>
        <v>0.61901709401709404</v>
      </c>
      <c r="L98" s="2">
        <f t="shared" si="14"/>
        <v>93</v>
      </c>
      <c r="M98" s="2">
        <f t="shared" si="15"/>
        <v>50.58</v>
      </c>
      <c r="N98" s="2">
        <v>11.5</v>
      </c>
      <c r="O98" s="2">
        <v>50.26548245743669</v>
      </c>
      <c r="P98" s="11">
        <f t="shared" si="5"/>
        <v>2.2878523069459957</v>
      </c>
      <c r="Q98" s="2">
        <f t="shared" si="6"/>
        <v>115.71956968532847</v>
      </c>
      <c r="R98" s="2">
        <f t="shared" si="7"/>
        <v>2.4001943487253978</v>
      </c>
      <c r="S98" s="2">
        <f t="shared" si="8"/>
        <v>121.40183015853061</v>
      </c>
      <c r="T98" s="2">
        <f t="shared" si="9"/>
        <v>5.6822604732021489</v>
      </c>
    </row>
    <row r="99" spans="1:20" x14ac:dyDescent="0.25">
      <c r="A99" s="14">
        <f t="shared" si="18"/>
        <v>0.65787037037037033</v>
      </c>
      <c r="B99" s="2">
        <f t="shared" si="11"/>
        <v>94</v>
      </c>
      <c r="C99" s="4">
        <f t="shared" si="12"/>
        <v>51.33</v>
      </c>
      <c r="D99" s="2">
        <v>8</v>
      </c>
      <c r="E99" s="2">
        <v>50.26548245743669</v>
      </c>
      <c r="F99" s="11">
        <f t="shared" si="0"/>
        <v>1.5915494309189535</v>
      </c>
      <c r="G99" s="2">
        <f t="shared" si="1"/>
        <v>81.694232289069888</v>
      </c>
      <c r="H99" s="2">
        <f t="shared" si="2"/>
        <v>2.2554379006137886</v>
      </c>
      <c r="I99" s="2">
        <f t="shared" si="3"/>
        <v>115.77162743850576</v>
      </c>
      <c r="J99" s="2">
        <f t="shared" si="4"/>
        <v>34.077395149435873</v>
      </c>
      <c r="K99" s="15">
        <f t="shared" si="19"/>
        <v>0.61926638176638182</v>
      </c>
      <c r="L99" s="2">
        <f t="shared" si="14"/>
        <v>94</v>
      </c>
      <c r="M99" s="2">
        <f t="shared" si="15"/>
        <v>51.08</v>
      </c>
      <c r="N99" s="2">
        <v>11</v>
      </c>
      <c r="O99" s="2">
        <v>50.26548245743669</v>
      </c>
      <c r="P99" s="11">
        <f t="shared" si="5"/>
        <v>2.1883804675135607</v>
      </c>
      <c r="Q99" s="2">
        <f t="shared" si="6"/>
        <v>111.78247428059268</v>
      </c>
      <c r="R99" s="2">
        <f t="shared" si="7"/>
        <v>2.4001943487253978</v>
      </c>
      <c r="S99" s="2">
        <f t="shared" si="8"/>
        <v>122.60192733289331</v>
      </c>
      <c r="T99" s="2">
        <f t="shared" si="9"/>
        <v>10.819453052300631</v>
      </c>
    </row>
    <row r="100" spans="1:20" x14ac:dyDescent="0.25">
      <c r="A100" s="14">
        <f t="shared" si="18"/>
        <v>0.65810185185185188</v>
      </c>
      <c r="B100" s="2">
        <f t="shared" si="11"/>
        <v>95</v>
      </c>
      <c r="C100" s="4">
        <f t="shared" si="12"/>
        <v>51.83</v>
      </c>
      <c r="D100" s="2">
        <v>9.5</v>
      </c>
      <c r="E100" s="2">
        <v>50.26548245743669</v>
      </c>
      <c r="F100" s="11">
        <f t="shared" si="0"/>
        <v>1.8899649492162571</v>
      </c>
      <c r="G100" s="2">
        <f t="shared" si="1"/>
        <v>97.956883317878606</v>
      </c>
      <c r="H100" s="2">
        <f t="shared" si="2"/>
        <v>2.2554379006137886</v>
      </c>
      <c r="I100" s="2">
        <f t="shared" si="3"/>
        <v>116.89934638881266</v>
      </c>
      <c r="J100" s="2">
        <f t="shared" si="4"/>
        <v>18.942463070934053</v>
      </c>
      <c r="K100" s="15">
        <f t="shared" si="19"/>
        <v>0.6195156695156695</v>
      </c>
      <c r="L100" s="2">
        <f t="shared" si="14"/>
        <v>95</v>
      </c>
      <c r="M100" s="2">
        <f t="shared" si="15"/>
        <v>51.58</v>
      </c>
      <c r="N100" s="2">
        <v>11</v>
      </c>
      <c r="O100" s="2">
        <v>50.26548245743669</v>
      </c>
      <c r="P100" s="11">
        <f t="shared" si="5"/>
        <v>2.1883804675135607</v>
      </c>
      <c r="Q100" s="2">
        <f t="shared" si="6"/>
        <v>112.87666451434946</v>
      </c>
      <c r="R100" s="2">
        <f t="shared" si="7"/>
        <v>2.4001943487253978</v>
      </c>
      <c r="S100" s="2">
        <f t="shared" si="8"/>
        <v>123.80202450725602</v>
      </c>
      <c r="T100" s="2">
        <f t="shared" si="9"/>
        <v>10.925359992906564</v>
      </c>
    </row>
    <row r="101" spans="1:20" x14ac:dyDescent="0.25">
      <c r="A101" s="14">
        <f t="shared" si="18"/>
        <v>0.65833333333333333</v>
      </c>
      <c r="B101" s="2">
        <f t="shared" si="11"/>
        <v>96</v>
      </c>
      <c r="C101" s="4">
        <f t="shared" si="12"/>
        <v>52.33</v>
      </c>
      <c r="D101" s="2">
        <v>9</v>
      </c>
      <c r="E101" s="2">
        <v>50.26548245743669</v>
      </c>
      <c r="F101" s="11">
        <f t="shared" si="0"/>
        <v>1.7904931097838226</v>
      </c>
      <c r="G101" s="2">
        <f t="shared" si="1"/>
        <v>93.696504434987432</v>
      </c>
      <c r="H101" s="2">
        <f t="shared" si="2"/>
        <v>2.2554379006137886</v>
      </c>
      <c r="I101" s="2">
        <f t="shared" si="3"/>
        <v>118.02706533911955</v>
      </c>
      <c r="J101" s="2">
        <f t="shared" si="4"/>
        <v>24.330560904132113</v>
      </c>
      <c r="K101" s="15">
        <f t="shared" si="19"/>
        <v>0.61976495726495728</v>
      </c>
      <c r="L101" s="2">
        <f t="shared" si="14"/>
        <v>96</v>
      </c>
      <c r="M101" s="2">
        <f t="shared" si="15"/>
        <v>52.08</v>
      </c>
      <c r="N101" s="2">
        <v>10</v>
      </c>
      <c r="O101" s="2">
        <v>50.26548245743669</v>
      </c>
      <c r="P101" s="11">
        <f t="shared" si="5"/>
        <v>1.9894367886486919</v>
      </c>
      <c r="Q101" s="2">
        <f t="shared" si="6"/>
        <v>103.60986795282388</v>
      </c>
      <c r="R101" s="2">
        <f t="shared" si="7"/>
        <v>2.4001943487253978</v>
      </c>
      <c r="S101" s="2">
        <f t="shared" si="8"/>
        <v>125.00212168161872</v>
      </c>
      <c r="T101" s="2">
        <f t="shared" si="9"/>
        <v>21.392253728794842</v>
      </c>
    </row>
    <row r="102" spans="1:20" x14ac:dyDescent="0.25">
      <c r="A102" s="14">
        <f t="shared" si="18"/>
        <v>0.65856481481481477</v>
      </c>
      <c r="B102" s="2">
        <f t="shared" si="11"/>
        <v>97</v>
      </c>
      <c r="C102" s="4">
        <f t="shared" si="12"/>
        <v>52.83</v>
      </c>
      <c r="D102" s="2">
        <v>10</v>
      </c>
      <c r="E102" s="2">
        <v>50.26548245743669</v>
      </c>
      <c r="F102" s="11">
        <f t="shared" si="0"/>
        <v>1.9894367886486919</v>
      </c>
      <c r="G102" s="2">
        <f t="shared" si="1"/>
        <v>105.10194554431038</v>
      </c>
      <c r="H102" s="2">
        <f t="shared" si="2"/>
        <v>2.2554379006137886</v>
      </c>
      <c r="I102" s="2">
        <f t="shared" si="3"/>
        <v>119.15478428942644</v>
      </c>
      <c r="J102" s="2">
        <f t="shared" si="4"/>
        <v>14.052838745116063</v>
      </c>
      <c r="K102" s="15">
        <f t="shared" si="19"/>
        <v>0.62001424501424507</v>
      </c>
      <c r="L102" s="2">
        <f t="shared" si="14"/>
        <v>97</v>
      </c>
      <c r="M102" s="2">
        <f t="shared" si="15"/>
        <v>52.58</v>
      </c>
      <c r="N102" s="2">
        <v>10</v>
      </c>
      <c r="O102" s="2">
        <v>50.26548245743669</v>
      </c>
      <c r="P102" s="11">
        <f t="shared" si="5"/>
        <v>1.9894367886486919</v>
      </c>
      <c r="Q102" s="2">
        <f t="shared" si="6"/>
        <v>104.60458634714821</v>
      </c>
      <c r="R102" s="2">
        <f t="shared" si="7"/>
        <v>2.4001943487253978</v>
      </c>
      <c r="S102" s="2">
        <f t="shared" si="8"/>
        <v>126.20221885598141</v>
      </c>
      <c r="T102" s="2">
        <f t="shared" si="9"/>
        <v>21.5976325088332</v>
      </c>
    </row>
    <row r="103" spans="1:20" x14ac:dyDescent="0.25">
      <c r="A103" s="14">
        <f t="shared" si="18"/>
        <v>0.65879629629629632</v>
      </c>
      <c r="B103" s="2">
        <f t="shared" si="11"/>
        <v>98</v>
      </c>
      <c r="C103" s="4">
        <f t="shared" si="12"/>
        <v>53.33</v>
      </c>
      <c r="D103" s="2">
        <v>10.5</v>
      </c>
      <c r="E103" s="2">
        <v>50.26548245743669</v>
      </c>
      <c r="F103" s="11">
        <f t="shared" si="0"/>
        <v>2.0889086280811267</v>
      </c>
      <c r="G103" s="2">
        <f t="shared" si="1"/>
        <v>111.40149713556649</v>
      </c>
      <c r="H103" s="2">
        <f t="shared" si="2"/>
        <v>2.2554379006137886</v>
      </c>
      <c r="I103" s="2">
        <f t="shared" si="3"/>
        <v>120.28250323973334</v>
      </c>
      <c r="J103" s="2">
        <f t="shared" si="4"/>
        <v>8.8810061041668575</v>
      </c>
      <c r="K103" s="15">
        <f t="shared" si="19"/>
        <v>0.62026353276353274</v>
      </c>
      <c r="L103" s="2">
        <f t="shared" si="14"/>
        <v>98</v>
      </c>
      <c r="M103" s="2">
        <f t="shared" si="15"/>
        <v>53.08</v>
      </c>
      <c r="N103" s="2">
        <v>10.5</v>
      </c>
      <c r="O103" s="2">
        <v>50.26548245743669</v>
      </c>
      <c r="P103" s="11">
        <f t="shared" si="5"/>
        <v>2.0889086280811267</v>
      </c>
      <c r="Q103" s="2">
        <f t="shared" si="6"/>
        <v>110.8792699785462</v>
      </c>
      <c r="R103" s="2">
        <f t="shared" si="7"/>
        <v>2.4001943487253978</v>
      </c>
      <c r="S103" s="2">
        <f t="shared" si="8"/>
        <v>127.40231603034411</v>
      </c>
      <c r="T103" s="2">
        <f t="shared" si="9"/>
        <v>16.523046051797905</v>
      </c>
    </row>
    <row r="104" spans="1:20" x14ac:dyDescent="0.25">
      <c r="A104" s="14">
        <f t="shared" si="18"/>
        <v>0.65902777777777777</v>
      </c>
      <c r="B104" s="2">
        <f t="shared" si="11"/>
        <v>99</v>
      </c>
      <c r="C104" s="4">
        <f t="shared" si="12"/>
        <v>53.83</v>
      </c>
      <c r="D104" s="2">
        <v>10.5</v>
      </c>
      <c r="E104" s="2">
        <v>50.26548245743669</v>
      </c>
      <c r="F104" s="11">
        <f t="shared" si="0"/>
        <v>2.0889086280811267</v>
      </c>
      <c r="G104" s="2">
        <f t="shared" si="1"/>
        <v>112.44595144960705</v>
      </c>
      <c r="H104" s="2">
        <f t="shared" si="2"/>
        <v>2.2554379006137886</v>
      </c>
      <c r="I104" s="2">
        <f t="shared" si="3"/>
        <v>121.41022219004023</v>
      </c>
      <c r="J104" s="2">
        <f t="shared" si="4"/>
        <v>8.9642707404331787</v>
      </c>
      <c r="K104" s="15">
        <f t="shared" si="19"/>
        <v>0.62051282051282053</v>
      </c>
      <c r="L104" s="2">
        <f t="shared" si="14"/>
        <v>99</v>
      </c>
      <c r="M104" s="2">
        <f t="shared" si="15"/>
        <v>53.58</v>
      </c>
      <c r="N104" s="2">
        <v>11.5</v>
      </c>
      <c r="O104" s="2">
        <v>50.26548245743669</v>
      </c>
      <c r="P104" s="11">
        <f t="shared" si="5"/>
        <v>2.2878523069459957</v>
      </c>
      <c r="Q104" s="2">
        <f t="shared" si="6"/>
        <v>122.58312660616645</v>
      </c>
      <c r="R104" s="2">
        <f t="shared" si="7"/>
        <v>2.4001943487253978</v>
      </c>
      <c r="S104" s="2">
        <f t="shared" si="8"/>
        <v>128.60241320470681</v>
      </c>
      <c r="T104" s="2">
        <f t="shared" si="9"/>
        <v>6.0192865985403614</v>
      </c>
    </row>
    <row r="105" spans="1:20" x14ac:dyDescent="0.25">
      <c r="A105" s="14">
        <f t="shared" si="18"/>
        <v>0.65925925925925921</v>
      </c>
      <c r="B105" s="2">
        <f t="shared" si="11"/>
        <v>100</v>
      </c>
      <c r="C105" s="4">
        <f t="shared" si="12"/>
        <v>54.33</v>
      </c>
      <c r="D105" s="2">
        <v>11</v>
      </c>
      <c r="E105" s="2">
        <v>50.26548245743669</v>
      </c>
      <c r="F105" s="11">
        <f t="shared" si="0"/>
        <v>2.1883804675135607</v>
      </c>
      <c r="G105" s="2">
        <f t="shared" si="1"/>
        <v>118.89471080001175</v>
      </c>
      <c r="H105" s="2">
        <f t="shared" si="2"/>
        <v>2.2554379006137886</v>
      </c>
      <c r="I105" s="2">
        <f t="shared" si="3"/>
        <v>122.53794114034713</v>
      </c>
      <c r="J105" s="2">
        <f t="shared" si="4"/>
        <v>3.6432303403353785</v>
      </c>
      <c r="K105" s="15">
        <f t="shared" si="19"/>
        <v>0.62076210826210831</v>
      </c>
      <c r="L105" s="2">
        <f t="shared" si="14"/>
        <v>100</v>
      </c>
      <c r="M105" s="2">
        <f t="shared" si="15"/>
        <v>54.08</v>
      </c>
      <c r="N105" s="2">
        <v>11</v>
      </c>
      <c r="O105" s="2">
        <v>50.26548245743669</v>
      </c>
      <c r="P105" s="11">
        <f t="shared" si="5"/>
        <v>2.1883804675135607</v>
      </c>
      <c r="Q105" s="2">
        <f t="shared" si="6"/>
        <v>118.34761568313336</v>
      </c>
      <c r="R105" s="2">
        <f t="shared" si="7"/>
        <v>2.4001943487253978</v>
      </c>
      <c r="S105" s="2">
        <f t="shared" si="8"/>
        <v>129.8025103790695</v>
      </c>
      <c r="T105" s="2">
        <f t="shared" si="9"/>
        <v>11.454894695936147</v>
      </c>
    </row>
    <row r="106" spans="1:20" x14ac:dyDescent="0.25">
      <c r="A106" s="14">
        <f t="shared" si="18"/>
        <v>0.65949074074074077</v>
      </c>
      <c r="B106" s="2">
        <f t="shared" si="11"/>
        <v>101</v>
      </c>
      <c r="C106" s="4">
        <f t="shared" si="12"/>
        <v>54.83</v>
      </c>
      <c r="D106" s="2">
        <v>10</v>
      </c>
      <c r="E106" s="2">
        <v>50.26548245743669</v>
      </c>
      <c r="F106" s="11">
        <f t="shared" si="0"/>
        <v>1.9894367886486919</v>
      </c>
      <c r="G106" s="2">
        <f t="shared" si="1"/>
        <v>109.08081912160777</v>
      </c>
      <c r="H106" s="2">
        <f t="shared" si="2"/>
        <v>2.2554379006137886</v>
      </c>
      <c r="I106" s="2">
        <f t="shared" si="3"/>
        <v>123.66566009065403</v>
      </c>
      <c r="J106" s="2">
        <f t="shared" si="4"/>
        <v>14.584840969046255</v>
      </c>
      <c r="K106" s="15">
        <f t="shared" si="19"/>
        <v>0.62101139601139599</v>
      </c>
      <c r="L106" s="2">
        <f t="shared" si="14"/>
        <v>101</v>
      </c>
      <c r="M106" s="2">
        <f t="shared" si="15"/>
        <v>54.58</v>
      </c>
      <c r="N106" s="2">
        <v>10</v>
      </c>
      <c r="O106" s="2">
        <v>50.26548245743669</v>
      </c>
      <c r="P106" s="11">
        <f t="shared" si="5"/>
        <v>1.9894367886486919</v>
      </c>
      <c r="Q106" s="2">
        <f t="shared" si="6"/>
        <v>108.58345992444561</v>
      </c>
      <c r="R106" s="2">
        <f t="shared" si="7"/>
        <v>2.4001943487253978</v>
      </c>
      <c r="S106" s="2">
        <f t="shared" si="8"/>
        <v>131.0026075534322</v>
      </c>
      <c r="T106" s="2">
        <f t="shared" si="9"/>
        <v>22.419147628986593</v>
      </c>
    </row>
    <row r="107" spans="1:20" x14ac:dyDescent="0.25">
      <c r="A107" s="14">
        <f t="shared" si="18"/>
        <v>0.65972222222222221</v>
      </c>
      <c r="B107" s="2">
        <f t="shared" si="11"/>
        <v>102</v>
      </c>
      <c r="C107" s="4">
        <f t="shared" si="12"/>
        <v>55.33</v>
      </c>
      <c r="D107" s="2">
        <v>9</v>
      </c>
      <c r="E107" s="2">
        <v>50.26548245743669</v>
      </c>
      <c r="F107" s="11">
        <f t="shared" si="0"/>
        <v>1.7904931097838226</v>
      </c>
      <c r="G107" s="2">
        <f t="shared" si="1"/>
        <v>99.067983764338905</v>
      </c>
      <c r="H107" s="2">
        <f t="shared" si="2"/>
        <v>2.2554379006137886</v>
      </c>
      <c r="I107" s="2">
        <f t="shared" si="3"/>
        <v>124.79337904096091</v>
      </c>
      <c r="J107" s="2">
        <f t="shared" si="4"/>
        <v>25.72539527662201</v>
      </c>
      <c r="K107" s="15">
        <f t="shared" si="19"/>
        <v>0.62126068376068377</v>
      </c>
      <c r="L107" s="2">
        <f t="shared" si="14"/>
        <v>102</v>
      </c>
      <c r="M107" s="2">
        <f t="shared" si="15"/>
        <v>55.08</v>
      </c>
      <c r="N107" s="2">
        <v>11</v>
      </c>
      <c r="O107" s="2">
        <v>50.26548245743669</v>
      </c>
      <c r="P107" s="11">
        <f t="shared" si="5"/>
        <v>2.1883804675135607</v>
      </c>
      <c r="Q107" s="2">
        <f t="shared" si="6"/>
        <v>120.53599615064692</v>
      </c>
      <c r="R107" s="2">
        <f t="shared" si="7"/>
        <v>2.4001943487253978</v>
      </c>
      <c r="S107" s="2">
        <f t="shared" si="8"/>
        <v>132.2027047277949</v>
      </c>
      <c r="T107" s="2">
        <f t="shared" si="9"/>
        <v>11.666708577147972</v>
      </c>
    </row>
    <row r="108" spans="1:20" x14ac:dyDescent="0.25">
      <c r="A108" s="14">
        <f t="shared" si="18"/>
        <v>0.65995370370370365</v>
      </c>
      <c r="B108" s="2">
        <f t="shared" si="11"/>
        <v>103</v>
      </c>
      <c r="C108" s="4">
        <f t="shared" si="12"/>
        <v>55.83</v>
      </c>
      <c r="D108" s="2">
        <v>8</v>
      </c>
      <c r="E108" s="2">
        <v>50.26548245743669</v>
      </c>
      <c r="F108" s="11">
        <f t="shared" si="0"/>
        <v>1.5915494309189535</v>
      </c>
      <c r="G108" s="2">
        <f t="shared" si="1"/>
        <v>88.856204728205171</v>
      </c>
      <c r="H108" s="2">
        <f t="shared" si="2"/>
        <v>2.2554379006137886</v>
      </c>
      <c r="I108" s="2">
        <f t="shared" si="3"/>
        <v>125.92109799126781</v>
      </c>
      <c r="J108" s="2">
        <f t="shared" si="4"/>
        <v>37.064893263062643</v>
      </c>
      <c r="K108" s="15">
        <f t="shared" si="19"/>
        <v>0.62150997150997156</v>
      </c>
      <c r="L108" s="2">
        <f t="shared" si="14"/>
        <v>103</v>
      </c>
      <c r="M108" s="2">
        <f t="shared" si="15"/>
        <v>55.58</v>
      </c>
      <c r="N108" s="2">
        <v>9.5</v>
      </c>
      <c r="O108" s="2">
        <v>50.26548245743669</v>
      </c>
      <c r="P108" s="11">
        <f t="shared" si="5"/>
        <v>1.8899649492162571</v>
      </c>
      <c r="Q108" s="2">
        <f t="shared" si="6"/>
        <v>105.04425187743956</v>
      </c>
      <c r="R108" s="2">
        <f t="shared" si="7"/>
        <v>2.4001943487253978</v>
      </c>
      <c r="S108" s="2">
        <f t="shared" si="8"/>
        <v>133.40280190215762</v>
      </c>
      <c r="T108" s="2">
        <f t="shared" si="9"/>
        <v>28.358550024718056</v>
      </c>
    </row>
    <row r="109" spans="1:20" x14ac:dyDescent="0.25">
      <c r="A109" s="14">
        <f t="shared" si="18"/>
        <v>0.66018518518518521</v>
      </c>
      <c r="B109" s="21">
        <f t="shared" si="11"/>
        <v>104</v>
      </c>
      <c r="C109" s="22">
        <f t="shared" si="12"/>
        <v>56.33</v>
      </c>
      <c r="D109" s="21">
        <v>9.5</v>
      </c>
      <c r="E109" s="2">
        <v>50.26548245743669</v>
      </c>
      <c r="F109" s="11">
        <f t="shared" si="0"/>
        <v>1.8899649492162571</v>
      </c>
      <c r="G109" s="2">
        <f t="shared" si="1"/>
        <v>106.46172558935176</v>
      </c>
      <c r="H109" s="2">
        <f t="shared" si="2"/>
        <v>2.2554379006137886</v>
      </c>
      <c r="I109" s="2">
        <f t="shared" si="3"/>
        <v>127.0488169415747</v>
      </c>
      <c r="J109" s="2">
        <f t="shared" si="4"/>
        <v>20.587091352222942</v>
      </c>
      <c r="K109" s="15">
        <f t="shared" si="19"/>
        <v>0.62175925925925923</v>
      </c>
      <c r="L109" s="21">
        <f t="shared" si="14"/>
        <v>104</v>
      </c>
      <c r="M109" s="21">
        <f t="shared" si="15"/>
        <v>56.08</v>
      </c>
      <c r="N109" s="21">
        <v>10</v>
      </c>
      <c r="O109" s="2">
        <v>50.26548245743669</v>
      </c>
      <c r="P109" s="11">
        <f t="shared" si="5"/>
        <v>1.9894367886486919</v>
      </c>
      <c r="Q109" s="2">
        <f t="shared" si="6"/>
        <v>111.56761510741863</v>
      </c>
      <c r="R109" s="2">
        <f t="shared" si="7"/>
        <v>2.4001943487253978</v>
      </c>
      <c r="S109" s="2">
        <f t="shared" si="8"/>
        <v>134.60289907652032</v>
      </c>
      <c r="T109" s="2">
        <f t="shared" si="9"/>
        <v>23.035283969101684</v>
      </c>
    </row>
    <row r="110" spans="1:20" x14ac:dyDescent="0.25">
      <c r="A110" s="14">
        <f t="shared" si="18"/>
        <v>0.66041666666666665</v>
      </c>
      <c r="B110" s="21">
        <f t="shared" si="11"/>
        <v>105</v>
      </c>
      <c r="C110" s="22">
        <f>C109+1.5</f>
        <v>57.83</v>
      </c>
      <c r="D110" s="21">
        <v>7.5</v>
      </c>
      <c r="E110" s="2">
        <v>50.26548245743669</v>
      </c>
      <c r="F110" s="11">
        <f t="shared" si="0"/>
        <v>1.492077591486519</v>
      </c>
      <c r="G110" s="2">
        <f t="shared" si="1"/>
        <v>86.286847115665395</v>
      </c>
      <c r="H110" s="2">
        <f t="shared" si="2"/>
        <v>2.2554379006137886</v>
      </c>
      <c r="I110" s="2">
        <f t="shared" si="3"/>
        <v>130.4319737924954</v>
      </c>
      <c r="J110" s="2">
        <f t="shared" si="4"/>
        <v>44.145126676830003</v>
      </c>
      <c r="K110" s="15">
        <f t="shared" si="19"/>
        <v>0.62200854700854702</v>
      </c>
      <c r="L110" s="21">
        <f t="shared" si="14"/>
        <v>105</v>
      </c>
      <c r="M110" s="21">
        <f>M109+1.5</f>
        <v>57.58</v>
      </c>
      <c r="N110" s="21">
        <v>9</v>
      </c>
      <c r="O110" s="2">
        <v>50.26548245743669</v>
      </c>
      <c r="P110" s="11">
        <f t="shared" si="5"/>
        <v>1.7904931097838226</v>
      </c>
      <c r="Q110" s="2">
        <f t="shared" si="6"/>
        <v>103.0965932613525</v>
      </c>
      <c r="R110" s="2">
        <f t="shared" si="7"/>
        <v>2.4001943487253978</v>
      </c>
      <c r="S110" s="2">
        <f t="shared" si="8"/>
        <v>138.2031905996084</v>
      </c>
      <c r="T110" s="2">
        <f t="shared" si="9"/>
        <v>35.106597338255909</v>
      </c>
    </row>
    <row r="111" spans="1:20" x14ac:dyDescent="0.25">
      <c r="A111" s="14">
        <f t="shared" si="18"/>
        <v>0.6606481481481481</v>
      </c>
      <c r="B111" s="21">
        <f t="shared" si="11"/>
        <v>106</v>
      </c>
      <c r="C111" s="22">
        <f t="shared" ref="C111:C162" si="20">C110+0.5</f>
        <v>58.33</v>
      </c>
      <c r="D111" s="21">
        <v>8</v>
      </c>
      <c r="E111" s="2">
        <v>50.26548245743669</v>
      </c>
      <c r="F111" s="11">
        <f t="shared" si="0"/>
        <v>1.5915494309189535</v>
      </c>
      <c r="G111" s="2">
        <f t="shared" si="1"/>
        <v>92.835078305502549</v>
      </c>
      <c r="H111" s="2">
        <f t="shared" si="2"/>
        <v>2.2554379006137886</v>
      </c>
      <c r="I111" s="2">
        <f t="shared" si="3"/>
        <v>131.55969274280227</v>
      </c>
      <c r="J111" s="2">
        <f t="shared" si="4"/>
        <v>38.724614437299721</v>
      </c>
      <c r="K111" s="15">
        <f t="shared" si="19"/>
        <v>0.6222578347578348</v>
      </c>
      <c r="L111" s="21">
        <f t="shared" si="14"/>
        <v>106</v>
      </c>
      <c r="M111" s="21">
        <f t="shared" ref="M111:M162" si="21">M110+0.5</f>
        <v>58.08</v>
      </c>
      <c r="N111" s="21">
        <v>9.5</v>
      </c>
      <c r="O111" s="2">
        <v>50.26548245743669</v>
      </c>
      <c r="P111" s="11">
        <f t="shared" si="5"/>
        <v>1.8899649492162571</v>
      </c>
      <c r="Q111" s="2">
        <f t="shared" si="6"/>
        <v>109.76916425048022</v>
      </c>
      <c r="R111" s="2">
        <f t="shared" si="7"/>
        <v>2.4001943487253978</v>
      </c>
      <c r="S111" s="2">
        <f t="shared" si="8"/>
        <v>139.4032877739711</v>
      </c>
      <c r="T111" s="2">
        <f t="shared" si="9"/>
        <v>29.634123523490885</v>
      </c>
    </row>
    <row r="112" spans="1:20" x14ac:dyDescent="0.25">
      <c r="A112" s="14">
        <f t="shared" si="18"/>
        <v>0.66087962962962965</v>
      </c>
      <c r="B112" s="2">
        <f t="shared" si="11"/>
        <v>107</v>
      </c>
      <c r="C112" s="4">
        <f t="shared" si="20"/>
        <v>58.83</v>
      </c>
      <c r="D112" s="2">
        <v>9.5</v>
      </c>
      <c r="E112" s="2">
        <v>50.26548245743669</v>
      </c>
      <c r="F112" s="11">
        <f t="shared" si="0"/>
        <v>1.8899649492162571</v>
      </c>
      <c r="G112" s="2">
        <f t="shared" si="1"/>
        <v>111.18663796239241</v>
      </c>
      <c r="H112" s="2">
        <f t="shared" si="2"/>
        <v>2.2554379006137886</v>
      </c>
      <c r="I112" s="2">
        <f t="shared" si="3"/>
        <v>132.68741169310917</v>
      </c>
      <c r="J112" s="2">
        <f t="shared" si="4"/>
        <v>21.500773730716759</v>
      </c>
      <c r="K112" s="15">
        <f t="shared" si="19"/>
        <v>0.62250712250712248</v>
      </c>
      <c r="L112" s="2">
        <f t="shared" si="14"/>
        <v>107</v>
      </c>
      <c r="M112" s="2">
        <f t="shared" si="21"/>
        <v>58.58</v>
      </c>
      <c r="N112" s="2">
        <v>10</v>
      </c>
      <c r="O112" s="2">
        <v>50.26548245743669</v>
      </c>
      <c r="P112" s="11">
        <f t="shared" si="5"/>
        <v>1.9894367886486919</v>
      </c>
      <c r="Q112" s="2">
        <f t="shared" si="6"/>
        <v>116.54120707904036</v>
      </c>
      <c r="R112" s="2">
        <f t="shared" si="7"/>
        <v>2.4001943487253978</v>
      </c>
      <c r="S112" s="2">
        <f t="shared" si="8"/>
        <v>140.6033849483338</v>
      </c>
      <c r="T112" s="2">
        <f t="shared" si="9"/>
        <v>24.062177869293436</v>
      </c>
    </row>
    <row r="113" spans="1:20" x14ac:dyDescent="0.25">
      <c r="A113" s="14">
        <f t="shared" si="18"/>
        <v>0.66111111111111109</v>
      </c>
      <c r="B113" s="2">
        <f t="shared" si="11"/>
        <v>108</v>
      </c>
      <c r="C113" s="4">
        <f t="shared" si="20"/>
        <v>59.33</v>
      </c>
      <c r="D113" s="2">
        <v>10</v>
      </c>
      <c r="E113" s="2">
        <v>50.26548245743669</v>
      </c>
      <c r="F113" s="11">
        <f t="shared" si="0"/>
        <v>1.9894367886486919</v>
      </c>
      <c r="G113" s="2">
        <f t="shared" si="1"/>
        <v>118.03328467052688</v>
      </c>
      <c r="H113" s="2">
        <f t="shared" si="2"/>
        <v>2.2554379006137886</v>
      </c>
      <c r="I113" s="2">
        <f t="shared" si="3"/>
        <v>133.81513064341607</v>
      </c>
      <c r="J113" s="2">
        <f t="shared" si="4"/>
        <v>15.781845972889187</v>
      </c>
      <c r="K113" s="15">
        <f t="shared" si="19"/>
        <v>0.62275641025641026</v>
      </c>
      <c r="L113" s="2">
        <f t="shared" si="14"/>
        <v>108</v>
      </c>
      <c r="M113" s="2">
        <f t="shared" si="21"/>
        <v>59.08</v>
      </c>
      <c r="N113" s="2">
        <v>11</v>
      </c>
      <c r="O113" s="2">
        <v>50.26548245743669</v>
      </c>
      <c r="P113" s="11">
        <f t="shared" si="5"/>
        <v>2.1883804675135607</v>
      </c>
      <c r="Q113" s="2">
        <f t="shared" si="6"/>
        <v>129.28951802070117</v>
      </c>
      <c r="R113" s="2">
        <f t="shared" si="7"/>
        <v>2.4001943487253978</v>
      </c>
      <c r="S113" s="2">
        <f t="shared" si="8"/>
        <v>141.80348212269649</v>
      </c>
      <c r="T113" s="2">
        <f t="shared" si="9"/>
        <v>12.513964101995327</v>
      </c>
    </row>
    <row r="114" spans="1:20" x14ac:dyDescent="0.25">
      <c r="A114" s="14">
        <f t="shared" si="18"/>
        <v>0.66134259259259254</v>
      </c>
      <c r="B114" s="2">
        <f t="shared" si="11"/>
        <v>109</v>
      </c>
      <c r="C114" s="4">
        <f t="shared" si="20"/>
        <v>59.83</v>
      </c>
      <c r="D114" s="2">
        <v>10</v>
      </c>
      <c r="E114" s="2">
        <v>50.26548245743669</v>
      </c>
      <c r="F114" s="11">
        <f t="shared" si="0"/>
        <v>1.9894367886486919</v>
      </c>
      <c r="G114" s="2">
        <f t="shared" si="1"/>
        <v>119.02800306485123</v>
      </c>
      <c r="H114" s="2">
        <f t="shared" si="2"/>
        <v>2.2554379006137886</v>
      </c>
      <c r="I114" s="2">
        <f t="shared" si="3"/>
        <v>134.94284959372297</v>
      </c>
      <c r="J114" s="2">
        <f t="shared" si="4"/>
        <v>15.914846528871735</v>
      </c>
      <c r="K114" s="15">
        <f t="shared" si="19"/>
        <v>0.62300569800569805</v>
      </c>
      <c r="L114" s="2">
        <f t="shared" si="14"/>
        <v>109</v>
      </c>
      <c r="M114" s="2">
        <f t="shared" si="21"/>
        <v>59.58</v>
      </c>
      <c r="N114" s="2">
        <v>11</v>
      </c>
      <c r="O114" s="2">
        <v>50.26548245743669</v>
      </c>
      <c r="P114" s="11">
        <f t="shared" si="5"/>
        <v>2.1883804675135607</v>
      </c>
      <c r="Q114" s="2">
        <f t="shared" si="6"/>
        <v>130.38370825445796</v>
      </c>
      <c r="R114" s="2">
        <f t="shared" si="7"/>
        <v>2.4001943487253978</v>
      </c>
      <c r="S114" s="2">
        <f t="shared" si="8"/>
        <v>143.00357929705919</v>
      </c>
      <c r="T114" s="2">
        <f t="shared" si="9"/>
        <v>12.619871042601233</v>
      </c>
    </row>
    <row r="115" spans="1:20" x14ac:dyDescent="0.25">
      <c r="A115" s="14">
        <f t="shared" si="18"/>
        <v>0.66157407407407409</v>
      </c>
      <c r="B115" s="2">
        <f t="shared" si="11"/>
        <v>110</v>
      </c>
      <c r="C115" s="4">
        <f t="shared" si="20"/>
        <v>60.33</v>
      </c>
      <c r="D115" s="2">
        <v>12</v>
      </c>
      <c r="E115" s="2">
        <v>50.26548245743669</v>
      </c>
      <c r="F115" s="11">
        <f t="shared" si="0"/>
        <v>2.3873241463784298</v>
      </c>
      <c r="G115" s="2">
        <f t="shared" si="1"/>
        <v>144.02726575101067</v>
      </c>
      <c r="H115" s="2">
        <f t="shared" si="2"/>
        <v>2.2554379006137886</v>
      </c>
      <c r="I115" s="2">
        <f t="shared" si="3"/>
        <v>136.07056854402987</v>
      </c>
      <c r="J115" s="2">
        <f t="shared" si="4"/>
        <v>7.956697206980806</v>
      </c>
      <c r="K115" s="15">
        <f t="shared" si="19"/>
        <v>0.62325498575498572</v>
      </c>
      <c r="L115" s="2">
        <f t="shared" si="14"/>
        <v>110</v>
      </c>
      <c r="M115" s="2">
        <f t="shared" si="21"/>
        <v>60.08</v>
      </c>
      <c r="N115" s="2">
        <v>11.5</v>
      </c>
      <c r="O115" s="2">
        <v>50.26548245743669</v>
      </c>
      <c r="P115" s="11">
        <f t="shared" si="5"/>
        <v>2.2878523069459957</v>
      </c>
      <c r="Q115" s="2">
        <f t="shared" si="6"/>
        <v>137.45416660131542</v>
      </c>
      <c r="R115" s="2">
        <f t="shared" si="7"/>
        <v>2.4001943487253978</v>
      </c>
      <c r="S115" s="2">
        <f t="shared" si="8"/>
        <v>144.20367647142189</v>
      </c>
      <c r="T115" s="2">
        <f t="shared" si="9"/>
        <v>6.7495098701064649</v>
      </c>
    </row>
    <row r="116" spans="1:20" x14ac:dyDescent="0.25">
      <c r="A116" s="14">
        <f t="shared" si="18"/>
        <v>0.66180555555555554</v>
      </c>
      <c r="B116" s="2">
        <f t="shared" si="11"/>
        <v>111</v>
      </c>
      <c r="C116" s="4">
        <f t="shared" si="20"/>
        <v>60.83</v>
      </c>
      <c r="D116" s="2">
        <v>12</v>
      </c>
      <c r="E116" s="2">
        <v>50.26548245743669</v>
      </c>
      <c r="F116" s="11">
        <f t="shared" si="0"/>
        <v>2.3873241463784298</v>
      </c>
      <c r="G116" s="2">
        <f t="shared" si="1"/>
        <v>145.22092782419989</v>
      </c>
      <c r="H116" s="2">
        <f t="shared" si="2"/>
        <v>2.2554379006137886</v>
      </c>
      <c r="I116" s="2">
        <f t="shared" si="3"/>
        <v>137.19828749433677</v>
      </c>
      <c r="J116" s="2">
        <f t="shared" si="4"/>
        <v>8.0226403298631226</v>
      </c>
      <c r="K116" s="15">
        <f t="shared" si="19"/>
        <v>0.62350427350427351</v>
      </c>
      <c r="L116" s="2">
        <f t="shared" si="14"/>
        <v>111</v>
      </c>
      <c r="M116" s="2">
        <f t="shared" si="21"/>
        <v>60.58</v>
      </c>
      <c r="N116" s="2">
        <v>12.5</v>
      </c>
      <c r="O116" s="2">
        <v>50.26548245743669</v>
      </c>
      <c r="P116" s="11">
        <f t="shared" si="5"/>
        <v>2.4867959858108648</v>
      </c>
      <c r="Q116" s="2">
        <f t="shared" si="6"/>
        <v>150.65010082042218</v>
      </c>
      <c r="R116" s="2">
        <f t="shared" si="7"/>
        <v>2.4001943487253978</v>
      </c>
      <c r="S116" s="2">
        <f t="shared" si="8"/>
        <v>145.40377364578458</v>
      </c>
      <c r="T116" s="2">
        <f t="shared" si="9"/>
        <v>5.2463271746375995</v>
      </c>
    </row>
    <row r="117" spans="1:20" x14ac:dyDescent="0.25">
      <c r="A117" s="14">
        <f t="shared" si="18"/>
        <v>0.66203703703703698</v>
      </c>
      <c r="B117" s="2">
        <f t="shared" si="11"/>
        <v>112</v>
      </c>
      <c r="C117" s="4">
        <f t="shared" si="20"/>
        <v>61.33</v>
      </c>
      <c r="D117" s="2">
        <v>12.5</v>
      </c>
      <c r="E117" s="2">
        <v>50.26548245743669</v>
      </c>
      <c r="F117" s="11">
        <f t="shared" si="0"/>
        <v>2.4867959858108648</v>
      </c>
      <c r="G117" s="2">
        <f t="shared" si="1"/>
        <v>152.51519780978035</v>
      </c>
      <c r="H117" s="2">
        <f t="shared" si="2"/>
        <v>2.2554379006137886</v>
      </c>
      <c r="I117" s="2">
        <f t="shared" si="3"/>
        <v>138.32600644464364</v>
      </c>
      <c r="J117" s="2">
        <f t="shared" si="4"/>
        <v>14.189191365136708</v>
      </c>
      <c r="K117" s="15">
        <f t="shared" si="19"/>
        <v>0.62375356125356129</v>
      </c>
      <c r="L117" s="2">
        <f t="shared" si="14"/>
        <v>112</v>
      </c>
      <c r="M117" s="2">
        <f t="shared" si="21"/>
        <v>61.08</v>
      </c>
      <c r="N117" s="2">
        <v>11.5</v>
      </c>
      <c r="O117" s="2">
        <v>50.26548245743669</v>
      </c>
      <c r="P117" s="11">
        <f t="shared" si="5"/>
        <v>2.2878523069459957</v>
      </c>
      <c r="Q117" s="2">
        <f t="shared" si="6"/>
        <v>139.74201890826143</v>
      </c>
      <c r="R117" s="2">
        <f t="shared" si="7"/>
        <v>2.4001943487253978</v>
      </c>
      <c r="S117" s="2">
        <f t="shared" si="8"/>
        <v>146.60387082014731</v>
      </c>
      <c r="T117" s="2">
        <f t="shared" si="9"/>
        <v>6.8618519118858785</v>
      </c>
    </row>
    <row r="118" spans="1:20" x14ac:dyDescent="0.25">
      <c r="A118" s="14">
        <f t="shared" si="18"/>
        <v>0.66226851851851853</v>
      </c>
      <c r="B118" s="2">
        <f t="shared" si="11"/>
        <v>113</v>
      </c>
      <c r="C118" s="4">
        <f t="shared" si="20"/>
        <v>61.83</v>
      </c>
      <c r="D118" s="2">
        <v>12</v>
      </c>
      <c r="E118" s="2">
        <v>50.26548245743669</v>
      </c>
      <c r="F118" s="11">
        <f t="shared" si="0"/>
        <v>2.3873241463784298</v>
      </c>
      <c r="G118" s="2">
        <f t="shared" si="1"/>
        <v>147.60825197057832</v>
      </c>
      <c r="H118" s="2">
        <f t="shared" si="2"/>
        <v>2.2554379006137886</v>
      </c>
      <c r="I118" s="2">
        <f t="shared" si="3"/>
        <v>139.45372539495054</v>
      </c>
      <c r="J118" s="2">
        <f t="shared" si="4"/>
        <v>8.1545265756277843</v>
      </c>
      <c r="K118" s="15">
        <f t="shared" si="19"/>
        <v>0.62400284900284897</v>
      </c>
      <c r="L118" s="2">
        <f t="shared" si="14"/>
        <v>113</v>
      </c>
      <c r="M118" s="2">
        <f t="shared" si="21"/>
        <v>61.58</v>
      </c>
      <c r="N118" s="2">
        <v>13.5</v>
      </c>
      <c r="O118" s="2">
        <v>50.26548245743669</v>
      </c>
      <c r="P118" s="11">
        <f t="shared" si="5"/>
        <v>2.6857396646757339</v>
      </c>
      <c r="Q118" s="2">
        <f t="shared" si="6"/>
        <v>165.38784855073169</v>
      </c>
      <c r="R118" s="2">
        <f t="shared" si="7"/>
        <v>2.4001943487253978</v>
      </c>
      <c r="S118" s="2">
        <f t="shared" si="8"/>
        <v>147.80396799451</v>
      </c>
      <c r="T118" s="2">
        <f t="shared" si="9"/>
        <v>17.583880556221686</v>
      </c>
    </row>
    <row r="119" spans="1:20" x14ac:dyDescent="0.25">
      <c r="A119" s="14">
        <f t="shared" si="18"/>
        <v>0.66249999999999998</v>
      </c>
      <c r="B119" s="2">
        <f t="shared" si="11"/>
        <v>114</v>
      </c>
      <c r="C119" s="4">
        <f t="shared" si="20"/>
        <v>62.33</v>
      </c>
      <c r="D119" s="2">
        <v>11.5</v>
      </c>
      <c r="E119" s="2">
        <v>50.26548245743669</v>
      </c>
      <c r="F119" s="11">
        <f t="shared" si="0"/>
        <v>2.2878523069459957</v>
      </c>
      <c r="G119" s="2">
        <f t="shared" si="1"/>
        <v>142.6018342919439</v>
      </c>
      <c r="H119" s="2">
        <f t="shared" si="2"/>
        <v>2.2554379006137886</v>
      </c>
      <c r="I119" s="2">
        <f t="shared" si="3"/>
        <v>140.58144434525744</v>
      </c>
      <c r="J119" s="2">
        <f t="shared" si="4"/>
        <v>2.0203899466864641</v>
      </c>
      <c r="K119" s="15">
        <f t="shared" si="19"/>
        <v>0.62425213675213675</v>
      </c>
      <c r="L119" s="2">
        <f t="shared" si="14"/>
        <v>114</v>
      </c>
      <c r="M119" s="2">
        <f t="shared" si="21"/>
        <v>62.08</v>
      </c>
      <c r="N119" s="2">
        <v>13.5</v>
      </c>
      <c r="O119" s="2">
        <v>50.26548245743669</v>
      </c>
      <c r="P119" s="11">
        <f t="shared" si="5"/>
        <v>2.6857396646757339</v>
      </c>
      <c r="Q119" s="2">
        <f t="shared" si="6"/>
        <v>166.73071838306956</v>
      </c>
      <c r="R119" s="2">
        <f t="shared" si="7"/>
        <v>2.4001943487253978</v>
      </c>
      <c r="S119" s="2">
        <f t="shared" si="8"/>
        <v>149.0040651688727</v>
      </c>
      <c r="T119" s="2">
        <f t="shared" si="9"/>
        <v>17.726653214196858</v>
      </c>
    </row>
    <row r="120" spans="1:20" x14ac:dyDescent="0.25">
      <c r="A120" s="14">
        <f t="shared" si="18"/>
        <v>0.66273148148148142</v>
      </c>
      <c r="B120" s="2">
        <f t="shared" si="11"/>
        <v>115</v>
      </c>
      <c r="C120" s="4">
        <f t="shared" si="20"/>
        <v>62.83</v>
      </c>
      <c r="D120" s="2">
        <v>14</v>
      </c>
      <c r="E120" s="2">
        <v>50.26548245743669</v>
      </c>
      <c r="F120" s="11">
        <f t="shared" si="0"/>
        <v>2.7852115041081689</v>
      </c>
      <c r="G120" s="2">
        <f t="shared" si="1"/>
        <v>174.99483880311624</v>
      </c>
      <c r="H120" s="2">
        <f t="shared" si="2"/>
        <v>2.2554379006137886</v>
      </c>
      <c r="I120" s="2">
        <f t="shared" si="3"/>
        <v>141.70916329556434</v>
      </c>
      <c r="J120" s="2">
        <f t="shared" si="4"/>
        <v>33.2856755075519</v>
      </c>
      <c r="K120" s="15">
        <f t="shared" si="19"/>
        <v>0.62450142450142454</v>
      </c>
      <c r="L120" s="2">
        <f t="shared" si="14"/>
        <v>115</v>
      </c>
      <c r="M120" s="2">
        <f t="shared" si="21"/>
        <v>62.58</v>
      </c>
      <c r="N120" s="2">
        <v>14.5</v>
      </c>
      <c r="O120" s="2">
        <v>50.26548245743669</v>
      </c>
      <c r="P120" s="11">
        <f t="shared" si="5"/>
        <v>2.8846833435406034</v>
      </c>
      <c r="Q120" s="2">
        <f t="shared" si="6"/>
        <v>180.52348363877095</v>
      </c>
      <c r="R120" s="2">
        <f t="shared" si="7"/>
        <v>2.4001943487253978</v>
      </c>
      <c r="S120" s="2">
        <f t="shared" si="8"/>
        <v>150.2041623432354</v>
      </c>
      <c r="T120" s="2">
        <f t="shared" si="9"/>
        <v>30.319321295535559</v>
      </c>
    </row>
    <row r="121" spans="1:20" x14ac:dyDescent="0.25">
      <c r="A121" s="14">
        <f t="shared" si="18"/>
        <v>0.66296296296296298</v>
      </c>
      <c r="B121" s="2">
        <f t="shared" si="11"/>
        <v>116</v>
      </c>
      <c r="C121" s="4">
        <f t="shared" si="20"/>
        <v>63.33</v>
      </c>
      <c r="D121" s="2">
        <v>12.5</v>
      </c>
      <c r="E121" s="2">
        <v>50.26548245743669</v>
      </c>
      <c r="F121" s="11">
        <f t="shared" si="0"/>
        <v>2.4867959858108648</v>
      </c>
      <c r="G121" s="2">
        <f t="shared" si="1"/>
        <v>157.48878978140206</v>
      </c>
      <c r="H121" s="2">
        <f t="shared" si="2"/>
        <v>2.2554379006137886</v>
      </c>
      <c r="I121" s="2">
        <f t="shared" si="3"/>
        <v>142.83688224587124</v>
      </c>
      <c r="J121" s="2">
        <f t="shared" si="4"/>
        <v>14.651907535530825</v>
      </c>
      <c r="K121" s="15">
        <f t="shared" si="19"/>
        <v>0.62475071225071221</v>
      </c>
      <c r="L121" s="2">
        <f t="shared" si="14"/>
        <v>116</v>
      </c>
      <c r="M121" s="2">
        <f t="shared" si="21"/>
        <v>63.08</v>
      </c>
      <c r="N121" s="2">
        <v>13</v>
      </c>
      <c r="O121" s="2">
        <v>50.26548245743669</v>
      </c>
      <c r="P121" s="11">
        <f t="shared" si="5"/>
        <v>2.5862678252432989</v>
      </c>
      <c r="Q121" s="2">
        <f t="shared" si="6"/>
        <v>163.14177441634729</v>
      </c>
      <c r="R121" s="2">
        <f t="shared" si="7"/>
        <v>2.4001943487253978</v>
      </c>
      <c r="S121" s="2">
        <f t="shared" si="8"/>
        <v>151.40425951759809</v>
      </c>
      <c r="T121" s="2">
        <f t="shared" si="9"/>
        <v>11.737514898749197</v>
      </c>
    </row>
    <row r="122" spans="1:20" x14ac:dyDescent="0.25">
      <c r="A122" s="10">
        <v>0.66319444444444442</v>
      </c>
      <c r="B122" s="2">
        <f t="shared" si="11"/>
        <v>117</v>
      </c>
      <c r="C122" s="4">
        <f t="shared" si="20"/>
        <v>63.83</v>
      </c>
      <c r="D122" s="2">
        <v>12</v>
      </c>
      <c r="E122" s="2">
        <v>50.26548245743669</v>
      </c>
      <c r="F122" s="11">
        <f t="shared" si="0"/>
        <v>2.3873241463784298</v>
      </c>
      <c r="G122" s="2">
        <f t="shared" si="1"/>
        <v>152.38290026333516</v>
      </c>
      <c r="H122" s="2">
        <f t="shared" si="2"/>
        <v>2.2554379006137886</v>
      </c>
      <c r="I122" s="2">
        <f t="shared" si="3"/>
        <v>143.96460119617811</v>
      </c>
      <c r="J122" s="2">
        <f t="shared" si="4"/>
        <v>8.4182990671570508</v>
      </c>
      <c r="K122" s="12">
        <v>0.625</v>
      </c>
      <c r="L122" s="2">
        <f t="shared" si="14"/>
        <v>117</v>
      </c>
      <c r="M122" s="2">
        <f t="shared" si="21"/>
        <v>63.58</v>
      </c>
      <c r="N122" s="2">
        <v>13.5</v>
      </c>
      <c r="O122" s="2">
        <v>50.26548245743669</v>
      </c>
      <c r="P122" s="11">
        <f t="shared" si="5"/>
        <v>2.6857396646757339</v>
      </c>
      <c r="Q122" s="2">
        <f t="shared" si="6"/>
        <v>170.75932788008316</v>
      </c>
      <c r="R122" s="2">
        <f t="shared" si="7"/>
        <v>2.4001943487253978</v>
      </c>
      <c r="S122" s="2">
        <f t="shared" si="8"/>
        <v>152.60435669196079</v>
      </c>
      <c r="T122" s="2">
        <f t="shared" si="9"/>
        <v>18.154971188122374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0.66342592592592586</v>
      </c>
      <c r="B123" s="2">
        <f t="shared" si="11"/>
        <v>118</v>
      </c>
      <c r="C123" s="4">
        <f t="shared" si="20"/>
        <v>64.33</v>
      </c>
      <c r="D123" s="2">
        <v>11.5</v>
      </c>
      <c r="E123" s="2">
        <v>50.26548245743669</v>
      </c>
      <c r="F123" s="11">
        <f t="shared" si="0"/>
        <v>2.2878523069459957</v>
      </c>
      <c r="G123" s="2">
        <f t="shared" si="1"/>
        <v>147.17753890583589</v>
      </c>
      <c r="H123" s="2">
        <f t="shared" si="2"/>
        <v>2.2554379006137886</v>
      </c>
      <c r="I123" s="2">
        <f t="shared" si="3"/>
        <v>145.09232014648501</v>
      </c>
      <c r="J123" s="2">
        <f t="shared" si="4"/>
        <v>2.0852187593508802</v>
      </c>
      <c r="K123" s="15">
        <f t="shared" ref="K123:K160" si="23">IF(AND($K$122&lt;&gt;"",$K$161&lt;&gt;""), $K$122 + (L123 - $L$122) * (($K$161 - $K$122) / ($L$161 - $L$122)), "")</f>
        <v>0.62524928774928779</v>
      </c>
      <c r="L123" s="2">
        <f t="shared" si="14"/>
        <v>118</v>
      </c>
      <c r="M123" s="2">
        <f t="shared" si="21"/>
        <v>64.08</v>
      </c>
      <c r="N123" s="2">
        <v>14</v>
      </c>
      <c r="O123" s="2">
        <v>50.26548245743669</v>
      </c>
      <c r="P123" s="11">
        <f t="shared" si="5"/>
        <v>2.7852115041081689</v>
      </c>
      <c r="Q123" s="2">
        <f t="shared" si="6"/>
        <v>178.47635318325146</v>
      </c>
      <c r="R123" s="2">
        <f t="shared" si="7"/>
        <v>2.4001943487253978</v>
      </c>
      <c r="S123" s="2">
        <f t="shared" si="8"/>
        <v>153.80445386632348</v>
      </c>
      <c r="T123" s="2">
        <f t="shared" si="9"/>
        <v>24.671899316927977</v>
      </c>
    </row>
    <row r="124" spans="1:20" x14ac:dyDescent="0.25">
      <c r="A124" s="14">
        <f t="shared" si="22"/>
        <v>0.66365740740740742</v>
      </c>
      <c r="B124" s="2">
        <f t="shared" si="11"/>
        <v>119</v>
      </c>
      <c r="C124" s="4">
        <f t="shared" si="20"/>
        <v>64.83</v>
      </c>
      <c r="D124" s="2">
        <v>14.5</v>
      </c>
      <c r="E124" s="2">
        <v>50.26548245743669</v>
      </c>
      <c r="F124" s="11">
        <f t="shared" si="0"/>
        <v>2.8846833435406034</v>
      </c>
      <c r="G124" s="2">
        <f t="shared" si="1"/>
        <v>187.0140211617373</v>
      </c>
      <c r="H124" s="2">
        <f t="shared" si="2"/>
        <v>2.2554379006137886</v>
      </c>
      <c r="I124" s="2">
        <f t="shared" si="3"/>
        <v>146.22003909679191</v>
      </c>
      <c r="J124" s="2">
        <f t="shared" si="4"/>
        <v>40.793982064945396</v>
      </c>
      <c r="K124" s="15">
        <f t="shared" si="23"/>
        <v>0.62549857549857546</v>
      </c>
      <c r="L124" s="2">
        <f t="shared" si="14"/>
        <v>119</v>
      </c>
      <c r="M124" s="2">
        <f t="shared" si="21"/>
        <v>64.58</v>
      </c>
      <c r="N124" s="2">
        <v>14</v>
      </c>
      <c r="O124" s="2">
        <v>50.26548245743669</v>
      </c>
      <c r="P124" s="11">
        <f t="shared" si="5"/>
        <v>2.7852115041081689</v>
      </c>
      <c r="Q124" s="2">
        <f t="shared" si="6"/>
        <v>179.86895893530553</v>
      </c>
      <c r="R124" s="2">
        <f t="shared" si="7"/>
        <v>2.4001943487253978</v>
      </c>
      <c r="S124" s="2">
        <f t="shared" si="8"/>
        <v>155.00455104068618</v>
      </c>
      <c r="T124" s="2">
        <f t="shared" si="9"/>
        <v>24.864407894619347</v>
      </c>
    </row>
    <row r="125" spans="1:20" x14ac:dyDescent="0.25">
      <c r="A125" s="14">
        <f t="shared" si="22"/>
        <v>0.66388888888888886</v>
      </c>
      <c r="B125" s="2">
        <f t="shared" si="11"/>
        <v>120</v>
      </c>
      <c r="C125" s="4">
        <f t="shared" si="20"/>
        <v>65.33</v>
      </c>
      <c r="D125" s="2">
        <v>11.5</v>
      </c>
      <c r="E125" s="2">
        <v>50.26548245743669</v>
      </c>
      <c r="F125" s="11">
        <f t="shared" si="0"/>
        <v>2.2878523069459957</v>
      </c>
      <c r="G125" s="2">
        <f t="shared" si="1"/>
        <v>149.4653912127819</v>
      </c>
      <c r="H125" s="2">
        <f t="shared" si="2"/>
        <v>2.2554379006137886</v>
      </c>
      <c r="I125" s="2">
        <f t="shared" si="3"/>
        <v>147.34775804709881</v>
      </c>
      <c r="J125" s="2">
        <f t="shared" si="4"/>
        <v>2.1176331656830882</v>
      </c>
      <c r="K125" s="15">
        <f t="shared" si="23"/>
        <v>0.62574786324786325</v>
      </c>
      <c r="L125" s="2">
        <f t="shared" si="14"/>
        <v>120</v>
      </c>
      <c r="M125" s="2">
        <f t="shared" si="21"/>
        <v>65.08</v>
      </c>
      <c r="N125" s="2">
        <v>13</v>
      </c>
      <c r="O125" s="2">
        <v>50.26548245743669</v>
      </c>
      <c r="P125" s="11">
        <f t="shared" si="5"/>
        <v>2.5862678252432989</v>
      </c>
      <c r="Q125" s="2">
        <f t="shared" si="6"/>
        <v>168.31431006683388</v>
      </c>
      <c r="R125" s="2">
        <f t="shared" si="7"/>
        <v>2.4001943487253978</v>
      </c>
      <c r="S125" s="2">
        <f t="shared" si="8"/>
        <v>156.20464821504888</v>
      </c>
      <c r="T125" s="2">
        <f t="shared" si="9"/>
        <v>12.109661851785006</v>
      </c>
    </row>
    <row r="126" spans="1:20" x14ac:dyDescent="0.25">
      <c r="A126" s="14">
        <f t="shared" si="22"/>
        <v>0.66412037037037031</v>
      </c>
      <c r="B126" s="2">
        <f t="shared" si="11"/>
        <v>121</v>
      </c>
      <c r="C126" s="4">
        <f t="shared" si="20"/>
        <v>65.83</v>
      </c>
      <c r="D126" s="2">
        <v>13</v>
      </c>
      <c r="E126" s="2">
        <v>50.26548245743669</v>
      </c>
      <c r="F126" s="11">
        <f t="shared" si="0"/>
        <v>2.5862678252432989</v>
      </c>
      <c r="G126" s="2">
        <f t="shared" si="1"/>
        <v>170.25401093576636</v>
      </c>
      <c r="H126" s="2">
        <f t="shared" si="2"/>
        <v>2.2554379006137886</v>
      </c>
      <c r="I126" s="2">
        <f t="shared" si="3"/>
        <v>148.47547699740571</v>
      </c>
      <c r="J126" s="2">
        <f t="shared" si="4"/>
        <v>21.778533938360653</v>
      </c>
      <c r="K126" s="15">
        <f t="shared" si="23"/>
        <v>0.62599715099715103</v>
      </c>
      <c r="L126" s="2">
        <f t="shared" si="14"/>
        <v>121</v>
      </c>
      <c r="M126" s="2">
        <f t="shared" si="21"/>
        <v>65.58</v>
      </c>
      <c r="N126" s="2">
        <v>14</v>
      </c>
      <c r="O126" s="2">
        <v>50.26548245743669</v>
      </c>
      <c r="P126" s="11">
        <f t="shared" si="5"/>
        <v>2.7852115041081689</v>
      </c>
      <c r="Q126" s="2">
        <f t="shared" si="6"/>
        <v>182.65417043941372</v>
      </c>
      <c r="R126" s="2">
        <f t="shared" si="7"/>
        <v>2.4001943487253978</v>
      </c>
      <c r="S126" s="2">
        <f t="shared" si="8"/>
        <v>157.40474538941157</v>
      </c>
      <c r="T126" s="2">
        <f t="shared" si="9"/>
        <v>25.249425050002145</v>
      </c>
    </row>
    <row r="127" spans="1:20" x14ac:dyDescent="0.25">
      <c r="A127" s="14">
        <f t="shared" si="22"/>
        <v>0.66435185185185186</v>
      </c>
      <c r="B127" s="2">
        <f t="shared" si="11"/>
        <v>122</v>
      </c>
      <c r="C127" s="4">
        <f t="shared" si="20"/>
        <v>66.33</v>
      </c>
      <c r="D127" s="2">
        <v>11</v>
      </c>
      <c r="E127" s="2">
        <v>50.26548245743669</v>
      </c>
      <c r="F127" s="11">
        <f t="shared" si="0"/>
        <v>2.1883804675135607</v>
      </c>
      <c r="G127" s="2">
        <f t="shared" si="1"/>
        <v>145.15527641017448</v>
      </c>
      <c r="H127" s="2">
        <f t="shared" si="2"/>
        <v>2.2554379006137886</v>
      </c>
      <c r="I127" s="2">
        <f t="shared" si="3"/>
        <v>149.60319594771258</v>
      </c>
      <c r="J127" s="2">
        <f t="shared" si="4"/>
        <v>4.4479195375380982</v>
      </c>
      <c r="K127" s="15">
        <f t="shared" si="23"/>
        <v>0.62624643874643871</v>
      </c>
      <c r="L127" s="2">
        <f t="shared" si="14"/>
        <v>122</v>
      </c>
      <c r="M127" s="2">
        <f t="shared" si="21"/>
        <v>66.08</v>
      </c>
      <c r="N127" s="2">
        <v>13.5</v>
      </c>
      <c r="O127" s="2">
        <v>50.26548245743669</v>
      </c>
      <c r="P127" s="11">
        <f t="shared" si="5"/>
        <v>2.6857396646757339</v>
      </c>
      <c r="Q127" s="2">
        <f t="shared" si="6"/>
        <v>177.4736770417725</v>
      </c>
      <c r="R127" s="2">
        <f t="shared" si="7"/>
        <v>2.4001943487253978</v>
      </c>
      <c r="S127" s="2">
        <f t="shared" si="8"/>
        <v>158.6048425637743</v>
      </c>
      <c r="T127" s="2">
        <f t="shared" si="9"/>
        <v>18.868834477998206</v>
      </c>
    </row>
    <row r="128" spans="1:20" x14ac:dyDescent="0.25">
      <c r="A128" s="14">
        <f t="shared" si="22"/>
        <v>0.6645833333333333</v>
      </c>
      <c r="B128" s="2">
        <f t="shared" si="11"/>
        <v>123</v>
      </c>
      <c r="C128" s="4">
        <f t="shared" si="20"/>
        <v>66.83</v>
      </c>
      <c r="D128" s="2">
        <v>11.5</v>
      </c>
      <c r="E128" s="2">
        <v>50.26548245743669</v>
      </c>
      <c r="F128" s="11">
        <f t="shared" si="0"/>
        <v>2.2878523069459957</v>
      </c>
      <c r="G128" s="2">
        <f t="shared" si="1"/>
        <v>152.89716967320089</v>
      </c>
      <c r="H128" s="2">
        <f t="shared" si="2"/>
        <v>2.2554379006137886</v>
      </c>
      <c r="I128" s="2">
        <f t="shared" si="3"/>
        <v>150.73091489801948</v>
      </c>
      <c r="J128" s="2">
        <f t="shared" si="4"/>
        <v>2.1662547751814145</v>
      </c>
      <c r="K128" s="15">
        <f t="shared" si="23"/>
        <v>0.62649572649572649</v>
      </c>
      <c r="L128" s="2">
        <f t="shared" si="14"/>
        <v>123</v>
      </c>
      <c r="M128" s="2">
        <f t="shared" si="21"/>
        <v>66.58</v>
      </c>
      <c r="N128" s="2">
        <v>14</v>
      </c>
      <c r="O128" s="2">
        <v>50.26548245743669</v>
      </c>
      <c r="P128" s="11">
        <f t="shared" si="5"/>
        <v>2.7852115041081689</v>
      </c>
      <c r="Q128" s="2">
        <f t="shared" si="6"/>
        <v>185.43938194352188</v>
      </c>
      <c r="R128" s="2">
        <f t="shared" si="7"/>
        <v>2.4001943487253978</v>
      </c>
      <c r="S128" s="2">
        <f t="shared" si="8"/>
        <v>159.80493973813699</v>
      </c>
      <c r="T128" s="2">
        <f t="shared" si="9"/>
        <v>25.634442205384886</v>
      </c>
    </row>
    <row r="129" spans="1:20" x14ac:dyDescent="0.25">
      <c r="A129" s="14">
        <f t="shared" si="22"/>
        <v>0.66481481481481486</v>
      </c>
      <c r="B129" s="2">
        <f t="shared" si="11"/>
        <v>124</v>
      </c>
      <c r="C129" s="4">
        <f t="shared" si="20"/>
        <v>67.33</v>
      </c>
      <c r="D129" s="2">
        <v>11</v>
      </c>
      <c r="E129" s="2">
        <v>50.26548245743669</v>
      </c>
      <c r="F129" s="11">
        <f t="shared" si="0"/>
        <v>2.1883804675135607</v>
      </c>
      <c r="G129" s="2">
        <f t="shared" si="1"/>
        <v>147.34365687768803</v>
      </c>
      <c r="H129" s="2">
        <f t="shared" si="2"/>
        <v>2.2554379006137886</v>
      </c>
      <c r="I129" s="2">
        <f t="shared" si="3"/>
        <v>151.85863384832638</v>
      </c>
      <c r="J129" s="2">
        <f t="shared" si="4"/>
        <v>4.5149769706383438</v>
      </c>
      <c r="K129" s="15">
        <f t="shared" si="23"/>
        <v>0.62674501424501428</v>
      </c>
      <c r="L129" s="2">
        <f t="shared" si="14"/>
        <v>124</v>
      </c>
      <c r="M129" s="2">
        <f t="shared" si="21"/>
        <v>67.08</v>
      </c>
      <c r="N129" s="2">
        <v>12</v>
      </c>
      <c r="O129" s="2">
        <v>50.26548245743669</v>
      </c>
      <c r="P129" s="11">
        <f t="shared" si="5"/>
        <v>2.3873241463784298</v>
      </c>
      <c r="Q129" s="2">
        <f t="shared" si="6"/>
        <v>160.14170373906506</v>
      </c>
      <c r="R129" s="2">
        <f t="shared" si="7"/>
        <v>2.4001943487253978</v>
      </c>
      <c r="S129" s="2">
        <f t="shared" si="8"/>
        <v>161.00503691249969</v>
      </c>
      <c r="T129" s="2">
        <f t="shared" si="9"/>
        <v>0.86333317343462568</v>
      </c>
    </row>
    <row r="130" spans="1:20" x14ac:dyDescent="0.25">
      <c r="A130" s="14">
        <f t="shared" si="22"/>
        <v>0.6650462962962963</v>
      </c>
      <c r="B130" s="2">
        <f t="shared" si="11"/>
        <v>125</v>
      </c>
      <c r="C130" s="4">
        <f t="shared" si="20"/>
        <v>67.83</v>
      </c>
      <c r="D130" s="2">
        <v>11.5</v>
      </c>
      <c r="E130" s="2">
        <v>50.26548245743669</v>
      </c>
      <c r="F130" s="11">
        <f t="shared" si="0"/>
        <v>2.2878523069459957</v>
      </c>
      <c r="G130" s="2">
        <f t="shared" si="1"/>
        <v>155.1850219801469</v>
      </c>
      <c r="H130" s="2">
        <f t="shared" si="2"/>
        <v>2.2554379006137886</v>
      </c>
      <c r="I130" s="2">
        <f t="shared" si="3"/>
        <v>152.98635279863328</v>
      </c>
      <c r="J130" s="2">
        <f t="shared" si="4"/>
        <v>2.1986691815136226</v>
      </c>
      <c r="K130" s="15">
        <f t="shared" si="23"/>
        <v>0.62699430199430195</v>
      </c>
      <c r="L130" s="2">
        <f t="shared" si="14"/>
        <v>125</v>
      </c>
      <c r="M130" s="2">
        <f t="shared" si="21"/>
        <v>67.58</v>
      </c>
      <c r="N130" s="2">
        <v>11.5</v>
      </c>
      <c r="O130" s="2">
        <v>50.26548245743669</v>
      </c>
      <c r="P130" s="11">
        <f t="shared" si="5"/>
        <v>2.2878523069459957</v>
      </c>
      <c r="Q130" s="2">
        <f t="shared" si="6"/>
        <v>154.61305890341038</v>
      </c>
      <c r="R130" s="2">
        <f t="shared" si="7"/>
        <v>2.4001943487253978</v>
      </c>
      <c r="S130" s="2">
        <f t="shared" si="8"/>
        <v>162.20513408686239</v>
      </c>
      <c r="T130" s="2">
        <f t="shared" si="9"/>
        <v>7.5920751834520104</v>
      </c>
    </row>
    <row r="131" spans="1:20" x14ac:dyDescent="0.25">
      <c r="A131" s="14">
        <f t="shared" si="22"/>
        <v>0.66527777777777775</v>
      </c>
      <c r="B131" s="2">
        <f t="shared" si="11"/>
        <v>126</v>
      </c>
      <c r="C131" s="4">
        <f t="shared" si="20"/>
        <v>68.33</v>
      </c>
      <c r="D131" s="2">
        <v>11.5</v>
      </c>
      <c r="E131" s="2">
        <v>50.26548245743669</v>
      </c>
      <c r="F131" s="11">
        <f t="shared" si="0"/>
        <v>2.2878523069459957</v>
      </c>
      <c r="G131" s="2">
        <f t="shared" si="1"/>
        <v>156.32894813361989</v>
      </c>
      <c r="H131" s="2">
        <f t="shared" si="2"/>
        <v>2.2554379006137886</v>
      </c>
      <c r="I131" s="2">
        <f t="shared" si="3"/>
        <v>154.11407174894018</v>
      </c>
      <c r="J131" s="2">
        <f t="shared" si="4"/>
        <v>2.2148763846797124</v>
      </c>
      <c r="K131" s="15">
        <f t="shared" si="23"/>
        <v>0.62724358974358974</v>
      </c>
      <c r="L131" s="2">
        <f t="shared" si="14"/>
        <v>126</v>
      </c>
      <c r="M131" s="2">
        <f t="shared" si="21"/>
        <v>68.08</v>
      </c>
      <c r="N131" s="2">
        <v>11.5</v>
      </c>
      <c r="O131" s="2">
        <v>50.26548245743669</v>
      </c>
      <c r="P131" s="11">
        <f t="shared" si="5"/>
        <v>2.2878523069459957</v>
      </c>
      <c r="Q131" s="2">
        <f t="shared" si="6"/>
        <v>155.75698505688339</v>
      </c>
      <c r="R131" s="2">
        <f t="shared" si="7"/>
        <v>2.4001943487253978</v>
      </c>
      <c r="S131" s="2">
        <f t="shared" si="8"/>
        <v>163.40523126122508</v>
      </c>
      <c r="T131" s="2">
        <f t="shared" si="9"/>
        <v>7.6482462043416888</v>
      </c>
    </row>
    <row r="132" spans="1:20" x14ac:dyDescent="0.25">
      <c r="A132" s="14">
        <f t="shared" si="22"/>
        <v>0.6655092592592593</v>
      </c>
      <c r="B132" s="2">
        <f t="shared" si="11"/>
        <v>127</v>
      </c>
      <c r="C132" s="4">
        <f t="shared" si="20"/>
        <v>68.83</v>
      </c>
      <c r="D132" s="2">
        <v>13</v>
      </c>
      <c r="E132" s="2">
        <v>50.26548245743669</v>
      </c>
      <c r="F132" s="11">
        <f t="shared" si="0"/>
        <v>2.5862678252432989</v>
      </c>
      <c r="G132" s="2">
        <f t="shared" si="1"/>
        <v>178.01281441149627</v>
      </c>
      <c r="H132" s="2">
        <f t="shared" si="2"/>
        <v>2.2554379006137886</v>
      </c>
      <c r="I132" s="2">
        <f t="shared" si="3"/>
        <v>155.24179069924708</v>
      </c>
      <c r="J132" s="2">
        <f t="shared" si="4"/>
        <v>22.771023712249189</v>
      </c>
      <c r="K132" s="15">
        <f t="shared" si="23"/>
        <v>0.62749287749287752</v>
      </c>
      <c r="L132" s="2">
        <f t="shared" si="14"/>
        <v>127</v>
      </c>
      <c r="M132" s="2">
        <f t="shared" si="21"/>
        <v>68.58</v>
      </c>
      <c r="N132" s="2">
        <v>12.5</v>
      </c>
      <c r="O132" s="2">
        <v>50.26548245743669</v>
      </c>
      <c r="P132" s="11">
        <f t="shared" si="5"/>
        <v>2.4867959858108648</v>
      </c>
      <c r="Q132" s="2">
        <f t="shared" si="6"/>
        <v>170.5444687069091</v>
      </c>
      <c r="R132" s="2">
        <f t="shared" si="7"/>
        <v>2.4001943487253978</v>
      </c>
      <c r="S132" s="2">
        <f t="shared" si="8"/>
        <v>164.60532843558778</v>
      </c>
      <c r="T132" s="2">
        <f t="shared" si="9"/>
        <v>5.9391402713213211</v>
      </c>
    </row>
    <row r="133" spans="1:20" x14ac:dyDescent="0.25">
      <c r="A133" s="14">
        <f t="shared" si="22"/>
        <v>0.66574074074074074</v>
      </c>
      <c r="B133" s="2">
        <f t="shared" si="11"/>
        <v>128</v>
      </c>
      <c r="C133" s="4">
        <f t="shared" si="20"/>
        <v>69.33</v>
      </c>
      <c r="D133" s="2">
        <v>12.5</v>
      </c>
      <c r="E133" s="2">
        <v>50.26548245743669</v>
      </c>
      <c r="F133" s="11">
        <f t="shared" si="0"/>
        <v>2.4867959858108648</v>
      </c>
      <c r="G133" s="2">
        <f t="shared" si="1"/>
        <v>172.40956569626726</v>
      </c>
      <c r="H133" s="2">
        <f t="shared" si="2"/>
        <v>2.2554379006137886</v>
      </c>
      <c r="I133" s="2">
        <f t="shared" si="3"/>
        <v>156.36950964955395</v>
      </c>
      <c r="J133" s="2">
        <f t="shared" si="4"/>
        <v>16.040056046713318</v>
      </c>
      <c r="K133" s="15">
        <f t="shared" si="23"/>
        <v>0.6277421652421652</v>
      </c>
      <c r="L133" s="2">
        <f t="shared" si="14"/>
        <v>128</v>
      </c>
      <c r="M133" s="2">
        <f t="shared" si="21"/>
        <v>69.08</v>
      </c>
      <c r="N133" s="2">
        <v>13.5</v>
      </c>
      <c r="O133" s="2">
        <v>50.26548245743669</v>
      </c>
      <c r="P133" s="11">
        <f t="shared" si="5"/>
        <v>2.6857396646757339</v>
      </c>
      <c r="Q133" s="2">
        <f t="shared" si="6"/>
        <v>185.53089603579969</v>
      </c>
      <c r="R133" s="2">
        <f t="shared" si="7"/>
        <v>2.4001943487253978</v>
      </c>
      <c r="S133" s="2">
        <f t="shared" si="8"/>
        <v>165.80542560995048</v>
      </c>
      <c r="T133" s="2">
        <f t="shared" si="9"/>
        <v>19.72547042584921</v>
      </c>
    </row>
    <row r="134" spans="1:20" x14ac:dyDescent="0.25">
      <c r="A134" s="14">
        <f t="shared" si="22"/>
        <v>0.66597222222222219</v>
      </c>
      <c r="B134" s="2">
        <f t="shared" si="11"/>
        <v>129</v>
      </c>
      <c r="C134" s="4">
        <f t="shared" si="20"/>
        <v>69.83</v>
      </c>
      <c r="D134" s="2">
        <v>11.5</v>
      </c>
      <c r="E134" s="2">
        <v>50.26548245743669</v>
      </c>
      <c r="F134" s="11">
        <f t="shared" si="0"/>
        <v>2.2878523069459957</v>
      </c>
      <c r="G134" s="2">
        <f t="shared" si="1"/>
        <v>159.76072659403889</v>
      </c>
      <c r="H134" s="2">
        <f t="shared" si="2"/>
        <v>2.2554379006137886</v>
      </c>
      <c r="I134" s="2">
        <f t="shared" si="3"/>
        <v>157.49722859986085</v>
      </c>
      <c r="J134" s="2">
        <f t="shared" si="4"/>
        <v>2.2634979941780387</v>
      </c>
      <c r="K134" s="15">
        <f t="shared" si="23"/>
        <v>0.62799145299145298</v>
      </c>
      <c r="L134" s="2">
        <f t="shared" si="14"/>
        <v>129</v>
      </c>
      <c r="M134" s="2">
        <f t="shared" si="21"/>
        <v>69.58</v>
      </c>
      <c r="N134" s="2">
        <v>13.5</v>
      </c>
      <c r="O134" s="2">
        <v>50.26548245743669</v>
      </c>
      <c r="P134" s="11">
        <f t="shared" si="5"/>
        <v>2.6857396646757339</v>
      </c>
      <c r="Q134" s="2">
        <f t="shared" si="6"/>
        <v>186.87376586813755</v>
      </c>
      <c r="R134" s="2">
        <f t="shared" si="7"/>
        <v>2.4001943487253978</v>
      </c>
      <c r="S134" s="2">
        <f t="shared" si="8"/>
        <v>167.00552278431317</v>
      </c>
      <c r="T134" s="2">
        <f t="shared" si="9"/>
        <v>19.868243083824382</v>
      </c>
    </row>
    <row r="135" spans="1:20" x14ac:dyDescent="0.25">
      <c r="A135" s="14">
        <f t="shared" si="22"/>
        <v>0.66620370370370374</v>
      </c>
      <c r="B135" s="2">
        <f t="shared" si="11"/>
        <v>130</v>
      </c>
      <c r="C135" s="4">
        <f t="shared" si="20"/>
        <v>70.33</v>
      </c>
      <c r="D135" s="2">
        <v>12</v>
      </c>
      <c r="E135" s="2">
        <v>50.26548245743669</v>
      </c>
      <c r="F135" s="11">
        <f t="shared" si="0"/>
        <v>2.3873241463784298</v>
      </c>
      <c r="G135" s="2">
        <f t="shared" si="1"/>
        <v>167.90050721479497</v>
      </c>
      <c r="H135" s="2">
        <f t="shared" si="2"/>
        <v>2.2554379006137886</v>
      </c>
      <c r="I135" s="2">
        <f t="shared" si="3"/>
        <v>158.62494755016775</v>
      </c>
      <c r="J135" s="2">
        <f t="shared" si="4"/>
        <v>9.2755596646272238</v>
      </c>
      <c r="K135" s="15">
        <f t="shared" si="23"/>
        <v>0.62824074074074077</v>
      </c>
      <c r="L135" s="2">
        <f t="shared" si="14"/>
        <v>130</v>
      </c>
      <c r="M135" s="2">
        <f t="shared" si="21"/>
        <v>70.08</v>
      </c>
      <c r="N135" s="2">
        <v>12</v>
      </c>
      <c r="O135" s="2">
        <v>50.26548245743669</v>
      </c>
      <c r="P135" s="11">
        <f t="shared" si="5"/>
        <v>2.3873241463784298</v>
      </c>
      <c r="Q135" s="2">
        <f t="shared" si="6"/>
        <v>167.30367617820036</v>
      </c>
      <c r="R135" s="2">
        <f t="shared" si="7"/>
        <v>2.4001943487253978</v>
      </c>
      <c r="S135" s="2">
        <f t="shared" si="8"/>
        <v>168.20561995867587</v>
      </c>
      <c r="T135" s="2">
        <f t="shared" si="9"/>
        <v>0.90194378047550572</v>
      </c>
    </row>
    <row r="136" spans="1:20" x14ac:dyDescent="0.25">
      <c r="A136" s="14">
        <f t="shared" si="22"/>
        <v>0.66643518518518519</v>
      </c>
      <c r="B136" s="2">
        <f t="shared" si="11"/>
        <v>131</v>
      </c>
      <c r="C136" s="4">
        <f t="shared" si="20"/>
        <v>70.83</v>
      </c>
      <c r="D136" s="2">
        <v>12.5</v>
      </c>
      <c r="E136" s="2">
        <v>50.26548245743669</v>
      </c>
      <c r="F136" s="11">
        <f t="shared" si="0"/>
        <v>2.4867959858108648</v>
      </c>
      <c r="G136" s="2">
        <f t="shared" si="1"/>
        <v>176.13975967498354</v>
      </c>
      <c r="H136" s="2">
        <f t="shared" si="2"/>
        <v>2.2554379006137886</v>
      </c>
      <c r="I136" s="2">
        <f t="shared" si="3"/>
        <v>159.75266650047465</v>
      </c>
      <c r="J136" s="2">
        <f t="shared" si="4"/>
        <v>16.387093174508891</v>
      </c>
      <c r="K136" s="15">
        <f t="shared" si="23"/>
        <v>0.62849002849002844</v>
      </c>
      <c r="L136" s="2">
        <f t="shared" si="14"/>
        <v>131</v>
      </c>
      <c r="M136" s="2">
        <f t="shared" si="21"/>
        <v>70.58</v>
      </c>
      <c r="N136" s="2">
        <v>12.5</v>
      </c>
      <c r="O136" s="2">
        <v>50.26548245743669</v>
      </c>
      <c r="P136" s="11">
        <f t="shared" si="5"/>
        <v>2.4867959858108648</v>
      </c>
      <c r="Q136" s="2">
        <f t="shared" si="6"/>
        <v>175.51806067853084</v>
      </c>
      <c r="R136" s="2">
        <f t="shared" si="7"/>
        <v>2.4001943487253978</v>
      </c>
      <c r="S136" s="2">
        <f t="shared" si="8"/>
        <v>169.40571713303856</v>
      </c>
      <c r="T136" s="2">
        <f t="shared" si="9"/>
        <v>6.1123435454922799</v>
      </c>
    </row>
    <row r="137" spans="1:20" x14ac:dyDescent="0.25">
      <c r="A137" s="14">
        <f t="shared" si="22"/>
        <v>0.66666666666666663</v>
      </c>
      <c r="B137" s="2">
        <f t="shared" si="11"/>
        <v>132</v>
      </c>
      <c r="C137" s="4">
        <f t="shared" si="20"/>
        <v>71.33</v>
      </c>
      <c r="D137" s="2">
        <v>12</v>
      </c>
      <c r="E137" s="2">
        <v>50.26548245743669</v>
      </c>
      <c r="F137" s="11">
        <f t="shared" si="0"/>
        <v>2.3873241463784298</v>
      </c>
      <c r="G137" s="2">
        <f t="shared" si="1"/>
        <v>170.2878313611734</v>
      </c>
      <c r="H137" s="2">
        <f t="shared" si="2"/>
        <v>2.2554379006137886</v>
      </c>
      <c r="I137" s="2">
        <f t="shared" si="3"/>
        <v>160.88038545078155</v>
      </c>
      <c r="J137" s="2">
        <f t="shared" si="4"/>
        <v>9.4074459103918571</v>
      </c>
      <c r="K137" s="15">
        <f t="shared" si="23"/>
        <v>0.62873931623931623</v>
      </c>
      <c r="L137" s="2">
        <f t="shared" si="14"/>
        <v>132</v>
      </c>
      <c r="M137" s="2">
        <f t="shared" si="21"/>
        <v>71.08</v>
      </c>
      <c r="N137" s="2">
        <v>12.5</v>
      </c>
      <c r="O137" s="2">
        <v>50.26548245743669</v>
      </c>
      <c r="P137" s="11">
        <f t="shared" si="5"/>
        <v>2.4867959858108648</v>
      </c>
      <c r="Q137" s="2">
        <f t="shared" si="6"/>
        <v>176.76145867143626</v>
      </c>
      <c r="R137" s="2">
        <f t="shared" si="7"/>
        <v>2.4001943487253978</v>
      </c>
      <c r="S137" s="2">
        <f t="shared" si="8"/>
        <v>170.60581430740126</v>
      </c>
      <c r="T137" s="2">
        <f t="shared" si="9"/>
        <v>6.1556443640349983</v>
      </c>
    </row>
    <row r="138" spans="1:20" x14ac:dyDescent="0.25">
      <c r="A138" s="14">
        <f t="shared" si="22"/>
        <v>0.66689814814814818</v>
      </c>
      <c r="B138" s="2">
        <f t="shared" si="11"/>
        <v>133</v>
      </c>
      <c r="C138" s="4">
        <f t="shared" si="20"/>
        <v>71.83</v>
      </c>
      <c r="D138" s="2">
        <v>11.5</v>
      </c>
      <c r="E138" s="2">
        <v>50.26548245743669</v>
      </c>
      <c r="F138" s="11">
        <f t="shared" si="0"/>
        <v>2.2878523069459957</v>
      </c>
      <c r="G138" s="2">
        <f t="shared" si="1"/>
        <v>164.33643120793087</v>
      </c>
      <c r="H138" s="2">
        <f t="shared" si="2"/>
        <v>2.2554379006137886</v>
      </c>
      <c r="I138" s="2">
        <f t="shared" si="3"/>
        <v>162.00810440108842</v>
      </c>
      <c r="J138" s="2">
        <f t="shared" si="4"/>
        <v>2.3283268068424547</v>
      </c>
      <c r="K138" s="15">
        <f t="shared" si="23"/>
        <v>0.62898860398860401</v>
      </c>
      <c r="L138" s="2">
        <f t="shared" si="14"/>
        <v>133</v>
      </c>
      <c r="M138" s="2">
        <f t="shared" si="21"/>
        <v>71.58</v>
      </c>
      <c r="N138" s="2">
        <v>14</v>
      </c>
      <c r="O138" s="2">
        <v>50.26548245743669</v>
      </c>
      <c r="P138" s="11">
        <f t="shared" si="5"/>
        <v>2.7852115041081689</v>
      </c>
      <c r="Q138" s="2">
        <f t="shared" si="6"/>
        <v>199.36543946406272</v>
      </c>
      <c r="R138" s="2">
        <f t="shared" si="7"/>
        <v>2.4001943487253978</v>
      </c>
      <c r="S138" s="2">
        <f t="shared" si="8"/>
        <v>171.80591148176399</v>
      </c>
      <c r="T138" s="2">
        <f t="shared" si="9"/>
        <v>27.559527982298732</v>
      </c>
    </row>
    <row r="139" spans="1:20" x14ac:dyDescent="0.25">
      <c r="A139" s="14">
        <f t="shared" si="22"/>
        <v>0.66712962962962963</v>
      </c>
      <c r="B139" s="2">
        <f t="shared" si="11"/>
        <v>134</v>
      </c>
      <c r="C139" s="4">
        <f t="shared" si="20"/>
        <v>72.33</v>
      </c>
      <c r="D139" s="2">
        <v>13</v>
      </c>
      <c r="E139" s="2">
        <v>50.26548245743669</v>
      </c>
      <c r="F139" s="11">
        <f t="shared" si="0"/>
        <v>2.5862678252432989</v>
      </c>
      <c r="G139" s="2">
        <f t="shared" si="1"/>
        <v>187.06475179984781</v>
      </c>
      <c r="H139" s="2">
        <f t="shared" si="2"/>
        <v>2.2554379006137886</v>
      </c>
      <c r="I139" s="2">
        <f t="shared" si="3"/>
        <v>163.13582335139532</v>
      </c>
      <c r="J139" s="2">
        <f t="shared" si="4"/>
        <v>23.928928448452496</v>
      </c>
      <c r="K139" s="15">
        <f t="shared" si="23"/>
        <v>0.62923789173789169</v>
      </c>
      <c r="L139" s="2">
        <f t="shared" si="14"/>
        <v>134</v>
      </c>
      <c r="M139" s="2">
        <f t="shared" si="21"/>
        <v>72.08</v>
      </c>
      <c r="N139" s="2">
        <v>13.5</v>
      </c>
      <c r="O139" s="2">
        <v>50.26548245743669</v>
      </c>
      <c r="P139" s="11">
        <f t="shared" si="5"/>
        <v>2.6857396646757339</v>
      </c>
      <c r="Q139" s="2">
        <f t="shared" si="6"/>
        <v>193.58811502982689</v>
      </c>
      <c r="R139" s="2">
        <f t="shared" si="7"/>
        <v>2.4001943487253978</v>
      </c>
      <c r="S139" s="2">
        <f t="shared" si="8"/>
        <v>173.00600865612668</v>
      </c>
      <c r="T139" s="2">
        <f t="shared" si="9"/>
        <v>20.582106373700213</v>
      </c>
    </row>
    <row r="140" spans="1:20" x14ac:dyDescent="0.25">
      <c r="A140" s="14">
        <f t="shared" si="22"/>
        <v>0.66736111111111107</v>
      </c>
      <c r="B140" s="2">
        <f t="shared" si="11"/>
        <v>135</v>
      </c>
      <c r="C140" s="4">
        <f t="shared" si="20"/>
        <v>72.83</v>
      </c>
      <c r="D140" s="2">
        <v>12</v>
      </c>
      <c r="E140" s="2">
        <v>50.26548245743669</v>
      </c>
      <c r="F140" s="11">
        <f t="shared" si="0"/>
        <v>2.3873241463784298</v>
      </c>
      <c r="G140" s="2">
        <f t="shared" si="1"/>
        <v>173.86881758074105</v>
      </c>
      <c r="H140" s="2">
        <f t="shared" si="2"/>
        <v>2.2554379006137886</v>
      </c>
      <c r="I140" s="2">
        <f t="shared" si="3"/>
        <v>164.26354230170222</v>
      </c>
      <c r="J140" s="2">
        <f t="shared" si="4"/>
        <v>9.6052752790388354</v>
      </c>
      <c r="K140" s="15">
        <f t="shared" si="23"/>
        <v>0.62948717948717947</v>
      </c>
      <c r="L140" s="2">
        <f t="shared" si="14"/>
        <v>135</v>
      </c>
      <c r="M140" s="2">
        <f t="shared" si="21"/>
        <v>72.58</v>
      </c>
      <c r="N140" s="2">
        <v>13.5</v>
      </c>
      <c r="O140" s="2">
        <v>50.26548245743669</v>
      </c>
      <c r="P140" s="11">
        <f t="shared" si="5"/>
        <v>2.6857396646757339</v>
      </c>
      <c r="Q140" s="2">
        <f t="shared" si="6"/>
        <v>194.93098486216476</v>
      </c>
      <c r="R140" s="2">
        <f t="shared" si="7"/>
        <v>2.4001943487253978</v>
      </c>
      <c r="S140" s="2">
        <f t="shared" si="8"/>
        <v>174.20610583048938</v>
      </c>
      <c r="T140" s="2">
        <f t="shared" si="9"/>
        <v>20.724879031675385</v>
      </c>
    </row>
    <row r="141" spans="1:20" x14ac:dyDescent="0.25">
      <c r="A141" s="14">
        <f t="shared" si="22"/>
        <v>0.66759259259259263</v>
      </c>
      <c r="B141" s="2">
        <f t="shared" si="11"/>
        <v>136</v>
      </c>
      <c r="C141" s="4">
        <f t="shared" si="20"/>
        <v>73.33</v>
      </c>
      <c r="D141" s="2">
        <v>13</v>
      </c>
      <c r="E141" s="2">
        <v>50.26548245743669</v>
      </c>
      <c r="F141" s="11">
        <f t="shared" si="0"/>
        <v>2.5862678252432989</v>
      </c>
      <c r="G141" s="2">
        <f t="shared" si="1"/>
        <v>189.6510196250911</v>
      </c>
      <c r="H141" s="2">
        <f t="shared" si="2"/>
        <v>2.2554379006137886</v>
      </c>
      <c r="I141" s="2">
        <f t="shared" si="3"/>
        <v>165.39126125200912</v>
      </c>
      <c r="J141" s="2">
        <f t="shared" si="4"/>
        <v>24.259758373081979</v>
      </c>
      <c r="K141" s="15">
        <f t="shared" si="23"/>
        <v>0.62973646723646726</v>
      </c>
      <c r="L141" s="2">
        <f t="shared" si="14"/>
        <v>136</v>
      </c>
      <c r="M141" s="2">
        <f t="shared" si="21"/>
        <v>73.08</v>
      </c>
      <c r="N141" s="2">
        <v>13</v>
      </c>
      <c r="O141" s="2">
        <v>50.26548245743669</v>
      </c>
      <c r="P141" s="11">
        <f t="shared" si="5"/>
        <v>2.5862678252432989</v>
      </c>
      <c r="Q141" s="2">
        <f t="shared" si="6"/>
        <v>189.00445266878029</v>
      </c>
      <c r="R141" s="2">
        <f t="shared" si="7"/>
        <v>2.4001943487253978</v>
      </c>
      <c r="S141" s="2">
        <f t="shared" si="8"/>
        <v>175.40620300485207</v>
      </c>
      <c r="T141" s="2">
        <f t="shared" si="9"/>
        <v>13.598249663928215</v>
      </c>
    </row>
    <row r="142" spans="1:20" x14ac:dyDescent="0.25">
      <c r="A142" s="14">
        <f t="shared" si="22"/>
        <v>0.66782407407407407</v>
      </c>
      <c r="B142" s="2">
        <f t="shared" si="11"/>
        <v>137</v>
      </c>
      <c r="C142" s="4">
        <f t="shared" si="20"/>
        <v>73.83</v>
      </c>
      <c r="D142" s="2">
        <v>12</v>
      </c>
      <c r="E142" s="2">
        <v>50.26548245743669</v>
      </c>
      <c r="F142" s="11">
        <f t="shared" si="0"/>
        <v>2.3873241463784298</v>
      </c>
      <c r="G142" s="2">
        <f t="shared" si="1"/>
        <v>176.25614172711946</v>
      </c>
      <c r="H142" s="2">
        <f t="shared" si="2"/>
        <v>2.2554379006137886</v>
      </c>
      <c r="I142" s="2">
        <f t="shared" si="3"/>
        <v>166.51898020231602</v>
      </c>
      <c r="J142" s="2">
        <f t="shared" si="4"/>
        <v>9.7371615248034402</v>
      </c>
      <c r="K142" s="15">
        <f t="shared" si="23"/>
        <v>0.62998575498575493</v>
      </c>
      <c r="L142" s="2">
        <f t="shared" si="14"/>
        <v>137</v>
      </c>
      <c r="M142" s="2">
        <f t="shared" si="21"/>
        <v>73.58</v>
      </c>
      <c r="N142" s="2">
        <v>13</v>
      </c>
      <c r="O142" s="2">
        <v>50.26548245743669</v>
      </c>
      <c r="P142" s="11">
        <f t="shared" si="5"/>
        <v>2.5862678252432989</v>
      </c>
      <c r="Q142" s="2">
        <f t="shared" si="6"/>
        <v>190.29758658140193</v>
      </c>
      <c r="R142" s="2">
        <f t="shared" si="7"/>
        <v>2.4001943487253978</v>
      </c>
      <c r="S142" s="2">
        <f t="shared" si="8"/>
        <v>176.60630017921477</v>
      </c>
      <c r="T142" s="2">
        <f t="shared" si="9"/>
        <v>13.69128640218716</v>
      </c>
    </row>
    <row r="143" spans="1:20" x14ac:dyDescent="0.25">
      <c r="A143" s="14">
        <f t="shared" si="22"/>
        <v>0.66805555555555562</v>
      </c>
      <c r="B143" s="2">
        <f t="shared" si="11"/>
        <v>138</v>
      </c>
      <c r="C143" s="4">
        <f t="shared" si="20"/>
        <v>74.33</v>
      </c>
      <c r="D143" s="2">
        <v>12</v>
      </c>
      <c r="E143" s="2">
        <v>50.26548245743669</v>
      </c>
      <c r="F143" s="11">
        <f t="shared" si="0"/>
        <v>2.3873241463784298</v>
      </c>
      <c r="G143" s="2">
        <f t="shared" si="1"/>
        <v>177.44980380030867</v>
      </c>
      <c r="H143" s="2">
        <f t="shared" si="2"/>
        <v>2.2554379006137886</v>
      </c>
      <c r="I143" s="2">
        <f t="shared" si="3"/>
        <v>167.64669915262289</v>
      </c>
      <c r="J143" s="2">
        <f t="shared" si="4"/>
        <v>9.8031046476857853</v>
      </c>
      <c r="K143" s="15">
        <f t="shared" si="23"/>
        <v>0.63023504273504272</v>
      </c>
      <c r="L143" s="2">
        <f t="shared" si="14"/>
        <v>138</v>
      </c>
      <c r="M143" s="2">
        <f t="shared" si="21"/>
        <v>74.08</v>
      </c>
      <c r="N143" s="2">
        <v>12.5</v>
      </c>
      <c r="O143" s="2">
        <v>50.26548245743669</v>
      </c>
      <c r="P143" s="11">
        <f t="shared" si="5"/>
        <v>2.4867959858108648</v>
      </c>
      <c r="Q143" s="2">
        <f t="shared" si="6"/>
        <v>184.22184662886886</v>
      </c>
      <c r="R143" s="2">
        <f t="shared" si="7"/>
        <v>2.4001943487253978</v>
      </c>
      <c r="S143" s="2">
        <f t="shared" si="8"/>
        <v>177.80639735357747</v>
      </c>
      <c r="T143" s="2">
        <f t="shared" si="9"/>
        <v>6.4154492752913939</v>
      </c>
    </row>
    <row r="144" spans="1:20" x14ac:dyDescent="0.25">
      <c r="A144" s="14">
        <f t="shared" si="22"/>
        <v>0.66828703703703707</v>
      </c>
      <c r="B144" s="2">
        <f t="shared" si="11"/>
        <v>139</v>
      </c>
      <c r="C144" s="4">
        <f t="shared" si="20"/>
        <v>74.83</v>
      </c>
      <c r="D144" s="2">
        <v>11.5</v>
      </c>
      <c r="E144" s="2">
        <v>50.26548245743669</v>
      </c>
      <c r="F144" s="11">
        <f t="shared" si="0"/>
        <v>2.2878523069459957</v>
      </c>
      <c r="G144" s="2">
        <f t="shared" si="1"/>
        <v>171.19998812876887</v>
      </c>
      <c r="H144" s="2">
        <f t="shared" si="2"/>
        <v>2.2554379006137886</v>
      </c>
      <c r="I144" s="2">
        <f t="shared" si="3"/>
        <v>168.77441810292979</v>
      </c>
      <c r="J144" s="2">
        <f t="shared" si="4"/>
        <v>2.4255700258390789</v>
      </c>
      <c r="K144" s="15">
        <f t="shared" si="23"/>
        <v>0.6304843304843305</v>
      </c>
      <c r="L144" s="2">
        <f t="shared" si="14"/>
        <v>139</v>
      </c>
      <c r="M144" s="2">
        <f t="shared" si="21"/>
        <v>74.58</v>
      </c>
      <c r="N144" s="2">
        <v>13</v>
      </c>
      <c r="O144" s="2">
        <v>50.26548245743669</v>
      </c>
      <c r="P144" s="11">
        <f t="shared" si="5"/>
        <v>2.5862678252432989</v>
      </c>
      <c r="Q144" s="2">
        <f t="shared" si="6"/>
        <v>192.88385440664524</v>
      </c>
      <c r="R144" s="2">
        <f t="shared" si="7"/>
        <v>2.4001943487253978</v>
      </c>
      <c r="S144" s="2">
        <f t="shared" si="8"/>
        <v>179.00649452794016</v>
      </c>
      <c r="T144" s="2">
        <f t="shared" si="9"/>
        <v>13.877359878705079</v>
      </c>
    </row>
    <row r="145" spans="1:20" x14ac:dyDescent="0.25">
      <c r="A145" s="14">
        <f t="shared" si="22"/>
        <v>0.66851851851851851</v>
      </c>
      <c r="B145" s="2">
        <f t="shared" si="11"/>
        <v>140</v>
      </c>
      <c r="C145" s="4">
        <f t="shared" si="20"/>
        <v>75.33</v>
      </c>
      <c r="D145" s="2">
        <v>11.5</v>
      </c>
      <c r="E145" s="2">
        <v>50.26548245743669</v>
      </c>
      <c r="F145" s="11">
        <f t="shared" si="0"/>
        <v>2.2878523069459957</v>
      </c>
      <c r="G145" s="2">
        <f t="shared" si="1"/>
        <v>172.34391428224185</v>
      </c>
      <c r="H145" s="2">
        <f t="shared" si="2"/>
        <v>2.2554379006137886</v>
      </c>
      <c r="I145" s="2">
        <f t="shared" si="3"/>
        <v>169.90213705323669</v>
      </c>
      <c r="J145" s="2">
        <f t="shared" si="4"/>
        <v>2.4417772290051687</v>
      </c>
      <c r="K145" s="15">
        <f t="shared" si="23"/>
        <v>0.63073361823361818</v>
      </c>
      <c r="L145" s="2">
        <f t="shared" si="14"/>
        <v>140</v>
      </c>
      <c r="M145" s="2">
        <f t="shared" si="21"/>
        <v>75.08</v>
      </c>
      <c r="N145" s="2">
        <v>11.5</v>
      </c>
      <c r="O145" s="2">
        <v>50.26548245743669</v>
      </c>
      <c r="P145" s="11">
        <f t="shared" si="5"/>
        <v>2.2878523069459957</v>
      </c>
      <c r="Q145" s="2">
        <f t="shared" si="6"/>
        <v>171.77195120550536</v>
      </c>
      <c r="R145" s="2">
        <f t="shared" si="7"/>
        <v>2.4001943487253978</v>
      </c>
      <c r="S145" s="2">
        <f t="shared" si="8"/>
        <v>180.20659170230286</v>
      </c>
      <c r="T145" s="2">
        <f t="shared" si="9"/>
        <v>8.4346404967974991</v>
      </c>
    </row>
    <row r="146" spans="1:20" x14ac:dyDescent="0.25">
      <c r="A146" s="14">
        <f t="shared" si="22"/>
        <v>0.66875000000000007</v>
      </c>
      <c r="B146" s="2">
        <f t="shared" si="11"/>
        <v>141</v>
      </c>
      <c r="C146" s="4">
        <f t="shared" si="20"/>
        <v>75.83</v>
      </c>
      <c r="D146" s="2">
        <v>11.5</v>
      </c>
      <c r="E146" s="2">
        <v>50.26548245743669</v>
      </c>
      <c r="F146" s="11">
        <f t="shared" si="0"/>
        <v>2.2878523069459957</v>
      </c>
      <c r="G146" s="2">
        <f t="shared" si="1"/>
        <v>173.48784043571484</v>
      </c>
      <c r="H146" s="2">
        <f t="shared" si="2"/>
        <v>2.2554379006137886</v>
      </c>
      <c r="I146" s="2">
        <f t="shared" si="3"/>
        <v>171.02985600354359</v>
      </c>
      <c r="J146" s="2">
        <f t="shared" si="4"/>
        <v>2.4579844321712585</v>
      </c>
      <c r="K146" s="15">
        <f t="shared" si="23"/>
        <v>0.63098290598290596</v>
      </c>
      <c r="L146" s="2">
        <f t="shared" si="14"/>
        <v>141</v>
      </c>
      <c r="M146" s="2">
        <f t="shared" si="21"/>
        <v>75.58</v>
      </c>
      <c r="N146" s="2">
        <v>14.5</v>
      </c>
      <c r="O146" s="2">
        <v>50.26548245743669</v>
      </c>
      <c r="P146" s="11">
        <f t="shared" si="5"/>
        <v>2.8846833435406034</v>
      </c>
      <c r="Q146" s="2">
        <f t="shared" si="6"/>
        <v>218.02436710479881</v>
      </c>
      <c r="R146" s="2">
        <f t="shared" si="7"/>
        <v>2.4001943487253978</v>
      </c>
      <c r="S146" s="2">
        <f t="shared" si="8"/>
        <v>181.40668887666556</v>
      </c>
      <c r="T146" s="2">
        <f t="shared" si="9"/>
        <v>36.617678228133258</v>
      </c>
    </row>
    <row r="147" spans="1:20" x14ac:dyDescent="0.25">
      <c r="A147" s="14">
        <f t="shared" si="22"/>
        <v>0.66898148148148151</v>
      </c>
      <c r="B147" s="2">
        <f t="shared" si="11"/>
        <v>142</v>
      </c>
      <c r="C147" s="4">
        <f t="shared" si="20"/>
        <v>76.33</v>
      </c>
      <c r="D147" s="2">
        <v>10</v>
      </c>
      <c r="E147" s="2">
        <v>50.26548245743669</v>
      </c>
      <c r="F147" s="11">
        <f t="shared" si="0"/>
        <v>1.9894367886486919</v>
      </c>
      <c r="G147" s="2">
        <f t="shared" si="1"/>
        <v>151.85371007755464</v>
      </c>
      <c r="H147" s="2">
        <f t="shared" si="2"/>
        <v>2.2554379006137886</v>
      </c>
      <c r="I147" s="2">
        <f t="shared" si="3"/>
        <v>172.15757495385049</v>
      </c>
      <c r="J147" s="2">
        <f t="shared" si="4"/>
        <v>20.303864876295847</v>
      </c>
      <c r="K147" s="15">
        <f t="shared" si="23"/>
        <v>0.63123219373219375</v>
      </c>
      <c r="L147" s="2">
        <f t="shared" si="14"/>
        <v>142</v>
      </c>
      <c r="M147" s="2">
        <f t="shared" si="21"/>
        <v>76.08</v>
      </c>
      <c r="N147" s="2">
        <v>10.5</v>
      </c>
      <c r="O147" s="2">
        <v>50.26548245743669</v>
      </c>
      <c r="P147" s="11">
        <f t="shared" si="5"/>
        <v>2.0889086280811267</v>
      </c>
      <c r="Q147" s="2">
        <f t="shared" si="6"/>
        <v>158.9241684244121</v>
      </c>
      <c r="R147" s="2">
        <f t="shared" si="7"/>
        <v>2.4001943487253978</v>
      </c>
      <c r="S147" s="2">
        <f t="shared" si="8"/>
        <v>182.60678605102825</v>
      </c>
      <c r="T147" s="2">
        <f t="shared" si="9"/>
        <v>23.68261762661615</v>
      </c>
    </row>
    <row r="148" spans="1:20" x14ac:dyDescent="0.25">
      <c r="A148" s="14">
        <f t="shared" si="22"/>
        <v>0.66921296296296295</v>
      </c>
      <c r="B148" s="2">
        <f t="shared" si="11"/>
        <v>143</v>
      </c>
      <c r="C148" s="4">
        <f t="shared" si="20"/>
        <v>76.83</v>
      </c>
      <c r="D148" s="2">
        <v>10</v>
      </c>
      <c r="E148" s="2">
        <v>50.26548245743669</v>
      </c>
      <c r="F148" s="11">
        <f t="shared" si="0"/>
        <v>1.9894367886486919</v>
      </c>
      <c r="G148" s="2">
        <f t="shared" si="1"/>
        <v>152.848428471879</v>
      </c>
      <c r="H148" s="2">
        <f t="shared" si="2"/>
        <v>2.2554379006137886</v>
      </c>
      <c r="I148" s="2">
        <f t="shared" si="3"/>
        <v>173.28529390415738</v>
      </c>
      <c r="J148" s="2">
        <f t="shared" si="4"/>
        <v>20.436865432278381</v>
      </c>
      <c r="K148" s="15">
        <f t="shared" si="23"/>
        <v>0.63148148148148142</v>
      </c>
      <c r="L148" s="2">
        <f t="shared" si="14"/>
        <v>143</v>
      </c>
      <c r="M148" s="2">
        <f t="shared" si="21"/>
        <v>76.58</v>
      </c>
      <c r="N148" s="2">
        <v>10.5</v>
      </c>
      <c r="O148" s="2">
        <v>50.26548245743669</v>
      </c>
      <c r="P148" s="11">
        <f t="shared" si="5"/>
        <v>2.0889086280811267</v>
      </c>
      <c r="Q148" s="2">
        <f t="shared" si="6"/>
        <v>159.96862273845267</v>
      </c>
      <c r="R148" s="2">
        <f t="shared" si="7"/>
        <v>2.4001943487253978</v>
      </c>
      <c r="S148" s="2">
        <f t="shared" si="8"/>
        <v>183.80688322539095</v>
      </c>
      <c r="T148" s="2">
        <f t="shared" si="9"/>
        <v>23.838260486938282</v>
      </c>
    </row>
    <row r="149" spans="1:20" x14ac:dyDescent="0.25">
      <c r="A149" s="14">
        <f t="shared" si="22"/>
        <v>0.66944444444444451</v>
      </c>
      <c r="B149" s="2">
        <f t="shared" si="11"/>
        <v>144</v>
      </c>
      <c r="C149" s="4">
        <f t="shared" si="20"/>
        <v>77.33</v>
      </c>
      <c r="D149" s="2">
        <v>10</v>
      </c>
      <c r="E149" s="2">
        <v>50.26548245743669</v>
      </c>
      <c r="F149" s="11">
        <f t="shared" si="0"/>
        <v>1.9894367886486919</v>
      </c>
      <c r="G149" s="2">
        <f t="shared" si="1"/>
        <v>153.84314686620334</v>
      </c>
      <c r="H149" s="2">
        <f t="shared" si="2"/>
        <v>2.2554379006137886</v>
      </c>
      <c r="I149" s="2">
        <f t="shared" si="3"/>
        <v>174.41301285446426</v>
      </c>
      <c r="J149" s="2">
        <f t="shared" si="4"/>
        <v>20.569865988260915</v>
      </c>
      <c r="K149" s="15">
        <f t="shared" si="23"/>
        <v>0.63173076923076921</v>
      </c>
      <c r="L149" s="2">
        <f t="shared" si="14"/>
        <v>144</v>
      </c>
      <c r="M149" s="2">
        <f t="shared" si="21"/>
        <v>77.08</v>
      </c>
      <c r="N149" s="2">
        <v>11</v>
      </c>
      <c r="O149" s="2">
        <v>50.26548245743669</v>
      </c>
      <c r="P149" s="11">
        <f t="shared" si="5"/>
        <v>2.1883804675135607</v>
      </c>
      <c r="Q149" s="2">
        <f t="shared" si="6"/>
        <v>168.68036643594525</v>
      </c>
      <c r="R149" s="2">
        <f t="shared" si="7"/>
        <v>2.4001943487253978</v>
      </c>
      <c r="S149" s="2">
        <f t="shared" si="8"/>
        <v>185.00698039975367</v>
      </c>
      <c r="T149" s="2">
        <f t="shared" si="9"/>
        <v>16.326613963808427</v>
      </c>
    </row>
    <row r="150" spans="1:20" x14ac:dyDescent="0.25">
      <c r="A150" s="14">
        <f t="shared" si="22"/>
        <v>0.66967592592592595</v>
      </c>
      <c r="B150" s="2">
        <f t="shared" si="11"/>
        <v>145</v>
      </c>
      <c r="C150" s="4">
        <f t="shared" si="20"/>
        <v>77.83</v>
      </c>
      <c r="D150" s="2">
        <v>10</v>
      </c>
      <c r="E150" s="2">
        <v>50.26548245743669</v>
      </c>
      <c r="F150" s="11">
        <f t="shared" si="0"/>
        <v>1.9894367886486919</v>
      </c>
      <c r="G150" s="2">
        <f t="shared" si="1"/>
        <v>154.83786526052768</v>
      </c>
      <c r="H150" s="2">
        <f t="shared" si="2"/>
        <v>2.2554379006137886</v>
      </c>
      <c r="I150" s="2">
        <f t="shared" si="3"/>
        <v>175.54073180477116</v>
      </c>
      <c r="J150" s="2">
        <f t="shared" si="4"/>
        <v>20.702866544243477</v>
      </c>
      <c r="K150" s="15">
        <f t="shared" si="23"/>
        <v>0.63198005698005699</v>
      </c>
      <c r="L150" s="2">
        <f t="shared" si="14"/>
        <v>145</v>
      </c>
      <c r="M150" s="2">
        <f t="shared" si="21"/>
        <v>77.58</v>
      </c>
      <c r="N150" s="2">
        <v>10.5</v>
      </c>
      <c r="O150" s="2">
        <v>50.26548245743669</v>
      </c>
      <c r="P150" s="11">
        <f t="shared" si="5"/>
        <v>2.0889086280811267</v>
      </c>
      <c r="Q150" s="2">
        <f t="shared" si="6"/>
        <v>162.05753136653379</v>
      </c>
      <c r="R150" s="2">
        <f t="shared" si="7"/>
        <v>2.4001943487253978</v>
      </c>
      <c r="S150" s="2">
        <f t="shared" si="8"/>
        <v>186.20707757411637</v>
      </c>
      <c r="T150" s="2">
        <f t="shared" si="9"/>
        <v>24.149546207582574</v>
      </c>
    </row>
    <row r="151" spans="1:20" x14ac:dyDescent="0.25">
      <c r="A151" s="14">
        <f t="shared" si="22"/>
        <v>0.6699074074074074</v>
      </c>
      <c r="B151" s="2">
        <f t="shared" si="11"/>
        <v>146</v>
      </c>
      <c r="C151" s="4">
        <f t="shared" si="20"/>
        <v>78.33</v>
      </c>
      <c r="D151" s="2">
        <v>12.5</v>
      </c>
      <c r="E151" s="2">
        <v>50.26548245743669</v>
      </c>
      <c r="F151" s="11">
        <f t="shared" si="0"/>
        <v>2.4867959858108648</v>
      </c>
      <c r="G151" s="2">
        <f t="shared" si="1"/>
        <v>194.79072956856504</v>
      </c>
      <c r="H151" s="2">
        <f t="shared" si="2"/>
        <v>2.2554379006137886</v>
      </c>
      <c r="I151" s="2">
        <f t="shared" si="3"/>
        <v>176.66845075507806</v>
      </c>
      <c r="J151" s="2">
        <f t="shared" si="4"/>
        <v>18.122278813486986</v>
      </c>
      <c r="K151" s="15">
        <f t="shared" si="23"/>
        <v>0.63222934472934467</v>
      </c>
      <c r="L151" s="2">
        <f t="shared" si="14"/>
        <v>146</v>
      </c>
      <c r="M151" s="2">
        <f t="shared" si="21"/>
        <v>78.08</v>
      </c>
      <c r="N151" s="2">
        <v>10.5</v>
      </c>
      <c r="O151" s="2">
        <v>50.26548245743669</v>
      </c>
      <c r="P151" s="11">
        <f t="shared" si="5"/>
        <v>2.0889086280811267</v>
      </c>
      <c r="Q151" s="2">
        <f t="shared" si="6"/>
        <v>163.10198568057436</v>
      </c>
      <c r="R151" s="2">
        <f t="shared" si="7"/>
        <v>2.4001943487253978</v>
      </c>
      <c r="S151" s="2">
        <f t="shared" si="8"/>
        <v>187.40717474847906</v>
      </c>
      <c r="T151" s="2">
        <f t="shared" si="9"/>
        <v>24.305189067904706</v>
      </c>
    </row>
    <row r="152" spans="1:20" x14ac:dyDescent="0.25">
      <c r="A152" s="14">
        <f t="shared" si="22"/>
        <v>0.67013888888888895</v>
      </c>
      <c r="B152" s="2">
        <f t="shared" si="11"/>
        <v>147</v>
      </c>
      <c r="C152" s="4">
        <f t="shared" si="20"/>
        <v>78.83</v>
      </c>
      <c r="D152" s="2">
        <v>10.5</v>
      </c>
      <c r="E152" s="2">
        <v>50.26548245743669</v>
      </c>
      <c r="F152" s="11">
        <f t="shared" si="0"/>
        <v>2.0889086280811267</v>
      </c>
      <c r="G152" s="2">
        <f t="shared" si="1"/>
        <v>164.66866715163522</v>
      </c>
      <c r="H152" s="2">
        <f t="shared" si="2"/>
        <v>2.2554379006137886</v>
      </c>
      <c r="I152" s="2">
        <f t="shared" si="3"/>
        <v>177.79616970538495</v>
      </c>
      <c r="J152" s="2">
        <f t="shared" si="4"/>
        <v>13.127502553749736</v>
      </c>
      <c r="K152" s="15">
        <f t="shared" si="23"/>
        <v>0.63247863247863245</v>
      </c>
      <c r="L152" s="2">
        <f t="shared" si="14"/>
        <v>147</v>
      </c>
      <c r="M152" s="2">
        <f t="shared" si="21"/>
        <v>78.58</v>
      </c>
      <c r="N152" s="2">
        <v>11</v>
      </c>
      <c r="O152" s="2">
        <v>50.26548245743669</v>
      </c>
      <c r="P152" s="11">
        <f t="shared" si="5"/>
        <v>2.1883804675135607</v>
      </c>
      <c r="Q152" s="2">
        <f t="shared" si="6"/>
        <v>171.96293713721559</v>
      </c>
      <c r="R152" s="2">
        <f t="shared" si="7"/>
        <v>2.4001943487253978</v>
      </c>
      <c r="S152" s="2">
        <f t="shared" si="8"/>
        <v>188.60727192284176</v>
      </c>
      <c r="T152" s="2">
        <f t="shared" si="9"/>
        <v>16.644334785626171</v>
      </c>
    </row>
    <row r="153" spans="1:20" x14ac:dyDescent="0.25">
      <c r="A153" s="14">
        <f t="shared" si="22"/>
        <v>0.67037037037037039</v>
      </c>
      <c r="B153" s="2">
        <f t="shared" si="11"/>
        <v>148</v>
      </c>
      <c r="C153" s="4">
        <f t="shared" si="20"/>
        <v>79.33</v>
      </c>
      <c r="D153" s="2">
        <v>10</v>
      </c>
      <c r="E153" s="2">
        <v>50.26548245743669</v>
      </c>
      <c r="F153" s="11">
        <f t="shared" si="0"/>
        <v>1.9894367886486919</v>
      </c>
      <c r="G153" s="2">
        <f t="shared" si="1"/>
        <v>157.82202044350072</v>
      </c>
      <c r="H153" s="2">
        <f t="shared" si="2"/>
        <v>2.2554379006137886</v>
      </c>
      <c r="I153" s="2">
        <f t="shared" si="3"/>
        <v>178.92388865569185</v>
      </c>
      <c r="J153" s="2">
        <f t="shared" si="4"/>
        <v>21.101868212191135</v>
      </c>
      <c r="K153" s="15">
        <f t="shared" si="23"/>
        <v>0.63272792022792024</v>
      </c>
      <c r="L153" s="2">
        <f t="shared" si="14"/>
        <v>148</v>
      </c>
      <c r="M153" s="2">
        <f t="shared" si="21"/>
        <v>79.08</v>
      </c>
      <c r="N153" s="2">
        <v>12</v>
      </c>
      <c r="O153" s="2">
        <v>50.26548245743669</v>
      </c>
      <c r="P153" s="11">
        <f t="shared" si="5"/>
        <v>2.3873241463784298</v>
      </c>
      <c r="Q153" s="2">
        <f t="shared" si="6"/>
        <v>188.78959349560623</v>
      </c>
      <c r="R153" s="2">
        <f t="shared" si="7"/>
        <v>2.4001943487253978</v>
      </c>
      <c r="S153" s="2">
        <f t="shared" si="8"/>
        <v>189.80736909720446</v>
      </c>
      <c r="T153" s="2">
        <f t="shared" si="9"/>
        <v>1.0177756015982311</v>
      </c>
    </row>
    <row r="154" spans="1:20" x14ac:dyDescent="0.25">
      <c r="A154" s="14">
        <f t="shared" si="22"/>
        <v>0.67060185185185184</v>
      </c>
      <c r="B154" s="2">
        <f t="shared" si="11"/>
        <v>149</v>
      </c>
      <c r="C154" s="4">
        <f t="shared" si="20"/>
        <v>79.83</v>
      </c>
      <c r="D154" s="2">
        <v>10</v>
      </c>
      <c r="E154" s="2">
        <v>50.26548245743669</v>
      </c>
      <c r="F154" s="11">
        <f t="shared" si="0"/>
        <v>1.9894367886486919</v>
      </c>
      <c r="G154" s="2">
        <f t="shared" si="1"/>
        <v>158.81673883782506</v>
      </c>
      <c r="H154" s="2">
        <f t="shared" si="2"/>
        <v>2.2554379006137886</v>
      </c>
      <c r="I154" s="2">
        <f t="shared" si="3"/>
        <v>180.05160760599873</v>
      </c>
      <c r="J154" s="2">
        <f t="shared" si="4"/>
        <v>21.234868768173669</v>
      </c>
      <c r="K154" s="15">
        <f t="shared" si="23"/>
        <v>0.63297720797720791</v>
      </c>
      <c r="L154" s="2">
        <f t="shared" si="14"/>
        <v>149</v>
      </c>
      <c r="M154" s="2">
        <f t="shared" si="21"/>
        <v>79.58</v>
      </c>
      <c r="N154" s="2">
        <v>10.5</v>
      </c>
      <c r="O154" s="2">
        <v>50.26548245743669</v>
      </c>
      <c r="P154" s="11">
        <f t="shared" si="5"/>
        <v>2.0889086280811267</v>
      </c>
      <c r="Q154" s="2">
        <f t="shared" si="6"/>
        <v>166.23534862269605</v>
      </c>
      <c r="R154" s="2">
        <f t="shared" si="7"/>
        <v>2.4001943487253978</v>
      </c>
      <c r="S154" s="2">
        <f t="shared" si="8"/>
        <v>191.00746627156715</v>
      </c>
      <c r="T154" s="2">
        <f t="shared" si="9"/>
        <v>24.772117648871102</v>
      </c>
    </row>
    <row r="155" spans="1:20" x14ac:dyDescent="0.25">
      <c r="A155" s="14">
        <f t="shared" si="22"/>
        <v>0.67083333333333339</v>
      </c>
      <c r="B155" s="2">
        <f t="shared" si="11"/>
        <v>150</v>
      </c>
      <c r="C155" s="4">
        <f t="shared" si="20"/>
        <v>80.33</v>
      </c>
      <c r="D155" s="2">
        <v>8.5</v>
      </c>
      <c r="E155" s="2">
        <v>50.26548245743669</v>
      </c>
      <c r="F155" s="11">
        <f t="shared" si="0"/>
        <v>1.6910212703513881</v>
      </c>
      <c r="G155" s="2">
        <f t="shared" si="1"/>
        <v>135.83973864732701</v>
      </c>
      <c r="H155" s="2">
        <f t="shared" si="2"/>
        <v>2.2554379006137886</v>
      </c>
      <c r="I155" s="2">
        <f t="shared" si="3"/>
        <v>181.17932655630563</v>
      </c>
      <c r="J155" s="2">
        <f t="shared" si="4"/>
        <v>45.339587908978615</v>
      </c>
      <c r="K155" s="15">
        <f t="shared" si="23"/>
        <v>0.6332264957264957</v>
      </c>
      <c r="L155" s="2">
        <f t="shared" si="14"/>
        <v>150</v>
      </c>
      <c r="M155" s="2">
        <f t="shared" si="21"/>
        <v>80.08</v>
      </c>
      <c r="N155" s="2">
        <v>9.5</v>
      </c>
      <c r="O155" s="2">
        <v>50.26548245743669</v>
      </c>
      <c r="P155" s="11">
        <f t="shared" si="5"/>
        <v>1.8899649492162571</v>
      </c>
      <c r="Q155" s="2">
        <f t="shared" si="6"/>
        <v>151.34839313323786</v>
      </c>
      <c r="R155" s="2">
        <f t="shared" si="7"/>
        <v>2.4001943487253978</v>
      </c>
      <c r="S155" s="2">
        <f t="shared" si="8"/>
        <v>192.20756344592985</v>
      </c>
      <c r="T155" s="2">
        <f t="shared" si="9"/>
        <v>40.859170312691987</v>
      </c>
    </row>
    <row r="156" spans="1:20" x14ac:dyDescent="0.25">
      <c r="A156" s="14">
        <f t="shared" si="22"/>
        <v>0.67106481481481484</v>
      </c>
      <c r="B156" s="2">
        <f t="shared" si="11"/>
        <v>151</v>
      </c>
      <c r="C156" s="4">
        <f t="shared" si="20"/>
        <v>80.83</v>
      </c>
      <c r="D156" s="2">
        <v>8.5</v>
      </c>
      <c r="E156" s="2">
        <v>50.26548245743669</v>
      </c>
      <c r="F156" s="11">
        <f t="shared" si="0"/>
        <v>1.6910212703513881</v>
      </c>
      <c r="G156" s="2">
        <f t="shared" si="1"/>
        <v>136.6852492825027</v>
      </c>
      <c r="H156" s="2">
        <f t="shared" si="2"/>
        <v>2.2554379006137886</v>
      </c>
      <c r="I156" s="2">
        <f t="shared" si="3"/>
        <v>182.30704550661252</v>
      </c>
      <c r="J156" s="2">
        <f t="shared" si="4"/>
        <v>45.621796224109829</v>
      </c>
      <c r="K156" s="15">
        <f t="shared" si="23"/>
        <v>0.63347578347578348</v>
      </c>
      <c r="L156" s="2">
        <f t="shared" si="14"/>
        <v>151</v>
      </c>
      <c r="M156" s="2">
        <f t="shared" si="21"/>
        <v>80.58</v>
      </c>
      <c r="N156" s="2">
        <v>8</v>
      </c>
      <c r="O156" s="2">
        <v>50.26548245743669</v>
      </c>
      <c r="P156" s="11">
        <f t="shared" si="5"/>
        <v>1.5915494309189535</v>
      </c>
      <c r="Q156" s="2">
        <f t="shared" si="6"/>
        <v>128.24705314344928</v>
      </c>
      <c r="R156" s="2">
        <f t="shared" si="7"/>
        <v>2.4001943487253978</v>
      </c>
      <c r="S156" s="2">
        <f t="shared" si="8"/>
        <v>193.40766062029255</v>
      </c>
      <c r="T156" s="2">
        <f t="shared" si="9"/>
        <v>65.160607476843268</v>
      </c>
    </row>
    <row r="157" spans="1:20" x14ac:dyDescent="0.25">
      <c r="A157" s="14">
        <f t="shared" si="22"/>
        <v>0.67129629629629639</v>
      </c>
      <c r="B157" s="2">
        <f t="shared" si="11"/>
        <v>152</v>
      </c>
      <c r="C157" s="4">
        <f t="shared" si="20"/>
        <v>81.33</v>
      </c>
      <c r="D157" s="2">
        <v>7.5</v>
      </c>
      <c r="E157" s="2">
        <v>50.26548245743669</v>
      </c>
      <c r="F157" s="11">
        <f t="shared" si="0"/>
        <v>1.492077591486519</v>
      </c>
      <c r="G157" s="2">
        <f t="shared" si="1"/>
        <v>121.35067051559858</v>
      </c>
      <c r="H157" s="2">
        <f t="shared" si="2"/>
        <v>2.2554379006137886</v>
      </c>
      <c r="I157" s="2">
        <f t="shared" si="3"/>
        <v>183.43476445691942</v>
      </c>
      <c r="J157" s="2">
        <f t="shared" si="4"/>
        <v>62.084093941320845</v>
      </c>
      <c r="K157" s="15">
        <f t="shared" si="23"/>
        <v>0.63372507122507116</v>
      </c>
      <c r="L157" s="2">
        <f t="shared" si="14"/>
        <v>152</v>
      </c>
      <c r="M157" s="2">
        <f t="shared" si="21"/>
        <v>81.08</v>
      </c>
      <c r="N157" s="2">
        <v>8</v>
      </c>
      <c r="O157" s="2">
        <v>50.26548245743669</v>
      </c>
      <c r="P157" s="11">
        <f t="shared" si="5"/>
        <v>1.5915494309189535</v>
      </c>
      <c r="Q157" s="2">
        <f t="shared" si="6"/>
        <v>129.04282785890874</v>
      </c>
      <c r="R157" s="2">
        <f t="shared" si="7"/>
        <v>2.4001943487253978</v>
      </c>
      <c r="S157" s="2">
        <f t="shared" si="8"/>
        <v>194.60775779465524</v>
      </c>
      <c r="T157" s="2">
        <f t="shared" si="9"/>
        <v>65.564929935746505</v>
      </c>
    </row>
    <row r="158" spans="1:20" x14ac:dyDescent="0.25">
      <c r="A158" s="14">
        <f t="shared" si="22"/>
        <v>0.67152777777777783</v>
      </c>
      <c r="B158" s="2">
        <f t="shared" si="11"/>
        <v>153</v>
      </c>
      <c r="C158" s="4">
        <f t="shared" si="20"/>
        <v>81.83</v>
      </c>
      <c r="D158" s="2">
        <v>7</v>
      </c>
      <c r="E158" s="2">
        <v>50.26548245743669</v>
      </c>
      <c r="F158" s="11">
        <f t="shared" si="0"/>
        <v>1.3926057520540844</v>
      </c>
      <c r="G158" s="2">
        <f t="shared" si="1"/>
        <v>113.95692869058573</v>
      </c>
      <c r="H158" s="2">
        <f t="shared" si="2"/>
        <v>2.2554379006137886</v>
      </c>
      <c r="I158" s="2">
        <f t="shared" si="3"/>
        <v>184.56248340722632</v>
      </c>
      <c r="J158" s="2">
        <f t="shared" si="4"/>
        <v>70.605554716640597</v>
      </c>
      <c r="K158" s="15">
        <f t="shared" si="23"/>
        <v>0.63397435897435894</v>
      </c>
      <c r="L158" s="2">
        <f t="shared" si="14"/>
        <v>153</v>
      </c>
      <c r="M158" s="2">
        <f t="shared" si="21"/>
        <v>81.58</v>
      </c>
      <c r="N158" s="2">
        <v>8</v>
      </c>
      <c r="O158" s="2">
        <v>50.26548245743669</v>
      </c>
      <c r="P158" s="11">
        <f t="shared" si="5"/>
        <v>1.5915494309189535</v>
      </c>
      <c r="Q158" s="2">
        <f t="shared" si="6"/>
        <v>129.83860257436822</v>
      </c>
      <c r="R158" s="2">
        <f t="shared" si="7"/>
        <v>2.4001943487253978</v>
      </c>
      <c r="S158" s="2">
        <f t="shared" si="8"/>
        <v>195.80785496901794</v>
      </c>
      <c r="T158" s="2">
        <f t="shared" si="9"/>
        <v>65.969252394649715</v>
      </c>
    </row>
    <row r="159" spans="1:20" x14ac:dyDescent="0.25">
      <c r="A159" s="14">
        <f t="shared" si="22"/>
        <v>0.67175925925925928</v>
      </c>
      <c r="B159" s="2">
        <f t="shared" si="11"/>
        <v>154</v>
      </c>
      <c r="C159" s="4">
        <f t="shared" si="20"/>
        <v>82.33</v>
      </c>
      <c r="D159" s="2">
        <v>5</v>
      </c>
      <c r="E159" s="2">
        <v>50.26548245743669</v>
      </c>
      <c r="F159" s="11">
        <f t="shared" si="0"/>
        <v>0.99471839432434594</v>
      </c>
      <c r="G159" s="2">
        <f t="shared" si="1"/>
        <v>81.8951654047234</v>
      </c>
      <c r="H159" s="2">
        <f t="shared" si="2"/>
        <v>2.2554379006137886</v>
      </c>
      <c r="I159" s="2">
        <f t="shared" si="3"/>
        <v>185.6902023575332</v>
      </c>
      <c r="J159" s="2">
        <f t="shared" si="4"/>
        <v>103.7950369528098</v>
      </c>
      <c r="K159" s="15">
        <f t="shared" si="23"/>
        <v>0.63422364672364673</v>
      </c>
      <c r="L159" s="2">
        <f t="shared" si="14"/>
        <v>154</v>
      </c>
      <c r="M159" s="2">
        <f t="shared" si="21"/>
        <v>82.08</v>
      </c>
      <c r="N159" s="2">
        <v>6</v>
      </c>
      <c r="O159" s="2">
        <v>50.26548245743669</v>
      </c>
      <c r="P159" s="11">
        <f t="shared" si="5"/>
        <v>1.1936620731892149</v>
      </c>
      <c r="Q159" s="2">
        <f t="shared" si="6"/>
        <v>97.975782967370762</v>
      </c>
      <c r="R159" s="2">
        <f t="shared" si="7"/>
        <v>2.4001943487253978</v>
      </c>
      <c r="S159" s="2">
        <f t="shared" si="8"/>
        <v>197.00795214338066</v>
      </c>
      <c r="T159" s="2">
        <f t="shared" si="9"/>
        <v>99.032169176009901</v>
      </c>
    </row>
    <row r="160" spans="1:20" x14ac:dyDescent="0.25">
      <c r="A160" s="14">
        <f t="shared" si="22"/>
        <v>0.67199074074074083</v>
      </c>
      <c r="B160" s="2">
        <f t="shared" si="11"/>
        <v>155</v>
      </c>
      <c r="C160" s="4">
        <f t="shared" si="20"/>
        <v>82.83</v>
      </c>
      <c r="D160" s="2">
        <v>5</v>
      </c>
      <c r="E160" s="2">
        <v>50.26548245743669</v>
      </c>
      <c r="F160" s="11">
        <f t="shared" si="0"/>
        <v>0.99471839432434594</v>
      </c>
      <c r="G160" s="2">
        <f t="shared" si="1"/>
        <v>82.392524601885569</v>
      </c>
      <c r="H160" s="2">
        <f t="shared" si="2"/>
        <v>2.2554379006137886</v>
      </c>
      <c r="I160" s="2">
        <f t="shared" si="3"/>
        <v>186.81792130784009</v>
      </c>
      <c r="J160" s="2">
        <f t="shared" si="4"/>
        <v>104.42539670595453</v>
      </c>
      <c r="K160" s="15">
        <f t="shared" si="23"/>
        <v>0.6344729344729344</v>
      </c>
      <c r="L160" s="2">
        <f t="shared" si="14"/>
        <v>155</v>
      </c>
      <c r="M160" s="2">
        <f t="shared" si="21"/>
        <v>82.58</v>
      </c>
      <c r="N160" s="2">
        <v>5.5</v>
      </c>
      <c r="O160" s="2">
        <v>50.26548245743669</v>
      </c>
      <c r="P160" s="11">
        <f t="shared" si="5"/>
        <v>1.0941902337567804</v>
      </c>
      <c r="Q160" s="2">
        <f t="shared" si="6"/>
        <v>90.358229503634917</v>
      </c>
      <c r="R160" s="2">
        <f t="shared" si="7"/>
        <v>2.4001943487253978</v>
      </c>
      <c r="S160" s="2">
        <f t="shared" si="8"/>
        <v>198.20804931774336</v>
      </c>
      <c r="T160" s="2">
        <f t="shared" si="9"/>
        <v>107.84981981410844</v>
      </c>
    </row>
    <row r="161" spans="1:20" x14ac:dyDescent="0.25">
      <c r="A161" s="10">
        <v>0.67222222222222228</v>
      </c>
      <c r="B161" s="2">
        <f t="shared" si="11"/>
        <v>156</v>
      </c>
      <c r="C161" s="4">
        <f t="shared" si="20"/>
        <v>83.33</v>
      </c>
      <c r="D161" s="2">
        <v>5.5</v>
      </c>
      <c r="E161" s="2">
        <v>50.26548245743669</v>
      </c>
      <c r="F161" s="11">
        <f t="shared" si="0"/>
        <v>1.0941902337567804</v>
      </c>
      <c r="G161" s="2">
        <f t="shared" si="1"/>
        <v>91.178872178952503</v>
      </c>
      <c r="H161" s="2">
        <f t="shared" si="2"/>
        <v>2.2554379006137886</v>
      </c>
      <c r="I161" s="2">
        <f t="shared" si="3"/>
        <v>187.94564025814699</v>
      </c>
      <c r="J161" s="2">
        <f t="shared" si="4"/>
        <v>96.766768079194492</v>
      </c>
      <c r="K161" s="12">
        <v>0.63472222222222219</v>
      </c>
      <c r="L161" s="2">
        <f t="shared" si="14"/>
        <v>156</v>
      </c>
      <c r="M161" s="2">
        <f t="shared" si="21"/>
        <v>83.08</v>
      </c>
      <c r="N161" s="2">
        <v>4.5</v>
      </c>
      <c r="O161" s="2">
        <v>50.26548245743669</v>
      </c>
      <c r="P161" s="11">
        <f t="shared" si="5"/>
        <v>0.89524655489191129</v>
      </c>
      <c r="Q161" s="2">
        <f t="shared" si="6"/>
        <v>74.377083780419994</v>
      </c>
      <c r="R161" s="2">
        <f t="shared" si="7"/>
        <v>2.4001943487253978</v>
      </c>
      <c r="S161" s="2">
        <f t="shared" si="8"/>
        <v>199.40814649210606</v>
      </c>
      <c r="T161" s="2">
        <f t="shared" si="9"/>
        <v>125.03106271168606</v>
      </c>
    </row>
    <row r="162" spans="1:20" x14ac:dyDescent="0.25">
      <c r="A162" s="10">
        <v>0.67222222222222228</v>
      </c>
      <c r="B162" s="2">
        <f t="shared" si="11"/>
        <v>157</v>
      </c>
      <c r="C162" s="4">
        <f t="shared" si="20"/>
        <v>83.83</v>
      </c>
      <c r="D162" s="2">
        <v>3.5</v>
      </c>
      <c r="E162" s="2">
        <v>50.26548245743669</v>
      </c>
      <c r="F162" s="11">
        <f t="shared" si="0"/>
        <v>0.69630287602704222</v>
      </c>
      <c r="G162" s="2">
        <f t="shared" si="1"/>
        <v>58.371070097346951</v>
      </c>
      <c r="H162" s="2">
        <f t="shared" si="2"/>
        <v>2.2554379006137886</v>
      </c>
      <c r="I162" s="2">
        <f t="shared" si="3"/>
        <v>189.07335920845389</v>
      </c>
      <c r="J162" s="2">
        <f t="shared" si="4"/>
        <v>130.70228911110695</v>
      </c>
      <c r="K162" s="12">
        <v>0.63472222222222219</v>
      </c>
      <c r="L162" s="2">
        <f t="shared" si="14"/>
        <v>157</v>
      </c>
      <c r="M162" s="2">
        <f t="shared" si="21"/>
        <v>83.58</v>
      </c>
      <c r="N162" s="2">
        <v>4.5</v>
      </c>
      <c r="O162" s="2">
        <v>50.26548245743669</v>
      </c>
      <c r="P162" s="11">
        <f t="shared" si="5"/>
        <v>0.89524655489191129</v>
      </c>
      <c r="Q162" s="2">
        <f t="shared" si="6"/>
        <v>74.82470705786595</v>
      </c>
      <c r="R162" s="2">
        <f t="shared" si="7"/>
        <v>2.4001943487253978</v>
      </c>
      <c r="S162" s="2">
        <f t="shared" si="8"/>
        <v>200.60824366646875</v>
      </c>
      <c r="T162" s="2">
        <f t="shared" si="9"/>
        <v>125.7835366086028</v>
      </c>
    </row>
    <row r="163" spans="1:20" x14ac:dyDescent="0.25">
      <c r="C163" s="4"/>
      <c r="F163" s="11"/>
      <c r="K163" s="12"/>
      <c r="P163" s="11"/>
    </row>
    <row r="164" spans="1:20" x14ac:dyDescent="0.25">
      <c r="C164" s="4"/>
      <c r="F164" s="11"/>
      <c r="K164" s="25"/>
      <c r="P164" s="11"/>
    </row>
    <row r="165" spans="1:20" x14ac:dyDescent="0.25">
      <c r="C165" s="4"/>
      <c r="F165" s="11"/>
      <c r="K165" s="25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29">
    <mergeCell ref="V23:X23"/>
    <mergeCell ref="V24:X24"/>
    <mergeCell ref="V25:X25"/>
    <mergeCell ref="V26:X26"/>
    <mergeCell ref="V11:W11"/>
    <mergeCell ref="V12:W12"/>
    <mergeCell ref="V13:W13"/>
    <mergeCell ref="V14:W14"/>
    <mergeCell ref="V15:W15"/>
    <mergeCell ref="V16:W16"/>
    <mergeCell ref="V17:W17"/>
    <mergeCell ref="V10:W10"/>
    <mergeCell ref="V18:W18"/>
    <mergeCell ref="V19:X19"/>
    <mergeCell ref="W20:X20"/>
    <mergeCell ref="V21:W21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E4:F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174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17510.007006205182</v>
      </c>
      <c r="G2" s="4">
        <f>SUM(C6:C174)</f>
        <v>6934.3099999999931</v>
      </c>
      <c r="H2" s="2">
        <f>F2/G2</f>
        <v>2.5251260768851118</v>
      </c>
      <c r="I2" s="2">
        <f>SUM(J6:J174)</f>
        <v>1926.5708968087838</v>
      </c>
      <c r="J2" s="2">
        <f>(1-(I2/(F2)))*100</f>
        <v>88.997315100296376</v>
      </c>
      <c r="K2" s="1"/>
      <c r="L2" s="1"/>
      <c r="M2" s="1"/>
      <c r="N2" s="1"/>
      <c r="O2" s="1"/>
      <c r="P2" s="2">
        <f>SUM(Q6:Q174)</f>
        <v>17929.482737246941</v>
      </c>
      <c r="Q2" s="2">
        <f>SUM(M6:M174)</f>
        <v>6895.0599999999931</v>
      </c>
      <c r="R2" s="2">
        <f>P2/Q2</f>
        <v>2.6003374498912204</v>
      </c>
      <c r="S2" s="2">
        <f>SUM(T6:T174)</f>
        <v>2146.1486378791892</v>
      </c>
      <c r="T2" s="2">
        <f>(1-(S2/(P2)))*100</f>
        <v>88.030058260293515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48" t="s">
        <v>59</v>
      </c>
      <c r="F4" s="32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48" t="s">
        <v>59</v>
      </c>
      <c r="P4" s="32"/>
      <c r="V4" s="34" t="s">
        <v>12</v>
      </c>
      <c r="W4" s="36"/>
      <c r="X4" s="6" t="s">
        <v>59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45785</v>
      </c>
    </row>
    <row r="6" spans="1:24" x14ac:dyDescent="0.25">
      <c r="A6" s="10">
        <v>0.40833333333333333</v>
      </c>
      <c r="B6" s="2">
        <v>1</v>
      </c>
      <c r="C6" s="4">
        <v>4.83</v>
      </c>
      <c r="D6" s="2">
        <v>7</v>
      </c>
      <c r="E6" s="2">
        <v>50.26548245743669</v>
      </c>
      <c r="F6" s="11">
        <f t="shared" ref="F6:F162" si="0">(D6/E6)*10</f>
        <v>1.3926057520540844</v>
      </c>
      <c r="G6" s="2">
        <f t="shared" ref="G6:G162" si="1">F6*C6</f>
        <v>6.7262857824212281</v>
      </c>
      <c r="H6" s="2">
        <f t="shared" ref="H6:H162" si="2">$H$2</f>
        <v>2.5251260768851118</v>
      </c>
      <c r="I6" s="2">
        <f t="shared" ref="I6:I162" si="3">H6*C6</f>
        <v>12.196358951355091</v>
      </c>
      <c r="J6" s="2">
        <f t="shared" ref="J6:J162" si="4">ABS(G6-I6)</f>
        <v>5.4700731689338626</v>
      </c>
      <c r="K6" s="12">
        <v>0.38194444444444442</v>
      </c>
      <c r="L6" s="2">
        <v>1</v>
      </c>
      <c r="M6" s="2">
        <v>4.58</v>
      </c>
      <c r="N6" s="2">
        <v>6.5</v>
      </c>
      <c r="O6" s="2">
        <v>50.26548245743669</v>
      </c>
      <c r="P6" s="11">
        <f t="shared" ref="P6:P162" si="5">(N6/O6)*10</f>
        <v>1.2931339126216495</v>
      </c>
      <c r="Q6" s="2">
        <f t="shared" ref="Q6:Q162" si="6">P6*M6</f>
        <v>5.9225533198071547</v>
      </c>
      <c r="R6" s="2">
        <f t="shared" ref="R6:R162" si="7">$R$2</f>
        <v>2.6003374498912204</v>
      </c>
      <c r="S6" s="2">
        <f t="shared" ref="S6:S162" si="8">R6*M6</f>
        <v>11.909545520501789</v>
      </c>
      <c r="T6" s="2">
        <f t="shared" ref="T6:T162" si="9">ABS(Q6-S6)</f>
        <v>5.9869922006946341</v>
      </c>
      <c r="V6" s="37" t="s">
        <v>23</v>
      </c>
      <c r="W6" s="36"/>
      <c r="X6" s="13" t="s">
        <v>60</v>
      </c>
    </row>
    <row r="7" spans="1:24" x14ac:dyDescent="0.25">
      <c r="A7" s="14">
        <f t="shared" ref="A7:A43" si="10">IF(AND($A$6&lt;&gt;"",$A$44&lt;&gt;""), $A$6 + (B7 - $B$6) * (($A$44 - $A$6) / ($B$44 - $B$6)), "")</f>
        <v>0.40849780701754385</v>
      </c>
      <c r="B7" s="2">
        <f t="shared" ref="B7:B162" si="11">B6+1</f>
        <v>2</v>
      </c>
      <c r="C7" s="4">
        <f t="shared" ref="C7:C109" si="12">C6+0.5</f>
        <v>5.33</v>
      </c>
      <c r="D7" s="2">
        <v>8.5</v>
      </c>
      <c r="E7" s="2">
        <v>50.26548245743669</v>
      </c>
      <c r="F7" s="11">
        <f t="shared" si="0"/>
        <v>1.6910212703513881</v>
      </c>
      <c r="G7" s="2">
        <f t="shared" si="1"/>
        <v>9.0131433709728981</v>
      </c>
      <c r="H7" s="2">
        <f t="shared" si="2"/>
        <v>2.5251260768851118</v>
      </c>
      <c r="I7" s="2">
        <f t="shared" si="3"/>
        <v>13.458921989797647</v>
      </c>
      <c r="J7" s="2">
        <f t="shared" si="4"/>
        <v>4.4457786188247486</v>
      </c>
      <c r="K7" s="15">
        <f t="shared" ref="K7:K43" si="13">IF(AND($K$6&lt;&gt;"",$K$44&lt;&gt;""), $K$6 + (L7 - $L$6) * (($K$44 - $K$6) / ($L$44 - $L$6)), "")</f>
        <v>0.38212719298245612</v>
      </c>
      <c r="L7" s="2">
        <f t="shared" ref="L7:L162" si="14">L6+1</f>
        <v>2</v>
      </c>
      <c r="M7" s="2">
        <f t="shared" ref="M7:M109" si="15">M6+0.5</f>
        <v>5.08</v>
      </c>
      <c r="N7" s="2">
        <v>7</v>
      </c>
      <c r="O7" s="2">
        <v>50.26548245743669</v>
      </c>
      <c r="P7" s="11">
        <f t="shared" si="5"/>
        <v>1.3926057520540844</v>
      </c>
      <c r="Q7" s="2">
        <f t="shared" si="6"/>
        <v>7.0744372204347492</v>
      </c>
      <c r="R7" s="2">
        <f t="shared" si="7"/>
        <v>2.6003374498912204</v>
      </c>
      <c r="S7" s="2">
        <f t="shared" si="8"/>
        <v>13.209714245447399</v>
      </c>
      <c r="T7" s="2">
        <f t="shared" si="9"/>
        <v>6.13527702501265</v>
      </c>
      <c r="V7" s="37" t="s">
        <v>24</v>
      </c>
      <c r="W7" s="36"/>
      <c r="X7" s="6" t="s">
        <v>61</v>
      </c>
    </row>
    <row r="8" spans="1:24" x14ac:dyDescent="0.25">
      <c r="A8" s="14">
        <f t="shared" si="10"/>
        <v>0.40866228070175437</v>
      </c>
      <c r="B8" s="2">
        <f t="shared" si="11"/>
        <v>3</v>
      </c>
      <c r="C8" s="4">
        <f t="shared" si="12"/>
        <v>5.83</v>
      </c>
      <c r="D8" s="2">
        <v>11</v>
      </c>
      <c r="E8" s="2">
        <v>50.26548245743669</v>
      </c>
      <c r="F8" s="11">
        <f t="shared" si="0"/>
        <v>2.1883804675135607</v>
      </c>
      <c r="G8" s="2">
        <f t="shared" si="1"/>
        <v>12.75825812560406</v>
      </c>
      <c r="H8" s="2">
        <f t="shared" si="2"/>
        <v>2.5251260768851118</v>
      </c>
      <c r="I8" s="2">
        <f t="shared" si="3"/>
        <v>14.721485028240203</v>
      </c>
      <c r="J8" s="2">
        <f t="shared" si="4"/>
        <v>1.9632269026361424</v>
      </c>
      <c r="K8" s="15">
        <f t="shared" si="13"/>
        <v>0.38230994152046782</v>
      </c>
      <c r="L8" s="2">
        <f t="shared" si="14"/>
        <v>3</v>
      </c>
      <c r="M8" s="2">
        <f t="shared" si="15"/>
        <v>5.58</v>
      </c>
      <c r="N8" s="2">
        <v>9</v>
      </c>
      <c r="O8" s="2">
        <v>50.26548245743669</v>
      </c>
      <c r="P8" s="11">
        <f t="shared" si="5"/>
        <v>1.7904931097838226</v>
      </c>
      <c r="Q8" s="2">
        <f t="shared" si="6"/>
        <v>9.9909515525937298</v>
      </c>
      <c r="R8" s="2">
        <f t="shared" si="7"/>
        <v>2.6003374498912204</v>
      </c>
      <c r="S8" s="2">
        <f t="shared" si="8"/>
        <v>14.50988297039301</v>
      </c>
      <c r="T8" s="2">
        <f t="shared" si="9"/>
        <v>4.5189314177992799</v>
      </c>
      <c r="V8" s="34" t="s">
        <v>25</v>
      </c>
      <c r="W8" s="35"/>
      <c r="X8" s="36"/>
    </row>
    <row r="9" spans="1:24" x14ac:dyDescent="0.25">
      <c r="A9" s="14">
        <f t="shared" si="10"/>
        <v>0.40882675438596489</v>
      </c>
      <c r="B9" s="2">
        <f t="shared" si="11"/>
        <v>4</v>
      </c>
      <c r="C9" s="4">
        <f t="shared" si="12"/>
        <v>6.33</v>
      </c>
      <c r="D9" s="2">
        <v>12.5</v>
      </c>
      <c r="E9" s="2">
        <v>50.26548245743669</v>
      </c>
      <c r="F9" s="11">
        <f t="shared" si="0"/>
        <v>2.4867959858108648</v>
      </c>
      <c r="G9" s="2">
        <f t="shared" si="1"/>
        <v>15.741418590182775</v>
      </c>
      <c r="H9" s="2">
        <f t="shared" si="2"/>
        <v>2.5251260768851118</v>
      </c>
      <c r="I9" s="2">
        <f t="shared" si="3"/>
        <v>15.984048066682758</v>
      </c>
      <c r="J9" s="2">
        <f t="shared" si="4"/>
        <v>0.24262947649998345</v>
      </c>
      <c r="K9" s="15">
        <f t="shared" si="13"/>
        <v>0.38249269005847952</v>
      </c>
      <c r="L9" s="2">
        <f t="shared" si="14"/>
        <v>4</v>
      </c>
      <c r="M9" s="2">
        <f t="shared" si="15"/>
        <v>6.08</v>
      </c>
      <c r="N9" s="2">
        <v>12</v>
      </c>
      <c r="O9" s="2">
        <v>50.26548245743669</v>
      </c>
      <c r="P9" s="11">
        <f t="shared" si="5"/>
        <v>2.3873241463784298</v>
      </c>
      <c r="Q9" s="2">
        <f t="shared" si="6"/>
        <v>14.514930809980854</v>
      </c>
      <c r="R9" s="2">
        <f t="shared" si="7"/>
        <v>2.6003374498912204</v>
      </c>
      <c r="S9" s="2">
        <f t="shared" si="8"/>
        <v>15.81005169533862</v>
      </c>
      <c r="T9" s="2">
        <f t="shared" si="9"/>
        <v>1.2951208853577665</v>
      </c>
      <c r="V9" s="34" t="s">
        <v>26</v>
      </c>
      <c r="W9" s="36"/>
      <c r="X9" s="16">
        <v>0.31805555555555554</v>
      </c>
    </row>
    <row r="10" spans="1:24" x14ac:dyDescent="0.25">
      <c r="A10" s="14">
        <f t="shared" si="10"/>
        <v>0.40899122807017546</v>
      </c>
      <c r="B10" s="2">
        <f t="shared" si="11"/>
        <v>5</v>
      </c>
      <c r="C10" s="4">
        <f t="shared" si="12"/>
        <v>6.83</v>
      </c>
      <c r="D10" s="2">
        <v>14.5</v>
      </c>
      <c r="E10" s="2">
        <v>50.26548245743669</v>
      </c>
      <c r="F10" s="11">
        <f t="shared" si="0"/>
        <v>2.8846833435406034</v>
      </c>
      <c r="G10" s="2">
        <f t="shared" si="1"/>
        <v>19.702387236382322</v>
      </c>
      <c r="H10" s="2">
        <f t="shared" si="2"/>
        <v>2.5251260768851118</v>
      </c>
      <c r="I10" s="2">
        <f t="shared" si="3"/>
        <v>17.246611105125314</v>
      </c>
      <c r="J10" s="2">
        <f t="shared" si="4"/>
        <v>2.4557761312570072</v>
      </c>
      <c r="K10" s="15">
        <f t="shared" si="13"/>
        <v>0.38267543859649122</v>
      </c>
      <c r="L10" s="2">
        <f t="shared" si="14"/>
        <v>5</v>
      </c>
      <c r="M10" s="2">
        <f t="shared" si="15"/>
        <v>6.58</v>
      </c>
      <c r="N10" s="2">
        <v>12.5</v>
      </c>
      <c r="O10" s="2">
        <v>50.26548245743669</v>
      </c>
      <c r="P10" s="11">
        <f t="shared" si="5"/>
        <v>2.4867959858108648</v>
      </c>
      <c r="Q10" s="2">
        <f t="shared" si="6"/>
        <v>16.363117586635489</v>
      </c>
      <c r="R10" s="2">
        <f t="shared" si="7"/>
        <v>2.6003374498912204</v>
      </c>
      <c r="S10" s="2">
        <f t="shared" si="8"/>
        <v>17.110220420284229</v>
      </c>
      <c r="T10" s="2">
        <f t="shared" si="9"/>
        <v>0.74710283364873931</v>
      </c>
      <c r="V10" s="34" t="s">
        <v>27</v>
      </c>
      <c r="W10" s="36"/>
      <c r="X10" s="6">
        <v>50</v>
      </c>
    </row>
    <row r="11" spans="1:24" x14ac:dyDescent="0.25">
      <c r="A11" s="14">
        <f t="shared" si="10"/>
        <v>0.40915570175438598</v>
      </c>
      <c r="B11" s="2">
        <f t="shared" si="11"/>
        <v>6</v>
      </c>
      <c r="C11" s="4">
        <f t="shared" si="12"/>
        <v>7.33</v>
      </c>
      <c r="D11" s="2">
        <v>16</v>
      </c>
      <c r="E11" s="2">
        <v>50.26548245743669</v>
      </c>
      <c r="F11" s="11">
        <f t="shared" si="0"/>
        <v>3.183098861837907</v>
      </c>
      <c r="G11" s="2">
        <f t="shared" si="1"/>
        <v>23.332114657271859</v>
      </c>
      <c r="H11" s="2">
        <f t="shared" si="2"/>
        <v>2.5251260768851118</v>
      </c>
      <c r="I11" s="2">
        <f t="shared" si="3"/>
        <v>18.509174143567868</v>
      </c>
      <c r="J11" s="2">
        <f t="shared" si="4"/>
        <v>4.8229405137039905</v>
      </c>
      <c r="K11" s="15">
        <f t="shared" si="13"/>
        <v>0.38285818713450293</v>
      </c>
      <c r="L11" s="2">
        <f t="shared" si="14"/>
        <v>6</v>
      </c>
      <c r="M11" s="2">
        <f t="shared" si="15"/>
        <v>7.08</v>
      </c>
      <c r="N11" s="2">
        <v>13.5</v>
      </c>
      <c r="O11" s="2">
        <v>50.26548245743669</v>
      </c>
      <c r="P11" s="11">
        <f t="shared" si="5"/>
        <v>2.6857396646757339</v>
      </c>
      <c r="Q11" s="2">
        <f t="shared" si="6"/>
        <v>19.015036825904197</v>
      </c>
      <c r="R11" s="2">
        <f t="shared" si="7"/>
        <v>2.6003374498912204</v>
      </c>
      <c r="S11" s="2">
        <f t="shared" si="8"/>
        <v>18.410389145229839</v>
      </c>
      <c r="T11" s="2">
        <f t="shared" si="9"/>
        <v>0.6046476806743577</v>
      </c>
      <c r="V11" s="34" t="s">
        <v>28</v>
      </c>
      <c r="W11" s="36"/>
      <c r="X11" s="6">
        <v>50</v>
      </c>
    </row>
    <row r="12" spans="1:24" x14ac:dyDescent="0.25">
      <c r="A12" s="14">
        <f t="shared" si="10"/>
        <v>0.4093201754385965</v>
      </c>
      <c r="B12" s="2">
        <f t="shared" si="11"/>
        <v>7</v>
      </c>
      <c r="C12" s="4">
        <f t="shared" si="12"/>
        <v>7.83</v>
      </c>
      <c r="D12" s="23">
        <v>16.5</v>
      </c>
      <c r="E12" s="2">
        <v>50.26548245743669</v>
      </c>
      <c r="F12" s="11">
        <f t="shared" si="0"/>
        <v>3.2825707012703416</v>
      </c>
      <c r="G12" s="2">
        <f t="shared" si="1"/>
        <v>25.702528590946773</v>
      </c>
      <c r="H12" s="2">
        <f t="shared" si="2"/>
        <v>2.5251260768851118</v>
      </c>
      <c r="I12" s="2">
        <f t="shared" si="3"/>
        <v>19.771737182010426</v>
      </c>
      <c r="J12" s="2">
        <f t="shared" si="4"/>
        <v>5.9307914089363472</v>
      </c>
      <c r="K12" s="15">
        <f t="shared" si="13"/>
        <v>0.38304093567251463</v>
      </c>
      <c r="L12" s="2">
        <f t="shared" si="14"/>
        <v>7</v>
      </c>
      <c r="M12" s="2">
        <f t="shared" si="15"/>
        <v>7.58</v>
      </c>
      <c r="N12" s="21">
        <v>22.5</v>
      </c>
      <c r="O12" s="2">
        <v>50.26548245743669</v>
      </c>
      <c r="P12" s="11">
        <f t="shared" si="5"/>
        <v>4.4762327744595565</v>
      </c>
      <c r="Q12" s="2">
        <f t="shared" si="6"/>
        <v>33.929844430403442</v>
      </c>
      <c r="R12" s="2">
        <f t="shared" si="7"/>
        <v>2.6003374498912204</v>
      </c>
      <c r="S12" s="2">
        <f t="shared" si="8"/>
        <v>19.71055787017545</v>
      </c>
      <c r="T12" s="2">
        <f t="shared" si="9"/>
        <v>14.219286560227992</v>
      </c>
      <c r="V12" s="34" t="s">
        <v>29</v>
      </c>
      <c r="W12" s="36"/>
      <c r="X12" s="6">
        <v>50</v>
      </c>
    </row>
    <row r="13" spans="1:24" x14ac:dyDescent="0.25">
      <c r="A13" s="14">
        <f t="shared" si="10"/>
        <v>0.40948464912280702</v>
      </c>
      <c r="B13" s="2">
        <f t="shared" si="11"/>
        <v>8</v>
      </c>
      <c r="C13" s="4">
        <f t="shared" si="12"/>
        <v>8.33</v>
      </c>
      <c r="D13" s="2">
        <v>16.5</v>
      </c>
      <c r="E13" s="2">
        <v>50.26548245743669</v>
      </c>
      <c r="F13" s="11">
        <f t="shared" si="0"/>
        <v>3.2825707012703416</v>
      </c>
      <c r="G13" s="2">
        <f t="shared" si="1"/>
        <v>27.343813941581946</v>
      </c>
      <c r="H13" s="2">
        <f t="shared" si="2"/>
        <v>2.5251260768851118</v>
      </c>
      <c r="I13" s="2">
        <f t="shared" si="3"/>
        <v>21.03430022045298</v>
      </c>
      <c r="J13" s="2">
        <f t="shared" si="4"/>
        <v>6.3095137211289654</v>
      </c>
      <c r="K13" s="15">
        <f t="shared" si="13"/>
        <v>0.38322368421052627</v>
      </c>
      <c r="L13" s="2">
        <f t="shared" si="14"/>
        <v>8</v>
      </c>
      <c r="M13" s="2">
        <f t="shared" si="15"/>
        <v>8.08</v>
      </c>
      <c r="N13" s="2">
        <v>16</v>
      </c>
      <c r="O13" s="2">
        <v>50.26548245743669</v>
      </c>
      <c r="P13" s="11">
        <f t="shared" si="5"/>
        <v>3.183098861837907</v>
      </c>
      <c r="Q13" s="2">
        <f t="shared" si="6"/>
        <v>25.719438803650288</v>
      </c>
      <c r="R13" s="2">
        <f t="shared" si="7"/>
        <v>2.6003374498912204</v>
      </c>
      <c r="S13" s="2">
        <f t="shared" si="8"/>
        <v>21.01072659512106</v>
      </c>
      <c r="T13" s="2">
        <f t="shared" si="9"/>
        <v>4.7087122085292279</v>
      </c>
      <c r="V13" s="34" t="s">
        <v>30</v>
      </c>
      <c r="W13" s="36"/>
      <c r="X13" s="16">
        <v>0.44236111111111109</v>
      </c>
    </row>
    <row r="14" spans="1:24" x14ac:dyDescent="0.25">
      <c r="A14" s="14">
        <f t="shared" si="10"/>
        <v>0.40964912280701754</v>
      </c>
      <c r="B14" s="2">
        <f t="shared" si="11"/>
        <v>9</v>
      </c>
      <c r="C14" s="4">
        <f t="shared" si="12"/>
        <v>8.83</v>
      </c>
      <c r="D14" s="2">
        <v>20</v>
      </c>
      <c r="E14" s="2">
        <v>50.26548245743669</v>
      </c>
      <c r="F14" s="11">
        <f t="shared" si="0"/>
        <v>3.9788735772973838</v>
      </c>
      <c r="G14" s="2">
        <f t="shared" si="1"/>
        <v>35.133453687535898</v>
      </c>
      <c r="H14" s="2">
        <f t="shared" si="2"/>
        <v>2.5251260768851118</v>
      </c>
      <c r="I14" s="2">
        <f t="shared" si="3"/>
        <v>22.296863258895538</v>
      </c>
      <c r="J14" s="2">
        <f t="shared" si="4"/>
        <v>12.83659042864036</v>
      </c>
      <c r="K14" s="15">
        <f t="shared" si="13"/>
        <v>0.38340643274853797</v>
      </c>
      <c r="L14" s="2">
        <f t="shared" si="14"/>
        <v>9</v>
      </c>
      <c r="M14" s="2">
        <f t="shared" si="15"/>
        <v>8.58</v>
      </c>
      <c r="N14" s="2">
        <v>18.5</v>
      </c>
      <c r="O14" s="2">
        <v>50.26548245743669</v>
      </c>
      <c r="P14" s="11">
        <f t="shared" si="5"/>
        <v>3.6804580590000797</v>
      </c>
      <c r="Q14" s="2">
        <f t="shared" si="6"/>
        <v>31.578330146220683</v>
      </c>
      <c r="R14" s="2">
        <f t="shared" si="7"/>
        <v>2.6003374498912204</v>
      </c>
      <c r="S14" s="2">
        <f t="shared" si="8"/>
        <v>22.31089532006667</v>
      </c>
      <c r="T14" s="2">
        <f t="shared" si="9"/>
        <v>9.2674348261540125</v>
      </c>
      <c r="V14" s="34" t="s">
        <v>31</v>
      </c>
      <c r="W14" s="36"/>
      <c r="X14" s="6">
        <v>47</v>
      </c>
    </row>
    <row r="15" spans="1:24" x14ac:dyDescent="0.25">
      <c r="A15" s="14">
        <f t="shared" si="10"/>
        <v>0.40981359649122806</v>
      </c>
      <c r="B15" s="2">
        <f t="shared" si="11"/>
        <v>10</v>
      </c>
      <c r="C15" s="4">
        <f t="shared" si="12"/>
        <v>9.33</v>
      </c>
      <c r="D15" s="2">
        <v>20.5</v>
      </c>
      <c r="E15" s="2">
        <v>50.26548245743669</v>
      </c>
      <c r="F15" s="11">
        <f t="shared" si="0"/>
        <v>4.0783454167298183</v>
      </c>
      <c r="G15" s="2">
        <f t="shared" si="1"/>
        <v>38.050962738089204</v>
      </c>
      <c r="H15" s="2">
        <f t="shared" si="2"/>
        <v>2.5251260768851118</v>
      </c>
      <c r="I15" s="2">
        <f t="shared" si="3"/>
        <v>23.559426297338092</v>
      </c>
      <c r="J15" s="2">
        <f t="shared" si="4"/>
        <v>14.491536440751112</v>
      </c>
      <c r="K15" s="15">
        <f t="shared" si="13"/>
        <v>0.38358918128654967</v>
      </c>
      <c r="L15" s="2">
        <f t="shared" si="14"/>
        <v>10</v>
      </c>
      <c r="M15" s="2">
        <f t="shared" si="15"/>
        <v>9.08</v>
      </c>
      <c r="N15" s="2">
        <v>19.5</v>
      </c>
      <c r="O15" s="2">
        <v>50.26548245743669</v>
      </c>
      <c r="P15" s="11">
        <f t="shared" si="5"/>
        <v>3.8794017378649488</v>
      </c>
      <c r="Q15" s="2">
        <f t="shared" si="6"/>
        <v>35.224967779813738</v>
      </c>
      <c r="R15" s="2">
        <f t="shared" si="7"/>
        <v>2.6003374498912204</v>
      </c>
      <c r="S15" s="2">
        <f t="shared" si="8"/>
        <v>23.611064045012281</v>
      </c>
      <c r="T15" s="2">
        <f t="shared" si="9"/>
        <v>11.613903734801458</v>
      </c>
      <c r="V15" s="34" t="s">
        <v>32</v>
      </c>
      <c r="W15" s="36"/>
      <c r="X15" s="6">
        <v>47</v>
      </c>
    </row>
    <row r="16" spans="1:24" x14ac:dyDescent="0.25">
      <c r="A16" s="14">
        <f t="shared" si="10"/>
        <v>0.40997807017543858</v>
      </c>
      <c r="B16" s="2">
        <f t="shared" si="11"/>
        <v>11</v>
      </c>
      <c r="C16" s="4">
        <f t="shared" si="12"/>
        <v>9.83</v>
      </c>
      <c r="D16" s="2">
        <v>30</v>
      </c>
      <c r="E16" s="2">
        <v>50.26548245743669</v>
      </c>
      <c r="F16" s="11">
        <f t="shared" si="0"/>
        <v>5.9683103659460759</v>
      </c>
      <c r="G16" s="2">
        <f t="shared" si="1"/>
        <v>58.668490897249924</v>
      </c>
      <c r="H16" s="2">
        <f t="shared" si="2"/>
        <v>2.5251260768851118</v>
      </c>
      <c r="I16" s="2">
        <f t="shared" si="3"/>
        <v>24.82198933578065</v>
      </c>
      <c r="J16" s="2">
        <f t="shared" si="4"/>
        <v>33.846501561469275</v>
      </c>
      <c r="K16" s="15">
        <f t="shared" si="13"/>
        <v>0.38377192982456138</v>
      </c>
      <c r="L16" s="2">
        <f t="shared" si="14"/>
        <v>11</v>
      </c>
      <c r="M16" s="2">
        <f t="shared" si="15"/>
        <v>9.58</v>
      </c>
      <c r="N16" s="2">
        <v>21.5</v>
      </c>
      <c r="O16" s="2">
        <v>50.26548245743669</v>
      </c>
      <c r="P16" s="11">
        <f t="shared" si="5"/>
        <v>4.2772890955946874</v>
      </c>
      <c r="Q16" s="2">
        <f t="shared" si="6"/>
        <v>40.976429535797102</v>
      </c>
      <c r="R16" s="2">
        <f t="shared" si="7"/>
        <v>2.6003374498912204</v>
      </c>
      <c r="S16" s="2">
        <f t="shared" si="8"/>
        <v>24.911232769957891</v>
      </c>
      <c r="T16" s="2">
        <f t="shared" si="9"/>
        <v>16.065196765839211</v>
      </c>
      <c r="V16" s="34" t="s">
        <v>33</v>
      </c>
      <c r="W16" s="36"/>
      <c r="X16" s="6">
        <v>47</v>
      </c>
    </row>
    <row r="17" spans="1:24" x14ac:dyDescent="0.25">
      <c r="A17" s="14">
        <f t="shared" si="10"/>
        <v>0.4101425438596491</v>
      </c>
      <c r="B17" s="2">
        <f t="shared" si="11"/>
        <v>12</v>
      </c>
      <c r="C17" s="4">
        <f t="shared" si="12"/>
        <v>10.33</v>
      </c>
      <c r="D17" s="2">
        <v>21</v>
      </c>
      <c r="E17" s="2">
        <v>50.26548245743669</v>
      </c>
      <c r="F17" s="11">
        <f t="shared" si="0"/>
        <v>4.1778172561622533</v>
      </c>
      <c r="G17" s="2">
        <f t="shared" si="1"/>
        <v>43.156852256156078</v>
      </c>
      <c r="H17" s="2">
        <f t="shared" si="2"/>
        <v>2.5251260768851118</v>
      </c>
      <c r="I17" s="2">
        <f t="shared" si="3"/>
        <v>26.084552374223204</v>
      </c>
      <c r="J17" s="2">
        <f t="shared" si="4"/>
        <v>17.072299881932874</v>
      </c>
      <c r="K17" s="15">
        <f t="shared" si="13"/>
        <v>0.38395467836257308</v>
      </c>
      <c r="L17" s="2">
        <f t="shared" si="14"/>
        <v>12</v>
      </c>
      <c r="M17" s="2">
        <f t="shared" si="15"/>
        <v>10.08</v>
      </c>
      <c r="N17" s="2">
        <v>22</v>
      </c>
      <c r="O17" s="2">
        <v>50.26548245743669</v>
      </c>
      <c r="P17" s="11">
        <f t="shared" si="5"/>
        <v>4.3767609350271215</v>
      </c>
      <c r="Q17" s="2">
        <f t="shared" si="6"/>
        <v>44.117750225073387</v>
      </c>
      <c r="R17" s="2">
        <f t="shared" si="7"/>
        <v>2.6003374498912204</v>
      </c>
      <c r="S17" s="2">
        <f t="shared" si="8"/>
        <v>26.211401494903502</v>
      </c>
      <c r="T17" s="2">
        <f t="shared" si="9"/>
        <v>17.906348730169885</v>
      </c>
      <c r="V17" s="38" t="s">
        <v>34</v>
      </c>
      <c r="W17" s="36"/>
      <c r="X17" s="17">
        <f>((X10-X14)+(X11-X15)+(X12-X16))/3</f>
        <v>3</v>
      </c>
    </row>
    <row r="18" spans="1:24" x14ac:dyDescent="0.25">
      <c r="A18" s="14">
        <f t="shared" si="10"/>
        <v>0.41030701754385968</v>
      </c>
      <c r="B18" s="2">
        <f t="shared" si="11"/>
        <v>13</v>
      </c>
      <c r="C18" s="4">
        <f t="shared" si="12"/>
        <v>10.83</v>
      </c>
      <c r="D18" s="2">
        <v>18</v>
      </c>
      <c r="E18" s="2">
        <v>50.26548245743669</v>
      </c>
      <c r="F18" s="11">
        <f t="shared" si="0"/>
        <v>3.5809862195676452</v>
      </c>
      <c r="G18" s="2">
        <f t="shared" si="1"/>
        <v>38.782080757917598</v>
      </c>
      <c r="H18" s="2">
        <f t="shared" si="2"/>
        <v>2.5251260768851118</v>
      </c>
      <c r="I18" s="2">
        <f t="shared" si="3"/>
        <v>27.347115412665762</v>
      </c>
      <c r="J18" s="2">
        <f t="shared" si="4"/>
        <v>11.434965345251836</v>
      </c>
      <c r="K18" s="15">
        <f t="shared" si="13"/>
        <v>0.38413742690058478</v>
      </c>
      <c r="L18" s="2">
        <f t="shared" si="14"/>
        <v>13</v>
      </c>
      <c r="M18" s="2">
        <f t="shared" si="15"/>
        <v>10.58</v>
      </c>
      <c r="N18" s="2">
        <v>19.5</v>
      </c>
      <c r="O18" s="2">
        <v>50.26548245743669</v>
      </c>
      <c r="P18" s="11">
        <f t="shared" si="5"/>
        <v>3.8794017378649488</v>
      </c>
      <c r="Q18" s="2">
        <f t="shared" si="6"/>
        <v>41.04407038661116</v>
      </c>
      <c r="R18" s="2">
        <f t="shared" si="7"/>
        <v>2.6003374498912204</v>
      </c>
      <c r="S18" s="2">
        <f t="shared" si="8"/>
        <v>27.511570219849112</v>
      </c>
      <c r="T18" s="2">
        <f t="shared" si="9"/>
        <v>13.532500166762048</v>
      </c>
      <c r="V18" s="38" t="s">
        <v>35</v>
      </c>
      <c r="W18" s="36"/>
      <c r="X18" s="18" t="s">
        <v>41</v>
      </c>
    </row>
    <row r="19" spans="1:24" x14ac:dyDescent="0.25">
      <c r="A19" s="14">
        <f t="shared" si="10"/>
        <v>0.4104714912280702</v>
      </c>
      <c r="B19" s="2">
        <f t="shared" si="11"/>
        <v>14</v>
      </c>
      <c r="C19" s="4">
        <f t="shared" si="12"/>
        <v>11.33</v>
      </c>
      <c r="D19" s="2">
        <v>17.5</v>
      </c>
      <c r="E19" s="2">
        <v>50.26548245743669</v>
      </c>
      <c r="F19" s="11">
        <f t="shared" si="0"/>
        <v>3.4815143801352106</v>
      </c>
      <c r="G19" s="2">
        <f t="shared" si="1"/>
        <v>39.44555792693194</v>
      </c>
      <c r="H19" s="2">
        <f t="shared" si="2"/>
        <v>2.5251260768851118</v>
      </c>
      <c r="I19" s="2">
        <f t="shared" si="3"/>
        <v>28.609678451108316</v>
      </c>
      <c r="J19" s="2">
        <f t="shared" si="4"/>
        <v>10.835879475823624</v>
      </c>
      <c r="K19" s="15">
        <f t="shared" si="13"/>
        <v>0.38432017543859648</v>
      </c>
      <c r="L19" s="2">
        <f t="shared" si="14"/>
        <v>14</v>
      </c>
      <c r="M19" s="2">
        <f t="shared" si="15"/>
        <v>11.08</v>
      </c>
      <c r="N19" s="2">
        <v>17.5</v>
      </c>
      <c r="O19" s="2">
        <v>50.26548245743669</v>
      </c>
      <c r="P19" s="11">
        <f t="shared" si="5"/>
        <v>3.4815143801352106</v>
      </c>
      <c r="Q19" s="2">
        <f t="shared" si="6"/>
        <v>38.575179331898134</v>
      </c>
      <c r="R19" s="2">
        <f t="shared" si="7"/>
        <v>2.6003374498912204</v>
      </c>
      <c r="S19" s="2">
        <f t="shared" si="8"/>
        <v>28.811738944794723</v>
      </c>
      <c r="T19" s="2">
        <f t="shared" si="9"/>
        <v>9.7634403871034117</v>
      </c>
      <c r="V19" s="39" t="s">
        <v>37</v>
      </c>
      <c r="W19" s="35"/>
      <c r="X19" s="36"/>
    </row>
    <row r="20" spans="1:24" x14ac:dyDescent="0.25">
      <c r="A20" s="14">
        <f t="shared" si="10"/>
        <v>0.41063596491228072</v>
      </c>
      <c r="B20" s="2">
        <f t="shared" si="11"/>
        <v>15</v>
      </c>
      <c r="C20" s="4">
        <f t="shared" si="12"/>
        <v>11.83</v>
      </c>
      <c r="D20" s="2">
        <v>17.5</v>
      </c>
      <c r="E20" s="2">
        <v>50.26548245743669</v>
      </c>
      <c r="F20" s="11">
        <f t="shared" si="0"/>
        <v>3.4815143801352106</v>
      </c>
      <c r="G20" s="2">
        <f t="shared" si="1"/>
        <v>41.186315116999545</v>
      </c>
      <c r="H20" s="2">
        <f t="shared" si="2"/>
        <v>2.5251260768851118</v>
      </c>
      <c r="I20" s="2">
        <f t="shared" si="3"/>
        <v>29.872241489550873</v>
      </c>
      <c r="J20" s="2">
        <f t="shared" si="4"/>
        <v>11.314073627448671</v>
      </c>
      <c r="K20" s="15">
        <f t="shared" si="13"/>
        <v>0.38450292397660818</v>
      </c>
      <c r="L20" s="2">
        <f t="shared" si="14"/>
        <v>15</v>
      </c>
      <c r="M20" s="2">
        <f t="shared" si="15"/>
        <v>11.58</v>
      </c>
      <c r="N20" s="2">
        <v>18</v>
      </c>
      <c r="O20" s="2">
        <v>50.26548245743669</v>
      </c>
      <c r="P20" s="11">
        <f t="shared" si="5"/>
        <v>3.5809862195676452</v>
      </c>
      <c r="Q20" s="2">
        <f t="shared" si="6"/>
        <v>41.467820422593334</v>
      </c>
      <c r="R20" s="2">
        <f t="shared" si="7"/>
        <v>2.6003374498912204</v>
      </c>
      <c r="S20" s="2">
        <f t="shared" si="8"/>
        <v>30.111907669740333</v>
      </c>
      <c r="T20" s="2">
        <f t="shared" si="9"/>
        <v>11.355912752853001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14">
        <f t="shared" si="10"/>
        <v>0.41080043859649124</v>
      </c>
      <c r="B21" s="2">
        <f t="shared" si="11"/>
        <v>16</v>
      </c>
      <c r="C21" s="4">
        <f t="shared" si="12"/>
        <v>12.33</v>
      </c>
      <c r="D21" s="2">
        <v>15.5</v>
      </c>
      <c r="E21" s="2">
        <v>50.26548245743669</v>
      </c>
      <c r="F21" s="11">
        <f t="shared" si="0"/>
        <v>3.0836270224054725</v>
      </c>
      <c r="G21" s="2">
        <f t="shared" si="1"/>
        <v>38.021121186259478</v>
      </c>
      <c r="H21" s="2">
        <f t="shared" si="2"/>
        <v>2.5251260768851118</v>
      </c>
      <c r="I21" s="2">
        <f t="shared" si="3"/>
        <v>31.134804527993428</v>
      </c>
      <c r="J21" s="2">
        <f t="shared" si="4"/>
        <v>6.8863166582660504</v>
      </c>
      <c r="K21" s="15">
        <f t="shared" si="13"/>
        <v>0.38468567251461988</v>
      </c>
      <c r="L21" s="2">
        <f t="shared" si="14"/>
        <v>16</v>
      </c>
      <c r="M21" s="2">
        <f t="shared" si="15"/>
        <v>12.08</v>
      </c>
      <c r="N21" s="2">
        <v>15.5</v>
      </c>
      <c r="O21" s="2">
        <v>50.26548245743669</v>
      </c>
      <c r="P21" s="11">
        <f t="shared" si="5"/>
        <v>3.0836270224054725</v>
      </c>
      <c r="Q21" s="2">
        <f t="shared" si="6"/>
        <v>37.250214430658104</v>
      </c>
      <c r="R21" s="2">
        <f t="shared" si="7"/>
        <v>2.6003374498912204</v>
      </c>
      <c r="S21" s="2">
        <f t="shared" si="8"/>
        <v>31.412076394685943</v>
      </c>
      <c r="T21" s="2">
        <f t="shared" si="9"/>
        <v>5.8381380359721611</v>
      </c>
      <c r="V21" s="39" t="s">
        <v>39</v>
      </c>
      <c r="W21" s="36"/>
      <c r="X21" s="20">
        <f>(J2+T2)/2</f>
        <v>88.513686680294938</v>
      </c>
    </row>
    <row r="22" spans="1:24" x14ac:dyDescent="0.25">
      <c r="A22" s="14">
        <f t="shared" si="10"/>
        <v>0.41096491228070176</v>
      </c>
      <c r="B22" s="2">
        <f t="shared" si="11"/>
        <v>17</v>
      </c>
      <c r="C22" s="4">
        <f t="shared" si="12"/>
        <v>12.83</v>
      </c>
      <c r="D22" s="2">
        <v>15.5</v>
      </c>
      <c r="E22" s="2">
        <v>50.26548245743669</v>
      </c>
      <c r="F22" s="11">
        <f t="shared" si="0"/>
        <v>3.0836270224054725</v>
      </c>
      <c r="G22" s="2">
        <f t="shared" si="1"/>
        <v>39.562934697462211</v>
      </c>
      <c r="H22" s="2">
        <f t="shared" si="2"/>
        <v>2.5251260768851118</v>
      </c>
      <c r="I22" s="2">
        <f t="shared" si="3"/>
        <v>32.397367566435982</v>
      </c>
      <c r="J22" s="2">
        <f t="shared" si="4"/>
        <v>7.1655671310262292</v>
      </c>
      <c r="K22" s="15">
        <f t="shared" si="13"/>
        <v>0.38486842105263158</v>
      </c>
      <c r="L22" s="2">
        <f t="shared" si="14"/>
        <v>17</v>
      </c>
      <c r="M22" s="2">
        <f t="shared" si="15"/>
        <v>12.58</v>
      </c>
      <c r="N22" s="2">
        <v>16</v>
      </c>
      <c r="O22" s="2">
        <v>50.26548245743669</v>
      </c>
      <c r="P22" s="11">
        <f t="shared" si="5"/>
        <v>3.183098861837907</v>
      </c>
      <c r="Q22" s="2">
        <f t="shared" si="6"/>
        <v>40.043383681920872</v>
      </c>
      <c r="R22" s="2">
        <f t="shared" si="7"/>
        <v>2.6003374498912204</v>
      </c>
      <c r="S22" s="2">
        <f t="shared" si="8"/>
        <v>32.712245119631554</v>
      </c>
      <c r="T22" s="2">
        <f t="shared" si="9"/>
        <v>7.3311385622893184</v>
      </c>
      <c r="V22" s="27"/>
      <c r="W22" s="27"/>
      <c r="X22" s="28"/>
    </row>
    <row r="23" spans="1:24" x14ac:dyDescent="0.25">
      <c r="A23" s="14">
        <f t="shared" si="10"/>
        <v>0.41112938596491228</v>
      </c>
      <c r="B23" s="2">
        <f t="shared" si="11"/>
        <v>18</v>
      </c>
      <c r="C23" s="4">
        <f t="shared" si="12"/>
        <v>13.33</v>
      </c>
      <c r="D23" s="2">
        <v>14</v>
      </c>
      <c r="E23" s="2">
        <v>50.26548245743669</v>
      </c>
      <c r="F23" s="11">
        <f t="shared" si="0"/>
        <v>2.7852115041081689</v>
      </c>
      <c r="G23" s="2">
        <f t="shared" si="1"/>
        <v>37.12686934976189</v>
      </c>
      <c r="H23" s="2">
        <f t="shared" si="2"/>
        <v>2.5251260768851118</v>
      </c>
      <c r="I23" s="2">
        <f t="shared" si="3"/>
        <v>33.659930604878539</v>
      </c>
      <c r="J23" s="2">
        <f t="shared" si="4"/>
        <v>3.4669387448833504</v>
      </c>
      <c r="K23" s="15">
        <f t="shared" si="13"/>
        <v>0.38505116959064328</v>
      </c>
      <c r="L23" s="2">
        <f t="shared" si="14"/>
        <v>18</v>
      </c>
      <c r="M23" s="2">
        <f t="shared" si="15"/>
        <v>13.08</v>
      </c>
      <c r="N23" s="2">
        <v>14.5</v>
      </c>
      <c r="O23" s="2">
        <v>50.26548245743669</v>
      </c>
      <c r="P23" s="11">
        <f t="shared" si="5"/>
        <v>2.8846833435406034</v>
      </c>
      <c r="Q23" s="2">
        <f t="shared" si="6"/>
        <v>37.73165813351109</v>
      </c>
      <c r="R23" s="2">
        <f t="shared" si="7"/>
        <v>2.6003374498912204</v>
      </c>
      <c r="S23" s="2">
        <f t="shared" si="8"/>
        <v>34.012413844577161</v>
      </c>
      <c r="T23" s="2">
        <f t="shared" si="9"/>
        <v>3.719244288933929</v>
      </c>
      <c r="V23" s="38" t="s">
        <v>45</v>
      </c>
      <c r="W23" s="35"/>
      <c r="X23" s="36"/>
    </row>
    <row r="24" spans="1:24" x14ac:dyDescent="0.25">
      <c r="A24" s="14">
        <f t="shared" si="10"/>
        <v>0.41129385964912279</v>
      </c>
      <c r="B24" s="2">
        <f t="shared" si="11"/>
        <v>19</v>
      </c>
      <c r="C24" s="4">
        <f t="shared" si="12"/>
        <v>13.83</v>
      </c>
      <c r="D24" s="2">
        <v>13.5</v>
      </c>
      <c r="E24" s="2">
        <v>50.26548245743669</v>
      </c>
      <c r="F24" s="11">
        <f t="shared" si="0"/>
        <v>2.6857396646757339</v>
      </c>
      <c r="G24" s="2">
        <f t="shared" si="1"/>
        <v>37.143779562465397</v>
      </c>
      <c r="H24" s="2">
        <f t="shared" si="2"/>
        <v>2.5251260768851118</v>
      </c>
      <c r="I24" s="2">
        <f t="shared" si="3"/>
        <v>34.922493643321097</v>
      </c>
      <c r="J24" s="2">
        <f t="shared" si="4"/>
        <v>2.2212859191443002</v>
      </c>
      <c r="K24" s="15">
        <f t="shared" si="13"/>
        <v>0.38523391812865498</v>
      </c>
      <c r="L24" s="2">
        <f t="shared" si="14"/>
        <v>19</v>
      </c>
      <c r="M24" s="2">
        <f t="shared" si="15"/>
        <v>13.58</v>
      </c>
      <c r="N24" s="2">
        <v>14</v>
      </c>
      <c r="O24" s="2">
        <v>50.26548245743669</v>
      </c>
      <c r="P24" s="11">
        <f t="shared" si="5"/>
        <v>2.7852115041081689</v>
      </c>
      <c r="Q24" s="2">
        <f t="shared" si="6"/>
        <v>37.82317222578893</v>
      </c>
      <c r="R24" s="2">
        <f t="shared" si="7"/>
        <v>2.6003374498912204</v>
      </c>
      <c r="S24" s="2">
        <f t="shared" si="8"/>
        <v>35.312582569522775</v>
      </c>
      <c r="T24" s="2">
        <f t="shared" si="9"/>
        <v>2.5105896562661556</v>
      </c>
      <c r="V24" s="40" t="s">
        <v>46</v>
      </c>
      <c r="W24" s="35"/>
      <c r="X24" s="36"/>
    </row>
    <row r="25" spans="1:24" x14ac:dyDescent="0.25">
      <c r="A25" s="14">
        <f t="shared" si="10"/>
        <v>0.41145833333333331</v>
      </c>
      <c r="B25" s="2">
        <f t="shared" si="11"/>
        <v>20</v>
      </c>
      <c r="C25" s="4">
        <f t="shared" si="12"/>
        <v>14.33</v>
      </c>
      <c r="D25" s="2">
        <v>12.5</v>
      </c>
      <c r="E25" s="2">
        <v>50.26548245743669</v>
      </c>
      <c r="F25" s="11">
        <f t="shared" si="0"/>
        <v>2.4867959858108648</v>
      </c>
      <c r="G25" s="2">
        <f t="shared" si="1"/>
        <v>35.635786476669693</v>
      </c>
      <c r="H25" s="2">
        <f t="shared" si="2"/>
        <v>2.5251260768851118</v>
      </c>
      <c r="I25" s="2">
        <f t="shared" si="3"/>
        <v>36.185056681763655</v>
      </c>
      <c r="J25" s="2">
        <f t="shared" si="4"/>
        <v>0.54927020509396129</v>
      </c>
      <c r="K25" s="15">
        <f t="shared" si="13"/>
        <v>0.38541666666666663</v>
      </c>
      <c r="L25" s="2">
        <f t="shared" si="14"/>
        <v>20</v>
      </c>
      <c r="M25" s="2">
        <f t="shared" si="15"/>
        <v>14.08</v>
      </c>
      <c r="N25" s="2">
        <v>23</v>
      </c>
      <c r="O25" s="2">
        <v>50.26548245743669</v>
      </c>
      <c r="P25" s="11">
        <f t="shared" si="5"/>
        <v>4.5757046138919915</v>
      </c>
      <c r="Q25" s="2">
        <f t="shared" si="6"/>
        <v>64.425920963599239</v>
      </c>
      <c r="R25" s="2">
        <f t="shared" si="7"/>
        <v>2.6003374498912204</v>
      </c>
      <c r="S25" s="2">
        <f t="shared" si="8"/>
        <v>36.612751294468382</v>
      </c>
      <c r="T25" s="2">
        <f t="shared" si="9"/>
        <v>27.813169669130858</v>
      </c>
      <c r="V25" s="38" t="s">
        <v>47</v>
      </c>
      <c r="W25" s="35"/>
      <c r="X25" s="36"/>
    </row>
    <row r="26" spans="1:24" x14ac:dyDescent="0.25">
      <c r="A26" s="14">
        <f t="shared" si="10"/>
        <v>0.41162280701754389</v>
      </c>
      <c r="B26" s="2">
        <f t="shared" si="11"/>
        <v>21</v>
      </c>
      <c r="C26" s="4">
        <f t="shared" si="12"/>
        <v>14.83</v>
      </c>
      <c r="D26" s="2">
        <v>10</v>
      </c>
      <c r="E26" s="2">
        <v>50.26548245743669</v>
      </c>
      <c r="F26" s="11">
        <f t="shared" si="0"/>
        <v>1.9894367886486919</v>
      </c>
      <c r="G26" s="2">
        <f t="shared" si="1"/>
        <v>29.503347575660101</v>
      </c>
      <c r="H26" s="2">
        <f t="shared" si="2"/>
        <v>2.5251260768851118</v>
      </c>
      <c r="I26" s="2">
        <f t="shared" si="3"/>
        <v>37.447619720206205</v>
      </c>
      <c r="J26" s="2">
        <f t="shared" si="4"/>
        <v>7.9442721445461046</v>
      </c>
      <c r="K26" s="15">
        <f t="shared" si="13"/>
        <v>0.38559941520467833</v>
      </c>
      <c r="L26" s="2">
        <f t="shared" si="14"/>
        <v>21</v>
      </c>
      <c r="M26" s="2">
        <f t="shared" si="15"/>
        <v>14.58</v>
      </c>
      <c r="N26" s="2">
        <v>10</v>
      </c>
      <c r="O26" s="2">
        <v>50.26548245743669</v>
      </c>
      <c r="P26" s="11">
        <f t="shared" si="5"/>
        <v>1.9894367886486919</v>
      </c>
      <c r="Q26" s="2">
        <f t="shared" si="6"/>
        <v>29.005988378497928</v>
      </c>
      <c r="R26" s="2">
        <f t="shared" si="7"/>
        <v>2.6003374498912204</v>
      </c>
      <c r="S26" s="2">
        <f t="shared" si="8"/>
        <v>37.912920019413995</v>
      </c>
      <c r="T26" s="2">
        <f t="shared" si="9"/>
        <v>8.906931640916067</v>
      </c>
      <c r="V26" s="40" t="s">
        <v>48</v>
      </c>
      <c r="W26" s="35"/>
      <c r="X26" s="36"/>
    </row>
    <row r="27" spans="1:24" x14ac:dyDescent="0.25">
      <c r="A27" s="14">
        <f t="shared" si="10"/>
        <v>0.41178728070175441</v>
      </c>
      <c r="B27" s="2">
        <f t="shared" si="11"/>
        <v>22</v>
      </c>
      <c r="C27" s="4">
        <f t="shared" si="12"/>
        <v>15.33</v>
      </c>
      <c r="D27" s="2">
        <v>9.5</v>
      </c>
      <c r="E27" s="2">
        <v>50.26548245743669</v>
      </c>
      <c r="F27" s="11">
        <f t="shared" si="0"/>
        <v>1.8899649492162571</v>
      </c>
      <c r="G27" s="2">
        <f t="shared" si="1"/>
        <v>28.973162671485223</v>
      </c>
      <c r="H27" s="2">
        <f t="shared" si="2"/>
        <v>2.5251260768851118</v>
      </c>
      <c r="I27" s="2">
        <f t="shared" si="3"/>
        <v>38.710182758648763</v>
      </c>
      <c r="J27" s="2">
        <f t="shared" si="4"/>
        <v>9.7370200871635397</v>
      </c>
      <c r="K27" s="15">
        <f t="shared" si="13"/>
        <v>0.38578216374269003</v>
      </c>
      <c r="L27" s="2">
        <f t="shared" si="14"/>
        <v>22</v>
      </c>
      <c r="M27" s="2">
        <f t="shared" si="15"/>
        <v>15.08</v>
      </c>
      <c r="N27" s="2">
        <v>10</v>
      </c>
      <c r="O27" s="2">
        <v>50.26548245743669</v>
      </c>
      <c r="P27" s="11">
        <f t="shared" si="5"/>
        <v>1.9894367886486919</v>
      </c>
      <c r="Q27" s="2">
        <f t="shared" si="6"/>
        <v>30.000706772822273</v>
      </c>
      <c r="R27" s="2">
        <f t="shared" si="7"/>
        <v>2.6003374498912204</v>
      </c>
      <c r="S27" s="2">
        <f t="shared" si="8"/>
        <v>39.213088744359602</v>
      </c>
      <c r="T27" s="2">
        <f t="shared" si="9"/>
        <v>9.2123819715373294</v>
      </c>
    </row>
    <row r="28" spans="1:24" x14ac:dyDescent="0.25">
      <c r="A28" s="14">
        <f t="shared" si="10"/>
        <v>0.41195175438596493</v>
      </c>
      <c r="B28" s="2">
        <f t="shared" si="11"/>
        <v>23</v>
      </c>
      <c r="C28" s="4">
        <f t="shared" si="12"/>
        <v>15.83</v>
      </c>
      <c r="D28" s="2">
        <v>9.5</v>
      </c>
      <c r="E28" s="2">
        <v>50.26548245743669</v>
      </c>
      <c r="F28" s="11">
        <f t="shared" si="0"/>
        <v>1.8899649492162571</v>
      </c>
      <c r="G28" s="2">
        <f t="shared" si="1"/>
        <v>29.918145146093352</v>
      </c>
      <c r="H28" s="2">
        <f t="shared" si="2"/>
        <v>2.5251260768851118</v>
      </c>
      <c r="I28" s="2">
        <f t="shared" si="3"/>
        <v>39.972745797091321</v>
      </c>
      <c r="J28" s="2">
        <f t="shared" si="4"/>
        <v>10.054600650997969</v>
      </c>
      <c r="K28" s="15">
        <f t="shared" si="13"/>
        <v>0.38596491228070173</v>
      </c>
      <c r="L28" s="2">
        <f t="shared" si="14"/>
        <v>23</v>
      </c>
      <c r="M28" s="2">
        <f t="shared" si="15"/>
        <v>15.58</v>
      </c>
      <c r="N28" s="2">
        <v>9.5</v>
      </c>
      <c r="O28" s="2">
        <v>50.26548245743669</v>
      </c>
      <c r="P28" s="11">
        <f t="shared" si="5"/>
        <v>1.8899649492162571</v>
      </c>
      <c r="Q28" s="2">
        <f t="shared" si="6"/>
        <v>29.445653908789286</v>
      </c>
      <c r="R28" s="2">
        <f t="shared" si="7"/>
        <v>2.6003374498912204</v>
      </c>
      <c r="S28" s="2">
        <f t="shared" si="8"/>
        <v>40.513257469305216</v>
      </c>
      <c r="T28" s="2">
        <f t="shared" si="9"/>
        <v>11.067603560515931</v>
      </c>
      <c r="V28" s="24" t="s">
        <v>49</v>
      </c>
      <c r="W28" s="24" t="s">
        <v>50</v>
      </c>
    </row>
    <row r="29" spans="1:24" x14ac:dyDescent="0.25">
      <c r="A29" s="14">
        <f t="shared" si="10"/>
        <v>0.41211622807017545</v>
      </c>
      <c r="B29" s="2">
        <f t="shared" si="11"/>
        <v>24</v>
      </c>
      <c r="C29" s="4">
        <f t="shared" si="12"/>
        <v>16.329999999999998</v>
      </c>
      <c r="D29" s="2">
        <v>10.5</v>
      </c>
      <c r="E29" s="2">
        <v>50.26548245743669</v>
      </c>
      <c r="F29" s="11">
        <f t="shared" si="0"/>
        <v>2.0889086280811267</v>
      </c>
      <c r="G29" s="2">
        <f t="shared" si="1"/>
        <v>34.111877896564792</v>
      </c>
      <c r="H29" s="2">
        <f t="shared" si="2"/>
        <v>2.5251260768851118</v>
      </c>
      <c r="I29" s="2">
        <f t="shared" si="3"/>
        <v>41.235308835533871</v>
      </c>
      <c r="J29" s="2">
        <f t="shared" si="4"/>
        <v>7.1234309389690793</v>
      </c>
      <c r="K29" s="15">
        <f t="shared" si="13"/>
        <v>0.38614766081871343</v>
      </c>
      <c r="L29" s="2">
        <f t="shared" si="14"/>
        <v>24</v>
      </c>
      <c r="M29" s="2">
        <f t="shared" si="15"/>
        <v>16.079999999999998</v>
      </c>
      <c r="N29" s="2">
        <v>9.5</v>
      </c>
      <c r="O29" s="2">
        <v>50.26548245743669</v>
      </c>
      <c r="P29" s="11">
        <f t="shared" si="5"/>
        <v>1.8899649492162571</v>
      </c>
      <c r="Q29" s="2">
        <f t="shared" si="6"/>
        <v>30.39063638339741</v>
      </c>
      <c r="R29" s="2">
        <f t="shared" si="7"/>
        <v>2.6003374498912204</v>
      </c>
      <c r="S29" s="2">
        <f t="shared" si="8"/>
        <v>41.813426194250816</v>
      </c>
      <c r="T29" s="2">
        <f t="shared" si="9"/>
        <v>11.422789810853406</v>
      </c>
      <c r="V29" s="24">
        <f>MAX(D4:D160)</f>
        <v>30</v>
      </c>
      <c r="W29" s="24">
        <f>MAX(N4:N160)</f>
        <v>23</v>
      </c>
    </row>
    <row r="30" spans="1:24" x14ac:dyDescent="0.25">
      <c r="A30" s="14">
        <f t="shared" si="10"/>
        <v>0.41228070175438597</v>
      </c>
      <c r="B30" s="2">
        <f t="shared" si="11"/>
        <v>25</v>
      </c>
      <c r="C30" s="4">
        <f t="shared" si="12"/>
        <v>16.829999999999998</v>
      </c>
      <c r="D30" s="2">
        <v>10</v>
      </c>
      <c r="E30" s="2">
        <v>50.26548245743669</v>
      </c>
      <c r="F30" s="11">
        <f t="shared" si="0"/>
        <v>1.9894367886486919</v>
      </c>
      <c r="G30" s="2">
        <f t="shared" si="1"/>
        <v>33.482221152957479</v>
      </c>
      <c r="H30" s="2">
        <f t="shared" si="2"/>
        <v>2.5251260768851118</v>
      </c>
      <c r="I30" s="2">
        <f t="shared" si="3"/>
        <v>42.497871873976429</v>
      </c>
      <c r="J30" s="2">
        <f t="shared" si="4"/>
        <v>9.0156507210189503</v>
      </c>
      <c r="K30" s="15">
        <f t="shared" si="13"/>
        <v>0.38633040935672514</v>
      </c>
      <c r="L30" s="2">
        <f t="shared" si="14"/>
        <v>25</v>
      </c>
      <c r="M30" s="2">
        <f t="shared" si="15"/>
        <v>16.579999999999998</v>
      </c>
      <c r="N30" s="2">
        <v>10</v>
      </c>
      <c r="O30" s="2">
        <v>50.26548245743669</v>
      </c>
      <c r="P30" s="11">
        <f t="shared" si="5"/>
        <v>1.9894367886486919</v>
      </c>
      <c r="Q30" s="2">
        <f t="shared" si="6"/>
        <v>32.98486195579531</v>
      </c>
      <c r="R30" s="2">
        <f t="shared" si="7"/>
        <v>2.6003374498912204</v>
      </c>
      <c r="S30" s="2">
        <f t="shared" si="8"/>
        <v>43.11359491919643</v>
      </c>
      <c r="T30" s="2">
        <f t="shared" si="9"/>
        <v>10.12873296340112</v>
      </c>
      <c r="V30" s="24" t="s">
        <v>14</v>
      </c>
      <c r="W30" s="24" t="s">
        <v>14</v>
      </c>
    </row>
    <row r="31" spans="1:24" x14ac:dyDescent="0.25">
      <c r="A31" s="14">
        <f t="shared" si="10"/>
        <v>0.41244517543859649</v>
      </c>
      <c r="B31" s="2">
        <f t="shared" si="11"/>
        <v>26</v>
      </c>
      <c r="C31" s="4">
        <f t="shared" si="12"/>
        <v>17.329999999999998</v>
      </c>
      <c r="D31" s="2">
        <v>9</v>
      </c>
      <c r="E31" s="2">
        <v>50.26548245743669</v>
      </c>
      <c r="F31" s="11">
        <f t="shared" si="0"/>
        <v>1.7904931097838226</v>
      </c>
      <c r="G31" s="2">
        <f t="shared" si="1"/>
        <v>31.029245592553643</v>
      </c>
      <c r="H31" s="2">
        <f t="shared" si="2"/>
        <v>2.5251260768851118</v>
      </c>
      <c r="I31" s="2">
        <f t="shared" si="3"/>
        <v>43.760434912418987</v>
      </c>
      <c r="J31" s="2">
        <f t="shared" si="4"/>
        <v>12.731189319865344</v>
      </c>
      <c r="K31" s="15">
        <f t="shared" si="13"/>
        <v>0.38651315789473684</v>
      </c>
      <c r="L31" s="2">
        <f t="shared" si="14"/>
        <v>26</v>
      </c>
      <c r="M31" s="2">
        <f t="shared" si="15"/>
        <v>17.079999999999998</v>
      </c>
      <c r="N31" s="2">
        <v>8.5</v>
      </c>
      <c r="O31" s="2">
        <v>50.26548245743669</v>
      </c>
      <c r="P31" s="11">
        <f t="shared" si="5"/>
        <v>1.6910212703513881</v>
      </c>
      <c r="Q31" s="2">
        <f t="shared" si="6"/>
        <v>28.882643297601707</v>
      </c>
      <c r="R31" s="2">
        <f t="shared" si="7"/>
        <v>2.6003374498912204</v>
      </c>
      <c r="S31" s="2">
        <f t="shared" si="8"/>
        <v>44.413763644142037</v>
      </c>
      <c r="T31" s="2">
        <f t="shared" si="9"/>
        <v>15.53112034654033</v>
      </c>
      <c r="V31" s="24">
        <f t="array" ref="V31">INDEX(B4:B160, MATCH(MAX(D4:D160), D4:D160, 0))</f>
        <v>11</v>
      </c>
      <c r="W31" s="24">
        <f t="array" ref="W31">INDEX(L4:L160, MATCH(MAX(N4:N160), N4:N160, 0))</f>
        <v>20</v>
      </c>
    </row>
    <row r="32" spans="1:24" x14ac:dyDescent="0.25">
      <c r="A32" s="14">
        <f t="shared" si="10"/>
        <v>0.41260964912280701</v>
      </c>
      <c r="B32" s="2">
        <f t="shared" si="11"/>
        <v>27</v>
      </c>
      <c r="C32" s="4">
        <f t="shared" si="12"/>
        <v>17.829999999999998</v>
      </c>
      <c r="D32" s="2">
        <v>8</v>
      </c>
      <c r="E32" s="2">
        <v>50.26548245743669</v>
      </c>
      <c r="F32" s="11">
        <f t="shared" si="0"/>
        <v>1.5915494309189535</v>
      </c>
      <c r="G32" s="2">
        <f t="shared" si="1"/>
        <v>28.377326353284939</v>
      </c>
      <c r="H32" s="2">
        <f t="shared" si="2"/>
        <v>2.5251260768851118</v>
      </c>
      <c r="I32" s="2">
        <f t="shared" si="3"/>
        <v>45.022997950861537</v>
      </c>
      <c r="J32" s="2">
        <f t="shared" si="4"/>
        <v>16.645671597576598</v>
      </c>
      <c r="K32" s="15">
        <f t="shared" si="13"/>
        <v>0.38669590643274854</v>
      </c>
      <c r="L32" s="2">
        <f t="shared" si="14"/>
        <v>27</v>
      </c>
      <c r="M32" s="2">
        <f t="shared" si="15"/>
        <v>17.579999999999998</v>
      </c>
      <c r="N32" s="2">
        <v>9</v>
      </c>
      <c r="O32" s="2">
        <v>50.26548245743669</v>
      </c>
      <c r="P32" s="11">
        <f t="shared" si="5"/>
        <v>1.7904931097838226</v>
      </c>
      <c r="Q32" s="2">
        <f t="shared" si="6"/>
        <v>31.476868869999599</v>
      </c>
      <c r="R32" s="2">
        <f t="shared" si="7"/>
        <v>2.6003374498912204</v>
      </c>
      <c r="S32" s="2">
        <f t="shared" si="8"/>
        <v>45.713932369087651</v>
      </c>
      <c r="T32" s="2">
        <f t="shared" si="9"/>
        <v>14.237063499088052</v>
      </c>
    </row>
    <row r="33" spans="1:23" x14ac:dyDescent="0.25">
      <c r="A33" s="14">
        <f t="shared" si="10"/>
        <v>0.41277412280701758</v>
      </c>
      <c r="B33" s="2">
        <f t="shared" si="11"/>
        <v>28</v>
      </c>
      <c r="C33" s="4">
        <f t="shared" si="12"/>
        <v>18.329999999999998</v>
      </c>
      <c r="D33" s="2">
        <v>7</v>
      </c>
      <c r="E33" s="2">
        <v>50.26548245743669</v>
      </c>
      <c r="F33" s="11">
        <f t="shared" si="0"/>
        <v>1.3926057520540844</v>
      </c>
      <c r="G33" s="2">
        <f t="shared" si="1"/>
        <v>25.526463435151367</v>
      </c>
      <c r="H33" s="2">
        <f t="shared" si="2"/>
        <v>2.5251260768851118</v>
      </c>
      <c r="I33" s="2">
        <f t="shared" si="3"/>
        <v>46.285560989304095</v>
      </c>
      <c r="J33" s="2">
        <f t="shared" si="4"/>
        <v>20.759097554152728</v>
      </c>
      <c r="K33" s="15">
        <f t="shared" si="13"/>
        <v>0.38687865497076024</v>
      </c>
      <c r="L33" s="2">
        <f t="shared" si="14"/>
        <v>28</v>
      </c>
      <c r="M33" s="2">
        <f t="shared" si="15"/>
        <v>18.079999999999998</v>
      </c>
      <c r="N33" s="2">
        <v>8</v>
      </c>
      <c r="O33" s="2">
        <v>50.26548245743669</v>
      </c>
      <c r="P33" s="11">
        <f t="shared" si="5"/>
        <v>1.5915494309189535</v>
      </c>
      <c r="Q33" s="2">
        <f t="shared" si="6"/>
        <v>28.775213711014676</v>
      </c>
      <c r="R33" s="2">
        <f t="shared" si="7"/>
        <v>2.6003374498912204</v>
      </c>
      <c r="S33" s="2">
        <f t="shared" si="8"/>
        <v>47.014101094033258</v>
      </c>
      <c r="T33" s="2">
        <f t="shared" si="9"/>
        <v>18.238887383018582</v>
      </c>
      <c r="W33" s="2" t="s">
        <v>50</v>
      </c>
    </row>
    <row r="34" spans="1:23" x14ac:dyDescent="0.25">
      <c r="A34" s="14">
        <f t="shared" si="10"/>
        <v>0.4129385964912281</v>
      </c>
      <c r="B34" s="2">
        <f t="shared" si="11"/>
        <v>29</v>
      </c>
      <c r="C34" s="4">
        <f t="shared" si="12"/>
        <v>18.829999999999998</v>
      </c>
      <c r="D34" s="2">
        <v>7.5</v>
      </c>
      <c r="E34" s="2">
        <v>50.26548245743669</v>
      </c>
      <c r="F34" s="11">
        <f t="shared" si="0"/>
        <v>1.492077591486519</v>
      </c>
      <c r="G34" s="2">
        <f t="shared" si="1"/>
        <v>28.09582104769115</v>
      </c>
      <c r="H34" s="2">
        <f t="shared" si="2"/>
        <v>2.5251260768851118</v>
      </c>
      <c r="I34" s="2">
        <f t="shared" si="3"/>
        <v>47.548124027746653</v>
      </c>
      <c r="J34" s="2">
        <f t="shared" si="4"/>
        <v>19.452302980055503</v>
      </c>
      <c r="K34" s="15">
        <f t="shared" si="13"/>
        <v>0.38706140350877194</v>
      </c>
      <c r="L34" s="2">
        <f t="shared" si="14"/>
        <v>29</v>
      </c>
      <c r="M34" s="2">
        <f t="shared" si="15"/>
        <v>18.579999999999998</v>
      </c>
      <c r="N34" s="2">
        <v>8.5</v>
      </c>
      <c r="O34" s="2">
        <v>50.26548245743669</v>
      </c>
      <c r="P34" s="11">
        <f t="shared" si="5"/>
        <v>1.6910212703513881</v>
      </c>
      <c r="Q34" s="2">
        <f t="shared" si="6"/>
        <v>31.419175203128788</v>
      </c>
      <c r="R34" s="2">
        <f t="shared" si="7"/>
        <v>2.6003374498912204</v>
      </c>
      <c r="S34" s="2">
        <f t="shared" si="8"/>
        <v>48.314269818978872</v>
      </c>
      <c r="T34" s="2">
        <f t="shared" si="9"/>
        <v>16.895094615850084</v>
      </c>
      <c r="W34" s="2">
        <v>105</v>
      </c>
    </row>
    <row r="35" spans="1:23" x14ac:dyDescent="0.25">
      <c r="A35" s="14">
        <f t="shared" si="10"/>
        <v>0.41310307017543862</v>
      </c>
      <c r="B35" s="2">
        <f t="shared" si="11"/>
        <v>30</v>
      </c>
      <c r="C35" s="4">
        <f t="shared" si="12"/>
        <v>19.329999999999998</v>
      </c>
      <c r="D35" s="2">
        <v>8.5</v>
      </c>
      <c r="E35" s="2">
        <v>50.26548245743669</v>
      </c>
      <c r="F35" s="11">
        <f t="shared" si="0"/>
        <v>1.6910212703513881</v>
      </c>
      <c r="G35" s="2">
        <f t="shared" si="1"/>
        <v>32.68744115589233</v>
      </c>
      <c r="H35" s="2">
        <f t="shared" si="2"/>
        <v>2.5251260768851118</v>
      </c>
      <c r="I35" s="2">
        <f t="shared" si="3"/>
        <v>48.81068706618921</v>
      </c>
      <c r="J35" s="2">
        <f t="shared" si="4"/>
        <v>16.12324591029688</v>
      </c>
      <c r="K35" s="15">
        <f t="shared" si="13"/>
        <v>0.38724415204678364</v>
      </c>
      <c r="L35" s="2">
        <f t="shared" si="14"/>
        <v>30</v>
      </c>
      <c r="M35" s="2">
        <f t="shared" si="15"/>
        <v>19.079999999999998</v>
      </c>
      <c r="N35" s="2">
        <v>8.5</v>
      </c>
      <c r="O35" s="2">
        <v>50.26548245743669</v>
      </c>
      <c r="P35" s="11">
        <f t="shared" si="5"/>
        <v>1.6910212703513881</v>
      </c>
      <c r="Q35" s="2">
        <f t="shared" si="6"/>
        <v>32.26468583830448</v>
      </c>
      <c r="R35" s="2">
        <f t="shared" si="7"/>
        <v>2.6003374498912204</v>
      </c>
      <c r="S35" s="2">
        <f t="shared" si="8"/>
        <v>49.614438543924479</v>
      </c>
      <c r="T35" s="2">
        <f t="shared" si="9"/>
        <v>17.349752705619998</v>
      </c>
      <c r="W35" s="2" t="s">
        <v>14</v>
      </c>
    </row>
    <row r="36" spans="1:23" x14ac:dyDescent="0.25">
      <c r="A36" s="14">
        <f t="shared" si="10"/>
        <v>0.41326754385964914</v>
      </c>
      <c r="B36" s="2">
        <f t="shared" si="11"/>
        <v>31</v>
      </c>
      <c r="C36" s="4">
        <f t="shared" si="12"/>
        <v>19.829999999999998</v>
      </c>
      <c r="D36" s="2">
        <v>9.5</v>
      </c>
      <c r="E36" s="2">
        <v>50.26548245743669</v>
      </c>
      <c r="F36" s="11">
        <f t="shared" si="0"/>
        <v>1.8899649492162571</v>
      </c>
      <c r="G36" s="2">
        <f t="shared" si="1"/>
        <v>37.478004942958378</v>
      </c>
      <c r="H36" s="2">
        <f t="shared" si="2"/>
        <v>2.5251260768851118</v>
      </c>
      <c r="I36" s="2">
        <f t="shared" si="3"/>
        <v>50.073250104631761</v>
      </c>
      <c r="J36" s="2">
        <f t="shared" si="4"/>
        <v>12.595245161673382</v>
      </c>
      <c r="K36" s="15">
        <f t="shared" si="13"/>
        <v>0.38742690058479534</v>
      </c>
      <c r="L36" s="2">
        <f t="shared" si="14"/>
        <v>31</v>
      </c>
      <c r="M36" s="2">
        <f t="shared" si="15"/>
        <v>19.579999999999998</v>
      </c>
      <c r="N36" s="2">
        <v>10.5</v>
      </c>
      <c r="O36" s="2">
        <v>50.26548245743669</v>
      </c>
      <c r="P36" s="11">
        <f t="shared" si="5"/>
        <v>2.0889086280811267</v>
      </c>
      <c r="Q36" s="2">
        <f t="shared" si="6"/>
        <v>40.900830937828459</v>
      </c>
      <c r="R36" s="2">
        <f t="shared" si="7"/>
        <v>2.6003374498912204</v>
      </c>
      <c r="S36" s="2">
        <f t="shared" si="8"/>
        <v>50.914607268870093</v>
      </c>
      <c r="T36" s="2">
        <f t="shared" si="9"/>
        <v>10.013776331041633</v>
      </c>
      <c r="W36" s="2">
        <v>102</v>
      </c>
    </row>
    <row r="37" spans="1:23" x14ac:dyDescent="0.25">
      <c r="A37" s="14">
        <f t="shared" si="10"/>
        <v>0.41343201754385966</v>
      </c>
      <c r="B37" s="2">
        <f t="shared" si="11"/>
        <v>32</v>
      </c>
      <c r="C37" s="4">
        <f t="shared" si="12"/>
        <v>20.329999999999998</v>
      </c>
      <c r="D37" s="2">
        <v>10.5</v>
      </c>
      <c r="E37" s="2">
        <v>50.26548245743669</v>
      </c>
      <c r="F37" s="11">
        <f t="shared" si="0"/>
        <v>2.0889086280811267</v>
      </c>
      <c r="G37" s="2">
        <f t="shared" si="1"/>
        <v>42.467512408889299</v>
      </c>
      <c r="H37" s="2">
        <f t="shared" si="2"/>
        <v>2.5251260768851118</v>
      </c>
      <c r="I37" s="2">
        <f t="shared" si="3"/>
        <v>51.335813143074319</v>
      </c>
      <c r="J37" s="2">
        <f t="shared" si="4"/>
        <v>8.86830073418502</v>
      </c>
      <c r="K37" s="15">
        <f t="shared" si="13"/>
        <v>0.38760964912280704</v>
      </c>
      <c r="L37" s="2">
        <f t="shared" si="14"/>
        <v>32</v>
      </c>
      <c r="M37" s="2">
        <f t="shared" si="15"/>
        <v>20.079999999999998</v>
      </c>
      <c r="N37" s="2">
        <v>10</v>
      </c>
      <c r="O37" s="2">
        <v>50.26548245743669</v>
      </c>
      <c r="P37" s="11">
        <f t="shared" si="5"/>
        <v>1.9894367886486919</v>
      </c>
      <c r="Q37" s="2">
        <f t="shared" si="6"/>
        <v>39.947890716065729</v>
      </c>
      <c r="R37" s="2">
        <f t="shared" si="7"/>
        <v>2.6003374498912204</v>
      </c>
      <c r="S37" s="2">
        <f t="shared" si="8"/>
        <v>52.214775993815699</v>
      </c>
      <c r="T37" s="2">
        <f t="shared" si="9"/>
        <v>12.266885277749971</v>
      </c>
    </row>
    <row r="38" spans="1:23" x14ac:dyDescent="0.25">
      <c r="A38" s="14">
        <f t="shared" si="10"/>
        <v>0.41359649122807018</v>
      </c>
      <c r="B38" s="2">
        <f t="shared" si="11"/>
        <v>33</v>
      </c>
      <c r="C38" s="4">
        <f t="shared" si="12"/>
        <v>20.83</v>
      </c>
      <c r="D38" s="2">
        <v>10.5</v>
      </c>
      <c r="E38" s="2">
        <v>50.26548245743669</v>
      </c>
      <c r="F38" s="11">
        <f t="shared" si="0"/>
        <v>2.0889086280811267</v>
      </c>
      <c r="G38" s="2">
        <f t="shared" si="1"/>
        <v>43.511966722929863</v>
      </c>
      <c r="H38" s="2">
        <f t="shared" si="2"/>
        <v>2.5251260768851118</v>
      </c>
      <c r="I38" s="2">
        <f t="shared" si="3"/>
        <v>52.598376181516876</v>
      </c>
      <c r="J38" s="2">
        <f t="shared" si="4"/>
        <v>9.0864094585870134</v>
      </c>
      <c r="K38" s="15">
        <f t="shared" si="13"/>
        <v>0.38779239766081869</v>
      </c>
      <c r="L38" s="2">
        <f t="shared" si="14"/>
        <v>33</v>
      </c>
      <c r="M38" s="2">
        <f t="shared" si="15"/>
        <v>20.58</v>
      </c>
      <c r="N38" s="2">
        <v>11.5</v>
      </c>
      <c r="O38" s="2">
        <v>50.26548245743669</v>
      </c>
      <c r="P38" s="11">
        <f t="shared" si="5"/>
        <v>2.2878523069459957</v>
      </c>
      <c r="Q38" s="2">
        <f t="shared" si="6"/>
        <v>47.084000476948589</v>
      </c>
      <c r="R38" s="2">
        <f t="shared" si="7"/>
        <v>2.6003374498912204</v>
      </c>
      <c r="S38" s="2">
        <f t="shared" si="8"/>
        <v>53.514944718761313</v>
      </c>
      <c r="T38" s="2">
        <f t="shared" si="9"/>
        <v>6.4309442418127247</v>
      </c>
    </row>
    <row r="39" spans="1:23" x14ac:dyDescent="0.25">
      <c r="A39" s="14">
        <f t="shared" si="10"/>
        <v>0.4137609649122807</v>
      </c>
      <c r="B39" s="2">
        <f t="shared" si="11"/>
        <v>34</v>
      </c>
      <c r="C39" s="4">
        <f t="shared" si="12"/>
        <v>21.33</v>
      </c>
      <c r="D39" s="2">
        <v>11</v>
      </c>
      <c r="E39" s="2">
        <v>50.26548245743669</v>
      </c>
      <c r="F39" s="11">
        <f t="shared" si="0"/>
        <v>2.1883804675135607</v>
      </c>
      <c r="G39" s="2">
        <f t="shared" si="1"/>
        <v>46.678155372064246</v>
      </c>
      <c r="H39" s="2">
        <f t="shared" si="2"/>
        <v>2.5251260768851118</v>
      </c>
      <c r="I39" s="2">
        <f t="shared" si="3"/>
        <v>53.860939219959434</v>
      </c>
      <c r="J39" s="2">
        <f t="shared" si="4"/>
        <v>7.1827838478951875</v>
      </c>
      <c r="K39" s="15">
        <f t="shared" si="13"/>
        <v>0.38797514619883039</v>
      </c>
      <c r="L39" s="2">
        <f t="shared" si="14"/>
        <v>34</v>
      </c>
      <c r="M39" s="2">
        <f t="shared" si="15"/>
        <v>21.08</v>
      </c>
      <c r="N39" s="2">
        <v>11.5</v>
      </c>
      <c r="O39" s="2">
        <v>50.26548245743669</v>
      </c>
      <c r="P39" s="11">
        <f t="shared" si="5"/>
        <v>2.2878523069459957</v>
      </c>
      <c r="Q39" s="2">
        <f t="shared" si="6"/>
        <v>48.227926630421585</v>
      </c>
      <c r="R39" s="2">
        <f t="shared" si="7"/>
        <v>2.6003374498912204</v>
      </c>
      <c r="S39" s="2">
        <f t="shared" si="8"/>
        <v>54.81511344370692</v>
      </c>
      <c r="T39" s="2">
        <f t="shared" si="9"/>
        <v>6.5871868132853351</v>
      </c>
    </row>
    <row r="40" spans="1:23" x14ac:dyDescent="0.25">
      <c r="A40" s="14">
        <f t="shared" si="10"/>
        <v>0.41392543859649122</v>
      </c>
      <c r="B40" s="2">
        <f t="shared" si="11"/>
        <v>35</v>
      </c>
      <c r="C40" s="4">
        <f t="shared" si="12"/>
        <v>21.83</v>
      </c>
      <c r="D40" s="2">
        <v>11.5</v>
      </c>
      <c r="E40" s="2">
        <v>50.26548245743669</v>
      </c>
      <c r="F40" s="11">
        <f t="shared" si="0"/>
        <v>2.2878523069459957</v>
      </c>
      <c r="G40" s="2">
        <f t="shared" si="1"/>
        <v>49.943815860631084</v>
      </c>
      <c r="H40" s="2">
        <f t="shared" si="2"/>
        <v>2.5251260768851118</v>
      </c>
      <c r="I40" s="2">
        <f t="shared" si="3"/>
        <v>55.123502258401984</v>
      </c>
      <c r="J40" s="2">
        <f t="shared" si="4"/>
        <v>5.1796863977709009</v>
      </c>
      <c r="K40" s="15">
        <f t="shared" si="13"/>
        <v>0.38815789473684209</v>
      </c>
      <c r="L40" s="2">
        <f t="shared" si="14"/>
        <v>35</v>
      </c>
      <c r="M40" s="2">
        <f t="shared" si="15"/>
        <v>21.58</v>
      </c>
      <c r="N40" s="2">
        <v>12.5</v>
      </c>
      <c r="O40" s="2">
        <v>50.26548245743669</v>
      </c>
      <c r="P40" s="11">
        <f t="shared" si="5"/>
        <v>2.4867959858108648</v>
      </c>
      <c r="Q40" s="2">
        <f t="shared" si="6"/>
        <v>53.665057373798462</v>
      </c>
      <c r="R40" s="2">
        <f t="shared" si="7"/>
        <v>2.6003374498912204</v>
      </c>
      <c r="S40" s="2">
        <f t="shared" si="8"/>
        <v>56.115282168652534</v>
      </c>
      <c r="T40" s="2">
        <f t="shared" si="9"/>
        <v>2.4502247948540727</v>
      </c>
    </row>
    <row r="41" spans="1:23" x14ac:dyDescent="0.25">
      <c r="A41" s="14">
        <f t="shared" si="10"/>
        <v>0.4140899122807018</v>
      </c>
      <c r="B41" s="2">
        <f t="shared" si="11"/>
        <v>36</v>
      </c>
      <c r="C41" s="4">
        <f t="shared" si="12"/>
        <v>22.33</v>
      </c>
      <c r="D41" s="2">
        <v>14.5</v>
      </c>
      <c r="E41" s="2">
        <v>50.26548245743669</v>
      </c>
      <c r="F41" s="11">
        <f t="shared" si="0"/>
        <v>2.8846833435406034</v>
      </c>
      <c r="G41" s="2">
        <f t="shared" si="1"/>
        <v>64.414979061261675</v>
      </c>
      <c r="H41" s="2">
        <f t="shared" si="2"/>
        <v>2.5251260768851118</v>
      </c>
      <c r="I41" s="2">
        <f t="shared" si="3"/>
        <v>56.386065296844542</v>
      </c>
      <c r="J41" s="2">
        <f t="shared" si="4"/>
        <v>8.0289137644171333</v>
      </c>
      <c r="K41" s="15">
        <f t="shared" si="13"/>
        <v>0.38834064327485379</v>
      </c>
      <c r="L41" s="2">
        <f t="shared" si="14"/>
        <v>36</v>
      </c>
      <c r="M41" s="2">
        <f t="shared" si="15"/>
        <v>22.08</v>
      </c>
      <c r="N41" s="2">
        <v>13</v>
      </c>
      <c r="O41" s="2">
        <v>50.26548245743669</v>
      </c>
      <c r="P41" s="11">
        <f t="shared" si="5"/>
        <v>2.5862678252432989</v>
      </c>
      <c r="Q41" s="2">
        <f t="shared" si="6"/>
        <v>57.104793581372036</v>
      </c>
      <c r="R41" s="2">
        <f t="shared" si="7"/>
        <v>2.6003374498912204</v>
      </c>
      <c r="S41" s="2">
        <f t="shared" si="8"/>
        <v>57.415450893598141</v>
      </c>
      <c r="T41" s="2">
        <f t="shared" si="9"/>
        <v>0.31065731222610538</v>
      </c>
    </row>
    <row r="42" spans="1:23" x14ac:dyDescent="0.25">
      <c r="A42" s="14">
        <f t="shared" si="10"/>
        <v>0.41425438596491232</v>
      </c>
      <c r="B42" s="2">
        <f t="shared" si="11"/>
        <v>37</v>
      </c>
      <c r="C42" s="4">
        <f t="shared" si="12"/>
        <v>22.83</v>
      </c>
      <c r="D42" s="2">
        <v>14</v>
      </c>
      <c r="E42" s="2">
        <v>50.26548245743669</v>
      </c>
      <c r="F42" s="11">
        <f t="shared" si="0"/>
        <v>2.7852115041081689</v>
      </c>
      <c r="G42" s="2">
        <f t="shared" si="1"/>
        <v>63.58637863878949</v>
      </c>
      <c r="H42" s="2">
        <f t="shared" si="2"/>
        <v>2.5251260768851118</v>
      </c>
      <c r="I42" s="2">
        <f t="shared" si="3"/>
        <v>57.6486283352871</v>
      </c>
      <c r="J42" s="2">
        <f t="shared" si="4"/>
        <v>5.9377503035023906</v>
      </c>
      <c r="K42" s="15">
        <f t="shared" si="13"/>
        <v>0.38852339181286549</v>
      </c>
      <c r="L42" s="2">
        <f t="shared" si="14"/>
        <v>37</v>
      </c>
      <c r="M42" s="2">
        <f t="shared" si="15"/>
        <v>22.58</v>
      </c>
      <c r="N42" s="2">
        <v>19.5</v>
      </c>
      <c r="O42" s="2">
        <v>50.26548245743669</v>
      </c>
      <c r="P42" s="11">
        <f t="shared" si="5"/>
        <v>3.8794017378649488</v>
      </c>
      <c r="Q42" s="2">
        <f t="shared" si="6"/>
        <v>87.596891240990544</v>
      </c>
      <c r="R42" s="2">
        <f t="shared" si="7"/>
        <v>2.6003374498912204</v>
      </c>
      <c r="S42" s="2">
        <f t="shared" si="8"/>
        <v>58.715619618543755</v>
      </c>
      <c r="T42" s="2">
        <f t="shared" si="9"/>
        <v>28.881271622446789</v>
      </c>
    </row>
    <row r="43" spans="1:23" x14ac:dyDescent="0.25">
      <c r="A43" s="14">
        <f t="shared" si="10"/>
        <v>0.41441885964912284</v>
      </c>
      <c r="B43" s="2">
        <f t="shared" si="11"/>
        <v>38</v>
      </c>
      <c r="C43" s="4">
        <f t="shared" si="12"/>
        <v>23.33</v>
      </c>
      <c r="D43" s="2">
        <v>13</v>
      </c>
      <c r="E43" s="2">
        <v>50.26548245743669</v>
      </c>
      <c r="F43" s="11">
        <f t="shared" si="0"/>
        <v>2.5862678252432989</v>
      </c>
      <c r="G43" s="2">
        <f t="shared" si="1"/>
        <v>60.337628362926161</v>
      </c>
      <c r="H43" s="2">
        <f t="shared" si="2"/>
        <v>2.5251260768851118</v>
      </c>
      <c r="I43" s="2">
        <f t="shared" si="3"/>
        <v>58.911191373729658</v>
      </c>
      <c r="J43" s="2">
        <f t="shared" si="4"/>
        <v>1.4264369891965032</v>
      </c>
      <c r="K43" s="15">
        <f t="shared" si="13"/>
        <v>0.38870614035087719</v>
      </c>
      <c r="L43" s="2">
        <f t="shared" si="14"/>
        <v>38</v>
      </c>
      <c r="M43" s="2">
        <f t="shared" si="15"/>
        <v>23.08</v>
      </c>
      <c r="N43" s="2">
        <v>14.5</v>
      </c>
      <c r="O43" s="2">
        <v>50.26548245743669</v>
      </c>
      <c r="P43" s="11">
        <f t="shared" si="5"/>
        <v>2.8846833435406034</v>
      </c>
      <c r="Q43" s="2">
        <f t="shared" si="6"/>
        <v>66.578491568917116</v>
      </c>
      <c r="R43" s="2">
        <f t="shared" si="7"/>
        <v>2.6003374498912204</v>
      </c>
      <c r="S43" s="2">
        <f t="shared" si="8"/>
        <v>60.015788343489362</v>
      </c>
      <c r="T43" s="2">
        <f t="shared" si="9"/>
        <v>6.5627032254277538</v>
      </c>
    </row>
    <row r="44" spans="1:23" x14ac:dyDescent="0.25">
      <c r="A44" s="10">
        <v>0.41458333333333336</v>
      </c>
      <c r="B44" s="2">
        <f t="shared" si="11"/>
        <v>39</v>
      </c>
      <c r="C44" s="4">
        <f t="shared" si="12"/>
        <v>23.83</v>
      </c>
      <c r="D44" s="2">
        <v>13.5</v>
      </c>
      <c r="E44" s="2">
        <v>50.26548245743669</v>
      </c>
      <c r="F44" s="11">
        <f t="shared" si="0"/>
        <v>2.6857396646757339</v>
      </c>
      <c r="G44" s="2">
        <f t="shared" si="1"/>
        <v>64.001176209222734</v>
      </c>
      <c r="H44" s="2">
        <f t="shared" si="2"/>
        <v>2.5251260768851118</v>
      </c>
      <c r="I44" s="2">
        <f t="shared" si="3"/>
        <v>60.173754412172208</v>
      </c>
      <c r="J44" s="2">
        <f t="shared" si="4"/>
        <v>3.8274217970505262</v>
      </c>
      <c r="K44" s="12">
        <v>0.3888888888888889</v>
      </c>
      <c r="L44" s="2">
        <f t="shared" si="14"/>
        <v>39</v>
      </c>
      <c r="M44" s="2">
        <f t="shared" si="15"/>
        <v>23.58</v>
      </c>
      <c r="N44" s="2">
        <v>13.5</v>
      </c>
      <c r="O44" s="2">
        <v>50.26548245743669</v>
      </c>
      <c r="P44" s="11">
        <f t="shared" si="5"/>
        <v>2.6857396646757339</v>
      </c>
      <c r="Q44" s="2">
        <f t="shared" si="6"/>
        <v>63.3297412930538</v>
      </c>
      <c r="R44" s="2">
        <f t="shared" si="7"/>
        <v>2.6003374498912204</v>
      </c>
      <c r="S44" s="2">
        <f t="shared" si="8"/>
        <v>61.315957068434976</v>
      </c>
      <c r="T44" s="2">
        <f t="shared" si="9"/>
        <v>2.0137842246188242</v>
      </c>
    </row>
    <row r="45" spans="1:23" x14ac:dyDescent="0.25">
      <c r="A45" s="14">
        <f t="shared" ref="A45:A82" si="16">IF(AND($A$44&lt;&gt;"",$A$83&lt;&gt;""), $A$44 + (B45 - $B$44) * (($A$83 - $A$44) / ($B$83 - $B$44)), "")</f>
        <v>0.41474358974358977</v>
      </c>
      <c r="B45" s="2">
        <f t="shared" si="11"/>
        <v>40</v>
      </c>
      <c r="C45" s="4">
        <f t="shared" si="12"/>
        <v>24.33</v>
      </c>
      <c r="D45" s="2">
        <v>13.5</v>
      </c>
      <c r="E45" s="2">
        <v>50.26548245743669</v>
      </c>
      <c r="F45" s="11">
        <f t="shared" si="0"/>
        <v>2.6857396646757339</v>
      </c>
      <c r="G45" s="2">
        <f t="shared" si="1"/>
        <v>65.344046041560603</v>
      </c>
      <c r="H45" s="2">
        <f t="shared" si="2"/>
        <v>2.5251260768851118</v>
      </c>
      <c r="I45" s="2">
        <f t="shared" si="3"/>
        <v>61.436317450614766</v>
      </c>
      <c r="J45" s="2">
        <f t="shared" si="4"/>
        <v>3.9077285909458368</v>
      </c>
      <c r="K45" s="15">
        <f t="shared" ref="K45:K82" si="17">IF(AND($K$44&lt;&gt;"",$K$83&lt;&gt;""), $K$44 + (L45 - $L$44) * (($K$83 - $K$44) / ($L$83 - $L$44)), "")</f>
        <v>0.38903133903133902</v>
      </c>
      <c r="L45" s="2">
        <f t="shared" si="14"/>
        <v>40</v>
      </c>
      <c r="M45" s="2">
        <f t="shared" si="15"/>
        <v>24.08</v>
      </c>
      <c r="N45" s="2">
        <v>14.5</v>
      </c>
      <c r="O45" s="2">
        <v>50.26548245743669</v>
      </c>
      <c r="P45" s="11">
        <f t="shared" si="5"/>
        <v>2.8846833435406034</v>
      </c>
      <c r="Q45" s="2">
        <f t="shared" si="6"/>
        <v>69.463174912457731</v>
      </c>
      <c r="R45" s="2">
        <f t="shared" si="7"/>
        <v>2.6003374498912204</v>
      </c>
      <c r="S45" s="2">
        <f t="shared" si="8"/>
        <v>62.616125793380583</v>
      </c>
      <c r="T45" s="2">
        <f t="shared" si="9"/>
        <v>6.8470491190771483</v>
      </c>
    </row>
    <row r="46" spans="1:23" x14ac:dyDescent="0.25">
      <c r="A46" s="14">
        <f t="shared" si="16"/>
        <v>0.41490384615384618</v>
      </c>
      <c r="B46" s="2">
        <f t="shared" si="11"/>
        <v>41</v>
      </c>
      <c r="C46" s="4">
        <f t="shared" si="12"/>
        <v>24.83</v>
      </c>
      <c r="D46" s="2">
        <v>19</v>
      </c>
      <c r="E46" s="2">
        <v>50.26548245743669</v>
      </c>
      <c r="F46" s="11">
        <f t="shared" si="0"/>
        <v>3.7799298984325143</v>
      </c>
      <c r="G46" s="2">
        <f t="shared" si="1"/>
        <v>93.855659378079324</v>
      </c>
      <c r="H46" s="2">
        <f t="shared" si="2"/>
        <v>2.5251260768851118</v>
      </c>
      <c r="I46" s="2">
        <f t="shared" si="3"/>
        <v>62.698880489057323</v>
      </c>
      <c r="J46" s="2">
        <f t="shared" si="4"/>
        <v>31.156778889022</v>
      </c>
      <c r="K46" s="15">
        <f t="shared" si="17"/>
        <v>0.3891737891737892</v>
      </c>
      <c r="L46" s="2">
        <f t="shared" si="14"/>
        <v>41</v>
      </c>
      <c r="M46" s="2">
        <f t="shared" si="15"/>
        <v>24.58</v>
      </c>
      <c r="N46" s="2">
        <v>15</v>
      </c>
      <c r="O46" s="2">
        <v>50.26548245743669</v>
      </c>
      <c r="P46" s="11">
        <f t="shared" si="5"/>
        <v>2.9841551829730379</v>
      </c>
      <c r="Q46" s="2">
        <f t="shared" si="6"/>
        <v>73.350534397477261</v>
      </c>
      <c r="R46" s="2">
        <f t="shared" si="7"/>
        <v>2.6003374498912204</v>
      </c>
      <c r="S46" s="2">
        <f t="shared" si="8"/>
        <v>63.91629451832619</v>
      </c>
      <c r="T46" s="2">
        <f t="shared" si="9"/>
        <v>9.4342398791510718</v>
      </c>
    </row>
    <row r="47" spans="1:23" x14ac:dyDescent="0.25">
      <c r="A47" s="14">
        <f t="shared" si="16"/>
        <v>0.41506410256410259</v>
      </c>
      <c r="B47" s="2">
        <f t="shared" si="11"/>
        <v>42</v>
      </c>
      <c r="C47" s="4">
        <f t="shared" si="12"/>
        <v>25.33</v>
      </c>
      <c r="D47" s="2">
        <v>13.5</v>
      </c>
      <c r="E47" s="2">
        <v>50.26548245743669</v>
      </c>
      <c r="F47" s="11">
        <f t="shared" si="0"/>
        <v>2.6857396646757339</v>
      </c>
      <c r="G47" s="2">
        <f t="shared" si="1"/>
        <v>68.029785706236339</v>
      </c>
      <c r="H47" s="2">
        <f t="shared" si="2"/>
        <v>2.5251260768851118</v>
      </c>
      <c r="I47" s="2">
        <f t="shared" si="3"/>
        <v>63.961443527499881</v>
      </c>
      <c r="J47" s="2">
        <f t="shared" si="4"/>
        <v>4.068342178736458</v>
      </c>
      <c r="K47" s="15">
        <f t="shared" si="17"/>
        <v>0.38931623931623932</v>
      </c>
      <c r="L47" s="2">
        <f t="shared" si="14"/>
        <v>42</v>
      </c>
      <c r="M47" s="2">
        <f t="shared" si="15"/>
        <v>25.08</v>
      </c>
      <c r="N47" s="2">
        <v>15</v>
      </c>
      <c r="O47" s="2">
        <v>50.26548245743669</v>
      </c>
      <c r="P47" s="11">
        <f t="shared" si="5"/>
        <v>2.9841551829730379</v>
      </c>
      <c r="Q47" s="2">
        <f t="shared" si="6"/>
        <v>74.842611988963782</v>
      </c>
      <c r="R47" s="2">
        <f t="shared" si="7"/>
        <v>2.6003374498912204</v>
      </c>
      <c r="S47" s="2">
        <f t="shared" si="8"/>
        <v>65.216463243271804</v>
      </c>
      <c r="T47" s="2">
        <f t="shared" si="9"/>
        <v>9.6261487456919781</v>
      </c>
    </row>
    <row r="48" spans="1:23" x14ac:dyDescent="0.25">
      <c r="A48" s="14">
        <f t="shared" si="16"/>
        <v>0.415224358974359</v>
      </c>
      <c r="B48" s="2">
        <f t="shared" si="11"/>
        <v>43</v>
      </c>
      <c r="C48" s="4">
        <f t="shared" si="12"/>
        <v>25.83</v>
      </c>
      <c r="D48" s="2">
        <v>13</v>
      </c>
      <c r="E48" s="2">
        <v>50.26548245743669</v>
      </c>
      <c r="F48" s="11">
        <f t="shared" si="0"/>
        <v>2.5862678252432989</v>
      </c>
      <c r="G48" s="2">
        <f t="shared" si="1"/>
        <v>66.803297926034404</v>
      </c>
      <c r="H48" s="2">
        <f t="shared" si="2"/>
        <v>2.5251260768851118</v>
      </c>
      <c r="I48" s="2">
        <f t="shared" si="3"/>
        <v>65.224006565942432</v>
      </c>
      <c r="J48" s="2">
        <f t="shared" si="4"/>
        <v>1.5792913600919718</v>
      </c>
      <c r="K48" s="15">
        <f t="shared" si="17"/>
        <v>0.38945868945868944</v>
      </c>
      <c r="L48" s="2">
        <f t="shared" si="14"/>
        <v>43</v>
      </c>
      <c r="M48" s="2">
        <f t="shared" si="15"/>
        <v>25.58</v>
      </c>
      <c r="N48" s="2">
        <v>13</v>
      </c>
      <c r="O48" s="2">
        <v>50.26548245743669</v>
      </c>
      <c r="P48" s="11">
        <f t="shared" si="5"/>
        <v>2.5862678252432989</v>
      </c>
      <c r="Q48" s="2">
        <f t="shared" si="6"/>
        <v>66.156730969723583</v>
      </c>
      <c r="R48" s="2">
        <f t="shared" si="7"/>
        <v>2.6003374498912204</v>
      </c>
      <c r="S48" s="2">
        <f t="shared" si="8"/>
        <v>66.516631968217411</v>
      </c>
      <c r="T48" s="2">
        <f t="shared" si="9"/>
        <v>0.35990099849382773</v>
      </c>
    </row>
    <row r="49" spans="1:20" x14ac:dyDescent="0.25">
      <c r="A49" s="14">
        <f t="shared" si="16"/>
        <v>0.41538461538461541</v>
      </c>
      <c r="B49" s="2">
        <f t="shared" si="11"/>
        <v>44</v>
      </c>
      <c r="C49" s="4">
        <f t="shared" si="12"/>
        <v>26.33</v>
      </c>
      <c r="D49" s="2">
        <v>13</v>
      </c>
      <c r="E49" s="2">
        <v>50.26548245743669</v>
      </c>
      <c r="F49" s="11">
        <f t="shared" si="0"/>
        <v>2.5862678252432989</v>
      </c>
      <c r="G49" s="2">
        <f t="shared" si="1"/>
        <v>68.096431838656059</v>
      </c>
      <c r="H49" s="2">
        <f t="shared" si="2"/>
        <v>2.5251260768851118</v>
      </c>
      <c r="I49" s="2">
        <f t="shared" si="3"/>
        <v>66.486569604384997</v>
      </c>
      <c r="J49" s="2">
        <f t="shared" si="4"/>
        <v>1.6098622342710627</v>
      </c>
      <c r="K49" s="15">
        <f t="shared" si="17"/>
        <v>0.38960113960113962</v>
      </c>
      <c r="L49" s="2">
        <f t="shared" si="14"/>
        <v>44</v>
      </c>
      <c r="M49" s="2">
        <f t="shared" si="15"/>
        <v>26.08</v>
      </c>
      <c r="N49" s="2">
        <v>12.5</v>
      </c>
      <c r="O49" s="2">
        <v>50.26548245743669</v>
      </c>
      <c r="P49" s="11">
        <f t="shared" si="5"/>
        <v>2.4867959858108648</v>
      </c>
      <c r="Q49" s="2">
        <f t="shared" si="6"/>
        <v>64.85563930994735</v>
      </c>
      <c r="R49" s="2">
        <f t="shared" si="7"/>
        <v>2.6003374498912204</v>
      </c>
      <c r="S49" s="2">
        <f t="shared" si="8"/>
        <v>67.816800693163017</v>
      </c>
      <c r="T49" s="2">
        <f t="shared" si="9"/>
        <v>2.9611613832156678</v>
      </c>
    </row>
    <row r="50" spans="1:20" x14ac:dyDescent="0.25">
      <c r="A50" s="14">
        <f t="shared" si="16"/>
        <v>0.41554487179487182</v>
      </c>
      <c r="B50" s="2">
        <f t="shared" si="11"/>
        <v>45</v>
      </c>
      <c r="C50" s="4">
        <f t="shared" si="12"/>
        <v>26.83</v>
      </c>
      <c r="D50" s="2">
        <v>18</v>
      </c>
      <c r="E50" s="2">
        <v>50.26548245743669</v>
      </c>
      <c r="F50" s="11">
        <f t="shared" si="0"/>
        <v>3.5809862195676452</v>
      </c>
      <c r="G50" s="2">
        <f t="shared" si="1"/>
        <v>96.077860270999921</v>
      </c>
      <c r="H50" s="2">
        <f t="shared" si="2"/>
        <v>2.5251260768851118</v>
      </c>
      <c r="I50" s="2">
        <f t="shared" si="3"/>
        <v>67.749132642827547</v>
      </c>
      <c r="J50" s="2">
        <f t="shared" si="4"/>
        <v>28.328727628172373</v>
      </c>
      <c r="K50" s="15">
        <f t="shared" si="17"/>
        <v>0.38974358974358975</v>
      </c>
      <c r="L50" s="2">
        <f t="shared" si="14"/>
        <v>45</v>
      </c>
      <c r="M50" s="2">
        <f t="shared" si="15"/>
        <v>26.58</v>
      </c>
      <c r="N50" s="2">
        <v>14.5</v>
      </c>
      <c r="O50" s="2">
        <v>50.26548245743669</v>
      </c>
      <c r="P50" s="11">
        <f t="shared" si="5"/>
        <v>2.8846833435406034</v>
      </c>
      <c r="Q50" s="2">
        <f t="shared" si="6"/>
        <v>76.674883271309227</v>
      </c>
      <c r="R50" s="2">
        <f t="shared" si="7"/>
        <v>2.6003374498912204</v>
      </c>
      <c r="S50" s="2">
        <f t="shared" si="8"/>
        <v>69.116969418108638</v>
      </c>
      <c r="T50" s="2">
        <f t="shared" si="9"/>
        <v>7.5579138532005885</v>
      </c>
    </row>
    <row r="51" spans="1:20" x14ac:dyDescent="0.25">
      <c r="A51" s="14">
        <f t="shared" si="16"/>
        <v>0.41570512820512823</v>
      </c>
      <c r="B51" s="2">
        <f t="shared" si="11"/>
        <v>46</v>
      </c>
      <c r="C51" s="4">
        <f t="shared" si="12"/>
        <v>27.33</v>
      </c>
      <c r="D51" s="2">
        <v>13.5</v>
      </c>
      <c r="E51" s="2">
        <v>50.26548245743669</v>
      </c>
      <c r="F51" s="11">
        <f t="shared" si="0"/>
        <v>2.6857396646757339</v>
      </c>
      <c r="G51" s="2">
        <f t="shared" si="1"/>
        <v>73.401265035587798</v>
      </c>
      <c r="H51" s="2">
        <f t="shared" si="2"/>
        <v>2.5251260768851118</v>
      </c>
      <c r="I51" s="2">
        <f t="shared" si="3"/>
        <v>69.011695681270098</v>
      </c>
      <c r="J51" s="2">
        <f t="shared" si="4"/>
        <v>4.3895693543177003</v>
      </c>
      <c r="K51" s="15">
        <f t="shared" si="17"/>
        <v>0.38988603988603987</v>
      </c>
      <c r="L51" s="2">
        <f t="shared" si="14"/>
        <v>46</v>
      </c>
      <c r="M51" s="2">
        <f t="shared" si="15"/>
        <v>27.08</v>
      </c>
      <c r="N51" s="2">
        <v>14</v>
      </c>
      <c r="O51" s="2">
        <v>50.26548245743669</v>
      </c>
      <c r="P51" s="11">
        <f t="shared" si="5"/>
        <v>2.7852115041081689</v>
      </c>
      <c r="Q51" s="2">
        <f t="shared" si="6"/>
        <v>75.423527531249206</v>
      </c>
      <c r="R51" s="2">
        <f t="shared" si="7"/>
        <v>2.6003374498912204</v>
      </c>
      <c r="S51" s="2">
        <f t="shared" si="8"/>
        <v>70.417138143054245</v>
      </c>
      <c r="T51" s="2">
        <f t="shared" si="9"/>
        <v>5.006389388194961</v>
      </c>
    </row>
    <row r="52" spans="1:20" x14ac:dyDescent="0.25">
      <c r="A52" s="14">
        <f t="shared" si="16"/>
        <v>0.41586538461538464</v>
      </c>
      <c r="B52" s="2">
        <f t="shared" si="11"/>
        <v>47</v>
      </c>
      <c r="C52" s="4">
        <f t="shared" si="12"/>
        <v>27.83</v>
      </c>
      <c r="D52" s="2">
        <v>14.5</v>
      </c>
      <c r="E52" s="2">
        <v>50.26548245743669</v>
      </c>
      <c r="F52" s="11">
        <f t="shared" si="0"/>
        <v>2.8846833435406034</v>
      </c>
      <c r="G52" s="2">
        <f t="shared" si="1"/>
        <v>80.280737450734989</v>
      </c>
      <c r="H52" s="2">
        <f t="shared" si="2"/>
        <v>2.5251260768851118</v>
      </c>
      <c r="I52" s="2">
        <f t="shared" si="3"/>
        <v>70.274258719712662</v>
      </c>
      <c r="J52" s="2">
        <f t="shared" si="4"/>
        <v>10.006478731022327</v>
      </c>
      <c r="K52" s="15">
        <f t="shared" si="17"/>
        <v>0.39002849002849005</v>
      </c>
      <c r="L52" s="2">
        <f t="shared" si="14"/>
        <v>47</v>
      </c>
      <c r="M52" s="2">
        <f t="shared" si="15"/>
        <v>27.58</v>
      </c>
      <c r="N52" s="2">
        <v>14.5</v>
      </c>
      <c r="O52" s="2">
        <v>50.26548245743669</v>
      </c>
      <c r="P52" s="11">
        <f t="shared" si="5"/>
        <v>2.8846833435406034</v>
      </c>
      <c r="Q52" s="2">
        <f t="shared" si="6"/>
        <v>79.559566614849842</v>
      </c>
      <c r="R52" s="2">
        <f t="shared" si="7"/>
        <v>2.6003374498912204</v>
      </c>
      <c r="S52" s="2">
        <f t="shared" si="8"/>
        <v>71.717306867999852</v>
      </c>
      <c r="T52" s="2">
        <f t="shared" si="9"/>
        <v>7.8422597468499902</v>
      </c>
    </row>
    <row r="53" spans="1:20" x14ac:dyDescent="0.25">
      <c r="A53" s="14">
        <f t="shared" si="16"/>
        <v>0.41602564102564105</v>
      </c>
      <c r="B53" s="2">
        <f t="shared" si="11"/>
        <v>48</v>
      </c>
      <c r="C53" s="4">
        <f t="shared" si="12"/>
        <v>28.33</v>
      </c>
      <c r="D53" s="2">
        <v>14.5</v>
      </c>
      <c r="E53" s="2">
        <v>50.26548245743669</v>
      </c>
      <c r="F53" s="11">
        <f t="shared" si="0"/>
        <v>2.8846833435406034</v>
      </c>
      <c r="G53" s="2">
        <f t="shared" si="1"/>
        <v>81.723079122505283</v>
      </c>
      <c r="H53" s="2">
        <f t="shared" si="2"/>
        <v>2.5251260768851118</v>
      </c>
      <c r="I53" s="2">
        <f t="shared" si="3"/>
        <v>71.536821758155213</v>
      </c>
      <c r="J53" s="2">
        <f t="shared" si="4"/>
        <v>10.18625736435007</v>
      </c>
      <c r="K53" s="15">
        <f t="shared" si="17"/>
        <v>0.39017094017094017</v>
      </c>
      <c r="L53" s="2">
        <f t="shared" si="14"/>
        <v>48</v>
      </c>
      <c r="M53" s="2">
        <f t="shared" si="15"/>
        <v>28.08</v>
      </c>
      <c r="N53" s="2">
        <v>14.5</v>
      </c>
      <c r="O53" s="2">
        <v>50.26548245743669</v>
      </c>
      <c r="P53" s="11">
        <f t="shared" si="5"/>
        <v>2.8846833435406034</v>
      </c>
      <c r="Q53" s="2">
        <f t="shared" si="6"/>
        <v>81.001908286620136</v>
      </c>
      <c r="R53" s="2">
        <f t="shared" si="7"/>
        <v>2.6003374498912204</v>
      </c>
      <c r="S53" s="2">
        <f t="shared" si="8"/>
        <v>73.017475592945459</v>
      </c>
      <c r="T53" s="2">
        <f t="shared" si="9"/>
        <v>7.9844326936746768</v>
      </c>
    </row>
    <row r="54" spans="1:20" x14ac:dyDescent="0.25">
      <c r="A54" s="14">
        <f t="shared" si="16"/>
        <v>0.41618589743589746</v>
      </c>
      <c r="B54" s="2">
        <f t="shared" si="11"/>
        <v>49</v>
      </c>
      <c r="C54" s="4">
        <f t="shared" si="12"/>
        <v>28.83</v>
      </c>
      <c r="D54" s="2">
        <v>14.5</v>
      </c>
      <c r="E54" s="2">
        <v>50.26548245743669</v>
      </c>
      <c r="F54" s="11">
        <f t="shared" si="0"/>
        <v>2.8846833435406034</v>
      </c>
      <c r="G54" s="2">
        <f t="shared" si="1"/>
        <v>83.16542079427559</v>
      </c>
      <c r="H54" s="2">
        <f t="shared" si="2"/>
        <v>2.5251260768851118</v>
      </c>
      <c r="I54" s="2">
        <f t="shared" si="3"/>
        <v>72.799384796597764</v>
      </c>
      <c r="J54" s="2">
        <f t="shared" si="4"/>
        <v>10.366035997677827</v>
      </c>
      <c r="K54" s="15">
        <f t="shared" si="17"/>
        <v>0.3903133903133903</v>
      </c>
      <c r="L54" s="2">
        <f t="shared" si="14"/>
        <v>49</v>
      </c>
      <c r="M54" s="2">
        <f t="shared" si="15"/>
        <v>28.58</v>
      </c>
      <c r="N54" s="2">
        <v>16.5</v>
      </c>
      <c r="O54" s="2">
        <v>50.26548245743669</v>
      </c>
      <c r="P54" s="11">
        <f t="shared" si="5"/>
        <v>3.2825707012703416</v>
      </c>
      <c r="Q54" s="2">
        <f t="shared" si="6"/>
        <v>93.815870642306351</v>
      </c>
      <c r="R54" s="2">
        <f t="shared" si="7"/>
        <v>2.6003374498912204</v>
      </c>
      <c r="S54" s="2">
        <f t="shared" si="8"/>
        <v>74.31764431789108</v>
      </c>
      <c r="T54" s="2">
        <f t="shared" si="9"/>
        <v>19.49822632441527</v>
      </c>
    </row>
    <row r="55" spans="1:20" x14ac:dyDescent="0.25">
      <c r="A55" s="14">
        <f t="shared" si="16"/>
        <v>0.41634615384615387</v>
      </c>
      <c r="B55" s="2">
        <f t="shared" si="11"/>
        <v>50</v>
      </c>
      <c r="C55" s="4">
        <f t="shared" si="12"/>
        <v>29.33</v>
      </c>
      <c r="D55" s="2">
        <v>15</v>
      </c>
      <c r="E55" s="2">
        <v>50.26548245743669</v>
      </c>
      <c r="F55" s="11">
        <f t="shared" si="0"/>
        <v>2.9841551829730379</v>
      </c>
      <c r="G55" s="2">
        <f t="shared" si="1"/>
        <v>87.525271516599204</v>
      </c>
      <c r="H55" s="2">
        <f t="shared" si="2"/>
        <v>2.5251260768851118</v>
      </c>
      <c r="I55" s="2">
        <f t="shared" si="3"/>
        <v>74.061947835040328</v>
      </c>
      <c r="J55" s="2">
        <f t="shared" si="4"/>
        <v>13.463323681558876</v>
      </c>
      <c r="K55" s="15">
        <f t="shared" si="17"/>
        <v>0.39045584045584047</v>
      </c>
      <c r="L55" s="2">
        <f t="shared" si="14"/>
        <v>50</v>
      </c>
      <c r="M55" s="2">
        <f t="shared" si="15"/>
        <v>29.08</v>
      </c>
      <c r="N55" s="2">
        <v>16</v>
      </c>
      <c r="O55" s="2">
        <v>50.26548245743669</v>
      </c>
      <c r="P55" s="11">
        <f t="shared" si="5"/>
        <v>3.183098861837907</v>
      </c>
      <c r="Q55" s="2">
        <f t="shared" si="6"/>
        <v>92.56451490224633</v>
      </c>
      <c r="R55" s="2">
        <f t="shared" si="7"/>
        <v>2.6003374498912204</v>
      </c>
      <c r="S55" s="2">
        <f t="shared" si="8"/>
        <v>75.617813042836687</v>
      </c>
      <c r="T55" s="2">
        <f t="shared" si="9"/>
        <v>16.946701859409643</v>
      </c>
    </row>
    <row r="56" spans="1:20" x14ac:dyDescent="0.25">
      <c r="A56" s="14">
        <f t="shared" si="16"/>
        <v>0.41650641025641028</v>
      </c>
      <c r="B56" s="2">
        <f t="shared" si="11"/>
        <v>51</v>
      </c>
      <c r="C56" s="4">
        <f t="shared" si="12"/>
        <v>29.83</v>
      </c>
      <c r="D56" s="2">
        <v>13.5</v>
      </c>
      <c r="E56" s="2">
        <v>50.26548245743669</v>
      </c>
      <c r="F56" s="11">
        <f t="shared" si="0"/>
        <v>2.6857396646757339</v>
      </c>
      <c r="G56" s="2">
        <f t="shared" si="1"/>
        <v>80.115614197277139</v>
      </c>
      <c r="H56" s="2">
        <f t="shared" si="2"/>
        <v>2.5251260768851118</v>
      </c>
      <c r="I56" s="2">
        <f t="shared" si="3"/>
        <v>75.324510873482879</v>
      </c>
      <c r="J56" s="2">
        <f t="shared" si="4"/>
        <v>4.7911033237942604</v>
      </c>
      <c r="K56" s="15">
        <f t="shared" si="17"/>
        <v>0.3905982905982906</v>
      </c>
      <c r="L56" s="2">
        <f t="shared" si="14"/>
        <v>51</v>
      </c>
      <c r="M56" s="2">
        <f t="shared" si="15"/>
        <v>29.58</v>
      </c>
      <c r="N56" s="2">
        <v>14</v>
      </c>
      <c r="O56" s="2">
        <v>50.26548245743669</v>
      </c>
      <c r="P56" s="11">
        <f t="shared" si="5"/>
        <v>2.7852115041081689</v>
      </c>
      <c r="Q56" s="2">
        <f t="shared" si="6"/>
        <v>82.386556291519625</v>
      </c>
      <c r="R56" s="2">
        <f t="shared" si="7"/>
        <v>2.6003374498912204</v>
      </c>
      <c r="S56" s="2">
        <f t="shared" si="8"/>
        <v>76.917981767782294</v>
      </c>
      <c r="T56" s="2">
        <f t="shared" si="9"/>
        <v>5.4685745237373311</v>
      </c>
    </row>
    <row r="57" spans="1:20" x14ac:dyDescent="0.25">
      <c r="A57" s="14">
        <f t="shared" si="16"/>
        <v>0.41666666666666669</v>
      </c>
      <c r="B57" s="2">
        <f t="shared" si="11"/>
        <v>52</v>
      </c>
      <c r="C57" s="4">
        <f t="shared" si="12"/>
        <v>30.33</v>
      </c>
      <c r="D57" s="2">
        <v>13</v>
      </c>
      <c r="E57" s="2">
        <v>50.26548245743669</v>
      </c>
      <c r="F57" s="11">
        <f t="shared" si="0"/>
        <v>2.5862678252432989</v>
      </c>
      <c r="G57" s="2">
        <f t="shared" si="1"/>
        <v>78.441503139629248</v>
      </c>
      <c r="H57" s="2">
        <f t="shared" si="2"/>
        <v>2.5251260768851118</v>
      </c>
      <c r="I57" s="2">
        <f t="shared" si="3"/>
        <v>76.587073911925444</v>
      </c>
      <c r="J57" s="2">
        <f t="shared" si="4"/>
        <v>1.8544292277038039</v>
      </c>
      <c r="K57" s="15">
        <f t="shared" si="17"/>
        <v>0.39074074074074072</v>
      </c>
      <c r="L57" s="2">
        <f t="shared" si="14"/>
        <v>52</v>
      </c>
      <c r="M57" s="2">
        <f t="shared" si="15"/>
        <v>30.08</v>
      </c>
      <c r="N57" s="2">
        <v>13</v>
      </c>
      <c r="O57" s="2">
        <v>50.26548245743669</v>
      </c>
      <c r="P57" s="11">
        <f t="shared" si="5"/>
        <v>2.5862678252432989</v>
      </c>
      <c r="Q57" s="2">
        <f t="shared" si="6"/>
        <v>77.794936183318427</v>
      </c>
      <c r="R57" s="2">
        <f t="shared" si="7"/>
        <v>2.6003374498912204</v>
      </c>
      <c r="S57" s="2">
        <f t="shared" si="8"/>
        <v>78.218150492727901</v>
      </c>
      <c r="T57" s="2">
        <f t="shared" si="9"/>
        <v>0.4232143094094738</v>
      </c>
    </row>
    <row r="58" spans="1:20" x14ac:dyDescent="0.25">
      <c r="A58" s="14">
        <f t="shared" si="16"/>
        <v>0.41682692307692309</v>
      </c>
      <c r="B58" s="2">
        <f t="shared" si="11"/>
        <v>53</v>
      </c>
      <c r="C58" s="4">
        <f t="shared" si="12"/>
        <v>30.83</v>
      </c>
      <c r="D58" s="2">
        <v>13.5</v>
      </c>
      <c r="E58" s="2">
        <v>50.26548245743669</v>
      </c>
      <c r="F58" s="11">
        <f t="shared" si="0"/>
        <v>2.6857396646757339</v>
      </c>
      <c r="G58" s="2">
        <f t="shared" si="1"/>
        <v>82.801353861952876</v>
      </c>
      <c r="H58" s="2">
        <f t="shared" si="2"/>
        <v>2.5251260768851118</v>
      </c>
      <c r="I58" s="2">
        <f t="shared" si="3"/>
        <v>77.849636950367994</v>
      </c>
      <c r="J58" s="2">
        <f t="shared" si="4"/>
        <v>4.9517169115848816</v>
      </c>
      <c r="K58" s="15">
        <f t="shared" si="17"/>
        <v>0.3908831908831909</v>
      </c>
      <c r="L58" s="2">
        <f t="shared" si="14"/>
        <v>53</v>
      </c>
      <c r="M58" s="2">
        <f t="shared" si="15"/>
        <v>30.58</v>
      </c>
      <c r="N58" s="2">
        <v>13.5</v>
      </c>
      <c r="O58" s="2">
        <v>50.26548245743669</v>
      </c>
      <c r="P58" s="11">
        <f t="shared" si="5"/>
        <v>2.6857396646757339</v>
      </c>
      <c r="Q58" s="2">
        <f t="shared" si="6"/>
        <v>82.129918945783942</v>
      </c>
      <c r="R58" s="2">
        <f t="shared" si="7"/>
        <v>2.6003374498912204</v>
      </c>
      <c r="S58" s="2">
        <f t="shared" si="8"/>
        <v>79.518319217673522</v>
      </c>
      <c r="T58" s="2">
        <f t="shared" si="9"/>
        <v>2.61159972811042</v>
      </c>
    </row>
    <row r="59" spans="1:20" x14ac:dyDescent="0.25">
      <c r="A59" s="14">
        <f t="shared" si="16"/>
        <v>0.4169871794871795</v>
      </c>
      <c r="B59" s="2">
        <f t="shared" si="11"/>
        <v>54</v>
      </c>
      <c r="C59" s="4">
        <f t="shared" si="12"/>
        <v>31.33</v>
      </c>
      <c r="D59" s="2">
        <v>14</v>
      </c>
      <c r="E59" s="2">
        <v>50.26548245743669</v>
      </c>
      <c r="F59" s="11">
        <f t="shared" si="0"/>
        <v>2.7852115041081689</v>
      </c>
      <c r="G59" s="2">
        <f t="shared" si="1"/>
        <v>87.260676423708929</v>
      </c>
      <c r="H59" s="2">
        <f t="shared" si="2"/>
        <v>2.5251260768851118</v>
      </c>
      <c r="I59" s="2">
        <f t="shared" si="3"/>
        <v>79.112199988810545</v>
      </c>
      <c r="J59" s="2">
        <f t="shared" si="4"/>
        <v>8.1484764348983845</v>
      </c>
      <c r="K59" s="15">
        <f t="shared" si="17"/>
        <v>0.39102564102564102</v>
      </c>
      <c r="L59" s="2">
        <f t="shared" si="14"/>
        <v>54</v>
      </c>
      <c r="M59" s="2">
        <f t="shared" si="15"/>
        <v>31.08</v>
      </c>
      <c r="N59" s="2">
        <v>18</v>
      </c>
      <c r="O59" s="2">
        <v>50.26548245743669</v>
      </c>
      <c r="P59" s="11">
        <f t="shared" si="5"/>
        <v>3.5809862195676452</v>
      </c>
      <c r="Q59" s="2">
        <f t="shared" si="6"/>
        <v>111.2970517041624</v>
      </c>
      <c r="R59" s="2">
        <f t="shared" si="7"/>
        <v>2.6003374498912204</v>
      </c>
      <c r="S59" s="2">
        <f t="shared" si="8"/>
        <v>80.818487942619129</v>
      </c>
      <c r="T59" s="2">
        <f t="shared" si="9"/>
        <v>30.478563761543271</v>
      </c>
    </row>
    <row r="60" spans="1:20" x14ac:dyDescent="0.25">
      <c r="A60" s="14">
        <f t="shared" si="16"/>
        <v>0.41714743589743591</v>
      </c>
      <c r="B60" s="2">
        <f t="shared" si="11"/>
        <v>55</v>
      </c>
      <c r="C60" s="4">
        <f t="shared" si="12"/>
        <v>31.83</v>
      </c>
      <c r="D60" s="2">
        <v>13.5</v>
      </c>
      <c r="E60" s="2">
        <v>50.26548245743669</v>
      </c>
      <c r="F60" s="11">
        <f t="shared" si="0"/>
        <v>2.6857396646757339</v>
      </c>
      <c r="G60" s="2">
        <f t="shared" si="1"/>
        <v>85.487093526628598</v>
      </c>
      <c r="H60" s="2">
        <f t="shared" si="2"/>
        <v>2.5251260768851118</v>
      </c>
      <c r="I60" s="2">
        <f t="shared" si="3"/>
        <v>80.37476302725311</v>
      </c>
      <c r="J60" s="2">
        <f t="shared" si="4"/>
        <v>5.1123304993754886</v>
      </c>
      <c r="K60" s="15">
        <f t="shared" si="17"/>
        <v>0.39116809116809115</v>
      </c>
      <c r="L60" s="2">
        <f t="shared" si="14"/>
        <v>55</v>
      </c>
      <c r="M60" s="2">
        <f t="shared" si="15"/>
        <v>31.58</v>
      </c>
      <c r="N60" s="2">
        <v>13.5</v>
      </c>
      <c r="O60" s="2">
        <v>50.26548245743669</v>
      </c>
      <c r="P60" s="11">
        <f t="shared" si="5"/>
        <v>2.6857396646757339</v>
      </c>
      <c r="Q60" s="2">
        <f t="shared" si="6"/>
        <v>84.815658610459678</v>
      </c>
      <c r="R60" s="2">
        <f t="shared" si="7"/>
        <v>2.6003374498912204</v>
      </c>
      <c r="S60" s="2">
        <f t="shared" si="8"/>
        <v>82.118656667564736</v>
      </c>
      <c r="T60" s="2">
        <f t="shared" si="9"/>
        <v>2.6970019428949428</v>
      </c>
    </row>
    <row r="61" spans="1:20" x14ac:dyDescent="0.25">
      <c r="A61" s="14">
        <f t="shared" si="16"/>
        <v>0.41730769230769232</v>
      </c>
      <c r="B61" s="2">
        <f t="shared" si="11"/>
        <v>56</v>
      </c>
      <c r="C61" s="4">
        <f t="shared" si="12"/>
        <v>32.33</v>
      </c>
      <c r="D61" s="2">
        <v>14</v>
      </c>
      <c r="E61" s="2">
        <v>50.26548245743669</v>
      </c>
      <c r="F61" s="11">
        <f t="shared" si="0"/>
        <v>2.7852115041081689</v>
      </c>
      <c r="G61" s="2">
        <f t="shared" si="1"/>
        <v>90.045887927817091</v>
      </c>
      <c r="H61" s="2">
        <f t="shared" si="2"/>
        <v>2.5251260768851118</v>
      </c>
      <c r="I61" s="2">
        <f t="shared" si="3"/>
        <v>81.63732606569566</v>
      </c>
      <c r="J61" s="2">
        <f t="shared" si="4"/>
        <v>8.4085618621214309</v>
      </c>
      <c r="K61" s="15">
        <f t="shared" si="17"/>
        <v>0.39131054131054133</v>
      </c>
      <c r="L61" s="2">
        <f t="shared" si="14"/>
        <v>56</v>
      </c>
      <c r="M61" s="2">
        <f t="shared" si="15"/>
        <v>32.08</v>
      </c>
      <c r="N61" s="2">
        <v>14.5</v>
      </c>
      <c r="O61" s="2">
        <v>50.26548245743669</v>
      </c>
      <c r="P61" s="11">
        <f t="shared" si="5"/>
        <v>2.8846833435406034</v>
      </c>
      <c r="Q61" s="2">
        <f t="shared" si="6"/>
        <v>92.540641660782555</v>
      </c>
      <c r="R61" s="2">
        <f t="shared" si="7"/>
        <v>2.6003374498912204</v>
      </c>
      <c r="S61" s="2">
        <f t="shared" si="8"/>
        <v>83.418825392510342</v>
      </c>
      <c r="T61" s="2">
        <f t="shared" si="9"/>
        <v>9.1218162682722124</v>
      </c>
    </row>
    <row r="62" spans="1:20" x14ac:dyDescent="0.25">
      <c r="A62" s="14">
        <f t="shared" si="16"/>
        <v>0.41746794871794873</v>
      </c>
      <c r="B62" s="2">
        <f t="shared" si="11"/>
        <v>57</v>
      </c>
      <c r="C62" s="4">
        <f t="shared" si="12"/>
        <v>32.83</v>
      </c>
      <c r="D62" s="2">
        <v>12</v>
      </c>
      <c r="E62" s="2">
        <v>50.26548245743669</v>
      </c>
      <c r="F62" s="11">
        <f t="shared" si="0"/>
        <v>2.3873241463784298</v>
      </c>
      <c r="G62" s="2">
        <f t="shared" si="1"/>
        <v>78.375851725603852</v>
      </c>
      <c r="H62" s="2">
        <f t="shared" si="2"/>
        <v>2.5251260768851118</v>
      </c>
      <c r="I62" s="2">
        <f t="shared" si="3"/>
        <v>82.899889104138211</v>
      </c>
      <c r="J62" s="2">
        <f t="shared" si="4"/>
        <v>4.5240373785343593</v>
      </c>
      <c r="K62" s="15">
        <f t="shared" si="17"/>
        <v>0.39145299145299145</v>
      </c>
      <c r="L62" s="2">
        <f t="shared" si="14"/>
        <v>57</v>
      </c>
      <c r="M62" s="2">
        <f t="shared" si="15"/>
        <v>32.58</v>
      </c>
      <c r="N62" s="2">
        <v>13.5</v>
      </c>
      <c r="O62" s="2">
        <v>50.26548245743669</v>
      </c>
      <c r="P62" s="11">
        <f t="shared" si="5"/>
        <v>2.6857396646757339</v>
      </c>
      <c r="Q62" s="2">
        <f t="shared" si="6"/>
        <v>87.501398275135401</v>
      </c>
      <c r="R62" s="2">
        <f t="shared" si="7"/>
        <v>2.6003374498912204</v>
      </c>
      <c r="S62" s="2">
        <f t="shared" si="8"/>
        <v>84.718994117455949</v>
      </c>
      <c r="T62" s="2">
        <f t="shared" si="9"/>
        <v>2.7824041576794514</v>
      </c>
    </row>
    <row r="63" spans="1:20" x14ac:dyDescent="0.25">
      <c r="A63" s="14">
        <f t="shared" si="16"/>
        <v>0.41762820512820514</v>
      </c>
      <c r="B63" s="2">
        <f t="shared" si="11"/>
        <v>58</v>
      </c>
      <c r="C63" s="4">
        <f t="shared" si="12"/>
        <v>33.33</v>
      </c>
      <c r="D63" s="2">
        <v>13.5</v>
      </c>
      <c r="E63" s="2">
        <v>50.26548245743669</v>
      </c>
      <c r="F63" s="11">
        <f t="shared" si="0"/>
        <v>2.6857396646757339</v>
      </c>
      <c r="G63" s="2">
        <f t="shared" si="1"/>
        <v>89.515703023642203</v>
      </c>
      <c r="H63" s="2">
        <f t="shared" si="2"/>
        <v>2.5251260768851118</v>
      </c>
      <c r="I63" s="2">
        <f t="shared" si="3"/>
        <v>84.162452142580776</v>
      </c>
      <c r="J63" s="2">
        <f t="shared" si="4"/>
        <v>5.3532508810614274</v>
      </c>
      <c r="K63" s="15">
        <f t="shared" si="17"/>
        <v>0.39159544159544157</v>
      </c>
      <c r="L63" s="2">
        <f t="shared" si="14"/>
        <v>58</v>
      </c>
      <c r="M63" s="2">
        <f t="shared" si="15"/>
        <v>33.08</v>
      </c>
      <c r="N63" s="2">
        <v>14</v>
      </c>
      <c r="O63" s="2">
        <v>50.26548245743669</v>
      </c>
      <c r="P63" s="11">
        <f t="shared" si="5"/>
        <v>2.7852115041081689</v>
      </c>
      <c r="Q63" s="2">
        <f t="shared" si="6"/>
        <v>92.13479655589822</v>
      </c>
      <c r="R63" s="2">
        <f t="shared" si="7"/>
        <v>2.6003374498912204</v>
      </c>
      <c r="S63" s="2">
        <f t="shared" si="8"/>
        <v>86.01916284240157</v>
      </c>
      <c r="T63" s="2">
        <f t="shared" si="9"/>
        <v>6.1156337134966492</v>
      </c>
    </row>
    <row r="64" spans="1:20" x14ac:dyDescent="0.25">
      <c r="A64" s="14">
        <f t="shared" si="16"/>
        <v>0.41778846153846155</v>
      </c>
      <c r="B64" s="2">
        <f t="shared" si="11"/>
        <v>59</v>
      </c>
      <c r="C64" s="4">
        <f t="shared" si="12"/>
        <v>33.83</v>
      </c>
      <c r="D64" s="2">
        <v>12.5</v>
      </c>
      <c r="E64" s="2">
        <v>50.26548245743669</v>
      </c>
      <c r="F64" s="11">
        <f t="shared" si="0"/>
        <v>2.4867959858108648</v>
      </c>
      <c r="G64" s="2">
        <f t="shared" si="1"/>
        <v>84.128308199981547</v>
      </c>
      <c r="H64" s="2">
        <f t="shared" si="2"/>
        <v>2.5251260768851118</v>
      </c>
      <c r="I64" s="2">
        <f t="shared" si="3"/>
        <v>85.425015181023326</v>
      </c>
      <c r="J64" s="2">
        <f t="shared" si="4"/>
        <v>1.2967069810417797</v>
      </c>
      <c r="K64" s="15">
        <f t="shared" si="17"/>
        <v>0.39173789173789175</v>
      </c>
      <c r="L64" s="2">
        <f t="shared" si="14"/>
        <v>59</v>
      </c>
      <c r="M64" s="2">
        <f t="shared" si="15"/>
        <v>33.58</v>
      </c>
      <c r="N64" s="2">
        <v>15</v>
      </c>
      <c r="O64" s="2">
        <v>50.26548245743669</v>
      </c>
      <c r="P64" s="11">
        <f t="shared" si="5"/>
        <v>2.9841551829730379</v>
      </c>
      <c r="Q64" s="2">
        <f t="shared" si="6"/>
        <v>100.20793104423461</v>
      </c>
      <c r="R64" s="2">
        <f t="shared" si="7"/>
        <v>2.6003374498912204</v>
      </c>
      <c r="S64" s="2">
        <f t="shared" si="8"/>
        <v>87.319331567347177</v>
      </c>
      <c r="T64" s="2">
        <f t="shared" si="9"/>
        <v>12.888599476887435</v>
      </c>
    </row>
    <row r="65" spans="1:20" x14ac:dyDescent="0.25">
      <c r="A65" s="14">
        <f t="shared" si="16"/>
        <v>0.41794871794871796</v>
      </c>
      <c r="B65" s="2">
        <f t="shared" si="11"/>
        <v>60</v>
      </c>
      <c r="C65" s="4">
        <f t="shared" si="12"/>
        <v>34.33</v>
      </c>
      <c r="D65" s="2">
        <v>13</v>
      </c>
      <c r="E65" s="2">
        <v>50.26548245743669</v>
      </c>
      <c r="F65" s="11">
        <f t="shared" si="0"/>
        <v>2.5862678252432989</v>
      </c>
      <c r="G65" s="2">
        <f t="shared" si="1"/>
        <v>88.78657444060245</v>
      </c>
      <c r="H65" s="2">
        <f t="shared" si="2"/>
        <v>2.5251260768851118</v>
      </c>
      <c r="I65" s="2">
        <f t="shared" si="3"/>
        <v>86.687578219465891</v>
      </c>
      <c r="J65" s="2">
        <f t="shared" si="4"/>
        <v>2.0989962211365594</v>
      </c>
      <c r="K65" s="15">
        <f t="shared" si="17"/>
        <v>0.39188034188034188</v>
      </c>
      <c r="L65" s="2">
        <f t="shared" si="14"/>
        <v>60</v>
      </c>
      <c r="M65" s="2">
        <f t="shared" si="15"/>
        <v>34.08</v>
      </c>
      <c r="N65" s="2">
        <v>14</v>
      </c>
      <c r="O65" s="2">
        <v>50.26548245743669</v>
      </c>
      <c r="P65" s="11">
        <f t="shared" si="5"/>
        <v>2.7852115041081689</v>
      </c>
      <c r="Q65" s="2">
        <f t="shared" si="6"/>
        <v>94.920008060006396</v>
      </c>
      <c r="R65" s="2">
        <f t="shared" si="7"/>
        <v>2.6003374498912204</v>
      </c>
      <c r="S65" s="2">
        <f t="shared" si="8"/>
        <v>88.619500292292784</v>
      </c>
      <c r="T65" s="2">
        <f t="shared" si="9"/>
        <v>6.3005077677136114</v>
      </c>
    </row>
    <row r="66" spans="1:20" x14ac:dyDescent="0.25">
      <c r="A66" s="14">
        <f t="shared" si="16"/>
        <v>0.41810897435897437</v>
      </c>
      <c r="B66" s="2">
        <f t="shared" si="11"/>
        <v>61</v>
      </c>
      <c r="C66" s="4">
        <f t="shared" si="12"/>
        <v>34.83</v>
      </c>
      <c r="D66" s="2">
        <v>12.5</v>
      </c>
      <c r="E66" s="2">
        <v>50.26548245743669</v>
      </c>
      <c r="F66" s="11">
        <f t="shared" si="0"/>
        <v>2.4867959858108648</v>
      </c>
      <c r="G66" s="2">
        <f t="shared" si="1"/>
        <v>86.615104185792418</v>
      </c>
      <c r="H66" s="2">
        <f t="shared" si="2"/>
        <v>2.5251260768851118</v>
      </c>
      <c r="I66" s="2">
        <f t="shared" si="3"/>
        <v>87.950141257908442</v>
      </c>
      <c r="J66" s="2">
        <f t="shared" si="4"/>
        <v>1.3350370721160232</v>
      </c>
      <c r="K66" s="15">
        <f t="shared" si="17"/>
        <v>0.392022792022792</v>
      </c>
      <c r="L66" s="2">
        <f t="shared" si="14"/>
        <v>61</v>
      </c>
      <c r="M66" s="2">
        <f t="shared" si="15"/>
        <v>34.58</v>
      </c>
      <c r="N66" s="2">
        <v>14.5</v>
      </c>
      <c r="O66" s="2">
        <v>50.26548245743669</v>
      </c>
      <c r="P66" s="11">
        <f t="shared" si="5"/>
        <v>2.8846833435406034</v>
      </c>
      <c r="Q66" s="2">
        <f t="shared" si="6"/>
        <v>99.752350019634065</v>
      </c>
      <c r="R66" s="2">
        <f t="shared" si="7"/>
        <v>2.6003374498912204</v>
      </c>
      <c r="S66" s="2">
        <f t="shared" si="8"/>
        <v>89.919669017238391</v>
      </c>
      <c r="T66" s="2">
        <f t="shared" si="9"/>
        <v>9.8326810023956739</v>
      </c>
    </row>
    <row r="67" spans="1:20" x14ac:dyDescent="0.25">
      <c r="A67" s="14">
        <f t="shared" si="16"/>
        <v>0.41826923076923078</v>
      </c>
      <c r="B67" s="2">
        <f t="shared" si="11"/>
        <v>62</v>
      </c>
      <c r="C67" s="4">
        <f t="shared" si="12"/>
        <v>35.33</v>
      </c>
      <c r="D67" s="2">
        <v>13.5</v>
      </c>
      <c r="E67" s="2">
        <v>50.26548245743669</v>
      </c>
      <c r="F67" s="11">
        <f t="shared" si="0"/>
        <v>2.6857396646757339</v>
      </c>
      <c r="G67" s="2">
        <f t="shared" si="1"/>
        <v>94.887182352993676</v>
      </c>
      <c r="H67" s="2">
        <f t="shared" si="2"/>
        <v>2.5251260768851118</v>
      </c>
      <c r="I67" s="2">
        <f t="shared" si="3"/>
        <v>89.212704296350992</v>
      </c>
      <c r="J67" s="2">
        <f t="shared" si="4"/>
        <v>5.674478056642684</v>
      </c>
      <c r="K67" s="15">
        <f t="shared" si="17"/>
        <v>0.39216524216524218</v>
      </c>
      <c r="L67" s="2">
        <f t="shared" si="14"/>
        <v>62</v>
      </c>
      <c r="M67" s="2">
        <f t="shared" si="15"/>
        <v>35.08</v>
      </c>
      <c r="N67" s="2">
        <v>15</v>
      </c>
      <c r="O67" s="2">
        <v>50.26548245743669</v>
      </c>
      <c r="P67" s="11">
        <f t="shared" si="5"/>
        <v>2.9841551829730379</v>
      </c>
      <c r="Q67" s="2">
        <f t="shared" si="6"/>
        <v>104.68416381869416</v>
      </c>
      <c r="R67" s="2">
        <f t="shared" si="7"/>
        <v>2.6003374498912204</v>
      </c>
      <c r="S67" s="2">
        <f t="shared" si="8"/>
        <v>91.219837742184012</v>
      </c>
      <c r="T67" s="2">
        <f t="shared" si="9"/>
        <v>13.464326076510147</v>
      </c>
    </row>
    <row r="68" spans="1:20" x14ac:dyDescent="0.25">
      <c r="A68" s="14">
        <f t="shared" si="16"/>
        <v>0.41842948717948719</v>
      </c>
      <c r="B68" s="2">
        <f t="shared" si="11"/>
        <v>63</v>
      </c>
      <c r="C68" s="4">
        <f t="shared" si="12"/>
        <v>35.83</v>
      </c>
      <c r="D68" s="2">
        <v>12.5</v>
      </c>
      <c r="E68" s="2">
        <v>50.26548245743669</v>
      </c>
      <c r="F68" s="11">
        <f t="shared" si="0"/>
        <v>2.4867959858108648</v>
      </c>
      <c r="G68" s="2">
        <f t="shared" si="1"/>
        <v>89.101900171603276</v>
      </c>
      <c r="H68" s="2">
        <f t="shared" si="2"/>
        <v>2.5251260768851118</v>
      </c>
      <c r="I68" s="2">
        <f t="shared" si="3"/>
        <v>90.475267334793557</v>
      </c>
      <c r="J68" s="2">
        <f t="shared" si="4"/>
        <v>1.3733671631902808</v>
      </c>
      <c r="K68" s="15">
        <f t="shared" si="17"/>
        <v>0.3923076923076923</v>
      </c>
      <c r="L68" s="2">
        <f t="shared" si="14"/>
        <v>63</v>
      </c>
      <c r="M68" s="2">
        <f t="shared" si="15"/>
        <v>35.58</v>
      </c>
      <c r="N68" s="2">
        <v>14</v>
      </c>
      <c r="O68" s="2">
        <v>50.26548245743669</v>
      </c>
      <c r="P68" s="11">
        <f t="shared" si="5"/>
        <v>2.7852115041081689</v>
      </c>
      <c r="Q68" s="2">
        <f t="shared" si="6"/>
        <v>99.097825316168638</v>
      </c>
      <c r="R68" s="2">
        <f t="shared" si="7"/>
        <v>2.6003374498912204</v>
      </c>
      <c r="S68" s="2">
        <f t="shared" si="8"/>
        <v>92.520006467129619</v>
      </c>
      <c r="T68" s="2">
        <f t="shared" si="9"/>
        <v>6.5778188490390193</v>
      </c>
    </row>
    <row r="69" spans="1:20" x14ac:dyDescent="0.25">
      <c r="A69" s="14">
        <f t="shared" si="16"/>
        <v>0.4185897435897436</v>
      </c>
      <c r="B69" s="2">
        <f t="shared" si="11"/>
        <v>64</v>
      </c>
      <c r="C69" s="4">
        <f t="shared" si="12"/>
        <v>36.33</v>
      </c>
      <c r="D69" s="2">
        <v>12.5</v>
      </c>
      <c r="E69" s="2">
        <v>50.26548245743669</v>
      </c>
      <c r="F69" s="11">
        <f t="shared" si="0"/>
        <v>2.4867959858108648</v>
      </c>
      <c r="G69" s="2">
        <f t="shared" si="1"/>
        <v>90.345298164508719</v>
      </c>
      <c r="H69" s="2">
        <f t="shared" si="2"/>
        <v>2.5251260768851118</v>
      </c>
      <c r="I69" s="2">
        <f t="shared" si="3"/>
        <v>91.737830373236108</v>
      </c>
      <c r="J69" s="2">
        <f t="shared" si="4"/>
        <v>1.3925322087273884</v>
      </c>
      <c r="K69" s="15">
        <f t="shared" si="17"/>
        <v>0.39245014245014243</v>
      </c>
      <c r="L69" s="2">
        <f t="shared" si="14"/>
        <v>64</v>
      </c>
      <c r="M69" s="2">
        <f t="shared" si="15"/>
        <v>36.08</v>
      </c>
      <c r="N69" s="2">
        <v>13</v>
      </c>
      <c r="O69" s="2">
        <v>50.26548245743669</v>
      </c>
      <c r="P69" s="11">
        <f t="shared" si="5"/>
        <v>2.5862678252432989</v>
      </c>
      <c r="Q69" s="2">
        <f t="shared" si="6"/>
        <v>93.312543134778224</v>
      </c>
      <c r="R69" s="2">
        <f t="shared" si="7"/>
        <v>2.6003374498912204</v>
      </c>
      <c r="S69" s="2">
        <f t="shared" si="8"/>
        <v>93.820175192075226</v>
      </c>
      <c r="T69" s="2">
        <f t="shared" si="9"/>
        <v>0.50763205729700189</v>
      </c>
    </row>
    <row r="70" spans="1:20" x14ac:dyDescent="0.25">
      <c r="A70" s="14">
        <f t="shared" si="16"/>
        <v>0.41875000000000001</v>
      </c>
      <c r="B70" s="2">
        <f t="shared" si="11"/>
        <v>65</v>
      </c>
      <c r="C70" s="4">
        <f t="shared" si="12"/>
        <v>36.83</v>
      </c>
      <c r="D70" s="2">
        <v>13</v>
      </c>
      <c r="E70" s="2">
        <v>50.26548245743669</v>
      </c>
      <c r="F70" s="11">
        <f t="shared" si="0"/>
        <v>2.5862678252432989</v>
      </c>
      <c r="G70" s="2">
        <f t="shared" si="1"/>
        <v>95.2522440037107</v>
      </c>
      <c r="H70" s="2">
        <f t="shared" si="2"/>
        <v>2.5251260768851118</v>
      </c>
      <c r="I70" s="2">
        <f t="shared" si="3"/>
        <v>93.000393411678658</v>
      </c>
      <c r="J70" s="2">
        <f t="shared" si="4"/>
        <v>2.2518505920320422</v>
      </c>
      <c r="K70" s="15">
        <f t="shared" si="17"/>
        <v>0.3925925925925926</v>
      </c>
      <c r="L70" s="2">
        <f t="shared" si="14"/>
        <v>65</v>
      </c>
      <c r="M70" s="2">
        <f t="shared" si="15"/>
        <v>36.58</v>
      </c>
      <c r="N70" s="2">
        <v>13.5</v>
      </c>
      <c r="O70" s="2">
        <v>50.26548245743669</v>
      </c>
      <c r="P70" s="11">
        <f t="shared" si="5"/>
        <v>2.6857396646757339</v>
      </c>
      <c r="Q70" s="2">
        <f t="shared" si="6"/>
        <v>98.244356933838347</v>
      </c>
      <c r="R70" s="2">
        <f t="shared" si="7"/>
        <v>2.6003374498912204</v>
      </c>
      <c r="S70" s="2">
        <f t="shared" si="8"/>
        <v>95.120343917020833</v>
      </c>
      <c r="T70" s="2">
        <f t="shared" si="9"/>
        <v>3.1240130168175142</v>
      </c>
    </row>
    <row r="71" spans="1:20" x14ac:dyDescent="0.25">
      <c r="A71" s="14">
        <f t="shared" si="16"/>
        <v>0.41891025641025642</v>
      </c>
      <c r="B71" s="2">
        <f t="shared" si="11"/>
        <v>66</v>
      </c>
      <c r="C71" s="4">
        <f t="shared" si="12"/>
        <v>37.33</v>
      </c>
      <c r="D71" s="2">
        <v>14.5</v>
      </c>
      <c r="E71" s="2">
        <v>50.26548245743669</v>
      </c>
      <c r="F71" s="11">
        <f t="shared" si="0"/>
        <v>2.8846833435406034</v>
      </c>
      <c r="G71" s="2">
        <f t="shared" si="1"/>
        <v>107.68522921437072</v>
      </c>
      <c r="H71" s="2">
        <f t="shared" si="2"/>
        <v>2.5251260768851118</v>
      </c>
      <c r="I71" s="2">
        <f t="shared" si="3"/>
        <v>94.262956450121223</v>
      </c>
      <c r="J71" s="2">
        <f t="shared" si="4"/>
        <v>13.422272764249499</v>
      </c>
      <c r="K71" s="15">
        <f t="shared" si="17"/>
        <v>0.39273504273504273</v>
      </c>
      <c r="L71" s="2">
        <f t="shared" si="14"/>
        <v>66</v>
      </c>
      <c r="M71" s="2">
        <f t="shared" si="15"/>
        <v>37.08</v>
      </c>
      <c r="N71" s="2">
        <v>14</v>
      </c>
      <c r="O71" s="2">
        <v>50.26548245743669</v>
      </c>
      <c r="P71" s="11">
        <f t="shared" si="5"/>
        <v>2.7852115041081689</v>
      </c>
      <c r="Q71" s="2">
        <f t="shared" si="6"/>
        <v>103.2756425723309</v>
      </c>
      <c r="R71" s="2">
        <f t="shared" si="7"/>
        <v>2.6003374498912204</v>
      </c>
      <c r="S71" s="2">
        <f t="shared" si="8"/>
        <v>96.420512641966454</v>
      </c>
      <c r="T71" s="2">
        <f t="shared" si="9"/>
        <v>6.8551299303644413</v>
      </c>
    </row>
    <row r="72" spans="1:20" x14ac:dyDescent="0.25">
      <c r="A72" s="14">
        <f t="shared" si="16"/>
        <v>0.41907051282051283</v>
      </c>
      <c r="B72" s="2">
        <f t="shared" si="11"/>
        <v>67</v>
      </c>
      <c r="C72" s="4">
        <f t="shared" si="12"/>
        <v>37.83</v>
      </c>
      <c r="D72" s="2">
        <v>13.5</v>
      </c>
      <c r="E72" s="2">
        <v>50.26548245743669</v>
      </c>
      <c r="F72" s="11">
        <f t="shared" si="0"/>
        <v>2.6857396646757339</v>
      </c>
      <c r="G72" s="2">
        <f t="shared" si="1"/>
        <v>101.601531514683</v>
      </c>
      <c r="H72" s="2">
        <f t="shared" si="2"/>
        <v>2.5251260768851118</v>
      </c>
      <c r="I72" s="2">
        <f t="shared" si="3"/>
        <v>95.525519488563774</v>
      </c>
      <c r="J72" s="2">
        <f t="shared" si="4"/>
        <v>6.0760120261192299</v>
      </c>
      <c r="K72" s="15">
        <f t="shared" si="17"/>
        <v>0.39287749287749285</v>
      </c>
      <c r="L72" s="2">
        <f t="shared" si="14"/>
        <v>67</v>
      </c>
      <c r="M72" s="2">
        <f t="shared" si="15"/>
        <v>37.58</v>
      </c>
      <c r="N72" s="2">
        <v>15</v>
      </c>
      <c r="O72" s="2">
        <v>50.26548245743669</v>
      </c>
      <c r="P72" s="11">
        <f t="shared" si="5"/>
        <v>2.9841551829730379</v>
      </c>
      <c r="Q72" s="2">
        <f t="shared" si="6"/>
        <v>112.14455177612676</v>
      </c>
      <c r="R72" s="2">
        <f t="shared" si="7"/>
        <v>2.6003374498912204</v>
      </c>
      <c r="S72" s="2">
        <f t="shared" si="8"/>
        <v>97.720681366912061</v>
      </c>
      <c r="T72" s="2">
        <f t="shared" si="9"/>
        <v>14.4238704092147</v>
      </c>
    </row>
    <row r="73" spans="1:20" x14ac:dyDescent="0.25">
      <c r="A73" s="14">
        <f t="shared" si="16"/>
        <v>0.41923076923076924</v>
      </c>
      <c r="B73" s="2">
        <f t="shared" si="11"/>
        <v>68</v>
      </c>
      <c r="C73" s="4">
        <f t="shared" si="12"/>
        <v>38.33</v>
      </c>
      <c r="D73" s="2">
        <v>13.5</v>
      </c>
      <c r="E73" s="2">
        <v>50.26548245743669</v>
      </c>
      <c r="F73" s="11">
        <f t="shared" si="0"/>
        <v>2.6857396646757339</v>
      </c>
      <c r="G73" s="2">
        <f t="shared" si="1"/>
        <v>102.94440134702087</v>
      </c>
      <c r="H73" s="2">
        <f t="shared" si="2"/>
        <v>2.5251260768851118</v>
      </c>
      <c r="I73" s="2">
        <f t="shared" si="3"/>
        <v>96.788082527006338</v>
      </c>
      <c r="J73" s="2">
        <f t="shared" si="4"/>
        <v>6.1563188200145333</v>
      </c>
      <c r="K73" s="15">
        <f t="shared" si="17"/>
        <v>0.39301994301994303</v>
      </c>
      <c r="L73" s="2">
        <f t="shared" si="14"/>
        <v>68</v>
      </c>
      <c r="M73" s="2">
        <f t="shared" si="15"/>
        <v>38.08</v>
      </c>
      <c r="N73" s="2">
        <v>14</v>
      </c>
      <c r="O73" s="2">
        <v>50.26548245743669</v>
      </c>
      <c r="P73" s="11">
        <f t="shared" si="5"/>
        <v>2.7852115041081689</v>
      </c>
      <c r="Q73" s="2">
        <f t="shared" si="6"/>
        <v>106.06085407643907</v>
      </c>
      <c r="R73" s="2">
        <f t="shared" si="7"/>
        <v>2.6003374498912204</v>
      </c>
      <c r="S73" s="2">
        <f t="shared" si="8"/>
        <v>99.020850091857668</v>
      </c>
      <c r="T73" s="2">
        <f t="shared" si="9"/>
        <v>7.0400039845814035</v>
      </c>
    </row>
    <row r="74" spans="1:20" x14ac:dyDescent="0.25">
      <c r="A74" s="14">
        <f t="shared" si="16"/>
        <v>0.41939102564102565</v>
      </c>
      <c r="B74" s="2">
        <f t="shared" si="11"/>
        <v>69</v>
      </c>
      <c r="C74" s="4">
        <f t="shared" si="12"/>
        <v>38.83</v>
      </c>
      <c r="D74" s="2">
        <v>13</v>
      </c>
      <c r="E74" s="2">
        <v>50.26548245743669</v>
      </c>
      <c r="F74" s="11">
        <f t="shared" si="0"/>
        <v>2.5862678252432989</v>
      </c>
      <c r="G74" s="2">
        <f t="shared" si="1"/>
        <v>100.42477965419729</v>
      </c>
      <c r="H74" s="2">
        <f t="shared" si="2"/>
        <v>2.5251260768851118</v>
      </c>
      <c r="I74" s="2">
        <f t="shared" si="3"/>
        <v>98.050645565448889</v>
      </c>
      <c r="J74" s="2">
        <f t="shared" si="4"/>
        <v>2.3741340887484057</v>
      </c>
      <c r="K74" s="15">
        <f t="shared" si="17"/>
        <v>0.39316239316239315</v>
      </c>
      <c r="L74" s="2">
        <f t="shared" si="14"/>
        <v>69</v>
      </c>
      <c r="M74" s="2">
        <f t="shared" si="15"/>
        <v>38.58</v>
      </c>
      <c r="N74" s="2">
        <v>14.5</v>
      </c>
      <c r="O74" s="2">
        <v>50.26548245743669</v>
      </c>
      <c r="P74" s="11">
        <f t="shared" si="5"/>
        <v>2.8846833435406034</v>
      </c>
      <c r="Q74" s="2">
        <f t="shared" si="6"/>
        <v>111.29108339379647</v>
      </c>
      <c r="R74" s="2">
        <f t="shared" si="7"/>
        <v>2.6003374498912204</v>
      </c>
      <c r="S74" s="2">
        <f t="shared" si="8"/>
        <v>100.32101881680327</v>
      </c>
      <c r="T74" s="2">
        <f t="shared" si="9"/>
        <v>10.970064576993195</v>
      </c>
    </row>
    <row r="75" spans="1:20" x14ac:dyDescent="0.25">
      <c r="A75" s="14">
        <f t="shared" si="16"/>
        <v>0.41955128205128206</v>
      </c>
      <c r="B75" s="2">
        <f t="shared" si="11"/>
        <v>70</v>
      </c>
      <c r="C75" s="4">
        <f t="shared" si="12"/>
        <v>39.33</v>
      </c>
      <c r="D75" s="2">
        <v>13</v>
      </c>
      <c r="E75" s="2">
        <v>50.26548245743669</v>
      </c>
      <c r="F75" s="11">
        <f t="shared" si="0"/>
        <v>2.5862678252432989</v>
      </c>
      <c r="G75" s="2">
        <f t="shared" si="1"/>
        <v>101.71791356681894</v>
      </c>
      <c r="H75" s="2">
        <f t="shared" si="2"/>
        <v>2.5251260768851118</v>
      </c>
      <c r="I75" s="2">
        <f t="shared" si="3"/>
        <v>99.313208603891439</v>
      </c>
      <c r="J75" s="2">
        <f t="shared" si="4"/>
        <v>2.4047049629274966</v>
      </c>
      <c r="K75" s="15">
        <f t="shared" si="17"/>
        <v>0.39330484330484328</v>
      </c>
      <c r="L75" s="2">
        <f t="shared" si="14"/>
        <v>70</v>
      </c>
      <c r="M75" s="2">
        <f t="shared" si="15"/>
        <v>39.08</v>
      </c>
      <c r="N75" s="2">
        <v>14</v>
      </c>
      <c r="O75" s="2">
        <v>50.26548245743669</v>
      </c>
      <c r="P75" s="11">
        <f t="shared" si="5"/>
        <v>2.7852115041081689</v>
      </c>
      <c r="Q75" s="2">
        <f t="shared" si="6"/>
        <v>108.84606558054723</v>
      </c>
      <c r="R75" s="2">
        <f t="shared" si="7"/>
        <v>2.6003374498912204</v>
      </c>
      <c r="S75" s="2">
        <f t="shared" si="8"/>
        <v>101.6211875417489</v>
      </c>
      <c r="T75" s="2">
        <f t="shared" si="9"/>
        <v>7.2248780387983373</v>
      </c>
    </row>
    <row r="76" spans="1:20" x14ac:dyDescent="0.25">
      <c r="A76" s="14">
        <f t="shared" si="16"/>
        <v>0.41971153846153847</v>
      </c>
      <c r="B76" s="2">
        <f t="shared" si="11"/>
        <v>71</v>
      </c>
      <c r="C76" s="4">
        <f t="shared" si="12"/>
        <v>39.83</v>
      </c>
      <c r="D76" s="2">
        <v>13</v>
      </c>
      <c r="E76" s="2">
        <v>50.26548245743669</v>
      </c>
      <c r="F76" s="11">
        <f t="shared" si="0"/>
        <v>2.5862678252432989</v>
      </c>
      <c r="G76" s="2">
        <f t="shared" si="1"/>
        <v>103.01104747944059</v>
      </c>
      <c r="H76" s="2">
        <f t="shared" si="2"/>
        <v>2.5251260768851118</v>
      </c>
      <c r="I76" s="2">
        <f t="shared" si="3"/>
        <v>100.575771642334</v>
      </c>
      <c r="J76" s="2">
        <f t="shared" si="4"/>
        <v>2.4352758371065875</v>
      </c>
      <c r="K76" s="15">
        <f t="shared" si="17"/>
        <v>0.39344729344729346</v>
      </c>
      <c r="L76" s="2">
        <f t="shared" si="14"/>
        <v>71</v>
      </c>
      <c r="M76" s="2">
        <f t="shared" si="15"/>
        <v>39.58</v>
      </c>
      <c r="N76" s="2">
        <v>18.5</v>
      </c>
      <c r="O76" s="2">
        <v>50.26548245743669</v>
      </c>
      <c r="P76" s="11">
        <f t="shared" si="5"/>
        <v>3.6804580590000797</v>
      </c>
      <c r="Q76" s="2">
        <f t="shared" si="6"/>
        <v>145.67252997522314</v>
      </c>
      <c r="R76" s="2">
        <f t="shared" si="7"/>
        <v>2.6003374498912204</v>
      </c>
      <c r="S76" s="2">
        <f t="shared" si="8"/>
        <v>102.9213562666945</v>
      </c>
      <c r="T76" s="2">
        <f t="shared" si="9"/>
        <v>42.75117370852864</v>
      </c>
    </row>
    <row r="77" spans="1:20" x14ac:dyDescent="0.25">
      <c r="A77" s="14">
        <f t="shared" si="16"/>
        <v>0.41987179487179488</v>
      </c>
      <c r="B77" s="2">
        <f t="shared" si="11"/>
        <v>72</v>
      </c>
      <c r="C77" s="4">
        <f t="shared" si="12"/>
        <v>40.33</v>
      </c>
      <c r="D77" s="2">
        <v>12.5</v>
      </c>
      <c r="E77" s="2">
        <v>50.26548245743669</v>
      </c>
      <c r="F77" s="11">
        <f t="shared" si="0"/>
        <v>2.4867959858108648</v>
      </c>
      <c r="G77" s="2">
        <f t="shared" si="1"/>
        <v>100.29248210775218</v>
      </c>
      <c r="H77" s="2">
        <f t="shared" si="2"/>
        <v>2.5251260768851118</v>
      </c>
      <c r="I77" s="2">
        <f t="shared" si="3"/>
        <v>101.83833468077655</v>
      </c>
      <c r="J77" s="2">
        <f t="shared" si="4"/>
        <v>1.5458525730243764</v>
      </c>
      <c r="K77" s="15">
        <f t="shared" si="17"/>
        <v>0.39358974358974358</v>
      </c>
      <c r="L77" s="2">
        <f t="shared" si="14"/>
        <v>72</v>
      </c>
      <c r="M77" s="2">
        <f t="shared" si="15"/>
        <v>40.08</v>
      </c>
      <c r="N77" s="2">
        <v>12.5</v>
      </c>
      <c r="O77" s="2">
        <v>50.26548245743669</v>
      </c>
      <c r="P77" s="11">
        <f t="shared" si="5"/>
        <v>2.4867959858108648</v>
      </c>
      <c r="Q77" s="2">
        <f t="shared" si="6"/>
        <v>99.670783111299457</v>
      </c>
      <c r="R77" s="2">
        <f t="shared" si="7"/>
        <v>2.6003374498912204</v>
      </c>
      <c r="S77" s="2">
        <f t="shared" si="8"/>
        <v>104.22152499164011</v>
      </c>
      <c r="T77" s="2">
        <f t="shared" si="9"/>
        <v>4.5507418803406523</v>
      </c>
    </row>
    <row r="78" spans="1:20" x14ac:dyDescent="0.25">
      <c r="A78" s="14">
        <f t="shared" si="16"/>
        <v>0.42003205128205129</v>
      </c>
      <c r="B78" s="2">
        <f t="shared" si="11"/>
        <v>73</v>
      </c>
      <c r="C78" s="4">
        <f t="shared" si="12"/>
        <v>40.83</v>
      </c>
      <c r="D78" s="2">
        <v>13.5</v>
      </c>
      <c r="E78" s="2">
        <v>50.26548245743669</v>
      </c>
      <c r="F78" s="11">
        <f t="shared" si="0"/>
        <v>2.6857396646757339</v>
      </c>
      <c r="G78" s="2">
        <f t="shared" si="1"/>
        <v>109.65875050871021</v>
      </c>
      <c r="H78" s="2">
        <f t="shared" si="2"/>
        <v>2.5251260768851118</v>
      </c>
      <c r="I78" s="2">
        <f t="shared" si="3"/>
        <v>103.10089771921911</v>
      </c>
      <c r="J78" s="2">
        <f t="shared" si="4"/>
        <v>6.5578527894911076</v>
      </c>
      <c r="K78" s="15">
        <f t="shared" si="17"/>
        <v>0.3937321937321937</v>
      </c>
      <c r="L78" s="2">
        <f t="shared" si="14"/>
        <v>73</v>
      </c>
      <c r="M78" s="2">
        <f t="shared" si="15"/>
        <v>40.58</v>
      </c>
      <c r="N78" s="2">
        <v>13</v>
      </c>
      <c r="O78" s="2">
        <v>50.26548245743669</v>
      </c>
      <c r="P78" s="11">
        <f t="shared" si="5"/>
        <v>2.5862678252432989</v>
      </c>
      <c r="Q78" s="2">
        <f t="shared" si="6"/>
        <v>104.95074834837307</v>
      </c>
      <c r="R78" s="2">
        <f t="shared" si="7"/>
        <v>2.6003374498912204</v>
      </c>
      <c r="S78" s="2">
        <f t="shared" si="8"/>
        <v>105.52169371658572</v>
      </c>
      <c r="T78" s="2">
        <f t="shared" si="9"/>
        <v>0.57094536821264796</v>
      </c>
    </row>
    <row r="79" spans="1:20" x14ac:dyDescent="0.25">
      <c r="A79" s="14">
        <f t="shared" si="16"/>
        <v>0.4201923076923077</v>
      </c>
      <c r="B79" s="2">
        <f t="shared" si="11"/>
        <v>74</v>
      </c>
      <c r="C79" s="4">
        <f t="shared" si="12"/>
        <v>41.33</v>
      </c>
      <c r="D79" s="2">
        <v>14</v>
      </c>
      <c r="E79" s="2">
        <v>50.26548245743669</v>
      </c>
      <c r="F79" s="11">
        <f t="shared" si="0"/>
        <v>2.7852115041081689</v>
      </c>
      <c r="G79" s="2">
        <f t="shared" si="1"/>
        <v>115.11279146479062</v>
      </c>
      <c r="H79" s="2">
        <f t="shared" si="2"/>
        <v>2.5251260768851118</v>
      </c>
      <c r="I79" s="2">
        <f t="shared" si="3"/>
        <v>104.36346075766167</v>
      </c>
      <c r="J79" s="2">
        <f t="shared" si="4"/>
        <v>10.749330707128948</v>
      </c>
      <c r="K79" s="15">
        <f t="shared" si="17"/>
        <v>0.39387464387464388</v>
      </c>
      <c r="L79" s="2">
        <f t="shared" si="14"/>
        <v>74</v>
      </c>
      <c r="M79" s="2">
        <f t="shared" si="15"/>
        <v>41.08</v>
      </c>
      <c r="N79" s="2">
        <v>14</v>
      </c>
      <c r="O79" s="2">
        <v>50.26548245743669</v>
      </c>
      <c r="P79" s="11">
        <f t="shared" si="5"/>
        <v>2.7852115041081689</v>
      </c>
      <c r="Q79" s="2">
        <f t="shared" si="6"/>
        <v>114.41648858876357</v>
      </c>
      <c r="R79" s="2">
        <f t="shared" si="7"/>
        <v>2.6003374498912204</v>
      </c>
      <c r="S79" s="2">
        <f t="shared" si="8"/>
        <v>106.82186244153132</v>
      </c>
      <c r="T79" s="2">
        <f t="shared" si="9"/>
        <v>7.5946261472322476</v>
      </c>
    </row>
    <row r="80" spans="1:20" x14ac:dyDescent="0.25">
      <c r="A80" s="14">
        <f t="shared" si="16"/>
        <v>0.42035256410256411</v>
      </c>
      <c r="B80" s="2">
        <f t="shared" si="11"/>
        <v>75</v>
      </c>
      <c r="C80" s="4">
        <f t="shared" si="12"/>
        <v>41.83</v>
      </c>
      <c r="D80" s="2">
        <v>13</v>
      </c>
      <c r="E80" s="2">
        <v>50.26548245743669</v>
      </c>
      <c r="F80" s="11">
        <f t="shared" si="0"/>
        <v>2.5862678252432989</v>
      </c>
      <c r="G80" s="2">
        <f t="shared" si="1"/>
        <v>108.18358312992719</v>
      </c>
      <c r="H80" s="2">
        <f t="shared" si="2"/>
        <v>2.5251260768851118</v>
      </c>
      <c r="I80" s="2">
        <f t="shared" si="3"/>
        <v>105.62602379610422</v>
      </c>
      <c r="J80" s="2">
        <f t="shared" si="4"/>
        <v>2.5575593338229652</v>
      </c>
      <c r="K80" s="15">
        <f t="shared" si="17"/>
        <v>0.39401709401709401</v>
      </c>
      <c r="L80" s="2">
        <f t="shared" si="14"/>
        <v>75</v>
      </c>
      <c r="M80" s="2">
        <f t="shared" si="15"/>
        <v>41.58</v>
      </c>
      <c r="N80" s="2">
        <v>14</v>
      </c>
      <c r="O80" s="2">
        <v>50.26548245743669</v>
      </c>
      <c r="P80" s="11">
        <f t="shared" si="5"/>
        <v>2.7852115041081689</v>
      </c>
      <c r="Q80" s="2">
        <f t="shared" si="6"/>
        <v>115.80909434081765</v>
      </c>
      <c r="R80" s="2">
        <f t="shared" si="7"/>
        <v>2.6003374498912204</v>
      </c>
      <c r="S80" s="2">
        <f t="shared" si="8"/>
        <v>108.12203116647694</v>
      </c>
      <c r="T80" s="2">
        <f t="shared" si="9"/>
        <v>7.6870631743407074</v>
      </c>
    </row>
    <row r="81" spans="1:20" x14ac:dyDescent="0.25">
      <c r="A81" s="14">
        <f t="shared" si="16"/>
        <v>0.42051282051282052</v>
      </c>
      <c r="B81" s="2">
        <f t="shared" si="11"/>
        <v>76</v>
      </c>
      <c r="C81" s="4">
        <f t="shared" si="12"/>
        <v>42.33</v>
      </c>
      <c r="D81" s="2">
        <v>12.5</v>
      </c>
      <c r="E81" s="2">
        <v>50.26548245743669</v>
      </c>
      <c r="F81" s="11">
        <f t="shared" si="0"/>
        <v>2.4867959858108648</v>
      </c>
      <c r="G81" s="2">
        <f t="shared" si="1"/>
        <v>105.26607407937391</v>
      </c>
      <c r="H81" s="2">
        <f t="shared" si="2"/>
        <v>2.5251260768851118</v>
      </c>
      <c r="I81" s="2">
        <f t="shared" si="3"/>
        <v>106.88858683454679</v>
      </c>
      <c r="J81" s="2">
        <f t="shared" si="4"/>
        <v>1.6225127551728775</v>
      </c>
      <c r="K81" s="15">
        <f t="shared" si="17"/>
        <v>0.39415954415954413</v>
      </c>
      <c r="L81" s="2">
        <f t="shared" si="14"/>
        <v>76</v>
      </c>
      <c r="M81" s="2">
        <f t="shared" si="15"/>
        <v>42.08</v>
      </c>
      <c r="N81" s="2">
        <v>14</v>
      </c>
      <c r="O81" s="2">
        <v>50.26548245743669</v>
      </c>
      <c r="P81" s="11">
        <f t="shared" si="5"/>
        <v>2.7852115041081689</v>
      </c>
      <c r="Q81" s="2">
        <f t="shared" si="6"/>
        <v>117.20170009287175</v>
      </c>
      <c r="R81" s="2">
        <f t="shared" si="7"/>
        <v>2.6003374498912204</v>
      </c>
      <c r="S81" s="2">
        <f t="shared" si="8"/>
        <v>109.42219989142255</v>
      </c>
      <c r="T81" s="2">
        <f t="shared" si="9"/>
        <v>7.7795002014491956</v>
      </c>
    </row>
    <row r="82" spans="1:20" x14ac:dyDescent="0.25">
      <c r="A82" s="14">
        <f t="shared" si="16"/>
        <v>0.42067307692307693</v>
      </c>
      <c r="B82" s="2">
        <f t="shared" si="11"/>
        <v>77</v>
      </c>
      <c r="C82" s="4">
        <f t="shared" si="12"/>
        <v>42.83</v>
      </c>
      <c r="D82" s="2">
        <v>13.5</v>
      </c>
      <c r="E82" s="2">
        <v>50.26548245743669</v>
      </c>
      <c r="F82" s="11">
        <f t="shared" si="0"/>
        <v>2.6857396646757339</v>
      </c>
      <c r="G82" s="2">
        <f t="shared" si="1"/>
        <v>115.03022983806167</v>
      </c>
      <c r="H82" s="2">
        <f t="shared" si="2"/>
        <v>2.5251260768851118</v>
      </c>
      <c r="I82" s="2">
        <f t="shared" si="3"/>
        <v>108.15114987298934</v>
      </c>
      <c r="J82" s="2">
        <f t="shared" si="4"/>
        <v>6.8790799650723358</v>
      </c>
      <c r="K82" s="15">
        <f t="shared" si="17"/>
        <v>0.39430199430199431</v>
      </c>
      <c r="L82" s="2">
        <f t="shared" si="14"/>
        <v>77</v>
      </c>
      <c r="M82" s="2">
        <f t="shared" si="15"/>
        <v>42.58</v>
      </c>
      <c r="N82" s="2">
        <v>13</v>
      </c>
      <c r="O82" s="2">
        <v>50.26548245743669</v>
      </c>
      <c r="P82" s="11">
        <f t="shared" si="5"/>
        <v>2.5862678252432989</v>
      </c>
      <c r="Q82" s="2">
        <f t="shared" si="6"/>
        <v>110.12328399885966</v>
      </c>
      <c r="R82" s="2">
        <f t="shared" si="7"/>
        <v>2.6003374498912204</v>
      </c>
      <c r="S82" s="2">
        <f t="shared" si="8"/>
        <v>110.72236861636816</v>
      </c>
      <c r="T82" s="2">
        <f t="shared" si="9"/>
        <v>0.5990846175084954</v>
      </c>
    </row>
    <row r="83" spans="1:20" x14ac:dyDescent="0.25">
      <c r="A83" s="10">
        <v>0.42083333333333334</v>
      </c>
      <c r="B83" s="2">
        <f t="shared" si="11"/>
        <v>78</v>
      </c>
      <c r="C83" s="4">
        <f t="shared" si="12"/>
        <v>43.33</v>
      </c>
      <c r="D83" s="2">
        <v>14</v>
      </c>
      <c r="E83" s="2">
        <v>50.26548245743669</v>
      </c>
      <c r="F83" s="11">
        <f t="shared" si="0"/>
        <v>2.7852115041081689</v>
      </c>
      <c r="G83" s="2">
        <f t="shared" si="1"/>
        <v>120.68321447300696</v>
      </c>
      <c r="H83" s="2">
        <f t="shared" si="2"/>
        <v>2.5251260768851118</v>
      </c>
      <c r="I83" s="2">
        <f t="shared" si="3"/>
        <v>109.41371291143189</v>
      </c>
      <c r="J83" s="2">
        <f t="shared" si="4"/>
        <v>11.269501561575069</v>
      </c>
      <c r="K83" s="12">
        <v>0.39444444444444443</v>
      </c>
      <c r="L83" s="2">
        <f t="shared" si="14"/>
        <v>78</v>
      </c>
      <c r="M83" s="2">
        <f t="shared" si="15"/>
        <v>43.08</v>
      </c>
      <c r="N83" s="2">
        <v>13.5</v>
      </c>
      <c r="O83" s="2">
        <v>50.26548245743669</v>
      </c>
      <c r="P83" s="11">
        <f t="shared" si="5"/>
        <v>2.6857396646757339</v>
      </c>
      <c r="Q83" s="2">
        <f t="shared" si="6"/>
        <v>115.70166475423061</v>
      </c>
      <c r="R83" s="2">
        <f t="shared" si="7"/>
        <v>2.6003374498912204</v>
      </c>
      <c r="S83" s="2">
        <f t="shared" si="8"/>
        <v>112.02253734131376</v>
      </c>
      <c r="T83" s="2">
        <f t="shared" si="9"/>
        <v>3.6791274129168414</v>
      </c>
    </row>
    <row r="84" spans="1:20" x14ac:dyDescent="0.25">
      <c r="A84" s="14">
        <f t="shared" ref="A84:A121" si="18">IF(AND($A$83&lt;&gt;"",$A$122&lt;&gt;""), $A$83 + (B84 - $B$83) * (($A$122 - $A$83) / ($B$122 - $B$83)), "")</f>
        <v>0.42115384615384616</v>
      </c>
      <c r="B84" s="2">
        <f t="shared" si="11"/>
        <v>79</v>
      </c>
      <c r="C84" s="4">
        <f t="shared" si="12"/>
        <v>43.83</v>
      </c>
      <c r="D84" s="2">
        <v>14</v>
      </c>
      <c r="E84" s="2">
        <v>50.26548245743669</v>
      </c>
      <c r="F84" s="11">
        <f t="shared" si="0"/>
        <v>2.7852115041081689</v>
      </c>
      <c r="G84" s="2">
        <f t="shared" si="1"/>
        <v>122.07582022506104</v>
      </c>
      <c r="H84" s="2">
        <f t="shared" si="2"/>
        <v>2.5251260768851118</v>
      </c>
      <c r="I84" s="2">
        <f t="shared" si="3"/>
        <v>110.67627594987445</v>
      </c>
      <c r="J84" s="2">
        <f t="shared" si="4"/>
        <v>11.399544275186585</v>
      </c>
      <c r="K84" s="15">
        <f t="shared" ref="K84:K121" si="19">IF(AND($K$83&lt;&gt;"",$K$122&lt;&gt;""), $K$83 + (L84 - $L$83) * (($K$122 - $K$83) / ($L$122 - $L$83)), "")</f>
        <v>0.39456908831908832</v>
      </c>
      <c r="L84" s="2">
        <f t="shared" si="14"/>
        <v>79</v>
      </c>
      <c r="M84" s="2">
        <f t="shared" si="15"/>
        <v>43.58</v>
      </c>
      <c r="N84" s="2">
        <v>14.5</v>
      </c>
      <c r="O84" s="2">
        <v>50.26548245743669</v>
      </c>
      <c r="P84" s="11">
        <f t="shared" si="5"/>
        <v>2.8846833435406034</v>
      </c>
      <c r="Q84" s="2">
        <f t="shared" si="6"/>
        <v>125.71450011149949</v>
      </c>
      <c r="R84" s="2">
        <f t="shared" si="7"/>
        <v>2.6003374498912204</v>
      </c>
      <c r="S84" s="2">
        <f t="shared" si="8"/>
        <v>113.32270606625939</v>
      </c>
      <c r="T84" s="2">
        <f t="shared" si="9"/>
        <v>12.391794045240104</v>
      </c>
    </row>
    <row r="85" spans="1:20" x14ac:dyDescent="0.25">
      <c r="A85" s="14">
        <f t="shared" si="18"/>
        <v>0.42147435897435898</v>
      </c>
      <c r="B85" s="2">
        <f t="shared" si="11"/>
        <v>80</v>
      </c>
      <c r="C85" s="4">
        <f t="shared" si="12"/>
        <v>44.33</v>
      </c>
      <c r="D85" s="2">
        <v>13.5</v>
      </c>
      <c r="E85" s="2">
        <v>50.26548245743669</v>
      </c>
      <c r="F85" s="11">
        <f t="shared" si="0"/>
        <v>2.6857396646757339</v>
      </c>
      <c r="G85" s="2">
        <f t="shared" si="1"/>
        <v>119.05883933507528</v>
      </c>
      <c r="H85" s="2">
        <f t="shared" si="2"/>
        <v>2.5251260768851118</v>
      </c>
      <c r="I85" s="2">
        <f t="shared" si="3"/>
        <v>111.938838988317</v>
      </c>
      <c r="J85" s="2">
        <f t="shared" si="4"/>
        <v>7.1200003467582746</v>
      </c>
      <c r="K85" s="15">
        <f t="shared" si="19"/>
        <v>0.39469373219373216</v>
      </c>
      <c r="L85" s="2">
        <f t="shared" si="14"/>
        <v>80</v>
      </c>
      <c r="M85" s="2">
        <f t="shared" si="15"/>
        <v>44.08</v>
      </c>
      <c r="N85" s="2">
        <v>13</v>
      </c>
      <c r="O85" s="2">
        <v>50.26548245743669</v>
      </c>
      <c r="P85" s="11">
        <f t="shared" si="5"/>
        <v>2.5862678252432989</v>
      </c>
      <c r="Q85" s="2">
        <f t="shared" si="6"/>
        <v>114.00268573672462</v>
      </c>
      <c r="R85" s="2">
        <f t="shared" si="7"/>
        <v>2.6003374498912204</v>
      </c>
      <c r="S85" s="2">
        <f t="shared" si="8"/>
        <v>114.62287479120499</v>
      </c>
      <c r="T85" s="2">
        <f t="shared" si="9"/>
        <v>0.62018905448037742</v>
      </c>
    </row>
    <row r="86" spans="1:20" x14ac:dyDescent="0.25">
      <c r="A86" s="14">
        <f t="shared" si="18"/>
        <v>0.4217948717948718</v>
      </c>
      <c r="B86" s="2">
        <f t="shared" si="11"/>
        <v>81</v>
      </c>
      <c r="C86" s="4">
        <f t="shared" si="12"/>
        <v>44.83</v>
      </c>
      <c r="D86" s="2">
        <v>12</v>
      </c>
      <c r="E86" s="2">
        <v>50.26548245743669</v>
      </c>
      <c r="F86" s="11">
        <f t="shared" si="0"/>
        <v>2.3873241463784298</v>
      </c>
      <c r="G86" s="2">
        <f t="shared" si="1"/>
        <v>107.023741482145</v>
      </c>
      <c r="H86" s="2">
        <f t="shared" si="2"/>
        <v>2.5251260768851118</v>
      </c>
      <c r="I86" s="2">
        <f t="shared" si="3"/>
        <v>113.20140202675955</v>
      </c>
      <c r="J86" s="2">
        <f t="shared" si="4"/>
        <v>6.1776605446145538</v>
      </c>
      <c r="K86" s="15">
        <f t="shared" si="19"/>
        <v>0.39481837606837605</v>
      </c>
      <c r="L86" s="2">
        <f t="shared" si="14"/>
        <v>81</v>
      </c>
      <c r="M86" s="2">
        <f t="shared" si="15"/>
        <v>44.58</v>
      </c>
      <c r="N86" s="2">
        <v>13</v>
      </c>
      <c r="O86" s="2">
        <v>50.26548245743669</v>
      </c>
      <c r="P86" s="11">
        <f t="shared" si="5"/>
        <v>2.5862678252432989</v>
      </c>
      <c r="Q86" s="2">
        <f t="shared" si="6"/>
        <v>115.29581964934626</v>
      </c>
      <c r="R86" s="2">
        <f t="shared" si="7"/>
        <v>2.6003374498912204</v>
      </c>
      <c r="S86" s="2">
        <f t="shared" si="8"/>
        <v>115.9230435161506</v>
      </c>
      <c r="T86" s="2">
        <f t="shared" si="9"/>
        <v>0.62722386680434283</v>
      </c>
    </row>
    <row r="87" spans="1:20" x14ac:dyDescent="0.25">
      <c r="A87" s="14">
        <f t="shared" si="18"/>
        <v>0.42211538461538461</v>
      </c>
      <c r="B87" s="2">
        <f t="shared" si="11"/>
        <v>82</v>
      </c>
      <c r="C87" s="4">
        <f t="shared" si="12"/>
        <v>45.33</v>
      </c>
      <c r="D87" s="2">
        <v>13</v>
      </c>
      <c r="E87" s="2">
        <v>50.26548245743669</v>
      </c>
      <c r="F87" s="11">
        <f t="shared" si="0"/>
        <v>2.5862678252432989</v>
      </c>
      <c r="G87" s="2">
        <f t="shared" si="1"/>
        <v>117.23552051827873</v>
      </c>
      <c r="H87" s="2">
        <f t="shared" si="2"/>
        <v>2.5251260768851118</v>
      </c>
      <c r="I87" s="2">
        <f t="shared" si="3"/>
        <v>114.46396506520212</v>
      </c>
      <c r="J87" s="2">
        <f t="shared" si="4"/>
        <v>2.7715554530766155</v>
      </c>
      <c r="K87" s="15">
        <f t="shared" si="19"/>
        <v>0.39494301994301995</v>
      </c>
      <c r="L87" s="2">
        <f t="shared" si="14"/>
        <v>82</v>
      </c>
      <c r="M87" s="2">
        <f t="shared" si="15"/>
        <v>45.08</v>
      </c>
      <c r="N87" s="2">
        <v>13.5</v>
      </c>
      <c r="O87" s="2">
        <v>50.26548245743669</v>
      </c>
      <c r="P87" s="11">
        <f t="shared" si="5"/>
        <v>2.6857396646757339</v>
      </c>
      <c r="Q87" s="2">
        <f t="shared" si="6"/>
        <v>121.07314408358208</v>
      </c>
      <c r="R87" s="2">
        <f t="shared" si="7"/>
        <v>2.6003374498912204</v>
      </c>
      <c r="S87" s="2">
        <f t="shared" si="8"/>
        <v>117.22321224109621</v>
      </c>
      <c r="T87" s="2">
        <f t="shared" si="9"/>
        <v>3.8499318424858728</v>
      </c>
    </row>
    <row r="88" spans="1:20" x14ac:dyDescent="0.25">
      <c r="A88" s="14">
        <f t="shared" si="18"/>
        <v>0.42243589743589743</v>
      </c>
      <c r="B88" s="2">
        <f t="shared" si="11"/>
        <v>83</v>
      </c>
      <c r="C88" s="4">
        <f t="shared" si="12"/>
        <v>45.83</v>
      </c>
      <c r="D88" s="2">
        <v>13.5</v>
      </c>
      <c r="E88" s="2">
        <v>50.26548245743669</v>
      </c>
      <c r="F88" s="11">
        <f t="shared" si="0"/>
        <v>2.6857396646757339</v>
      </c>
      <c r="G88" s="2">
        <f t="shared" si="1"/>
        <v>123.08744883208888</v>
      </c>
      <c r="H88" s="2">
        <f t="shared" si="2"/>
        <v>2.5251260768851118</v>
      </c>
      <c r="I88" s="2">
        <f t="shared" si="3"/>
        <v>115.72652810364467</v>
      </c>
      <c r="J88" s="2">
        <f t="shared" si="4"/>
        <v>7.3609207284442135</v>
      </c>
      <c r="K88" s="15">
        <f t="shared" si="19"/>
        <v>0.39506766381766378</v>
      </c>
      <c r="L88" s="2">
        <f t="shared" si="14"/>
        <v>83</v>
      </c>
      <c r="M88" s="2">
        <f t="shared" si="15"/>
        <v>45.58</v>
      </c>
      <c r="N88" s="2">
        <v>13.5</v>
      </c>
      <c r="O88" s="2">
        <v>50.26548245743669</v>
      </c>
      <c r="P88" s="11">
        <f t="shared" si="5"/>
        <v>2.6857396646757339</v>
      </c>
      <c r="Q88" s="2">
        <f t="shared" si="6"/>
        <v>122.41601391591995</v>
      </c>
      <c r="R88" s="2">
        <f t="shared" si="7"/>
        <v>2.6003374498912204</v>
      </c>
      <c r="S88" s="2">
        <f t="shared" si="8"/>
        <v>118.52338096604183</v>
      </c>
      <c r="T88" s="2">
        <f t="shared" si="9"/>
        <v>3.89263294987812</v>
      </c>
    </row>
    <row r="89" spans="1:20" x14ac:dyDescent="0.25">
      <c r="A89" s="14">
        <f t="shared" si="18"/>
        <v>0.42275641025641025</v>
      </c>
      <c r="B89" s="2">
        <f t="shared" si="11"/>
        <v>84</v>
      </c>
      <c r="C89" s="4">
        <f t="shared" si="12"/>
        <v>46.33</v>
      </c>
      <c r="D89" s="2">
        <v>14</v>
      </c>
      <c r="E89" s="2">
        <v>50.26548245743669</v>
      </c>
      <c r="F89" s="11">
        <f t="shared" si="0"/>
        <v>2.7852115041081689</v>
      </c>
      <c r="G89" s="2">
        <f t="shared" si="1"/>
        <v>129.03884898533147</v>
      </c>
      <c r="H89" s="2">
        <f t="shared" si="2"/>
        <v>2.5251260768851118</v>
      </c>
      <c r="I89" s="2">
        <f t="shared" si="3"/>
        <v>116.98909114208723</v>
      </c>
      <c r="J89" s="2">
        <f t="shared" si="4"/>
        <v>12.049757843244237</v>
      </c>
      <c r="K89" s="15">
        <f t="shared" si="19"/>
        <v>0.39519230769230768</v>
      </c>
      <c r="L89" s="2">
        <f t="shared" si="14"/>
        <v>84</v>
      </c>
      <c r="M89" s="2">
        <f t="shared" si="15"/>
        <v>46.08</v>
      </c>
      <c r="N89" s="2">
        <v>13.5</v>
      </c>
      <c r="O89" s="2">
        <v>50.26548245743669</v>
      </c>
      <c r="P89" s="11">
        <f t="shared" si="5"/>
        <v>2.6857396646757339</v>
      </c>
      <c r="Q89" s="2">
        <f t="shared" si="6"/>
        <v>123.75888374825782</v>
      </c>
      <c r="R89" s="2">
        <f t="shared" si="7"/>
        <v>2.6003374498912204</v>
      </c>
      <c r="S89" s="2">
        <f t="shared" si="8"/>
        <v>119.82354969098743</v>
      </c>
      <c r="T89" s="2">
        <f t="shared" si="9"/>
        <v>3.9353340572703814</v>
      </c>
    </row>
    <row r="90" spans="1:20" x14ac:dyDescent="0.25">
      <c r="A90" s="14">
        <f t="shared" si="18"/>
        <v>0.42307692307692307</v>
      </c>
      <c r="B90" s="2">
        <f t="shared" si="11"/>
        <v>85</v>
      </c>
      <c r="C90" s="4">
        <f t="shared" si="12"/>
        <v>46.83</v>
      </c>
      <c r="D90" s="2">
        <v>13</v>
      </c>
      <c r="E90" s="2">
        <v>50.26548245743669</v>
      </c>
      <c r="F90" s="11">
        <f t="shared" si="0"/>
        <v>2.5862678252432989</v>
      </c>
      <c r="G90" s="2">
        <f t="shared" si="1"/>
        <v>121.11492225614369</v>
      </c>
      <c r="H90" s="2">
        <f t="shared" si="2"/>
        <v>2.5251260768851118</v>
      </c>
      <c r="I90" s="2">
        <f t="shared" si="3"/>
        <v>118.25165418052978</v>
      </c>
      <c r="J90" s="2">
        <f t="shared" si="4"/>
        <v>2.8632680756139024</v>
      </c>
      <c r="K90" s="15">
        <f t="shared" si="19"/>
        <v>0.39531695156695157</v>
      </c>
      <c r="L90" s="2">
        <f t="shared" si="14"/>
        <v>85</v>
      </c>
      <c r="M90" s="2">
        <f t="shared" si="15"/>
        <v>46.58</v>
      </c>
      <c r="N90" s="2">
        <v>14.5</v>
      </c>
      <c r="O90" s="2">
        <v>50.26548245743669</v>
      </c>
      <c r="P90" s="11">
        <f t="shared" si="5"/>
        <v>2.8846833435406034</v>
      </c>
      <c r="Q90" s="2">
        <f t="shared" si="6"/>
        <v>134.36855014212131</v>
      </c>
      <c r="R90" s="2">
        <f t="shared" si="7"/>
        <v>2.6003374498912204</v>
      </c>
      <c r="S90" s="2">
        <f t="shared" si="8"/>
        <v>121.12371841593304</v>
      </c>
      <c r="T90" s="2">
        <f t="shared" si="9"/>
        <v>13.244831726188266</v>
      </c>
    </row>
    <row r="91" spans="1:20" x14ac:dyDescent="0.25">
      <c r="A91" s="14">
        <f t="shared" si="18"/>
        <v>0.42339743589743589</v>
      </c>
      <c r="B91" s="2">
        <f t="shared" si="11"/>
        <v>86</v>
      </c>
      <c r="C91" s="4">
        <f t="shared" si="12"/>
        <v>47.33</v>
      </c>
      <c r="D91" s="2">
        <v>12</v>
      </c>
      <c r="E91" s="2">
        <v>50.26548245743669</v>
      </c>
      <c r="F91" s="11">
        <f t="shared" si="0"/>
        <v>2.3873241463784298</v>
      </c>
      <c r="G91" s="2">
        <f t="shared" si="1"/>
        <v>112.99205184809108</v>
      </c>
      <c r="H91" s="2">
        <f t="shared" si="2"/>
        <v>2.5251260768851118</v>
      </c>
      <c r="I91" s="2">
        <f t="shared" si="3"/>
        <v>119.51421721897233</v>
      </c>
      <c r="J91" s="2">
        <f t="shared" si="4"/>
        <v>6.5221653708812539</v>
      </c>
      <c r="K91" s="15">
        <f t="shared" si="19"/>
        <v>0.39544159544159546</v>
      </c>
      <c r="L91" s="2">
        <f t="shared" si="14"/>
        <v>86</v>
      </c>
      <c r="M91" s="2">
        <f t="shared" si="15"/>
        <v>47.08</v>
      </c>
      <c r="N91" s="2">
        <v>12.5</v>
      </c>
      <c r="O91" s="2">
        <v>50.26548245743669</v>
      </c>
      <c r="P91" s="11">
        <f t="shared" si="5"/>
        <v>2.4867959858108648</v>
      </c>
      <c r="Q91" s="2">
        <f t="shared" si="6"/>
        <v>117.07835501197552</v>
      </c>
      <c r="R91" s="2">
        <f t="shared" si="7"/>
        <v>2.6003374498912204</v>
      </c>
      <c r="S91" s="2">
        <f t="shared" si="8"/>
        <v>122.42388714087865</v>
      </c>
      <c r="T91" s="2">
        <f t="shared" si="9"/>
        <v>5.3455321289031303</v>
      </c>
    </row>
    <row r="92" spans="1:20" x14ac:dyDescent="0.25">
      <c r="A92" s="14">
        <f t="shared" si="18"/>
        <v>0.42371794871794871</v>
      </c>
      <c r="B92" s="2">
        <f t="shared" si="11"/>
        <v>87</v>
      </c>
      <c r="C92" s="4">
        <f t="shared" si="12"/>
        <v>47.83</v>
      </c>
      <c r="D92" s="2">
        <v>11</v>
      </c>
      <c r="E92" s="2">
        <v>50.26548245743669</v>
      </c>
      <c r="F92" s="11">
        <f t="shared" si="0"/>
        <v>2.1883804675135607</v>
      </c>
      <c r="G92" s="2">
        <f t="shared" si="1"/>
        <v>104.67023776117361</v>
      </c>
      <c r="H92" s="2">
        <f t="shared" si="2"/>
        <v>2.5251260768851118</v>
      </c>
      <c r="I92" s="2">
        <f t="shared" si="3"/>
        <v>120.7767802574149</v>
      </c>
      <c r="J92" s="2">
        <f t="shared" si="4"/>
        <v>16.106542496241289</v>
      </c>
      <c r="K92" s="15">
        <f t="shared" si="19"/>
        <v>0.3955662393162393</v>
      </c>
      <c r="L92" s="2">
        <f t="shared" si="14"/>
        <v>87</v>
      </c>
      <c r="M92" s="2">
        <f t="shared" si="15"/>
        <v>47.58</v>
      </c>
      <c r="N92" s="2">
        <v>13</v>
      </c>
      <c r="O92" s="2">
        <v>50.26548245743669</v>
      </c>
      <c r="P92" s="11">
        <f t="shared" si="5"/>
        <v>2.5862678252432989</v>
      </c>
      <c r="Q92" s="2">
        <f t="shared" si="6"/>
        <v>123.05462312507616</v>
      </c>
      <c r="R92" s="2">
        <f t="shared" si="7"/>
        <v>2.6003374498912204</v>
      </c>
      <c r="S92" s="2">
        <f t="shared" si="8"/>
        <v>123.72405586582427</v>
      </c>
      <c r="T92" s="2">
        <f t="shared" si="9"/>
        <v>0.66943274074810688</v>
      </c>
    </row>
    <row r="93" spans="1:20" x14ac:dyDescent="0.25">
      <c r="A93" s="14">
        <f t="shared" si="18"/>
        <v>0.42403846153846153</v>
      </c>
      <c r="B93" s="2">
        <f t="shared" si="11"/>
        <v>88</v>
      </c>
      <c r="C93" s="4">
        <f t="shared" si="12"/>
        <v>48.33</v>
      </c>
      <c r="D93" s="2">
        <v>13.5</v>
      </c>
      <c r="E93" s="2">
        <v>50.26548245743669</v>
      </c>
      <c r="F93" s="11">
        <f t="shared" si="0"/>
        <v>2.6857396646757339</v>
      </c>
      <c r="G93" s="2">
        <f t="shared" si="1"/>
        <v>129.80179799377822</v>
      </c>
      <c r="H93" s="2">
        <f t="shared" si="2"/>
        <v>2.5251260768851118</v>
      </c>
      <c r="I93" s="2">
        <f t="shared" si="3"/>
        <v>122.03934329585745</v>
      </c>
      <c r="J93" s="2">
        <f t="shared" si="4"/>
        <v>7.7624546979207736</v>
      </c>
      <c r="K93" s="15">
        <f t="shared" si="19"/>
        <v>0.39569088319088319</v>
      </c>
      <c r="L93" s="2">
        <f t="shared" si="14"/>
        <v>88</v>
      </c>
      <c r="M93" s="2">
        <f t="shared" si="15"/>
        <v>48.08</v>
      </c>
      <c r="N93" s="2">
        <v>12.5</v>
      </c>
      <c r="O93" s="2">
        <v>50.26548245743669</v>
      </c>
      <c r="P93" s="11">
        <f t="shared" si="5"/>
        <v>2.4867959858108648</v>
      </c>
      <c r="Q93" s="2">
        <f t="shared" si="6"/>
        <v>119.56515099778638</v>
      </c>
      <c r="R93" s="2">
        <f t="shared" si="7"/>
        <v>2.6003374498912204</v>
      </c>
      <c r="S93" s="2">
        <f t="shared" si="8"/>
        <v>125.02422459076988</v>
      </c>
      <c r="T93" s="2">
        <f t="shared" si="9"/>
        <v>5.4590735929835006</v>
      </c>
    </row>
    <row r="94" spans="1:20" x14ac:dyDescent="0.25">
      <c r="A94" s="14">
        <f t="shared" si="18"/>
        <v>0.42435897435897435</v>
      </c>
      <c r="B94" s="2">
        <f t="shared" si="11"/>
        <v>89</v>
      </c>
      <c r="C94" s="4">
        <f t="shared" si="12"/>
        <v>48.83</v>
      </c>
      <c r="D94" s="2">
        <v>13.5</v>
      </c>
      <c r="E94" s="2">
        <v>50.26548245743669</v>
      </c>
      <c r="F94" s="11">
        <f t="shared" si="0"/>
        <v>2.6857396646757339</v>
      </c>
      <c r="G94" s="2">
        <f t="shared" si="1"/>
        <v>131.14466782611609</v>
      </c>
      <c r="H94" s="2">
        <f t="shared" si="2"/>
        <v>2.5251260768851118</v>
      </c>
      <c r="I94" s="2">
        <f t="shared" si="3"/>
        <v>123.3019063343</v>
      </c>
      <c r="J94" s="2">
        <f t="shared" si="4"/>
        <v>7.8427614918160913</v>
      </c>
      <c r="K94" s="15">
        <f t="shared" si="19"/>
        <v>0.39581552706552708</v>
      </c>
      <c r="L94" s="2">
        <f t="shared" si="14"/>
        <v>89</v>
      </c>
      <c r="M94" s="2">
        <f t="shared" si="15"/>
        <v>48.58</v>
      </c>
      <c r="N94" s="2">
        <v>13</v>
      </c>
      <c r="O94" s="2">
        <v>50.26548245743669</v>
      </c>
      <c r="P94" s="11">
        <f t="shared" si="5"/>
        <v>2.5862678252432989</v>
      </c>
      <c r="Q94" s="2">
        <f t="shared" si="6"/>
        <v>125.64089095031946</v>
      </c>
      <c r="R94" s="2">
        <f t="shared" si="7"/>
        <v>2.6003374498912204</v>
      </c>
      <c r="S94" s="2">
        <f t="shared" si="8"/>
        <v>126.32439331571548</v>
      </c>
      <c r="T94" s="2">
        <f t="shared" si="9"/>
        <v>0.68350236539602349</v>
      </c>
    </row>
    <row r="95" spans="1:20" x14ac:dyDescent="0.25">
      <c r="A95" s="14">
        <f t="shared" si="18"/>
        <v>0.42467948717948717</v>
      </c>
      <c r="B95" s="2">
        <f t="shared" si="11"/>
        <v>90</v>
      </c>
      <c r="C95" s="4">
        <f t="shared" si="12"/>
        <v>49.33</v>
      </c>
      <c r="D95" s="2">
        <v>14</v>
      </c>
      <c r="E95" s="2">
        <v>50.26548245743669</v>
      </c>
      <c r="F95" s="11">
        <f t="shared" si="0"/>
        <v>2.7852115041081689</v>
      </c>
      <c r="G95" s="2">
        <f t="shared" si="1"/>
        <v>137.39448349765595</v>
      </c>
      <c r="H95" s="2">
        <f t="shared" si="2"/>
        <v>2.5251260768851118</v>
      </c>
      <c r="I95" s="2">
        <f t="shared" si="3"/>
        <v>124.56446937274256</v>
      </c>
      <c r="J95" s="2">
        <f t="shared" si="4"/>
        <v>12.83001412491339</v>
      </c>
      <c r="K95" s="15">
        <f t="shared" si="19"/>
        <v>0.39594017094017092</v>
      </c>
      <c r="L95" s="2">
        <f t="shared" si="14"/>
        <v>90</v>
      </c>
      <c r="M95" s="2">
        <f t="shared" si="15"/>
        <v>49.08</v>
      </c>
      <c r="N95" s="2">
        <v>13.5</v>
      </c>
      <c r="O95" s="2">
        <v>50.26548245743669</v>
      </c>
      <c r="P95" s="11">
        <f t="shared" si="5"/>
        <v>2.6857396646757339</v>
      </c>
      <c r="Q95" s="2">
        <f t="shared" si="6"/>
        <v>131.81610274228501</v>
      </c>
      <c r="R95" s="2">
        <f t="shared" si="7"/>
        <v>2.6003374498912204</v>
      </c>
      <c r="S95" s="2">
        <f t="shared" si="8"/>
        <v>127.62456204066109</v>
      </c>
      <c r="T95" s="2">
        <f t="shared" si="9"/>
        <v>4.1915407016239214</v>
      </c>
    </row>
    <row r="96" spans="1:20" x14ac:dyDescent="0.25">
      <c r="A96" s="14">
        <f t="shared" si="18"/>
        <v>0.42499999999999999</v>
      </c>
      <c r="B96" s="2">
        <f t="shared" si="11"/>
        <v>91</v>
      </c>
      <c r="C96" s="4">
        <f t="shared" si="12"/>
        <v>49.83</v>
      </c>
      <c r="D96" s="2">
        <v>14</v>
      </c>
      <c r="E96" s="2">
        <v>50.26548245743669</v>
      </c>
      <c r="F96" s="11">
        <f t="shared" si="0"/>
        <v>2.7852115041081689</v>
      </c>
      <c r="G96" s="2">
        <f t="shared" si="1"/>
        <v>138.78708924971005</v>
      </c>
      <c r="H96" s="2">
        <f t="shared" si="2"/>
        <v>2.5251260768851118</v>
      </c>
      <c r="I96" s="2">
        <f t="shared" si="3"/>
        <v>125.82703241118512</v>
      </c>
      <c r="J96" s="2">
        <f t="shared" si="4"/>
        <v>12.960056838524935</v>
      </c>
      <c r="K96" s="15">
        <f t="shared" si="19"/>
        <v>0.39606481481481481</v>
      </c>
      <c r="L96" s="2">
        <f t="shared" si="14"/>
        <v>91</v>
      </c>
      <c r="M96" s="2">
        <f t="shared" si="15"/>
        <v>49.58</v>
      </c>
      <c r="N96" s="2">
        <v>13.5</v>
      </c>
      <c r="O96" s="2">
        <v>50.26548245743669</v>
      </c>
      <c r="P96" s="11">
        <f t="shared" si="5"/>
        <v>2.6857396646757339</v>
      </c>
      <c r="Q96" s="2">
        <f t="shared" si="6"/>
        <v>133.15897257462288</v>
      </c>
      <c r="R96" s="2">
        <f t="shared" si="7"/>
        <v>2.6003374498912204</v>
      </c>
      <c r="S96" s="2">
        <f t="shared" si="8"/>
        <v>128.92473076560671</v>
      </c>
      <c r="T96" s="2">
        <f t="shared" si="9"/>
        <v>4.2342418090161686</v>
      </c>
    </row>
    <row r="97" spans="1:20" x14ac:dyDescent="0.25">
      <c r="A97" s="14">
        <f t="shared" si="18"/>
        <v>0.42532051282051281</v>
      </c>
      <c r="B97" s="2">
        <f t="shared" si="11"/>
        <v>92</v>
      </c>
      <c r="C97" s="4">
        <f t="shared" si="12"/>
        <v>50.33</v>
      </c>
      <c r="D97" s="2">
        <v>12.5</v>
      </c>
      <c r="E97" s="2">
        <v>50.26548245743669</v>
      </c>
      <c r="F97" s="11">
        <f t="shared" si="0"/>
        <v>2.4867959858108648</v>
      </c>
      <c r="G97" s="2">
        <f t="shared" si="1"/>
        <v>125.16044196586083</v>
      </c>
      <c r="H97" s="2">
        <f t="shared" si="2"/>
        <v>2.5251260768851118</v>
      </c>
      <c r="I97" s="2">
        <f t="shared" si="3"/>
        <v>127.08959544962768</v>
      </c>
      <c r="J97" s="2">
        <f t="shared" si="4"/>
        <v>1.9291534837668536</v>
      </c>
      <c r="K97" s="15">
        <f t="shared" si="19"/>
        <v>0.39618945868945871</v>
      </c>
      <c r="L97" s="2">
        <f t="shared" si="14"/>
        <v>92</v>
      </c>
      <c r="M97" s="2">
        <f t="shared" si="15"/>
        <v>50.08</v>
      </c>
      <c r="N97" s="2">
        <v>14</v>
      </c>
      <c r="O97" s="2">
        <v>50.26548245743669</v>
      </c>
      <c r="P97" s="11">
        <f t="shared" si="5"/>
        <v>2.7852115041081689</v>
      </c>
      <c r="Q97" s="2">
        <f t="shared" si="6"/>
        <v>139.48339212573708</v>
      </c>
      <c r="R97" s="2">
        <f t="shared" si="7"/>
        <v>2.6003374498912204</v>
      </c>
      <c r="S97" s="2">
        <f t="shared" si="8"/>
        <v>130.2248994905523</v>
      </c>
      <c r="T97" s="2">
        <f t="shared" si="9"/>
        <v>9.2584926351847798</v>
      </c>
    </row>
    <row r="98" spans="1:20" x14ac:dyDescent="0.25">
      <c r="A98" s="14">
        <f t="shared" si="18"/>
        <v>0.42564102564102563</v>
      </c>
      <c r="B98" s="2">
        <f t="shared" si="11"/>
        <v>93</v>
      </c>
      <c r="C98" s="4">
        <f t="shared" si="12"/>
        <v>50.83</v>
      </c>
      <c r="D98" s="2">
        <v>12.5</v>
      </c>
      <c r="E98" s="2">
        <v>50.26548245743669</v>
      </c>
      <c r="F98" s="11">
        <f t="shared" si="0"/>
        <v>2.4867959858108648</v>
      </c>
      <c r="G98" s="2">
        <f t="shared" si="1"/>
        <v>126.40383995876626</v>
      </c>
      <c r="H98" s="2">
        <f t="shared" si="2"/>
        <v>2.5251260768851118</v>
      </c>
      <c r="I98" s="2">
        <f t="shared" si="3"/>
        <v>128.35215848807022</v>
      </c>
      <c r="J98" s="2">
        <f t="shared" si="4"/>
        <v>1.9483185293039611</v>
      </c>
      <c r="K98" s="15">
        <f t="shared" si="19"/>
        <v>0.39631410256410254</v>
      </c>
      <c r="L98" s="2">
        <f t="shared" si="14"/>
        <v>93</v>
      </c>
      <c r="M98" s="2">
        <f t="shared" si="15"/>
        <v>50.58</v>
      </c>
      <c r="N98" s="2">
        <v>13.5</v>
      </c>
      <c r="O98" s="2">
        <v>50.26548245743669</v>
      </c>
      <c r="P98" s="11">
        <f t="shared" si="5"/>
        <v>2.6857396646757339</v>
      </c>
      <c r="Q98" s="2">
        <f t="shared" si="6"/>
        <v>135.84471223929862</v>
      </c>
      <c r="R98" s="2">
        <f t="shared" si="7"/>
        <v>2.6003374498912204</v>
      </c>
      <c r="S98" s="2">
        <f t="shared" si="8"/>
        <v>131.52506821549792</v>
      </c>
      <c r="T98" s="2">
        <f t="shared" si="9"/>
        <v>4.3196440238006915</v>
      </c>
    </row>
    <row r="99" spans="1:20" x14ac:dyDescent="0.25">
      <c r="A99" s="14">
        <f t="shared" si="18"/>
        <v>0.42596153846153845</v>
      </c>
      <c r="B99" s="2">
        <f t="shared" si="11"/>
        <v>94</v>
      </c>
      <c r="C99" s="4">
        <f t="shared" si="12"/>
        <v>51.33</v>
      </c>
      <c r="D99" s="2">
        <v>12</v>
      </c>
      <c r="E99" s="2">
        <v>50.26548245743669</v>
      </c>
      <c r="F99" s="11">
        <f t="shared" si="0"/>
        <v>2.3873241463784298</v>
      </c>
      <c r="G99" s="2">
        <f t="shared" si="1"/>
        <v>122.5413484336048</v>
      </c>
      <c r="H99" s="2">
        <f t="shared" si="2"/>
        <v>2.5251260768851118</v>
      </c>
      <c r="I99" s="2">
        <f t="shared" si="3"/>
        <v>129.6147215265128</v>
      </c>
      <c r="J99" s="2">
        <f t="shared" si="4"/>
        <v>7.0733730929079996</v>
      </c>
      <c r="K99" s="15">
        <f t="shared" si="19"/>
        <v>0.39643874643874644</v>
      </c>
      <c r="L99" s="2">
        <f t="shared" si="14"/>
        <v>94</v>
      </c>
      <c r="M99" s="2">
        <f t="shared" si="15"/>
        <v>51.08</v>
      </c>
      <c r="N99" s="2">
        <v>12</v>
      </c>
      <c r="O99" s="2">
        <v>50.26548245743669</v>
      </c>
      <c r="P99" s="11">
        <f t="shared" si="5"/>
        <v>2.3873241463784298</v>
      </c>
      <c r="Q99" s="2">
        <f t="shared" si="6"/>
        <v>121.94451739701019</v>
      </c>
      <c r="R99" s="2">
        <f t="shared" si="7"/>
        <v>2.6003374498912204</v>
      </c>
      <c r="S99" s="2">
        <f t="shared" si="8"/>
        <v>132.82523694044355</v>
      </c>
      <c r="T99" s="2">
        <f t="shared" si="9"/>
        <v>10.880719543433358</v>
      </c>
    </row>
    <row r="100" spans="1:20" x14ac:dyDescent="0.25">
      <c r="A100" s="14">
        <f t="shared" si="18"/>
        <v>0.42628205128205127</v>
      </c>
      <c r="B100" s="2">
        <f t="shared" si="11"/>
        <v>95</v>
      </c>
      <c r="C100" s="4">
        <f t="shared" si="12"/>
        <v>51.83</v>
      </c>
      <c r="D100" s="2">
        <v>11.5</v>
      </c>
      <c r="E100" s="2">
        <v>50.26548245743669</v>
      </c>
      <c r="F100" s="11">
        <f t="shared" si="0"/>
        <v>2.2878523069459957</v>
      </c>
      <c r="G100" s="2">
        <f t="shared" si="1"/>
        <v>118.57938506901095</v>
      </c>
      <c r="H100" s="2">
        <f t="shared" si="2"/>
        <v>2.5251260768851118</v>
      </c>
      <c r="I100" s="2">
        <f t="shared" si="3"/>
        <v>130.87728456495535</v>
      </c>
      <c r="J100" s="2">
        <f t="shared" si="4"/>
        <v>12.297899495944392</v>
      </c>
      <c r="K100" s="15">
        <f t="shared" si="19"/>
        <v>0.39656339031339033</v>
      </c>
      <c r="L100" s="2">
        <f t="shared" si="14"/>
        <v>95</v>
      </c>
      <c r="M100" s="2">
        <f t="shared" si="15"/>
        <v>51.58</v>
      </c>
      <c r="N100" s="2">
        <v>12</v>
      </c>
      <c r="O100" s="2">
        <v>50.26548245743669</v>
      </c>
      <c r="P100" s="11">
        <f t="shared" si="5"/>
        <v>2.3873241463784298</v>
      </c>
      <c r="Q100" s="2">
        <f t="shared" si="6"/>
        <v>123.1381794701994</v>
      </c>
      <c r="R100" s="2">
        <f t="shared" si="7"/>
        <v>2.6003374498912204</v>
      </c>
      <c r="S100" s="2">
        <f t="shared" si="8"/>
        <v>134.12540566538914</v>
      </c>
      <c r="T100" s="2">
        <f t="shared" si="9"/>
        <v>10.987226195189734</v>
      </c>
    </row>
    <row r="101" spans="1:20" x14ac:dyDescent="0.25">
      <c r="A101" s="14">
        <f t="shared" si="18"/>
        <v>0.42660256410256409</v>
      </c>
      <c r="B101" s="2">
        <f t="shared" si="11"/>
        <v>96</v>
      </c>
      <c r="C101" s="4">
        <f t="shared" si="12"/>
        <v>52.33</v>
      </c>
      <c r="D101" s="2">
        <v>10.5</v>
      </c>
      <c r="E101" s="2">
        <v>50.26548245743669</v>
      </c>
      <c r="F101" s="11">
        <f t="shared" si="0"/>
        <v>2.0889086280811267</v>
      </c>
      <c r="G101" s="2">
        <f t="shared" si="1"/>
        <v>109.31258850748536</v>
      </c>
      <c r="H101" s="2">
        <f t="shared" si="2"/>
        <v>2.5251260768851118</v>
      </c>
      <c r="I101" s="2">
        <f t="shared" si="3"/>
        <v>132.1398476033979</v>
      </c>
      <c r="J101" s="2">
        <f t="shared" si="4"/>
        <v>22.827259095912538</v>
      </c>
      <c r="K101" s="15">
        <f t="shared" si="19"/>
        <v>0.39668803418803417</v>
      </c>
      <c r="L101" s="2">
        <f t="shared" si="14"/>
        <v>96</v>
      </c>
      <c r="M101" s="2">
        <f t="shared" si="15"/>
        <v>52.08</v>
      </c>
      <c r="N101" s="2">
        <v>11</v>
      </c>
      <c r="O101" s="2">
        <v>50.26548245743669</v>
      </c>
      <c r="P101" s="11">
        <f t="shared" si="5"/>
        <v>2.1883804675135607</v>
      </c>
      <c r="Q101" s="2">
        <f t="shared" si="6"/>
        <v>113.97085474810623</v>
      </c>
      <c r="R101" s="2">
        <f t="shared" si="7"/>
        <v>2.6003374498912204</v>
      </c>
      <c r="S101" s="2">
        <f t="shared" si="8"/>
        <v>135.42557439033476</v>
      </c>
      <c r="T101" s="2">
        <f t="shared" si="9"/>
        <v>21.454719642228525</v>
      </c>
    </row>
    <row r="102" spans="1:20" x14ac:dyDescent="0.25">
      <c r="A102" s="14">
        <f t="shared" si="18"/>
        <v>0.42692307692307691</v>
      </c>
      <c r="B102" s="2">
        <f t="shared" si="11"/>
        <v>97</v>
      </c>
      <c r="C102" s="4">
        <f t="shared" si="12"/>
        <v>52.83</v>
      </c>
      <c r="D102" s="2">
        <v>9</v>
      </c>
      <c r="E102" s="2">
        <v>50.26548245743669</v>
      </c>
      <c r="F102" s="11">
        <f t="shared" si="0"/>
        <v>1.7904931097838226</v>
      </c>
      <c r="G102" s="2">
        <f t="shared" si="1"/>
        <v>94.591750989879344</v>
      </c>
      <c r="H102" s="2">
        <f t="shared" si="2"/>
        <v>2.5251260768851118</v>
      </c>
      <c r="I102" s="2">
        <f t="shared" si="3"/>
        <v>133.40241064184045</v>
      </c>
      <c r="J102" s="2">
        <f t="shared" si="4"/>
        <v>38.810659651961103</v>
      </c>
      <c r="K102" s="15">
        <f t="shared" si="19"/>
        <v>0.39681267806267806</v>
      </c>
      <c r="L102" s="2">
        <f t="shared" si="14"/>
        <v>97</v>
      </c>
      <c r="M102" s="2">
        <f t="shared" si="15"/>
        <v>52.58</v>
      </c>
      <c r="N102" s="2">
        <v>9</v>
      </c>
      <c r="O102" s="2">
        <v>50.26548245743669</v>
      </c>
      <c r="P102" s="11">
        <f t="shared" si="5"/>
        <v>1.7904931097838226</v>
      </c>
      <c r="Q102" s="2">
        <f t="shared" si="6"/>
        <v>94.144127712433388</v>
      </c>
      <c r="R102" s="2">
        <f t="shared" si="7"/>
        <v>2.6003374498912204</v>
      </c>
      <c r="S102" s="2">
        <f t="shared" si="8"/>
        <v>136.72574311528035</v>
      </c>
      <c r="T102" s="2">
        <f t="shared" si="9"/>
        <v>42.581615402846964</v>
      </c>
    </row>
    <row r="103" spans="1:20" x14ac:dyDescent="0.25">
      <c r="A103" s="14">
        <f t="shared" si="18"/>
        <v>0.42724358974358978</v>
      </c>
      <c r="B103" s="2">
        <f t="shared" si="11"/>
        <v>98</v>
      </c>
      <c r="C103" s="4">
        <f t="shared" si="12"/>
        <v>53.33</v>
      </c>
      <c r="D103" s="2">
        <v>11</v>
      </c>
      <c r="E103" s="2">
        <v>50.26548245743669</v>
      </c>
      <c r="F103" s="11">
        <f t="shared" si="0"/>
        <v>2.1883804675135607</v>
      </c>
      <c r="G103" s="2">
        <f t="shared" si="1"/>
        <v>116.7063303324982</v>
      </c>
      <c r="H103" s="2">
        <f t="shared" si="2"/>
        <v>2.5251260768851118</v>
      </c>
      <c r="I103" s="2">
        <f t="shared" si="3"/>
        <v>134.664973680283</v>
      </c>
      <c r="J103" s="2">
        <f t="shared" si="4"/>
        <v>17.9586433477848</v>
      </c>
      <c r="K103" s="15">
        <f t="shared" si="19"/>
        <v>0.39693732193732195</v>
      </c>
      <c r="L103" s="2">
        <f t="shared" si="14"/>
        <v>98</v>
      </c>
      <c r="M103" s="2">
        <f t="shared" si="15"/>
        <v>53.08</v>
      </c>
      <c r="N103" s="2">
        <v>9.5</v>
      </c>
      <c r="O103" s="2">
        <v>50.26548245743669</v>
      </c>
      <c r="P103" s="11">
        <f t="shared" si="5"/>
        <v>1.8899649492162571</v>
      </c>
      <c r="Q103" s="2">
        <f t="shared" si="6"/>
        <v>100.31933950439893</v>
      </c>
      <c r="R103" s="2">
        <f t="shared" si="7"/>
        <v>2.6003374498912204</v>
      </c>
      <c r="S103" s="2">
        <f t="shared" si="8"/>
        <v>138.02591184022597</v>
      </c>
      <c r="T103" s="2">
        <f t="shared" si="9"/>
        <v>37.706572335827047</v>
      </c>
    </row>
    <row r="104" spans="1:20" x14ac:dyDescent="0.25">
      <c r="A104" s="14">
        <f t="shared" si="18"/>
        <v>0.4275641025641026</v>
      </c>
      <c r="B104" s="2">
        <f t="shared" si="11"/>
        <v>99</v>
      </c>
      <c r="C104" s="4">
        <f t="shared" si="12"/>
        <v>53.83</v>
      </c>
      <c r="D104" s="2">
        <v>10.5</v>
      </c>
      <c r="E104" s="2">
        <v>50.26548245743669</v>
      </c>
      <c r="F104" s="11">
        <f t="shared" si="0"/>
        <v>2.0889086280811267</v>
      </c>
      <c r="G104" s="2">
        <f t="shared" si="1"/>
        <v>112.44595144960705</v>
      </c>
      <c r="H104" s="2">
        <f t="shared" si="2"/>
        <v>2.5251260768851118</v>
      </c>
      <c r="I104" s="2">
        <f t="shared" si="3"/>
        <v>135.92753671872558</v>
      </c>
      <c r="J104" s="2">
        <f t="shared" si="4"/>
        <v>23.481585269118526</v>
      </c>
      <c r="K104" s="15">
        <f t="shared" si="19"/>
        <v>0.39706196581196584</v>
      </c>
      <c r="L104" s="2">
        <f t="shared" si="14"/>
        <v>99</v>
      </c>
      <c r="M104" s="2">
        <f t="shared" si="15"/>
        <v>53.58</v>
      </c>
      <c r="N104" s="2">
        <v>10</v>
      </c>
      <c r="O104" s="2">
        <v>50.26548245743669</v>
      </c>
      <c r="P104" s="11">
        <f t="shared" si="5"/>
        <v>1.9894367886486919</v>
      </c>
      <c r="Q104" s="2">
        <f t="shared" si="6"/>
        <v>106.5940231357969</v>
      </c>
      <c r="R104" s="2">
        <f t="shared" si="7"/>
        <v>2.6003374498912204</v>
      </c>
      <c r="S104" s="2">
        <f t="shared" si="8"/>
        <v>139.32608056517159</v>
      </c>
      <c r="T104" s="2">
        <f t="shared" si="9"/>
        <v>32.732057429374692</v>
      </c>
    </row>
    <row r="105" spans="1:20" x14ac:dyDescent="0.25">
      <c r="A105" s="14">
        <f t="shared" si="18"/>
        <v>0.42788461538461542</v>
      </c>
      <c r="B105" s="2">
        <f t="shared" si="11"/>
        <v>100</v>
      </c>
      <c r="C105" s="4">
        <f t="shared" si="12"/>
        <v>54.33</v>
      </c>
      <c r="D105" s="2">
        <v>9.5</v>
      </c>
      <c r="E105" s="2">
        <v>50.26548245743669</v>
      </c>
      <c r="F105" s="11">
        <f t="shared" si="0"/>
        <v>1.8899649492162571</v>
      </c>
      <c r="G105" s="2">
        <f t="shared" si="1"/>
        <v>102.68179569091924</v>
      </c>
      <c r="H105" s="2">
        <f t="shared" si="2"/>
        <v>2.5251260768851118</v>
      </c>
      <c r="I105" s="2">
        <f t="shared" si="3"/>
        <v>137.19009975716813</v>
      </c>
      <c r="J105" s="2">
        <f t="shared" si="4"/>
        <v>34.508304066248883</v>
      </c>
      <c r="K105" s="15">
        <f t="shared" si="19"/>
        <v>0.39718660968660968</v>
      </c>
      <c r="L105" s="2">
        <f t="shared" si="14"/>
        <v>100</v>
      </c>
      <c r="M105" s="2">
        <f t="shared" si="15"/>
        <v>54.08</v>
      </c>
      <c r="N105" s="2">
        <v>10</v>
      </c>
      <c r="O105" s="2">
        <v>50.26548245743669</v>
      </c>
      <c r="P105" s="11">
        <f t="shared" si="5"/>
        <v>1.9894367886486919</v>
      </c>
      <c r="Q105" s="2">
        <f t="shared" si="6"/>
        <v>107.58874153012125</v>
      </c>
      <c r="R105" s="2">
        <f t="shared" si="7"/>
        <v>2.6003374498912204</v>
      </c>
      <c r="S105" s="2">
        <f t="shared" si="8"/>
        <v>140.62624929011719</v>
      </c>
      <c r="T105" s="2">
        <f t="shared" si="9"/>
        <v>33.037507759995933</v>
      </c>
    </row>
    <row r="106" spans="1:20" x14ac:dyDescent="0.25">
      <c r="A106" s="14">
        <f t="shared" si="18"/>
        <v>0.42820512820512824</v>
      </c>
      <c r="B106" s="2">
        <f t="shared" si="11"/>
        <v>101</v>
      </c>
      <c r="C106" s="4">
        <f t="shared" si="12"/>
        <v>54.83</v>
      </c>
      <c r="D106" s="2">
        <v>9.5</v>
      </c>
      <c r="E106" s="2">
        <v>50.26548245743669</v>
      </c>
      <c r="F106" s="11">
        <f t="shared" si="0"/>
        <v>1.8899649492162571</v>
      </c>
      <c r="G106" s="2">
        <f t="shared" si="1"/>
        <v>103.62677816552737</v>
      </c>
      <c r="H106" s="2">
        <f t="shared" si="2"/>
        <v>2.5251260768851118</v>
      </c>
      <c r="I106" s="2">
        <f t="shared" si="3"/>
        <v>138.45266279561068</v>
      </c>
      <c r="J106" s="2">
        <f t="shared" si="4"/>
        <v>34.825884630083308</v>
      </c>
      <c r="K106" s="15">
        <f t="shared" si="19"/>
        <v>0.39731125356125357</v>
      </c>
      <c r="L106" s="2">
        <f t="shared" si="14"/>
        <v>101</v>
      </c>
      <c r="M106" s="2">
        <f t="shared" si="15"/>
        <v>54.58</v>
      </c>
      <c r="N106" s="2">
        <v>11</v>
      </c>
      <c r="O106" s="2">
        <v>50.26548245743669</v>
      </c>
      <c r="P106" s="11">
        <f t="shared" si="5"/>
        <v>2.1883804675135607</v>
      </c>
      <c r="Q106" s="2">
        <f t="shared" si="6"/>
        <v>119.44180591689015</v>
      </c>
      <c r="R106" s="2">
        <f t="shared" si="7"/>
        <v>2.6003374498912204</v>
      </c>
      <c r="S106" s="2">
        <f t="shared" si="8"/>
        <v>141.92641801506281</v>
      </c>
      <c r="T106" s="2">
        <f t="shared" si="9"/>
        <v>22.484612098172661</v>
      </c>
    </row>
    <row r="107" spans="1:20" x14ac:dyDescent="0.25">
      <c r="A107" s="14">
        <f t="shared" si="18"/>
        <v>0.42852564102564106</v>
      </c>
      <c r="B107" s="2">
        <f t="shared" si="11"/>
        <v>102</v>
      </c>
      <c r="C107" s="4">
        <f t="shared" si="12"/>
        <v>55.33</v>
      </c>
      <c r="D107" s="2">
        <v>10.5</v>
      </c>
      <c r="E107" s="2">
        <v>50.26548245743669</v>
      </c>
      <c r="F107" s="11">
        <f t="shared" si="0"/>
        <v>2.0889086280811267</v>
      </c>
      <c r="G107" s="2">
        <f t="shared" si="1"/>
        <v>115.57931439172873</v>
      </c>
      <c r="H107" s="2">
        <f t="shared" si="2"/>
        <v>2.5251260768851118</v>
      </c>
      <c r="I107" s="2">
        <f t="shared" si="3"/>
        <v>139.71522583405323</v>
      </c>
      <c r="J107" s="2">
        <f t="shared" si="4"/>
        <v>24.135911442324499</v>
      </c>
      <c r="K107" s="15">
        <f t="shared" si="19"/>
        <v>0.39743589743589747</v>
      </c>
      <c r="L107" s="2">
        <f t="shared" si="14"/>
        <v>102</v>
      </c>
      <c r="M107" s="2">
        <f t="shared" si="15"/>
        <v>55.08</v>
      </c>
      <c r="N107" s="2">
        <v>10.5</v>
      </c>
      <c r="O107" s="2">
        <v>50.26548245743669</v>
      </c>
      <c r="P107" s="11">
        <f t="shared" si="5"/>
        <v>2.0889086280811267</v>
      </c>
      <c r="Q107" s="2">
        <f t="shared" si="6"/>
        <v>115.05708723470845</v>
      </c>
      <c r="R107" s="2">
        <f t="shared" si="7"/>
        <v>2.6003374498912204</v>
      </c>
      <c r="S107" s="2">
        <f t="shared" si="8"/>
        <v>143.22658674000843</v>
      </c>
      <c r="T107" s="2">
        <f t="shared" si="9"/>
        <v>28.169499505299981</v>
      </c>
    </row>
    <row r="108" spans="1:20" x14ac:dyDescent="0.25">
      <c r="A108" s="14">
        <f t="shared" si="18"/>
        <v>0.42884615384615388</v>
      </c>
      <c r="B108" s="2">
        <f t="shared" si="11"/>
        <v>103</v>
      </c>
      <c r="C108" s="4">
        <f t="shared" si="12"/>
        <v>55.83</v>
      </c>
      <c r="D108" s="2">
        <v>10</v>
      </c>
      <c r="E108" s="2">
        <v>50.26548245743669</v>
      </c>
      <c r="F108" s="11">
        <f t="shared" si="0"/>
        <v>1.9894367886486919</v>
      </c>
      <c r="G108" s="2">
        <f t="shared" si="1"/>
        <v>111.07025591025646</v>
      </c>
      <c r="H108" s="2">
        <f t="shared" si="2"/>
        <v>2.5251260768851118</v>
      </c>
      <c r="I108" s="2">
        <f t="shared" si="3"/>
        <v>140.97778887249578</v>
      </c>
      <c r="J108" s="2">
        <f t="shared" si="4"/>
        <v>29.907532962239316</v>
      </c>
      <c r="K108" s="15">
        <f t="shared" si="19"/>
        <v>0.3975605413105413</v>
      </c>
      <c r="L108" s="2">
        <f t="shared" si="14"/>
        <v>103</v>
      </c>
      <c r="M108" s="2">
        <f t="shared" si="15"/>
        <v>55.58</v>
      </c>
      <c r="N108" s="2">
        <v>10</v>
      </c>
      <c r="O108" s="2">
        <v>50.26548245743669</v>
      </c>
      <c r="P108" s="11">
        <f t="shared" si="5"/>
        <v>1.9894367886486919</v>
      </c>
      <c r="Q108" s="2">
        <f t="shared" si="6"/>
        <v>110.57289671309429</v>
      </c>
      <c r="R108" s="2">
        <f t="shared" si="7"/>
        <v>2.6003374498912204</v>
      </c>
      <c r="S108" s="2">
        <f t="shared" si="8"/>
        <v>144.52675546495402</v>
      </c>
      <c r="T108" s="2">
        <f t="shared" si="9"/>
        <v>33.953858751859727</v>
      </c>
    </row>
    <row r="109" spans="1:20" x14ac:dyDescent="0.25">
      <c r="A109" s="14">
        <f t="shared" si="18"/>
        <v>0.4291666666666667</v>
      </c>
      <c r="B109" s="21">
        <f t="shared" si="11"/>
        <v>104</v>
      </c>
      <c r="C109" s="22">
        <f t="shared" si="12"/>
        <v>56.33</v>
      </c>
      <c r="D109" s="21">
        <v>10.5</v>
      </c>
      <c r="E109" s="2">
        <v>50.26548245743669</v>
      </c>
      <c r="F109" s="11">
        <f t="shared" si="0"/>
        <v>2.0889086280811267</v>
      </c>
      <c r="G109" s="2">
        <f t="shared" si="1"/>
        <v>117.66822301980986</v>
      </c>
      <c r="H109" s="2">
        <f t="shared" si="2"/>
        <v>2.5251260768851118</v>
      </c>
      <c r="I109" s="2">
        <f t="shared" si="3"/>
        <v>142.24035191093836</v>
      </c>
      <c r="J109" s="2">
        <f t="shared" si="4"/>
        <v>24.5721288911285</v>
      </c>
      <c r="K109" s="15">
        <f t="shared" si="19"/>
        <v>0.3976851851851852</v>
      </c>
      <c r="L109" s="21">
        <f t="shared" si="14"/>
        <v>104</v>
      </c>
      <c r="M109" s="21">
        <f t="shared" si="15"/>
        <v>56.08</v>
      </c>
      <c r="N109" s="21">
        <v>10.5</v>
      </c>
      <c r="O109" s="2">
        <v>50.26548245743669</v>
      </c>
      <c r="P109" s="11">
        <f t="shared" si="5"/>
        <v>2.0889086280811267</v>
      </c>
      <c r="Q109" s="2">
        <f t="shared" si="6"/>
        <v>117.14599586278958</v>
      </c>
      <c r="R109" s="2">
        <f t="shared" si="7"/>
        <v>2.6003374498912204</v>
      </c>
      <c r="S109" s="2">
        <f t="shared" si="8"/>
        <v>145.82692418989964</v>
      </c>
      <c r="T109" s="2">
        <f t="shared" si="9"/>
        <v>28.680928327110067</v>
      </c>
    </row>
    <row r="110" spans="1:20" x14ac:dyDescent="0.25">
      <c r="A110" s="14">
        <f t="shared" si="18"/>
        <v>0.42948717948717952</v>
      </c>
      <c r="B110" s="21">
        <f t="shared" si="11"/>
        <v>105</v>
      </c>
      <c r="C110" s="22">
        <f>C109+1.5</f>
        <v>57.83</v>
      </c>
      <c r="D110" s="21">
        <v>11</v>
      </c>
      <c r="E110" s="2">
        <v>50.26548245743669</v>
      </c>
      <c r="F110" s="11">
        <f t="shared" si="0"/>
        <v>2.1883804675135607</v>
      </c>
      <c r="G110" s="2">
        <f t="shared" si="1"/>
        <v>126.55404243630922</v>
      </c>
      <c r="H110" s="2">
        <f t="shared" si="2"/>
        <v>2.5251260768851118</v>
      </c>
      <c r="I110" s="2">
        <f t="shared" si="3"/>
        <v>146.02804102626601</v>
      </c>
      <c r="J110" s="2">
        <f t="shared" si="4"/>
        <v>19.473998589956793</v>
      </c>
      <c r="K110" s="15">
        <f t="shared" si="19"/>
        <v>0.39780982905982909</v>
      </c>
      <c r="L110" s="21">
        <f t="shared" si="14"/>
        <v>105</v>
      </c>
      <c r="M110" s="21">
        <f>M109+1.5</f>
        <v>57.58</v>
      </c>
      <c r="N110" s="21">
        <v>10.5</v>
      </c>
      <c r="O110" s="2">
        <v>50.26548245743669</v>
      </c>
      <c r="P110" s="11">
        <f t="shared" si="5"/>
        <v>2.0889086280811267</v>
      </c>
      <c r="Q110" s="2">
        <f t="shared" si="6"/>
        <v>120.27935880491127</v>
      </c>
      <c r="R110" s="2">
        <f t="shared" si="7"/>
        <v>2.6003374498912204</v>
      </c>
      <c r="S110" s="2">
        <f t="shared" si="8"/>
        <v>149.72743036473648</v>
      </c>
      <c r="T110" s="2">
        <f t="shared" si="9"/>
        <v>29.448071559825209</v>
      </c>
    </row>
    <row r="111" spans="1:20" x14ac:dyDescent="0.25">
      <c r="A111" s="14">
        <f t="shared" si="18"/>
        <v>0.42980769230769234</v>
      </c>
      <c r="B111" s="21">
        <f t="shared" si="11"/>
        <v>106</v>
      </c>
      <c r="C111" s="22">
        <f t="shared" ref="C111:C162" si="20">C110+0.5</f>
        <v>58.33</v>
      </c>
      <c r="D111" s="21">
        <v>10</v>
      </c>
      <c r="E111" s="2">
        <v>50.26548245743669</v>
      </c>
      <c r="F111" s="11">
        <f t="shared" si="0"/>
        <v>1.9894367886486919</v>
      </c>
      <c r="G111" s="2">
        <f t="shared" si="1"/>
        <v>116.04384788187819</v>
      </c>
      <c r="H111" s="2">
        <f t="shared" si="2"/>
        <v>2.5251260768851118</v>
      </c>
      <c r="I111" s="2">
        <f t="shared" si="3"/>
        <v>147.29060406470856</v>
      </c>
      <c r="J111" s="2">
        <f t="shared" si="4"/>
        <v>31.246756182830367</v>
      </c>
      <c r="K111" s="15">
        <f t="shared" si="19"/>
        <v>0.39793447293447293</v>
      </c>
      <c r="L111" s="21">
        <f t="shared" si="14"/>
        <v>106</v>
      </c>
      <c r="M111" s="21">
        <f t="shared" ref="M111:M162" si="21">M110+0.5</f>
        <v>58.08</v>
      </c>
      <c r="N111" s="21">
        <v>11</v>
      </c>
      <c r="O111" s="2">
        <v>50.26548245743669</v>
      </c>
      <c r="P111" s="11">
        <f t="shared" si="5"/>
        <v>2.1883804675135607</v>
      </c>
      <c r="Q111" s="2">
        <f t="shared" si="6"/>
        <v>127.1011375531876</v>
      </c>
      <c r="R111" s="2">
        <f t="shared" si="7"/>
        <v>2.6003374498912204</v>
      </c>
      <c r="S111" s="2">
        <f t="shared" si="8"/>
        <v>151.02759908968207</v>
      </c>
      <c r="T111" s="2">
        <f t="shared" si="9"/>
        <v>23.926461536494472</v>
      </c>
    </row>
    <row r="112" spans="1:20" x14ac:dyDescent="0.25">
      <c r="A112" s="14">
        <f t="shared" si="18"/>
        <v>0.43012820512820515</v>
      </c>
      <c r="B112" s="2">
        <f t="shared" si="11"/>
        <v>107</v>
      </c>
      <c r="C112" s="4">
        <f t="shared" si="20"/>
        <v>58.83</v>
      </c>
      <c r="D112" s="2">
        <v>13.5</v>
      </c>
      <c r="E112" s="2">
        <v>50.26548245743669</v>
      </c>
      <c r="F112" s="11">
        <f t="shared" si="0"/>
        <v>2.6857396646757339</v>
      </c>
      <c r="G112" s="2">
        <f t="shared" si="1"/>
        <v>158.00206447287343</v>
      </c>
      <c r="H112" s="2">
        <f t="shared" si="2"/>
        <v>2.5251260768851118</v>
      </c>
      <c r="I112" s="2">
        <f t="shared" si="3"/>
        <v>148.55316710315111</v>
      </c>
      <c r="J112" s="2">
        <f t="shared" si="4"/>
        <v>9.4488973697223173</v>
      </c>
      <c r="K112" s="15">
        <f t="shared" si="19"/>
        <v>0.39805911680911682</v>
      </c>
      <c r="L112" s="2">
        <f t="shared" si="14"/>
        <v>107</v>
      </c>
      <c r="M112" s="2">
        <f t="shared" si="21"/>
        <v>58.58</v>
      </c>
      <c r="N112" s="2">
        <v>10</v>
      </c>
      <c r="O112" s="2">
        <v>50.26548245743669</v>
      </c>
      <c r="P112" s="11">
        <f t="shared" si="5"/>
        <v>1.9894367886486919</v>
      </c>
      <c r="Q112" s="2">
        <f t="shared" si="6"/>
        <v>116.54120707904036</v>
      </c>
      <c r="R112" s="2">
        <f t="shared" si="7"/>
        <v>2.6003374498912204</v>
      </c>
      <c r="S112" s="2">
        <f t="shared" si="8"/>
        <v>152.32776781462769</v>
      </c>
      <c r="T112" s="2">
        <f t="shared" si="9"/>
        <v>35.786560735587329</v>
      </c>
    </row>
    <row r="113" spans="1:20" x14ac:dyDescent="0.25">
      <c r="A113" s="14">
        <f t="shared" si="18"/>
        <v>0.43044871794871797</v>
      </c>
      <c r="B113" s="2">
        <f t="shared" si="11"/>
        <v>108</v>
      </c>
      <c r="C113" s="4">
        <f t="shared" si="20"/>
        <v>59.33</v>
      </c>
      <c r="D113" s="2">
        <v>10.5</v>
      </c>
      <c r="E113" s="2">
        <v>50.26548245743669</v>
      </c>
      <c r="F113" s="11">
        <f t="shared" si="0"/>
        <v>2.0889086280811267</v>
      </c>
      <c r="G113" s="2">
        <f t="shared" si="1"/>
        <v>123.93494890405324</v>
      </c>
      <c r="H113" s="2">
        <f t="shared" si="2"/>
        <v>2.5251260768851118</v>
      </c>
      <c r="I113" s="2">
        <f t="shared" si="3"/>
        <v>149.81573014159369</v>
      </c>
      <c r="J113" s="2">
        <f t="shared" si="4"/>
        <v>25.880781237540447</v>
      </c>
      <c r="K113" s="15">
        <f t="shared" si="19"/>
        <v>0.39818376068376071</v>
      </c>
      <c r="L113" s="2">
        <f t="shared" si="14"/>
        <v>108</v>
      </c>
      <c r="M113" s="2">
        <f t="shared" si="21"/>
        <v>59.08</v>
      </c>
      <c r="N113" s="2">
        <v>10.5</v>
      </c>
      <c r="O113" s="2">
        <v>50.26548245743669</v>
      </c>
      <c r="P113" s="11">
        <f t="shared" si="5"/>
        <v>2.0889086280811267</v>
      </c>
      <c r="Q113" s="2">
        <f t="shared" si="6"/>
        <v>123.41272174703296</v>
      </c>
      <c r="R113" s="2">
        <f t="shared" si="7"/>
        <v>2.6003374498912204</v>
      </c>
      <c r="S113" s="2">
        <f t="shared" si="8"/>
        <v>153.62793653957328</v>
      </c>
      <c r="T113" s="2">
        <f t="shared" si="9"/>
        <v>30.215214792540323</v>
      </c>
    </row>
    <row r="114" spans="1:20" x14ac:dyDescent="0.25">
      <c r="A114" s="14">
        <f t="shared" si="18"/>
        <v>0.43076923076923079</v>
      </c>
      <c r="B114" s="2">
        <f t="shared" si="11"/>
        <v>109</v>
      </c>
      <c r="C114" s="4">
        <f t="shared" si="20"/>
        <v>59.83</v>
      </c>
      <c r="D114" s="2">
        <v>10</v>
      </c>
      <c r="E114" s="2">
        <v>50.26548245743669</v>
      </c>
      <c r="F114" s="11">
        <f t="shared" si="0"/>
        <v>1.9894367886486919</v>
      </c>
      <c r="G114" s="2">
        <f t="shared" si="1"/>
        <v>119.02800306485123</v>
      </c>
      <c r="H114" s="2">
        <f t="shared" si="2"/>
        <v>2.5251260768851118</v>
      </c>
      <c r="I114" s="2">
        <f t="shared" si="3"/>
        <v>151.07829318003624</v>
      </c>
      <c r="J114" s="2">
        <f t="shared" si="4"/>
        <v>32.050290115185007</v>
      </c>
      <c r="K114" s="15">
        <f t="shared" si="19"/>
        <v>0.39830840455840455</v>
      </c>
      <c r="L114" s="2">
        <f t="shared" si="14"/>
        <v>109</v>
      </c>
      <c r="M114" s="2">
        <f t="shared" si="21"/>
        <v>59.58</v>
      </c>
      <c r="N114" s="2">
        <v>10.5</v>
      </c>
      <c r="O114" s="2">
        <v>50.26548245743669</v>
      </c>
      <c r="P114" s="11">
        <f t="shared" si="5"/>
        <v>2.0889086280811267</v>
      </c>
      <c r="Q114" s="2">
        <f t="shared" si="6"/>
        <v>124.45717606107353</v>
      </c>
      <c r="R114" s="2">
        <f t="shared" si="7"/>
        <v>2.6003374498912204</v>
      </c>
      <c r="S114" s="2">
        <f t="shared" si="8"/>
        <v>154.9281052645189</v>
      </c>
      <c r="T114" s="2">
        <f t="shared" si="9"/>
        <v>30.47092920344538</v>
      </c>
    </row>
    <row r="115" spans="1:20" x14ac:dyDescent="0.25">
      <c r="A115" s="14">
        <f t="shared" si="18"/>
        <v>0.43108974358974361</v>
      </c>
      <c r="B115" s="2">
        <f t="shared" si="11"/>
        <v>110</v>
      </c>
      <c r="C115" s="4">
        <f t="shared" si="20"/>
        <v>60.33</v>
      </c>
      <c r="D115" s="2">
        <v>10.5</v>
      </c>
      <c r="E115" s="2">
        <v>50.26548245743669</v>
      </c>
      <c r="F115" s="11">
        <f t="shared" si="0"/>
        <v>2.0889086280811267</v>
      </c>
      <c r="G115" s="2">
        <f t="shared" si="1"/>
        <v>126.02385753213437</v>
      </c>
      <c r="H115" s="2">
        <f t="shared" si="2"/>
        <v>2.5251260768851118</v>
      </c>
      <c r="I115" s="2">
        <f t="shared" si="3"/>
        <v>152.34085621847879</v>
      </c>
      <c r="J115" s="2">
        <f t="shared" si="4"/>
        <v>26.316998686344419</v>
      </c>
      <c r="K115" s="15">
        <f t="shared" si="19"/>
        <v>0.39843304843304844</v>
      </c>
      <c r="L115" s="2">
        <f t="shared" si="14"/>
        <v>110</v>
      </c>
      <c r="M115" s="2">
        <f t="shared" si="21"/>
        <v>60.08</v>
      </c>
      <c r="N115" s="2">
        <v>12.5</v>
      </c>
      <c r="O115" s="2">
        <v>50.26548245743669</v>
      </c>
      <c r="P115" s="11">
        <f t="shared" si="5"/>
        <v>2.4867959858108648</v>
      </c>
      <c r="Q115" s="2">
        <f t="shared" si="6"/>
        <v>149.40670282751677</v>
      </c>
      <c r="R115" s="2">
        <f t="shared" si="7"/>
        <v>2.6003374498912204</v>
      </c>
      <c r="S115" s="2">
        <f t="shared" si="8"/>
        <v>156.22827398946453</v>
      </c>
      <c r="T115" s="2">
        <f t="shared" si="9"/>
        <v>6.8215711619477588</v>
      </c>
    </row>
    <row r="116" spans="1:20" x14ac:dyDescent="0.25">
      <c r="A116" s="14">
        <f t="shared" si="18"/>
        <v>0.43141025641025643</v>
      </c>
      <c r="B116" s="2">
        <f t="shared" si="11"/>
        <v>111</v>
      </c>
      <c r="C116" s="4">
        <f t="shared" si="20"/>
        <v>60.83</v>
      </c>
      <c r="D116" s="2">
        <v>10.5</v>
      </c>
      <c r="E116" s="2">
        <v>50.26548245743669</v>
      </c>
      <c r="F116" s="11">
        <f t="shared" si="0"/>
        <v>2.0889086280811267</v>
      </c>
      <c r="G116" s="2">
        <f t="shared" si="1"/>
        <v>127.06831184617494</v>
      </c>
      <c r="H116" s="2">
        <f t="shared" si="2"/>
        <v>2.5251260768851118</v>
      </c>
      <c r="I116" s="2">
        <f t="shared" si="3"/>
        <v>153.60341925692134</v>
      </c>
      <c r="J116" s="2">
        <f t="shared" si="4"/>
        <v>26.535107410746406</v>
      </c>
      <c r="K116" s="15">
        <f t="shared" si="19"/>
        <v>0.39855769230769234</v>
      </c>
      <c r="L116" s="2">
        <f t="shared" si="14"/>
        <v>111</v>
      </c>
      <c r="M116" s="2">
        <f t="shared" si="21"/>
        <v>60.58</v>
      </c>
      <c r="N116" s="2">
        <v>10</v>
      </c>
      <c r="O116" s="2">
        <v>50.26548245743669</v>
      </c>
      <c r="P116" s="11">
        <f t="shared" si="5"/>
        <v>1.9894367886486919</v>
      </c>
      <c r="Q116" s="2">
        <f t="shared" si="6"/>
        <v>120.52008065633775</v>
      </c>
      <c r="R116" s="2">
        <f t="shared" si="7"/>
        <v>2.6003374498912204</v>
      </c>
      <c r="S116" s="2">
        <f t="shared" si="8"/>
        <v>157.52844271441012</v>
      </c>
      <c r="T116" s="2">
        <f t="shared" si="9"/>
        <v>37.008362058072365</v>
      </c>
    </row>
    <row r="117" spans="1:20" x14ac:dyDescent="0.25">
      <c r="A117" s="14">
        <f t="shared" si="18"/>
        <v>0.43173076923076925</v>
      </c>
      <c r="B117" s="2">
        <f t="shared" si="11"/>
        <v>112</v>
      </c>
      <c r="C117" s="4">
        <f t="shared" si="20"/>
        <v>61.33</v>
      </c>
      <c r="D117" s="2">
        <v>11</v>
      </c>
      <c r="E117" s="2">
        <v>50.26548245743669</v>
      </c>
      <c r="F117" s="11">
        <f t="shared" si="0"/>
        <v>2.1883804675135607</v>
      </c>
      <c r="G117" s="2">
        <f t="shared" si="1"/>
        <v>134.21337407260668</v>
      </c>
      <c r="H117" s="2">
        <f t="shared" si="2"/>
        <v>2.5251260768851118</v>
      </c>
      <c r="I117" s="2">
        <f t="shared" si="3"/>
        <v>154.86598229536389</v>
      </c>
      <c r="J117" s="2">
        <f t="shared" si="4"/>
        <v>20.652608222757209</v>
      </c>
      <c r="K117" s="15">
        <f t="shared" si="19"/>
        <v>0.39868233618233623</v>
      </c>
      <c r="L117" s="2">
        <f t="shared" si="14"/>
        <v>112</v>
      </c>
      <c r="M117" s="2">
        <f t="shared" si="21"/>
        <v>61.08</v>
      </c>
      <c r="N117" s="2">
        <v>10</v>
      </c>
      <c r="O117" s="2">
        <v>50.26548245743669</v>
      </c>
      <c r="P117" s="11">
        <f t="shared" si="5"/>
        <v>1.9894367886486919</v>
      </c>
      <c r="Q117" s="2">
        <f t="shared" si="6"/>
        <v>121.51479905066209</v>
      </c>
      <c r="R117" s="2">
        <f t="shared" si="7"/>
        <v>2.6003374498912204</v>
      </c>
      <c r="S117" s="2">
        <f t="shared" si="8"/>
        <v>158.82861143935574</v>
      </c>
      <c r="T117" s="2">
        <f t="shared" si="9"/>
        <v>37.313812388693648</v>
      </c>
    </row>
    <row r="118" spans="1:20" x14ac:dyDescent="0.25">
      <c r="A118" s="14">
        <f t="shared" si="18"/>
        <v>0.43205128205128207</v>
      </c>
      <c r="B118" s="2">
        <f t="shared" si="11"/>
        <v>113</v>
      </c>
      <c r="C118" s="4">
        <f t="shared" si="20"/>
        <v>61.83</v>
      </c>
      <c r="D118" s="2">
        <v>11.5</v>
      </c>
      <c r="E118" s="2">
        <v>50.26548245743669</v>
      </c>
      <c r="F118" s="11">
        <f t="shared" si="0"/>
        <v>2.2878523069459957</v>
      </c>
      <c r="G118" s="2">
        <f t="shared" si="1"/>
        <v>141.45790813847091</v>
      </c>
      <c r="H118" s="2">
        <f t="shared" si="2"/>
        <v>2.5251260768851118</v>
      </c>
      <c r="I118" s="2">
        <f t="shared" si="3"/>
        <v>156.12854533380647</v>
      </c>
      <c r="J118" s="2">
        <f t="shared" si="4"/>
        <v>14.670637195335559</v>
      </c>
      <c r="K118" s="15">
        <f t="shared" si="19"/>
        <v>0.39880698005698006</v>
      </c>
      <c r="L118" s="2">
        <f t="shared" si="14"/>
        <v>113</v>
      </c>
      <c r="M118" s="2">
        <f t="shared" si="21"/>
        <v>61.58</v>
      </c>
      <c r="N118" s="2">
        <v>12.5</v>
      </c>
      <c r="O118" s="2">
        <v>50.26548245743669</v>
      </c>
      <c r="P118" s="11">
        <f t="shared" si="5"/>
        <v>2.4867959858108648</v>
      </c>
      <c r="Q118" s="2">
        <f t="shared" si="6"/>
        <v>153.13689680623304</v>
      </c>
      <c r="R118" s="2">
        <f t="shared" si="7"/>
        <v>2.6003374498912204</v>
      </c>
      <c r="S118" s="2">
        <f t="shared" si="8"/>
        <v>160.12878016430136</v>
      </c>
      <c r="T118" s="2">
        <f t="shared" si="9"/>
        <v>6.9918833580683213</v>
      </c>
    </row>
    <row r="119" spans="1:20" x14ac:dyDescent="0.25">
      <c r="A119" s="14">
        <f t="shared" si="18"/>
        <v>0.43237179487179489</v>
      </c>
      <c r="B119" s="2">
        <f t="shared" si="11"/>
        <v>114</v>
      </c>
      <c r="C119" s="4">
        <f t="shared" si="20"/>
        <v>62.33</v>
      </c>
      <c r="D119" s="2">
        <v>13</v>
      </c>
      <c r="E119" s="2">
        <v>50.26548245743669</v>
      </c>
      <c r="F119" s="11">
        <f t="shared" si="0"/>
        <v>2.5862678252432989</v>
      </c>
      <c r="G119" s="2">
        <f t="shared" si="1"/>
        <v>161.20207354741481</v>
      </c>
      <c r="H119" s="2">
        <f t="shared" si="2"/>
        <v>2.5251260768851118</v>
      </c>
      <c r="I119" s="2">
        <f t="shared" si="3"/>
        <v>157.39110837224902</v>
      </c>
      <c r="J119" s="2">
        <f t="shared" si="4"/>
        <v>3.8109651751657907</v>
      </c>
      <c r="K119" s="15">
        <f t="shared" si="19"/>
        <v>0.39893162393162396</v>
      </c>
      <c r="L119" s="2">
        <f t="shared" si="14"/>
        <v>114</v>
      </c>
      <c r="M119" s="2">
        <f t="shared" si="21"/>
        <v>62.08</v>
      </c>
      <c r="N119" s="2">
        <v>13.5</v>
      </c>
      <c r="O119" s="2">
        <v>50.26548245743669</v>
      </c>
      <c r="P119" s="11">
        <f t="shared" si="5"/>
        <v>2.6857396646757339</v>
      </c>
      <c r="Q119" s="2">
        <f t="shared" si="6"/>
        <v>166.73071838306956</v>
      </c>
      <c r="R119" s="2">
        <f t="shared" si="7"/>
        <v>2.6003374498912204</v>
      </c>
      <c r="S119" s="2">
        <f t="shared" si="8"/>
        <v>161.42894888924695</v>
      </c>
      <c r="T119" s="2">
        <f t="shared" si="9"/>
        <v>5.3017694938226043</v>
      </c>
    </row>
    <row r="120" spans="1:20" x14ac:dyDescent="0.25">
      <c r="A120" s="14">
        <f t="shared" si="18"/>
        <v>0.43269230769230771</v>
      </c>
      <c r="B120" s="2">
        <f t="shared" si="11"/>
        <v>115</v>
      </c>
      <c r="C120" s="4">
        <f t="shared" si="20"/>
        <v>62.83</v>
      </c>
      <c r="D120" s="2">
        <v>14</v>
      </c>
      <c r="E120" s="2">
        <v>50.26548245743669</v>
      </c>
      <c r="F120" s="11">
        <f t="shared" si="0"/>
        <v>2.7852115041081689</v>
      </c>
      <c r="G120" s="2">
        <f t="shared" si="1"/>
        <v>174.99483880311624</v>
      </c>
      <c r="H120" s="2">
        <f t="shared" si="2"/>
        <v>2.5251260768851118</v>
      </c>
      <c r="I120" s="2">
        <f t="shared" si="3"/>
        <v>158.65367141069157</v>
      </c>
      <c r="J120" s="2">
        <f t="shared" si="4"/>
        <v>16.341167392424666</v>
      </c>
      <c r="K120" s="15">
        <f t="shared" si="19"/>
        <v>0.39905626780626785</v>
      </c>
      <c r="L120" s="2">
        <f t="shared" si="14"/>
        <v>115</v>
      </c>
      <c r="M120" s="2">
        <f t="shared" si="21"/>
        <v>62.58</v>
      </c>
      <c r="N120" s="2">
        <v>15</v>
      </c>
      <c r="O120" s="2">
        <v>50.26548245743669</v>
      </c>
      <c r="P120" s="11">
        <f t="shared" si="5"/>
        <v>2.9841551829730379</v>
      </c>
      <c r="Q120" s="2">
        <f t="shared" si="6"/>
        <v>186.74843135045271</v>
      </c>
      <c r="R120" s="2">
        <f t="shared" si="7"/>
        <v>2.6003374498912204</v>
      </c>
      <c r="S120" s="2">
        <f t="shared" si="8"/>
        <v>162.72911761419257</v>
      </c>
      <c r="T120" s="2">
        <f t="shared" si="9"/>
        <v>24.019313736260131</v>
      </c>
    </row>
    <row r="121" spans="1:20" x14ac:dyDescent="0.25">
      <c r="A121" s="14">
        <f t="shared" si="18"/>
        <v>0.43301282051282053</v>
      </c>
      <c r="B121" s="2">
        <f t="shared" si="11"/>
        <v>116</v>
      </c>
      <c r="C121" s="4">
        <f t="shared" si="20"/>
        <v>63.33</v>
      </c>
      <c r="D121" s="2">
        <v>14</v>
      </c>
      <c r="E121" s="2">
        <v>50.26548245743669</v>
      </c>
      <c r="F121" s="11">
        <f t="shared" si="0"/>
        <v>2.7852115041081689</v>
      </c>
      <c r="G121" s="2">
        <f t="shared" si="1"/>
        <v>176.38744455517033</v>
      </c>
      <c r="H121" s="2">
        <f t="shared" si="2"/>
        <v>2.5251260768851118</v>
      </c>
      <c r="I121" s="2">
        <f t="shared" si="3"/>
        <v>159.91623444913412</v>
      </c>
      <c r="J121" s="2">
        <f t="shared" si="4"/>
        <v>16.47121010603621</v>
      </c>
      <c r="K121" s="15">
        <f t="shared" si="19"/>
        <v>0.39918091168091169</v>
      </c>
      <c r="L121" s="2">
        <f t="shared" si="14"/>
        <v>116</v>
      </c>
      <c r="M121" s="2">
        <f t="shared" si="21"/>
        <v>63.08</v>
      </c>
      <c r="N121" s="2">
        <v>14.5</v>
      </c>
      <c r="O121" s="2">
        <v>50.26548245743669</v>
      </c>
      <c r="P121" s="11">
        <f t="shared" si="5"/>
        <v>2.8846833435406034</v>
      </c>
      <c r="Q121" s="2">
        <f t="shared" si="6"/>
        <v>181.96582531054125</v>
      </c>
      <c r="R121" s="2">
        <f t="shared" si="7"/>
        <v>2.6003374498912204</v>
      </c>
      <c r="S121" s="2">
        <f t="shared" si="8"/>
        <v>164.02928633913817</v>
      </c>
      <c r="T121" s="2">
        <f t="shared" si="9"/>
        <v>17.936538971403081</v>
      </c>
    </row>
    <row r="122" spans="1:20" x14ac:dyDescent="0.25">
      <c r="A122" s="10">
        <v>0.43333333333333335</v>
      </c>
      <c r="B122" s="2">
        <f t="shared" si="11"/>
        <v>117</v>
      </c>
      <c r="C122" s="4">
        <f t="shared" si="20"/>
        <v>63.83</v>
      </c>
      <c r="D122" s="2">
        <v>13.5</v>
      </c>
      <c r="E122" s="2">
        <v>50.26548245743669</v>
      </c>
      <c r="F122" s="11">
        <f t="shared" si="0"/>
        <v>2.6857396646757339</v>
      </c>
      <c r="G122" s="2">
        <f t="shared" si="1"/>
        <v>171.43076279625208</v>
      </c>
      <c r="H122" s="2">
        <f t="shared" si="2"/>
        <v>2.5251260768851118</v>
      </c>
      <c r="I122" s="2">
        <f t="shared" si="3"/>
        <v>161.17879748757667</v>
      </c>
      <c r="J122" s="2">
        <f t="shared" si="4"/>
        <v>10.251965308675409</v>
      </c>
      <c r="K122" s="12">
        <v>0.39930555555555558</v>
      </c>
      <c r="L122" s="2">
        <f t="shared" si="14"/>
        <v>117</v>
      </c>
      <c r="M122" s="2">
        <f t="shared" si="21"/>
        <v>63.58</v>
      </c>
      <c r="N122" s="2">
        <v>15.5</v>
      </c>
      <c r="O122" s="2">
        <v>50.26548245743669</v>
      </c>
      <c r="P122" s="11">
        <f t="shared" si="5"/>
        <v>3.0836270224054725</v>
      </c>
      <c r="Q122" s="2">
        <f t="shared" si="6"/>
        <v>196.05700608453992</v>
      </c>
      <c r="R122" s="2">
        <f t="shared" si="7"/>
        <v>2.6003374498912204</v>
      </c>
      <c r="S122" s="2">
        <f t="shared" si="8"/>
        <v>165.32945506408379</v>
      </c>
      <c r="T122" s="2">
        <f t="shared" si="9"/>
        <v>30.727551020456133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0.43347578347578347</v>
      </c>
      <c r="B123" s="2">
        <f t="shared" si="11"/>
        <v>118</v>
      </c>
      <c r="C123" s="4">
        <f t="shared" si="20"/>
        <v>64.33</v>
      </c>
      <c r="D123" s="2">
        <v>13.5</v>
      </c>
      <c r="E123" s="2">
        <v>50.26548245743669</v>
      </c>
      <c r="F123" s="11">
        <f t="shared" si="0"/>
        <v>2.6857396646757339</v>
      </c>
      <c r="G123" s="2">
        <f t="shared" si="1"/>
        <v>172.77363262858995</v>
      </c>
      <c r="H123" s="2">
        <f t="shared" si="2"/>
        <v>2.5251260768851118</v>
      </c>
      <c r="I123" s="2">
        <f t="shared" si="3"/>
        <v>162.44136052601925</v>
      </c>
      <c r="J123" s="2">
        <f t="shared" si="4"/>
        <v>10.332272102570698</v>
      </c>
      <c r="K123" s="15">
        <f t="shared" ref="K123:K160" si="23">IF(AND($K$122&lt;&gt;"",$K$161&lt;&gt;""), $K$122 + (L123 - $L$122) * (($K$161 - $K$122) / ($L$161 - $L$122)), "")</f>
        <v>0.39950142450142451</v>
      </c>
      <c r="L123" s="2">
        <f t="shared" si="14"/>
        <v>118</v>
      </c>
      <c r="M123" s="2">
        <f t="shared" si="21"/>
        <v>64.08</v>
      </c>
      <c r="N123" s="2">
        <v>14.5</v>
      </c>
      <c r="O123" s="2">
        <v>50.26548245743669</v>
      </c>
      <c r="P123" s="11">
        <f t="shared" si="5"/>
        <v>2.8846833435406034</v>
      </c>
      <c r="Q123" s="2">
        <f t="shared" si="6"/>
        <v>184.85050865408186</v>
      </c>
      <c r="R123" s="2">
        <f t="shared" si="7"/>
        <v>2.6003374498912204</v>
      </c>
      <c r="S123" s="2">
        <f t="shared" si="8"/>
        <v>166.62962378902941</v>
      </c>
      <c r="T123" s="2">
        <f t="shared" si="9"/>
        <v>18.220884865052454</v>
      </c>
    </row>
    <row r="124" spans="1:20" x14ac:dyDescent="0.25">
      <c r="A124" s="14">
        <f t="shared" si="22"/>
        <v>0.43361823361823365</v>
      </c>
      <c r="B124" s="2">
        <f t="shared" si="11"/>
        <v>119</v>
      </c>
      <c r="C124" s="4">
        <f t="shared" si="20"/>
        <v>64.83</v>
      </c>
      <c r="D124" s="2">
        <v>14.5</v>
      </c>
      <c r="E124" s="2">
        <v>50.26548245743669</v>
      </c>
      <c r="F124" s="11">
        <f t="shared" si="0"/>
        <v>2.8846833435406034</v>
      </c>
      <c r="G124" s="2">
        <f t="shared" si="1"/>
        <v>187.0140211617373</v>
      </c>
      <c r="H124" s="2">
        <f t="shared" si="2"/>
        <v>2.5251260768851118</v>
      </c>
      <c r="I124" s="2">
        <f t="shared" si="3"/>
        <v>163.7039235644618</v>
      </c>
      <c r="J124" s="2">
        <f t="shared" si="4"/>
        <v>23.310097597275501</v>
      </c>
      <c r="K124" s="15">
        <f t="shared" si="23"/>
        <v>0.39969729344729349</v>
      </c>
      <c r="L124" s="2">
        <f t="shared" si="14"/>
        <v>119</v>
      </c>
      <c r="M124" s="2">
        <f t="shared" si="21"/>
        <v>64.58</v>
      </c>
      <c r="N124" s="2">
        <v>16</v>
      </c>
      <c r="O124" s="2">
        <v>50.26548245743669</v>
      </c>
      <c r="P124" s="11">
        <f t="shared" si="5"/>
        <v>3.183098861837907</v>
      </c>
      <c r="Q124" s="2">
        <f t="shared" si="6"/>
        <v>205.56452449749202</v>
      </c>
      <c r="R124" s="2">
        <f t="shared" si="7"/>
        <v>2.6003374498912204</v>
      </c>
      <c r="S124" s="2">
        <f t="shared" si="8"/>
        <v>167.929792513975</v>
      </c>
      <c r="T124" s="2">
        <f t="shared" si="9"/>
        <v>37.634731983517014</v>
      </c>
    </row>
    <row r="125" spans="1:20" x14ac:dyDescent="0.25">
      <c r="A125" s="14">
        <f t="shared" si="22"/>
        <v>0.43376068376068377</v>
      </c>
      <c r="B125" s="2">
        <f t="shared" si="11"/>
        <v>120</v>
      </c>
      <c r="C125" s="4">
        <f t="shared" si="20"/>
        <v>65.33</v>
      </c>
      <c r="D125" s="2">
        <v>14</v>
      </c>
      <c r="E125" s="2">
        <v>50.26548245743669</v>
      </c>
      <c r="F125" s="11">
        <f t="shared" si="0"/>
        <v>2.7852115041081689</v>
      </c>
      <c r="G125" s="2">
        <f t="shared" si="1"/>
        <v>181.95786756338666</v>
      </c>
      <c r="H125" s="2">
        <f t="shared" si="2"/>
        <v>2.5251260768851118</v>
      </c>
      <c r="I125" s="2">
        <f t="shared" si="3"/>
        <v>164.96648660290435</v>
      </c>
      <c r="J125" s="2">
        <f t="shared" si="4"/>
        <v>16.991380960482303</v>
      </c>
      <c r="K125" s="15">
        <f t="shared" si="23"/>
        <v>0.39989316239316242</v>
      </c>
      <c r="L125" s="2">
        <f t="shared" si="14"/>
        <v>120</v>
      </c>
      <c r="M125" s="2">
        <f t="shared" si="21"/>
        <v>65.08</v>
      </c>
      <c r="N125" s="2">
        <v>14.5</v>
      </c>
      <c r="O125" s="2">
        <v>50.26548245743669</v>
      </c>
      <c r="P125" s="11">
        <f t="shared" si="5"/>
        <v>2.8846833435406034</v>
      </c>
      <c r="Q125" s="2">
        <f t="shared" si="6"/>
        <v>187.73519199762245</v>
      </c>
      <c r="R125" s="2">
        <f t="shared" si="7"/>
        <v>2.6003374498912204</v>
      </c>
      <c r="S125" s="2">
        <f t="shared" si="8"/>
        <v>169.22996123892062</v>
      </c>
      <c r="T125" s="2">
        <f t="shared" si="9"/>
        <v>18.505230758701828</v>
      </c>
    </row>
    <row r="126" spans="1:20" x14ac:dyDescent="0.25">
      <c r="A126" s="14">
        <f t="shared" si="22"/>
        <v>0.4339031339031339</v>
      </c>
      <c r="B126" s="2">
        <f t="shared" si="11"/>
        <v>121</v>
      </c>
      <c r="C126" s="4">
        <f t="shared" si="20"/>
        <v>65.83</v>
      </c>
      <c r="D126" s="2">
        <v>14</v>
      </c>
      <c r="E126" s="2">
        <v>50.26548245743669</v>
      </c>
      <c r="F126" s="11">
        <f t="shared" si="0"/>
        <v>2.7852115041081689</v>
      </c>
      <c r="G126" s="2">
        <f t="shared" si="1"/>
        <v>183.35047331544075</v>
      </c>
      <c r="H126" s="2">
        <f t="shared" si="2"/>
        <v>2.5251260768851118</v>
      </c>
      <c r="I126" s="2">
        <f t="shared" si="3"/>
        <v>166.2290496413469</v>
      </c>
      <c r="J126" s="2">
        <f t="shared" si="4"/>
        <v>17.121423674093847</v>
      </c>
      <c r="K126" s="15">
        <f t="shared" si="23"/>
        <v>0.40008903133903134</v>
      </c>
      <c r="L126" s="2">
        <f t="shared" si="14"/>
        <v>121</v>
      </c>
      <c r="M126" s="2">
        <f t="shared" si="21"/>
        <v>65.58</v>
      </c>
      <c r="N126" s="2">
        <v>14.5</v>
      </c>
      <c r="O126" s="2">
        <v>50.26548245743669</v>
      </c>
      <c r="P126" s="11">
        <f t="shared" si="5"/>
        <v>2.8846833435406034</v>
      </c>
      <c r="Q126" s="2">
        <f t="shared" si="6"/>
        <v>189.17753366939277</v>
      </c>
      <c r="R126" s="2">
        <f t="shared" si="7"/>
        <v>2.6003374498912204</v>
      </c>
      <c r="S126" s="2">
        <f t="shared" si="8"/>
        <v>170.53012996386622</v>
      </c>
      <c r="T126" s="2">
        <f t="shared" si="9"/>
        <v>18.647403705526557</v>
      </c>
    </row>
    <row r="127" spans="1:20" x14ac:dyDescent="0.25">
      <c r="A127" s="14">
        <f t="shared" si="22"/>
        <v>0.43404558404558408</v>
      </c>
      <c r="B127" s="2">
        <f t="shared" si="11"/>
        <v>122</v>
      </c>
      <c r="C127" s="4">
        <f t="shared" si="20"/>
        <v>66.33</v>
      </c>
      <c r="D127" s="2">
        <v>13</v>
      </c>
      <c r="E127" s="2">
        <v>50.26548245743669</v>
      </c>
      <c r="F127" s="11">
        <f t="shared" si="0"/>
        <v>2.5862678252432989</v>
      </c>
      <c r="G127" s="2">
        <f t="shared" si="1"/>
        <v>171.547144848388</v>
      </c>
      <c r="H127" s="2">
        <f t="shared" si="2"/>
        <v>2.5251260768851118</v>
      </c>
      <c r="I127" s="2">
        <f t="shared" si="3"/>
        <v>167.49161267978945</v>
      </c>
      <c r="J127" s="2">
        <f t="shared" si="4"/>
        <v>4.0555321685985461</v>
      </c>
      <c r="K127" s="15">
        <f t="shared" si="23"/>
        <v>0.40028490028490032</v>
      </c>
      <c r="L127" s="2">
        <f t="shared" si="14"/>
        <v>122</v>
      </c>
      <c r="M127" s="2">
        <f t="shared" si="21"/>
        <v>66.08</v>
      </c>
      <c r="N127" s="2">
        <v>14.5</v>
      </c>
      <c r="O127" s="2">
        <v>50.26548245743669</v>
      </c>
      <c r="P127" s="11">
        <f t="shared" si="5"/>
        <v>2.8846833435406034</v>
      </c>
      <c r="Q127" s="2">
        <f t="shared" si="6"/>
        <v>190.61987534116307</v>
      </c>
      <c r="R127" s="2">
        <f t="shared" si="7"/>
        <v>2.6003374498912204</v>
      </c>
      <c r="S127" s="2">
        <f t="shared" si="8"/>
        <v>171.83029868881184</v>
      </c>
      <c r="T127" s="2">
        <f t="shared" si="9"/>
        <v>18.789576652351229</v>
      </c>
    </row>
    <row r="128" spans="1:20" x14ac:dyDescent="0.25">
      <c r="A128" s="14">
        <f t="shared" si="22"/>
        <v>0.4341880341880342</v>
      </c>
      <c r="B128" s="2">
        <f t="shared" si="11"/>
        <v>123</v>
      </c>
      <c r="C128" s="4">
        <f t="shared" si="20"/>
        <v>66.83</v>
      </c>
      <c r="D128" s="2">
        <v>14</v>
      </c>
      <c r="E128" s="2">
        <v>50.26548245743669</v>
      </c>
      <c r="F128" s="11">
        <f t="shared" si="0"/>
        <v>2.7852115041081689</v>
      </c>
      <c r="G128" s="2">
        <f t="shared" si="1"/>
        <v>186.13568481954891</v>
      </c>
      <c r="H128" s="2">
        <f t="shared" si="2"/>
        <v>2.5251260768851118</v>
      </c>
      <c r="I128" s="2">
        <f t="shared" si="3"/>
        <v>168.75417571823201</v>
      </c>
      <c r="J128" s="2">
        <f t="shared" si="4"/>
        <v>17.381509101316908</v>
      </c>
      <c r="K128" s="15">
        <f t="shared" si="23"/>
        <v>0.40048076923076925</v>
      </c>
      <c r="L128" s="2">
        <f t="shared" si="14"/>
        <v>123</v>
      </c>
      <c r="M128" s="2">
        <f t="shared" si="21"/>
        <v>66.58</v>
      </c>
      <c r="N128" s="2">
        <v>14</v>
      </c>
      <c r="O128" s="2">
        <v>50.26548245743669</v>
      </c>
      <c r="P128" s="11">
        <f t="shared" si="5"/>
        <v>2.7852115041081689</v>
      </c>
      <c r="Q128" s="2">
        <f t="shared" si="6"/>
        <v>185.43938194352188</v>
      </c>
      <c r="R128" s="2">
        <f t="shared" si="7"/>
        <v>2.6003374498912204</v>
      </c>
      <c r="S128" s="2">
        <f t="shared" si="8"/>
        <v>173.13046741375746</v>
      </c>
      <c r="T128" s="2">
        <f t="shared" si="9"/>
        <v>12.308914529764422</v>
      </c>
    </row>
    <row r="129" spans="1:20" x14ac:dyDescent="0.25">
      <c r="A129" s="14">
        <f t="shared" si="22"/>
        <v>0.43433048433048432</v>
      </c>
      <c r="B129" s="2">
        <f t="shared" si="11"/>
        <v>124</v>
      </c>
      <c r="C129" s="4">
        <f t="shared" si="20"/>
        <v>67.33</v>
      </c>
      <c r="D129" s="2">
        <v>15</v>
      </c>
      <c r="E129" s="2">
        <v>50.26548245743669</v>
      </c>
      <c r="F129" s="11">
        <f t="shared" si="0"/>
        <v>2.9841551829730379</v>
      </c>
      <c r="G129" s="2">
        <f t="shared" si="1"/>
        <v>200.92316846957465</v>
      </c>
      <c r="H129" s="2">
        <f t="shared" si="2"/>
        <v>2.5251260768851118</v>
      </c>
      <c r="I129" s="2">
        <f t="shared" si="3"/>
        <v>170.01673875667458</v>
      </c>
      <c r="J129" s="2">
        <f t="shared" si="4"/>
        <v>30.906429712900064</v>
      </c>
      <c r="K129" s="15">
        <f t="shared" si="23"/>
        <v>0.40067663817663818</v>
      </c>
      <c r="L129" s="2">
        <f t="shared" si="14"/>
        <v>124</v>
      </c>
      <c r="M129" s="2">
        <f t="shared" si="21"/>
        <v>67.08</v>
      </c>
      <c r="N129" s="2">
        <v>15</v>
      </c>
      <c r="O129" s="2">
        <v>50.26548245743669</v>
      </c>
      <c r="P129" s="11">
        <f t="shared" si="5"/>
        <v>2.9841551829730379</v>
      </c>
      <c r="Q129" s="2">
        <f t="shared" si="6"/>
        <v>200.17712967383139</v>
      </c>
      <c r="R129" s="2">
        <f t="shared" si="7"/>
        <v>2.6003374498912204</v>
      </c>
      <c r="S129" s="2">
        <f t="shared" si="8"/>
        <v>174.43063613870305</v>
      </c>
      <c r="T129" s="2">
        <f t="shared" si="9"/>
        <v>25.746493535128337</v>
      </c>
    </row>
    <row r="130" spans="1:20" x14ac:dyDescent="0.25">
      <c r="A130" s="14">
        <f t="shared" si="22"/>
        <v>0.4344729344729345</v>
      </c>
      <c r="B130" s="2">
        <f t="shared" si="11"/>
        <v>125</v>
      </c>
      <c r="C130" s="4">
        <f t="shared" si="20"/>
        <v>67.83</v>
      </c>
      <c r="D130" s="2">
        <v>14</v>
      </c>
      <c r="E130" s="2">
        <v>50.26548245743669</v>
      </c>
      <c r="F130" s="11">
        <f t="shared" si="0"/>
        <v>2.7852115041081689</v>
      </c>
      <c r="G130" s="2">
        <f t="shared" si="1"/>
        <v>188.9208963236571</v>
      </c>
      <c r="H130" s="2">
        <f t="shared" si="2"/>
        <v>2.5251260768851118</v>
      </c>
      <c r="I130" s="2">
        <f t="shared" si="3"/>
        <v>171.27930179511714</v>
      </c>
      <c r="J130" s="2">
        <f t="shared" si="4"/>
        <v>17.641594528539969</v>
      </c>
      <c r="K130" s="15">
        <f t="shared" si="23"/>
        <v>0.40087250712250716</v>
      </c>
      <c r="L130" s="2">
        <f t="shared" si="14"/>
        <v>125</v>
      </c>
      <c r="M130" s="2">
        <f t="shared" si="21"/>
        <v>67.58</v>
      </c>
      <c r="N130" s="2">
        <v>14.5</v>
      </c>
      <c r="O130" s="2">
        <v>50.26548245743669</v>
      </c>
      <c r="P130" s="11">
        <f t="shared" si="5"/>
        <v>2.8846833435406034</v>
      </c>
      <c r="Q130" s="2">
        <f t="shared" si="6"/>
        <v>194.94690035647398</v>
      </c>
      <c r="R130" s="2">
        <f t="shared" si="7"/>
        <v>2.6003374498912204</v>
      </c>
      <c r="S130" s="2">
        <f t="shared" si="8"/>
        <v>175.73080486364867</v>
      </c>
      <c r="T130" s="2">
        <f t="shared" si="9"/>
        <v>19.216095492825303</v>
      </c>
    </row>
    <row r="131" spans="1:20" x14ac:dyDescent="0.25">
      <c r="A131" s="14">
        <f t="shared" si="22"/>
        <v>0.43461538461538463</v>
      </c>
      <c r="B131" s="2">
        <f t="shared" si="11"/>
        <v>126</v>
      </c>
      <c r="C131" s="4">
        <f t="shared" si="20"/>
        <v>68.33</v>
      </c>
      <c r="D131" s="2">
        <v>13</v>
      </c>
      <c r="E131" s="2">
        <v>50.26548245743669</v>
      </c>
      <c r="F131" s="11">
        <f t="shared" si="0"/>
        <v>2.5862678252432989</v>
      </c>
      <c r="G131" s="2">
        <f t="shared" si="1"/>
        <v>176.71968049887462</v>
      </c>
      <c r="H131" s="2">
        <f t="shared" si="2"/>
        <v>2.5251260768851118</v>
      </c>
      <c r="I131" s="2">
        <f t="shared" si="3"/>
        <v>172.54186483355969</v>
      </c>
      <c r="J131" s="2">
        <f t="shared" si="4"/>
        <v>4.1778156653149381</v>
      </c>
      <c r="K131" s="15">
        <f t="shared" si="23"/>
        <v>0.40106837606837609</v>
      </c>
      <c r="L131" s="2">
        <f t="shared" si="14"/>
        <v>126</v>
      </c>
      <c r="M131" s="2">
        <f t="shared" si="21"/>
        <v>68.08</v>
      </c>
      <c r="N131" s="2">
        <v>14</v>
      </c>
      <c r="O131" s="2">
        <v>50.26548245743669</v>
      </c>
      <c r="P131" s="11">
        <f t="shared" si="5"/>
        <v>2.7852115041081689</v>
      </c>
      <c r="Q131" s="2">
        <f t="shared" si="6"/>
        <v>189.61719919968414</v>
      </c>
      <c r="R131" s="2">
        <f t="shared" si="7"/>
        <v>2.6003374498912204</v>
      </c>
      <c r="S131" s="2">
        <f t="shared" si="8"/>
        <v>177.03097358859429</v>
      </c>
      <c r="T131" s="2">
        <f t="shared" si="9"/>
        <v>12.586225611089844</v>
      </c>
    </row>
    <row r="132" spans="1:20" x14ac:dyDescent="0.25">
      <c r="A132" s="14">
        <f t="shared" si="22"/>
        <v>0.43475783475783475</v>
      </c>
      <c r="B132" s="2">
        <f t="shared" si="11"/>
        <v>127</v>
      </c>
      <c r="C132" s="4">
        <f t="shared" si="20"/>
        <v>68.83</v>
      </c>
      <c r="D132" s="2">
        <v>13</v>
      </c>
      <c r="E132" s="2">
        <v>50.26548245743669</v>
      </c>
      <c r="F132" s="11">
        <f t="shared" si="0"/>
        <v>2.5862678252432989</v>
      </c>
      <c r="G132" s="2">
        <f t="shared" si="1"/>
        <v>178.01281441149627</v>
      </c>
      <c r="H132" s="2">
        <f t="shared" si="2"/>
        <v>2.5251260768851118</v>
      </c>
      <c r="I132" s="2">
        <f t="shared" si="3"/>
        <v>173.80442787200224</v>
      </c>
      <c r="J132" s="2">
        <f t="shared" si="4"/>
        <v>4.208386539494029</v>
      </c>
      <c r="K132" s="15">
        <f t="shared" si="23"/>
        <v>0.40126424501424501</v>
      </c>
      <c r="L132" s="2">
        <f t="shared" si="14"/>
        <v>127</v>
      </c>
      <c r="M132" s="2">
        <f t="shared" si="21"/>
        <v>68.58</v>
      </c>
      <c r="N132" s="2">
        <v>13</v>
      </c>
      <c r="O132" s="2">
        <v>50.26548245743669</v>
      </c>
      <c r="P132" s="11">
        <f t="shared" si="5"/>
        <v>2.5862678252432989</v>
      </c>
      <c r="Q132" s="2">
        <f t="shared" si="6"/>
        <v>177.36624745518543</v>
      </c>
      <c r="R132" s="2">
        <f t="shared" si="7"/>
        <v>2.6003374498912204</v>
      </c>
      <c r="S132" s="2">
        <f t="shared" si="8"/>
        <v>178.33114231353989</v>
      </c>
      <c r="T132" s="2">
        <f t="shared" si="9"/>
        <v>0.96489485835445521</v>
      </c>
    </row>
    <row r="133" spans="1:20" x14ac:dyDescent="0.25">
      <c r="A133" s="14">
        <f t="shared" si="22"/>
        <v>0.43490028490028493</v>
      </c>
      <c r="B133" s="2">
        <f t="shared" si="11"/>
        <v>128</v>
      </c>
      <c r="C133" s="4">
        <f t="shared" si="20"/>
        <v>69.33</v>
      </c>
      <c r="D133" s="2">
        <v>14</v>
      </c>
      <c r="E133" s="2">
        <v>50.26548245743669</v>
      </c>
      <c r="F133" s="11">
        <f t="shared" si="0"/>
        <v>2.7852115041081689</v>
      </c>
      <c r="G133" s="2">
        <f t="shared" si="1"/>
        <v>193.09871357981933</v>
      </c>
      <c r="H133" s="2">
        <f t="shared" si="2"/>
        <v>2.5251260768851118</v>
      </c>
      <c r="I133" s="2">
        <f t="shared" si="3"/>
        <v>175.06699091044479</v>
      </c>
      <c r="J133" s="2">
        <f t="shared" si="4"/>
        <v>18.031722669374545</v>
      </c>
      <c r="K133" s="15">
        <f t="shared" si="23"/>
        <v>0.401460113960114</v>
      </c>
      <c r="L133" s="2">
        <f t="shared" si="14"/>
        <v>128</v>
      </c>
      <c r="M133" s="2">
        <f t="shared" si="21"/>
        <v>69.08</v>
      </c>
      <c r="N133" s="2">
        <v>12.5</v>
      </c>
      <c r="O133" s="2">
        <v>50.26548245743669</v>
      </c>
      <c r="P133" s="11">
        <f t="shared" si="5"/>
        <v>2.4867959858108648</v>
      </c>
      <c r="Q133" s="2">
        <f t="shared" si="6"/>
        <v>171.78786669981454</v>
      </c>
      <c r="R133" s="2">
        <f t="shared" si="7"/>
        <v>2.6003374498912204</v>
      </c>
      <c r="S133" s="2">
        <f t="shared" si="8"/>
        <v>179.63131103848551</v>
      </c>
      <c r="T133" s="2">
        <f t="shared" si="9"/>
        <v>7.8434443386709631</v>
      </c>
    </row>
    <row r="134" spans="1:20" x14ac:dyDescent="0.25">
      <c r="A134" s="14">
        <f t="shared" si="22"/>
        <v>0.43504273504273505</v>
      </c>
      <c r="B134" s="2">
        <f t="shared" si="11"/>
        <v>129</v>
      </c>
      <c r="C134" s="4">
        <f t="shared" si="20"/>
        <v>69.83</v>
      </c>
      <c r="D134" s="2">
        <v>13</v>
      </c>
      <c r="E134" s="2">
        <v>50.26548245743669</v>
      </c>
      <c r="F134" s="11">
        <f t="shared" si="0"/>
        <v>2.5862678252432989</v>
      </c>
      <c r="G134" s="2">
        <f t="shared" si="1"/>
        <v>180.59908223673955</v>
      </c>
      <c r="H134" s="2">
        <f t="shared" si="2"/>
        <v>2.5251260768851118</v>
      </c>
      <c r="I134" s="2">
        <f t="shared" si="3"/>
        <v>176.32955394888737</v>
      </c>
      <c r="J134" s="2">
        <f t="shared" si="4"/>
        <v>4.2695282878521823</v>
      </c>
      <c r="K134" s="15">
        <f t="shared" si="23"/>
        <v>0.40165598290598292</v>
      </c>
      <c r="L134" s="2">
        <f t="shared" si="14"/>
        <v>129</v>
      </c>
      <c r="M134" s="2">
        <f t="shared" si="21"/>
        <v>69.58</v>
      </c>
      <c r="N134" s="2">
        <v>14.5</v>
      </c>
      <c r="O134" s="2">
        <v>50.26548245743669</v>
      </c>
      <c r="P134" s="11">
        <f t="shared" si="5"/>
        <v>2.8846833435406034</v>
      </c>
      <c r="Q134" s="2">
        <f t="shared" si="6"/>
        <v>200.71626704355518</v>
      </c>
      <c r="R134" s="2">
        <f t="shared" si="7"/>
        <v>2.6003374498912204</v>
      </c>
      <c r="S134" s="2">
        <f t="shared" si="8"/>
        <v>180.9314797634311</v>
      </c>
      <c r="T134" s="2">
        <f t="shared" si="9"/>
        <v>19.784787280124078</v>
      </c>
    </row>
    <row r="135" spans="1:20" x14ac:dyDescent="0.25">
      <c r="A135" s="14">
        <f t="shared" si="22"/>
        <v>0.43518518518518517</v>
      </c>
      <c r="B135" s="2">
        <f t="shared" si="11"/>
        <v>130</v>
      </c>
      <c r="C135" s="4">
        <f t="shared" si="20"/>
        <v>70.33</v>
      </c>
      <c r="D135" s="2">
        <v>13.5</v>
      </c>
      <c r="E135" s="2">
        <v>50.26548245743669</v>
      </c>
      <c r="F135" s="11">
        <f t="shared" si="0"/>
        <v>2.6857396646757339</v>
      </c>
      <c r="G135" s="2">
        <f t="shared" si="1"/>
        <v>188.88807061664437</v>
      </c>
      <c r="H135" s="2">
        <f t="shared" si="2"/>
        <v>2.5251260768851118</v>
      </c>
      <c r="I135" s="2">
        <f t="shared" si="3"/>
        <v>177.59211698732992</v>
      </c>
      <c r="J135" s="2">
        <f t="shared" si="4"/>
        <v>11.295953629314454</v>
      </c>
      <c r="K135" s="15">
        <f t="shared" si="23"/>
        <v>0.40185185185185185</v>
      </c>
      <c r="L135" s="2">
        <f t="shared" si="14"/>
        <v>130</v>
      </c>
      <c r="M135" s="2">
        <f t="shared" si="21"/>
        <v>70.08</v>
      </c>
      <c r="N135" s="2">
        <v>14</v>
      </c>
      <c r="O135" s="2">
        <v>50.26548245743669</v>
      </c>
      <c r="P135" s="11">
        <f t="shared" si="5"/>
        <v>2.7852115041081689</v>
      </c>
      <c r="Q135" s="2">
        <f t="shared" si="6"/>
        <v>195.18762220790046</v>
      </c>
      <c r="R135" s="2">
        <f t="shared" si="7"/>
        <v>2.6003374498912204</v>
      </c>
      <c r="S135" s="2">
        <f t="shared" si="8"/>
        <v>182.23164848837672</v>
      </c>
      <c r="T135" s="2">
        <f t="shared" si="9"/>
        <v>12.95597371952374</v>
      </c>
    </row>
    <row r="136" spans="1:20" x14ac:dyDescent="0.25">
      <c r="A136" s="14">
        <f t="shared" si="22"/>
        <v>0.43532763532763535</v>
      </c>
      <c r="B136" s="2">
        <f t="shared" si="11"/>
        <v>131</v>
      </c>
      <c r="C136" s="4">
        <f t="shared" si="20"/>
        <v>70.83</v>
      </c>
      <c r="D136" s="2">
        <v>13.5</v>
      </c>
      <c r="E136" s="2">
        <v>50.26548245743669</v>
      </c>
      <c r="F136" s="11">
        <f t="shared" si="0"/>
        <v>2.6857396646757339</v>
      </c>
      <c r="G136" s="2">
        <f t="shared" si="1"/>
        <v>190.23094044898224</v>
      </c>
      <c r="H136" s="2">
        <f t="shared" si="2"/>
        <v>2.5251260768851118</v>
      </c>
      <c r="I136" s="2">
        <f t="shared" si="3"/>
        <v>178.85468002577247</v>
      </c>
      <c r="J136" s="2">
        <f t="shared" si="4"/>
        <v>11.376260423209771</v>
      </c>
      <c r="K136" s="15">
        <f t="shared" si="23"/>
        <v>0.40204772079772083</v>
      </c>
      <c r="L136" s="2">
        <f t="shared" si="14"/>
        <v>131</v>
      </c>
      <c r="M136" s="2">
        <f t="shared" si="21"/>
        <v>70.58</v>
      </c>
      <c r="N136" s="2">
        <v>13.5</v>
      </c>
      <c r="O136" s="2">
        <v>50.26548245743669</v>
      </c>
      <c r="P136" s="11">
        <f t="shared" si="5"/>
        <v>2.6857396646757339</v>
      </c>
      <c r="Q136" s="2">
        <f t="shared" si="6"/>
        <v>189.55950553281329</v>
      </c>
      <c r="R136" s="2">
        <f t="shared" si="7"/>
        <v>2.6003374498912204</v>
      </c>
      <c r="S136" s="2">
        <f t="shared" si="8"/>
        <v>183.53181721332234</v>
      </c>
      <c r="T136" s="2">
        <f t="shared" si="9"/>
        <v>6.0276883194909487</v>
      </c>
    </row>
    <row r="137" spans="1:20" x14ac:dyDescent="0.25">
      <c r="A137" s="14">
        <f t="shared" si="22"/>
        <v>0.43547008547008548</v>
      </c>
      <c r="B137" s="2">
        <f t="shared" si="11"/>
        <v>132</v>
      </c>
      <c r="C137" s="4">
        <f t="shared" si="20"/>
        <v>71.33</v>
      </c>
      <c r="D137" s="2">
        <v>12.5</v>
      </c>
      <c r="E137" s="2">
        <v>50.26548245743669</v>
      </c>
      <c r="F137" s="11">
        <f t="shared" si="0"/>
        <v>2.4867959858108648</v>
      </c>
      <c r="G137" s="2">
        <f t="shared" si="1"/>
        <v>177.38315766788898</v>
      </c>
      <c r="H137" s="2">
        <f t="shared" si="2"/>
        <v>2.5251260768851118</v>
      </c>
      <c r="I137" s="2">
        <f t="shared" si="3"/>
        <v>180.11724306421502</v>
      </c>
      <c r="J137" s="2">
        <f t="shared" si="4"/>
        <v>2.7340853963260372</v>
      </c>
      <c r="K137" s="15">
        <f t="shared" si="23"/>
        <v>0.40224358974358976</v>
      </c>
      <c r="L137" s="2">
        <f t="shared" si="14"/>
        <v>132</v>
      </c>
      <c r="M137" s="2">
        <f t="shared" si="21"/>
        <v>71.08</v>
      </c>
      <c r="N137" s="2">
        <v>12.5</v>
      </c>
      <c r="O137" s="2">
        <v>50.26548245743669</v>
      </c>
      <c r="P137" s="11">
        <f t="shared" si="5"/>
        <v>2.4867959858108648</v>
      </c>
      <c r="Q137" s="2">
        <f t="shared" si="6"/>
        <v>176.76145867143626</v>
      </c>
      <c r="R137" s="2">
        <f t="shared" si="7"/>
        <v>2.6003374498912204</v>
      </c>
      <c r="S137" s="2">
        <f t="shared" si="8"/>
        <v>184.83198593826793</v>
      </c>
      <c r="T137" s="2">
        <f t="shared" si="9"/>
        <v>8.0705272668316752</v>
      </c>
    </row>
    <row r="138" spans="1:20" x14ac:dyDescent="0.25">
      <c r="A138" s="14">
        <f t="shared" si="22"/>
        <v>0.4356125356125356</v>
      </c>
      <c r="B138" s="2">
        <f t="shared" si="11"/>
        <v>133</v>
      </c>
      <c r="C138" s="4">
        <f t="shared" si="20"/>
        <v>71.83</v>
      </c>
      <c r="D138" s="2">
        <v>13</v>
      </c>
      <c r="E138" s="2">
        <v>50.26548245743669</v>
      </c>
      <c r="F138" s="11">
        <f t="shared" si="0"/>
        <v>2.5862678252432989</v>
      </c>
      <c r="G138" s="2">
        <f t="shared" si="1"/>
        <v>185.77161788722614</v>
      </c>
      <c r="H138" s="2">
        <f t="shared" si="2"/>
        <v>2.5251260768851118</v>
      </c>
      <c r="I138" s="2">
        <f t="shared" si="3"/>
        <v>181.37980610265757</v>
      </c>
      <c r="J138" s="2">
        <f t="shared" si="4"/>
        <v>4.3918117845685742</v>
      </c>
      <c r="K138" s="15">
        <f t="shared" si="23"/>
        <v>0.40243945868945868</v>
      </c>
      <c r="L138" s="2">
        <f t="shared" si="14"/>
        <v>133</v>
      </c>
      <c r="M138" s="2">
        <f t="shared" si="21"/>
        <v>71.58</v>
      </c>
      <c r="N138" s="2">
        <v>13.5</v>
      </c>
      <c r="O138" s="2">
        <v>50.26548245743669</v>
      </c>
      <c r="P138" s="11">
        <f t="shared" si="5"/>
        <v>2.6857396646757339</v>
      </c>
      <c r="Q138" s="2">
        <f t="shared" si="6"/>
        <v>192.24524519748903</v>
      </c>
      <c r="R138" s="2">
        <f t="shared" si="7"/>
        <v>2.6003374498912204</v>
      </c>
      <c r="S138" s="2">
        <f t="shared" si="8"/>
        <v>186.13215466321356</v>
      </c>
      <c r="T138" s="2">
        <f t="shared" si="9"/>
        <v>6.1130905342754716</v>
      </c>
    </row>
    <row r="139" spans="1:20" x14ac:dyDescent="0.25">
      <c r="A139" s="14">
        <f t="shared" si="22"/>
        <v>0.43575498575498578</v>
      </c>
      <c r="B139" s="2">
        <f t="shared" si="11"/>
        <v>134</v>
      </c>
      <c r="C139" s="4">
        <f t="shared" si="20"/>
        <v>72.33</v>
      </c>
      <c r="D139" s="2">
        <v>12.5</v>
      </c>
      <c r="E139" s="2">
        <v>50.26548245743669</v>
      </c>
      <c r="F139" s="11">
        <f t="shared" si="0"/>
        <v>2.4867959858108648</v>
      </c>
      <c r="G139" s="2">
        <f t="shared" si="1"/>
        <v>179.86995365369984</v>
      </c>
      <c r="H139" s="2">
        <f t="shared" si="2"/>
        <v>2.5251260768851118</v>
      </c>
      <c r="I139" s="2">
        <f t="shared" si="3"/>
        <v>182.64236914110015</v>
      </c>
      <c r="J139" s="2">
        <f t="shared" si="4"/>
        <v>2.7724154874003091</v>
      </c>
      <c r="K139" s="15">
        <f t="shared" si="23"/>
        <v>0.40263532763532767</v>
      </c>
      <c r="L139" s="2">
        <f t="shared" si="14"/>
        <v>134</v>
      </c>
      <c r="M139" s="2">
        <f t="shared" si="21"/>
        <v>72.08</v>
      </c>
      <c r="N139" s="2">
        <v>14</v>
      </c>
      <c r="O139" s="2">
        <v>50.26548245743669</v>
      </c>
      <c r="P139" s="11">
        <f t="shared" si="5"/>
        <v>2.7852115041081689</v>
      </c>
      <c r="Q139" s="2">
        <f t="shared" si="6"/>
        <v>200.75804521611681</v>
      </c>
      <c r="R139" s="2">
        <f t="shared" si="7"/>
        <v>2.6003374498912204</v>
      </c>
      <c r="S139" s="2">
        <f t="shared" si="8"/>
        <v>187.43232338815915</v>
      </c>
      <c r="T139" s="2">
        <f t="shared" si="9"/>
        <v>13.325721827957665</v>
      </c>
    </row>
    <row r="140" spans="1:20" x14ac:dyDescent="0.25">
      <c r="A140" s="14">
        <f t="shared" si="22"/>
        <v>0.4358974358974359</v>
      </c>
      <c r="B140" s="2">
        <f t="shared" si="11"/>
        <v>135</v>
      </c>
      <c r="C140" s="4">
        <f t="shared" si="20"/>
        <v>72.83</v>
      </c>
      <c r="D140" s="2">
        <v>13</v>
      </c>
      <c r="E140" s="2">
        <v>50.26548245743669</v>
      </c>
      <c r="F140" s="11">
        <f t="shared" si="0"/>
        <v>2.5862678252432989</v>
      </c>
      <c r="G140" s="2">
        <f t="shared" si="1"/>
        <v>188.35788571246945</v>
      </c>
      <c r="H140" s="2">
        <f t="shared" si="2"/>
        <v>2.5251260768851118</v>
      </c>
      <c r="I140" s="2">
        <f t="shared" si="3"/>
        <v>183.9049321795427</v>
      </c>
      <c r="J140" s="2">
        <f t="shared" si="4"/>
        <v>4.452953532926756</v>
      </c>
      <c r="K140" s="15">
        <f t="shared" si="23"/>
        <v>0.40283119658119659</v>
      </c>
      <c r="L140" s="2">
        <f t="shared" si="14"/>
        <v>135</v>
      </c>
      <c r="M140" s="2">
        <f t="shared" si="21"/>
        <v>72.58</v>
      </c>
      <c r="N140" s="2">
        <v>13.5</v>
      </c>
      <c r="O140" s="2">
        <v>50.26548245743669</v>
      </c>
      <c r="P140" s="11">
        <f t="shared" si="5"/>
        <v>2.6857396646757339</v>
      </c>
      <c r="Q140" s="2">
        <f t="shared" si="6"/>
        <v>194.93098486216476</v>
      </c>
      <c r="R140" s="2">
        <f t="shared" si="7"/>
        <v>2.6003374498912204</v>
      </c>
      <c r="S140" s="2">
        <f t="shared" si="8"/>
        <v>188.73249211310477</v>
      </c>
      <c r="T140" s="2">
        <f t="shared" si="9"/>
        <v>6.1984927490599944</v>
      </c>
    </row>
    <row r="141" spans="1:20" x14ac:dyDescent="0.25">
      <c r="A141" s="14">
        <f t="shared" si="22"/>
        <v>0.43603988603988603</v>
      </c>
      <c r="B141" s="2">
        <f t="shared" si="11"/>
        <v>136</v>
      </c>
      <c r="C141" s="4">
        <f t="shared" si="20"/>
        <v>73.33</v>
      </c>
      <c r="D141" s="2">
        <v>14.5</v>
      </c>
      <c r="E141" s="2">
        <v>50.26548245743669</v>
      </c>
      <c r="F141" s="11">
        <f t="shared" si="0"/>
        <v>2.8846833435406034</v>
      </c>
      <c r="G141" s="2">
        <f t="shared" si="1"/>
        <v>211.53382958183244</v>
      </c>
      <c r="H141" s="2">
        <f t="shared" si="2"/>
        <v>2.5251260768851118</v>
      </c>
      <c r="I141" s="2">
        <f t="shared" si="3"/>
        <v>185.16749521798525</v>
      </c>
      <c r="J141" s="2">
        <f t="shared" si="4"/>
        <v>26.366334363847187</v>
      </c>
      <c r="K141" s="15">
        <f t="shared" si="23"/>
        <v>0.40302706552706552</v>
      </c>
      <c r="L141" s="2">
        <f t="shared" si="14"/>
        <v>136</v>
      </c>
      <c r="M141" s="2">
        <f t="shared" si="21"/>
        <v>73.08</v>
      </c>
      <c r="N141" s="2">
        <v>14.5</v>
      </c>
      <c r="O141" s="2">
        <v>50.26548245743669</v>
      </c>
      <c r="P141" s="11">
        <f t="shared" si="5"/>
        <v>2.8846833435406034</v>
      </c>
      <c r="Q141" s="2">
        <f t="shared" si="6"/>
        <v>210.81265874594729</v>
      </c>
      <c r="R141" s="2">
        <f t="shared" si="7"/>
        <v>2.6003374498912204</v>
      </c>
      <c r="S141" s="2">
        <f t="shared" si="8"/>
        <v>190.03266083805039</v>
      </c>
      <c r="T141" s="2">
        <f t="shared" si="9"/>
        <v>20.779997907896899</v>
      </c>
    </row>
    <row r="142" spans="1:20" x14ac:dyDescent="0.25">
      <c r="A142" s="14">
        <f t="shared" si="22"/>
        <v>0.43618233618233621</v>
      </c>
      <c r="B142" s="2">
        <f t="shared" si="11"/>
        <v>137</v>
      </c>
      <c r="C142" s="4">
        <f t="shared" si="20"/>
        <v>73.83</v>
      </c>
      <c r="D142" s="2">
        <v>13.5</v>
      </c>
      <c r="E142" s="2">
        <v>50.26548245743669</v>
      </c>
      <c r="F142" s="11">
        <f t="shared" si="0"/>
        <v>2.6857396646757339</v>
      </c>
      <c r="G142" s="2">
        <f t="shared" si="1"/>
        <v>198.28815944300942</v>
      </c>
      <c r="H142" s="2">
        <f t="shared" si="2"/>
        <v>2.5251260768851118</v>
      </c>
      <c r="I142" s="2">
        <f t="shared" si="3"/>
        <v>186.4300582564278</v>
      </c>
      <c r="J142" s="2">
        <f t="shared" si="4"/>
        <v>11.858101186581621</v>
      </c>
      <c r="K142" s="15">
        <f t="shared" si="23"/>
        <v>0.4032229344729345</v>
      </c>
      <c r="L142" s="2">
        <f t="shared" si="14"/>
        <v>137</v>
      </c>
      <c r="M142" s="2">
        <f t="shared" si="21"/>
        <v>73.58</v>
      </c>
      <c r="N142" s="2">
        <v>17.5</v>
      </c>
      <c r="O142" s="2">
        <v>50.26548245743669</v>
      </c>
      <c r="P142" s="11">
        <f t="shared" si="5"/>
        <v>3.4815143801352106</v>
      </c>
      <c r="Q142" s="2">
        <f t="shared" si="6"/>
        <v>256.1698280903488</v>
      </c>
      <c r="R142" s="2">
        <f t="shared" si="7"/>
        <v>2.6003374498912204</v>
      </c>
      <c r="S142" s="2">
        <f t="shared" si="8"/>
        <v>191.33282956299598</v>
      </c>
      <c r="T142" s="2">
        <f t="shared" si="9"/>
        <v>64.836998527352819</v>
      </c>
    </row>
    <row r="143" spans="1:20" x14ac:dyDescent="0.25">
      <c r="A143" s="14">
        <f t="shared" si="22"/>
        <v>0.43632478632478633</v>
      </c>
      <c r="B143" s="2">
        <f t="shared" si="11"/>
        <v>138</v>
      </c>
      <c r="C143" s="4">
        <f t="shared" si="20"/>
        <v>74.33</v>
      </c>
      <c r="D143" s="2">
        <v>13.5</v>
      </c>
      <c r="E143" s="2">
        <v>50.26548245743669</v>
      </c>
      <c r="F143" s="11">
        <f t="shared" si="0"/>
        <v>2.6857396646757339</v>
      </c>
      <c r="G143" s="2">
        <f t="shared" si="1"/>
        <v>199.63102927534729</v>
      </c>
      <c r="H143" s="2">
        <f t="shared" si="2"/>
        <v>2.5251260768851118</v>
      </c>
      <c r="I143" s="2">
        <f t="shared" si="3"/>
        <v>187.69262129487035</v>
      </c>
      <c r="J143" s="2">
        <f t="shared" si="4"/>
        <v>11.938407980476939</v>
      </c>
      <c r="K143" s="15">
        <f t="shared" si="23"/>
        <v>0.40341880341880343</v>
      </c>
      <c r="L143" s="2">
        <f t="shared" si="14"/>
        <v>138</v>
      </c>
      <c r="M143" s="2">
        <f t="shared" si="21"/>
        <v>74.08</v>
      </c>
      <c r="N143" s="2">
        <v>14</v>
      </c>
      <c r="O143" s="2">
        <v>50.26548245743669</v>
      </c>
      <c r="P143" s="11">
        <f t="shared" si="5"/>
        <v>2.7852115041081689</v>
      </c>
      <c r="Q143" s="2">
        <f t="shared" si="6"/>
        <v>206.32846822433314</v>
      </c>
      <c r="R143" s="2">
        <f t="shared" si="7"/>
        <v>2.6003374498912204</v>
      </c>
      <c r="S143" s="2">
        <f t="shared" si="8"/>
        <v>192.6329982879416</v>
      </c>
      <c r="T143" s="2">
        <f t="shared" si="9"/>
        <v>13.695469936391532</v>
      </c>
    </row>
    <row r="144" spans="1:20" x14ac:dyDescent="0.25">
      <c r="A144" s="14">
        <f t="shared" si="22"/>
        <v>0.43646723646723645</v>
      </c>
      <c r="B144" s="2">
        <f t="shared" si="11"/>
        <v>139</v>
      </c>
      <c r="C144" s="4">
        <f t="shared" si="20"/>
        <v>74.83</v>
      </c>
      <c r="D144" s="2">
        <v>14</v>
      </c>
      <c r="E144" s="2">
        <v>50.26548245743669</v>
      </c>
      <c r="F144" s="11">
        <f t="shared" si="0"/>
        <v>2.7852115041081689</v>
      </c>
      <c r="G144" s="2">
        <f t="shared" si="1"/>
        <v>208.41737685241426</v>
      </c>
      <c r="H144" s="2">
        <f t="shared" si="2"/>
        <v>2.5251260768851118</v>
      </c>
      <c r="I144" s="2">
        <f t="shared" si="3"/>
        <v>188.9551843333129</v>
      </c>
      <c r="J144" s="2">
        <f t="shared" si="4"/>
        <v>19.462192519101364</v>
      </c>
      <c r="K144" s="15">
        <f t="shared" si="23"/>
        <v>0.40361467236467236</v>
      </c>
      <c r="L144" s="2">
        <f t="shared" si="14"/>
        <v>139</v>
      </c>
      <c r="M144" s="2">
        <f t="shared" si="21"/>
        <v>74.58</v>
      </c>
      <c r="N144" s="2">
        <v>14.5</v>
      </c>
      <c r="O144" s="2">
        <v>50.26548245743669</v>
      </c>
      <c r="P144" s="11">
        <f t="shared" si="5"/>
        <v>2.8846833435406034</v>
      </c>
      <c r="Q144" s="2">
        <f t="shared" si="6"/>
        <v>215.1396837612582</v>
      </c>
      <c r="R144" s="2">
        <f t="shared" si="7"/>
        <v>2.6003374498912204</v>
      </c>
      <c r="S144" s="2">
        <f t="shared" si="8"/>
        <v>193.93316701288722</v>
      </c>
      <c r="T144" s="2">
        <f t="shared" si="9"/>
        <v>21.206516748370973</v>
      </c>
    </row>
    <row r="145" spans="1:20" x14ac:dyDescent="0.25">
      <c r="A145" s="14">
        <f t="shared" si="22"/>
        <v>0.43660968660968663</v>
      </c>
      <c r="B145" s="2">
        <f t="shared" si="11"/>
        <v>140</v>
      </c>
      <c r="C145" s="4">
        <f t="shared" si="20"/>
        <v>75.33</v>
      </c>
      <c r="D145" s="2">
        <v>14</v>
      </c>
      <c r="E145" s="2">
        <v>50.26548245743669</v>
      </c>
      <c r="F145" s="11">
        <f t="shared" si="0"/>
        <v>2.7852115041081689</v>
      </c>
      <c r="G145" s="2">
        <f t="shared" si="1"/>
        <v>209.80998260446836</v>
      </c>
      <c r="H145" s="2">
        <f t="shared" si="2"/>
        <v>2.5251260768851118</v>
      </c>
      <c r="I145" s="2">
        <f t="shared" si="3"/>
        <v>190.21774737175548</v>
      </c>
      <c r="J145" s="2">
        <f t="shared" si="4"/>
        <v>19.592235232712881</v>
      </c>
      <c r="K145" s="15">
        <f t="shared" si="23"/>
        <v>0.40381054131054134</v>
      </c>
      <c r="L145" s="2">
        <f t="shared" si="14"/>
        <v>140</v>
      </c>
      <c r="M145" s="2">
        <f t="shared" si="21"/>
        <v>75.08</v>
      </c>
      <c r="N145" s="2">
        <v>14.5</v>
      </c>
      <c r="O145" s="2">
        <v>50.26548245743669</v>
      </c>
      <c r="P145" s="11">
        <f t="shared" si="5"/>
        <v>2.8846833435406034</v>
      </c>
      <c r="Q145" s="2">
        <f t="shared" si="6"/>
        <v>216.58202543302849</v>
      </c>
      <c r="R145" s="2">
        <f t="shared" si="7"/>
        <v>2.6003374498912204</v>
      </c>
      <c r="S145" s="2">
        <f t="shared" si="8"/>
        <v>195.23333573783282</v>
      </c>
      <c r="T145" s="2">
        <f t="shared" si="9"/>
        <v>21.348689695195674</v>
      </c>
    </row>
    <row r="146" spans="1:20" x14ac:dyDescent="0.25">
      <c r="A146" s="14">
        <f t="shared" si="22"/>
        <v>0.43675213675213675</v>
      </c>
      <c r="B146" s="2">
        <f t="shared" si="11"/>
        <v>141</v>
      </c>
      <c r="C146" s="4">
        <f t="shared" si="20"/>
        <v>75.83</v>
      </c>
      <c r="D146" s="2">
        <v>14</v>
      </c>
      <c r="E146" s="2">
        <v>50.26548245743669</v>
      </c>
      <c r="F146" s="11">
        <f t="shared" si="0"/>
        <v>2.7852115041081689</v>
      </c>
      <c r="G146" s="2">
        <f t="shared" si="1"/>
        <v>211.20258835652245</v>
      </c>
      <c r="H146" s="2">
        <f t="shared" si="2"/>
        <v>2.5251260768851118</v>
      </c>
      <c r="I146" s="2">
        <f t="shared" si="3"/>
        <v>191.48031041019803</v>
      </c>
      <c r="J146" s="2">
        <f t="shared" si="4"/>
        <v>19.722277946324425</v>
      </c>
      <c r="K146" s="15">
        <f t="shared" si="23"/>
        <v>0.40400641025641026</v>
      </c>
      <c r="L146" s="2">
        <f t="shared" si="14"/>
        <v>141</v>
      </c>
      <c r="M146" s="2">
        <f t="shared" si="21"/>
        <v>75.58</v>
      </c>
      <c r="N146" s="2">
        <v>13.5</v>
      </c>
      <c r="O146" s="2">
        <v>50.26548245743669</v>
      </c>
      <c r="P146" s="11">
        <f t="shared" si="5"/>
        <v>2.6857396646757339</v>
      </c>
      <c r="Q146" s="2">
        <f t="shared" si="6"/>
        <v>202.98820385619197</v>
      </c>
      <c r="R146" s="2">
        <f t="shared" si="7"/>
        <v>2.6003374498912204</v>
      </c>
      <c r="S146" s="2">
        <f t="shared" si="8"/>
        <v>196.53350446277844</v>
      </c>
      <c r="T146" s="2">
        <f t="shared" si="9"/>
        <v>6.4546993934135344</v>
      </c>
    </row>
    <row r="147" spans="1:20" x14ac:dyDescent="0.25">
      <c r="A147" s="14">
        <f t="shared" si="22"/>
        <v>0.43689458689458688</v>
      </c>
      <c r="B147" s="2">
        <f t="shared" si="11"/>
        <v>142</v>
      </c>
      <c r="C147" s="4">
        <f t="shared" si="20"/>
        <v>76.33</v>
      </c>
      <c r="D147" s="2">
        <v>13.5</v>
      </c>
      <c r="E147" s="2">
        <v>50.26548245743669</v>
      </c>
      <c r="F147" s="11">
        <f t="shared" si="0"/>
        <v>2.6857396646757339</v>
      </c>
      <c r="G147" s="2">
        <f t="shared" si="1"/>
        <v>205.00250860469876</v>
      </c>
      <c r="H147" s="2">
        <f t="shared" si="2"/>
        <v>2.5251260768851118</v>
      </c>
      <c r="I147" s="2">
        <f t="shared" si="3"/>
        <v>192.74287344864058</v>
      </c>
      <c r="J147" s="2">
        <f t="shared" si="4"/>
        <v>12.259635156058181</v>
      </c>
      <c r="K147" s="15">
        <f t="shared" si="23"/>
        <v>0.40420227920227919</v>
      </c>
      <c r="L147" s="2">
        <f t="shared" si="14"/>
        <v>142</v>
      </c>
      <c r="M147" s="2">
        <f t="shared" si="21"/>
        <v>76.08</v>
      </c>
      <c r="N147" s="2">
        <v>13</v>
      </c>
      <c r="O147" s="2">
        <v>50.26548245743669</v>
      </c>
      <c r="P147" s="11">
        <f t="shared" si="5"/>
        <v>2.5862678252432989</v>
      </c>
      <c r="Q147" s="2">
        <f t="shared" si="6"/>
        <v>196.76325614451017</v>
      </c>
      <c r="R147" s="2">
        <f t="shared" si="7"/>
        <v>2.6003374498912204</v>
      </c>
      <c r="S147" s="2">
        <f t="shared" si="8"/>
        <v>197.83367318772403</v>
      </c>
      <c r="T147" s="2">
        <f t="shared" si="9"/>
        <v>1.0704170432138653</v>
      </c>
    </row>
    <row r="148" spans="1:20" x14ac:dyDescent="0.25">
      <c r="A148" s="14">
        <f t="shared" si="22"/>
        <v>0.43703703703703706</v>
      </c>
      <c r="B148" s="2">
        <f t="shared" si="11"/>
        <v>143</v>
      </c>
      <c r="C148" s="4">
        <f t="shared" si="20"/>
        <v>76.83</v>
      </c>
      <c r="D148" s="2">
        <v>13.5</v>
      </c>
      <c r="E148" s="2">
        <v>50.26548245743669</v>
      </c>
      <c r="F148" s="11">
        <f t="shared" si="0"/>
        <v>2.6857396646757339</v>
      </c>
      <c r="G148" s="2">
        <f t="shared" si="1"/>
        <v>206.34537843703663</v>
      </c>
      <c r="H148" s="2">
        <f t="shared" si="2"/>
        <v>2.5251260768851118</v>
      </c>
      <c r="I148" s="2">
        <f t="shared" si="3"/>
        <v>194.00543648708313</v>
      </c>
      <c r="J148" s="2">
        <f t="shared" si="4"/>
        <v>12.339941949953499</v>
      </c>
      <c r="K148" s="15">
        <f t="shared" si="23"/>
        <v>0.40439814814814817</v>
      </c>
      <c r="L148" s="2">
        <f t="shared" si="14"/>
        <v>143</v>
      </c>
      <c r="M148" s="2">
        <f t="shared" si="21"/>
        <v>76.58</v>
      </c>
      <c r="N148" s="2">
        <v>13</v>
      </c>
      <c r="O148" s="2">
        <v>50.26548245743669</v>
      </c>
      <c r="P148" s="11">
        <f t="shared" si="5"/>
        <v>2.5862678252432989</v>
      </c>
      <c r="Q148" s="2">
        <f t="shared" si="6"/>
        <v>198.05639005713184</v>
      </c>
      <c r="R148" s="2">
        <f t="shared" si="7"/>
        <v>2.6003374498912204</v>
      </c>
      <c r="S148" s="2">
        <f t="shared" si="8"/>
        <v>199.13384191266965</v>
      </c>
      <c r="T148" s="2">
        <f t="shared" si="9"/>
        <v>1.0774518555378165</v>
      </c>
    </row>
    <row r="149" spans="1:20" x14ac:dyDescent="0.25">
      <c r="A149" s="14">
        <f t="shared" si="22"/>
        <v>0.43717948717948718</v>
      </c>
      <c r="B149" s="2">
        <f t="shared" si="11"/>
        <v>144</v>
      </c>
      <c r="C149" s="4">
        <f t="shared" si="20"/>
        <v>77.33</v>
      </c>
      <c r="D149" s="2">
        <v>13</v>
      </c>
      <c r="E149" s="2">
        <v>50.26548245743669</v>
      </c>
      <c r="F149" s="11">
        <f t="shared" si="0"/>
        <v>2.5862678252432989</v>
      </c>
      <c r="G149" s="2">
        <f t="shared" si="1"/>
        <v>199.99609092606431</v>
      </c>
      <c r="H149" s="2">
        <f t="shared" si="2"/>
        <v>2.5251260768851118</v>
      </c>
      <c r="I149" s="2">
        <f t="shared" si="3"/>
        <v>195.26799952552568</v>
      </c>
      <c r="J149" s="2">
        <f t="shared" si="4"/>
        <v>4.7280914005386308</v>
      </c>
      <c r="K149" s="15">
        <f t="shared" si="23"/>
        <v>0.4045940170940171</v>
      </c>
      <c r="L149" s="2">
        <f t="shared" si="14"/>
        <v>144</v>
      </c>
      <c r="M149" s="2">
        <f t="shared" si="21"/>
        <v>77.08</v>
      </c>
      <c r="N149" s="2">
        <v>13</v>
      </c>
      <c r="O149" s="2">
        <v>50.26548245743669</v>
      </c>
      <c r="P149" s="11">
        <f t="shared" si="5"/>
        <v>2.5862678252432989</v>
      </c>
      <c r="Q149" s="2">
        <f t="shared" si="6"/>
        <v>199.34952396975348</v>
      </c>
      <c r="R149" s="2">
        <f t="shared" si="7"/>
        <v>2.6003374498912204</v>
      </c>
      <c r="S149" s="2">
        <f t="shared" si="8"/>
        <v>200.43401063761527</v>
      </c>
      <c r="T149" s="2">
        <f t="shared" si="9"/>
        <v>1.0844866678617961</v>
      </c>
    </row>
    <row r="150" spans="1:20" x14ac:dyDescent="0.25">
      <c r="A150" s="14">
        <f t="shared" si="22"/>
        <v>0.4373219373219373</v>
      </c>
      <c r="B150" s="2">
        <f t="shared" si="11"/>
        <v>145</v>
      </c>
      <c r="C150" s="4">
        <f t="shared" si="20"/>
        <v>77.83</v>
      </c>
      <c r="D150" s="2">
        <v>13</v>
      </c>
      <c r="E150" s="2">
        <v>50.26548245743669</v>
      </c>
      <c r="F150" s="11">
        <f t="shared" si="0"/>
        <v>2.5862678252432989</v>
      </c>
      <c r="G150" s="2">
        <f t="shared" si="1"/>
        <v>201.28922483868595</v>
      </c>
      <c r="H150" s="2">
        <f t="shared" si="2"/>
        <v>2.5251260768851118</v>
      </c>
      <c r="I150" s="2">
        <f t="shared" si="3"/>
        <v>196.53056256396826</v>
      </c>
      <c r="J150" s="2">
        <f t="shared" si="4"/>
        <v>4.7586622747176932</v>
      </c>
      <c r="K150" s="15">
        <f t="shared" si="23"/>
        <v>0.40478988603988603</v>
      </c>
      <c r="L150" s="2">
        <f t="shared" si="14"/>
        <v>145</v>
      </c>
      <c r="M150" s="2">
        <f t="shared" si="21"/>
        <v>77.58</v>
      </c>
      <c r="N150" s="2">
        <v>12.5</v>
      </c>
      <c r="O150" s="2">
        <v>50.26548245743669</v>
      </c>
      <c r="P150" s="11">
        <f t="shared" si="5"/>
        <v>2.4867959858108648</v>
      </c>
      <c r="Q150" s="2">
        <f t="shared" si="6"/>
        <v>192.92563257920688</v>
      </c>
      <c r="R150" s="2">
        <f t="shared" si="7"/>
        <v>2.6003374498912204</v>
      </c>
      <c r="S150" s="2">
        <f t="shared" si="8"/>
        <v>201.73417936256087</v>
      </c>
      <c r="T150" s="2">
        <f t="shared" si="9"/>
        <v>8.8085467833539894</v>
      </c>
    </row>
    <row r="151" spans="1:20" x14ac:dyDescent="0.25">
      <c r="A151" s="14">
        <f t="shared" si="22"/>
        <v>0.43746438746438748</v>
      </c>
      <c r="B151" s="2">
        <f t="shared" si="11"/>
        <v>146</v>
      </c>
      <c r="C151" s="4">
        <f t="shared" si="20"/>
        <v>78.33</v>
      </c>
      <c r="D151" s="2">
        <v>12.5</v>
      </c>
      <c r="E151" s="2">
        <v>50.26548245743669</v>
      </c>
      <c r="F151" s="11">
        <f t="shared" si="0"/>
        <v>2.4867959858108648</v>
      </c>
      <c r="G151" s="2">
        <f t="shared" si="1"/>
        <v>194.79072956856504</v>
      </c>
      <c r="H151" s="2">
        <f t="shared" si="2"/>
        <v>2.5251260768851118</v>
      </c>
      <c r="I151" s="2">
        <f t="shared" si="3"/>
        <v>197.79312560241081</v>
      </c>
      <c r="J151" s="2">
        <f t="shared" si="4"/>
        <v>3.0023960338457698</v>
      </c>
      <c r="K151" s="15">
        <f t="shared" si="23"/>
        <v>0.40498575498575501</v>
      </c>
      <c r="L151" s="2">
        <f t="shared" si="14"/>
        <v>146</v>
      </c>
      <c r="M151" s="2">
        <f t="shared" si="21"/>
        <v>78.08</v>
      </c>
      <c r="N151" s="2">
        <v>13</v>
      </c>
      <c r="O151" s="2">
        <v>50.26548245743669</v>
      </c>
      <c r="P151" s="11">
        <f t="shared" si="5"/>
        <v>2.5862678252432989</v>
      </c>
      <c r="Q151" s="2">
        <f t="shared" si="6"/>
        <v>201.93579179499676</v>
      </c>
      <c r="R151" s="2">
        <f t="shared" si="7"/>
        <v>2.6003374498912204</v>
      </c>
      <c r="S151" s="2">
        <f t="shared" si="8"/>
        <v>203.03434808750649</v>
      </c>
      <c r="T151" s="2">
        <f t="shared" si="9"/>
        <v>1.098556292509727</v>
      </c>
    </row>
    <row r="152" spans="1:20" x14ac:dyDescent="0.25">
      <c r="A152" s="14">
        <f t="shared" si="22"/>
        <v>0.43760683760683761</v>
      </c>
      <c r="B152" s="2">
        <f t="shared" si="11"/>
        <v>147</v>
      </c>
      <c r="C152" s="4">
        <f t="shared" si="20"/>
        <v>78.83</v>
      </c>
      <c r="D152" s="2">
        <v>12.5</v>
      </c>
      <c r="E152" s="2">
        <v>50.26548245743669</v>
      </c>
      <c r="F152" s="11">
        <f t="shared" si="0"/>
        <v>2.4867959858108648</v>
      </c>
      <c r="G152" s="2">
        <f t="shared" si="1"/>
        <v>196.03412756147046</v>
      </c>
      <c r="H152" s="2">
        <f t="shared" si="2"/>
        <v>2.5251260768851118</v>
      </c>
      <c r="I152" s="2">
        <f t="shared" si="3"/>
        <v>199.05568864085336</v>
      </c>
      <c r="J152" s="2">
        <f t="shared" si="4"/>
        <v>3.0215610793829057</v>
      </c>
      <c r="K152" s="15">
        <f t="shared" si="23"/>
        <v>0.40518162393162394</v>
      </c>
      <c r="L152" s="2">
        <f t="shared" si="14"/>
        <v>147</v>
      </c>
      <c r="M152" s="2">
        <f t="shared" si="21"/>
        <v>78.58</v>
      </c>
      <c r="N152" s="2">
        <v>12</v>
      </c>
      <c r="O152" s="2">
        <v>50.26548245743669</v>
      </c>
      <c r="P152" s="11">
        <f t="shared" si="5"/>
        <v>2.3873241463784298</v>
      </c>
      <c r="Q152" s="2">
        <f t="shared" si="6"/>
        <v>187.59593142241701</v>
      </c>
      <c r="R152" s="2">
        <f t="shared" si="7"/>
        <v>2.6003374498912204</v>
      </c>
      <c r="S152" s="2">
        <f t="shared" si="8"/>
        <v>204.33451681245211</v>
      </c>
      <c r="T152" s="2">
        <f t="shared" si="9"/>
        <v>16.738585390035098</v>
      </c>
    </row>
    <row r="153" spans="1:20" x14ac:dyDescent="0.25">
      <c r="A153" s="14">
        <f t="shared" si="22"/>
        <v>0.43774928774928773</v>
      </c>
      <c r="B153" s="2">
        <f t="shared" si="11"/>
        <v>148</v>
      </c>
      <c r="C153" s="4">
        <f t="shared" si="20"/>
        <v>79.33</v>
      </c>
      <c r="D153" s="2">
        <v>14</v>
      </c>
      <c r="E153" s="2">
        <v>50.26548245743669</v>
      </c>
      <c r="F153" s="11">
        <f t="shared" si="0"/>
        <v>2.7852115041081689</v>
      </c>
      <c r="G153" s="2">
        <f t="shared" si="1"/>
        <v>220.95082862090104</v>
      </c>
      <c r="H153" s="2">
        <f t="shared" si="2"/>
        <v>2.5251260768851118</v>
      </c>
      <c r="I153" s="2">
        <f t="shared" si="3"/>
        <v>200.31825167929591</v>
      </c>
      <c r="J153" s="2">
        <f t="shared" si="4"/>
        <v>20.632576941605123</v>
      </c>
      <c r="K153" s="15">
        <f t="shared" si="23"/>
        <v>0.40537749287749286</v>
      </c>
      <c r="L153" s="2">
        <f t="shared" si="14"/>
        <v>148</v>
      </c>
      <c r="M153" s="2">
        <f t="shared" si="21"/>
        <v>79.08</v>
      </c>
      <c r="N153" s="2">
        <v>12.5</v>
      </c>
      <c r="O153" s="2">
        <v>50.26548245743669</v>
      </c>
      <c r="P153" s="11">
        <f t="shared" si="5"/>
        <v>2.4867959858108648</v>
      </c>
      <c r="Q153" s="2">
        <f t="shared" si="6"/>
        <v>196.65582655792318</v>
      </c>
      <c r="R153" s="2">
        <f t="shared" si="7"/>
        <v>2.6003374498912204</v>
      </c>
      <c r="S153" s="2">
        <f t="shared" si="8"/>
        <v>205.6346855373977</v>
      </c>
      <c r="T153" s="2">
        <f t="shared" si="9"/>
        <v>8.9788589794745235</v>
      </c>
    </row>
    <row r="154" spans="1:20" x14ac:dyDescent="0.25">
      <c r="A154" s="14">
        <f t="shared" si="22"/>
        <v>0.43789173789173791</v>
      </c>
      <c r="B154" s="2">
        <f t="shared" si="11"/>
        <v>149</v>
      </c>
      <c r="C154" s="4">
        <f t="shared" si="20"/>
        <v>79.83</v>
      </c>
      <c r="D154" s="2">
        <v>15.5</v>
      </c>
      <c r="E154" s="2">
        <v>50.26548245743669</v>
      </c>
      <c r="F154" s="11">
        <f t="shared" si="0"/>
        <v>3.0836270224054725</v>
      </c>
      <c r="G154" s="2">
        <f t="shared" si="1"/>
        <v>246.16594519862886</v>
      </c>
      <c r="H154" s="2">
        <f t="shared" si="2"/>
        <v>2.5251260768851118</v>
      </c>
      <c r="I154" s="2">
        <f t="shared" si="3"/>
        <v>201.58081471773846</v>
      </c>
      <c r="J154" s="2">
        <f t="shared" si="4"/>
        <v>44.585130480890399</v>
      </c>
      <c r="K154" s="15">
        <f t="shared" si="23"/>
        <v>0.40557336182336184</v>
      </c>
      <c r="L154" s="2">
        <f t="shared" si="14"/>
        <v>149</v>
      </c>
      <c r="M154" s="2">
        <f t="shared" si="21"/>
        <v>79.58</v>
      </c>
      <c r="N154" s="2">
        <v>14.5</v>
      </c>
      <c r="O154" s="2">
        <v>50.26548245743669</v>
      </c>
      <c r="P154" s="11">
        <f t="shared" si="5"/>
        <v>2.8846833435406034</v>
      </c>
      <c r="Q154" s="2">
        <f t="shared" si="6"/>
        <v>229.56310047896122</v>
      </c>
      <c r="R154" s="2">
        <f t="shared" si="7"/>
        <v>2.6003374498912204</v>
      </c>
      <c r="S154" s="2">
        <f t="shared" si="8"/>
        <v>206.93485426234332</v>
      </c>
      <c r="T154" s="2">
        <f t="shared" si="9"/>
        <v>22.628246216617896</v>
      </c>
    </row>
    <row r="155" spans="1:20" x14ac:dyDescent="0.25">
      <c r="A155" s="14">
        <f t="shared" si="22"/>
        <v>0.43803418803418803</v>
      </c>
      <c r="B155" s="2">
        <f t="shared" si="11"/>
        <v>150</v>
      </c>
      <c r="C155" s="4">
        <f t="shared" si="20"/>
        <v>80.33</v>
      </c>
      <c r="D155" s="2">
        <v>13</v>
      </c>
      <c r="E155" s="2">
        <v>50.26548245743669</v>
      </c>
      <c r="F155" s="11">
        <f t="shared" si="0"/>
        <v>2.5862678252432989</v>
      </c>
      <c r="G155" s="2">
        <f t="shared" si="1"/>
        <v>207.75489440179419</v>
      </c>
      <c r="H155" s="2">
        <f t="shared" si="2"/>
        <v>2.5251260768851118</v>
      </c>
      <c r="I155" s="2">
        <f t="shared" si="3"/>
        <v>202.84337775618104</v>
      </c>
      <c r="J155" s="2">
        <f t="shared" si="4"/>
        <v>4.9115166456131476</v>
      </c>
      <c r="K155" s="15">
        <f t="shared" si="23"/>
        <v>0.40576923076923077</v>
      </c>
      <c r="L155" s="2">
        <f t="shared" si="14"/>
        <v>150</v>
      </c>
      <c r="M155" s="2">
        <f t="shared" si="21"/>
        <v>80.08</v>
      </c>
      <c r="N155" s="2">
        <v>13.5</v>
      </c>
      <c r="O155" s="2">
        <v>50.26548245743669</v>
      </c>
      <c r="P155" s="11">
        <f t="shared" si="5"/>
        <v>2.6857396646757339</v>
      </c>
      <c r="Q155" s="2">
        <f t="shared" si="6"/>
        <v>215.07403234723276</v>
      </c>
      <c r="R155" s="2">
        <f t="shared" si="7"/>
        <v>2.6003374498912204</v>
      </c>
      <c r="S155" s="2">
        <f t="shared" si="8"/>
        <v>208.23502298728891</v>
      </c>
      <c r="T155" s="2">
        <f t="shared" si="9"/>
        <v>6.8390093599438444</v>
      </c>
    </row>
    <row r="156" spans="1:20" x14ac:dyDescent="0.25">
      <c r="A156" s="14">
        <f t="shared" si="22"/>
        <v>0.43817663817663816</v>
      </c>
      <c r="B156" s="2">
        <f t="shared" si="11"/>
        <v>151</v>
      </c>
      <c r="C156" s="4">
        <f t="shared" si="20"/>
        <v>80.83</v>
      </c>
      <c r="D156" s="2">
        <v>12.5</v>
      </c>
      <c r="E156" s="2">
        <v>50.26548245743669</v>
      </c>
      <c r="F156" s="11">
        <f t="shared" si="0"/>
        <v>2.4867959858108648</v>
      </c>
      <c r="G156" s="2">
        <f t="shared" si="1"/>
        <v>201.0077195330922</v>
      </c>
      <c r="H156" s="2">
        <f t="shared" si="2"/>
        <v>2.5251260768851118</v>
      </c>
      <c r="I156" s="2">
        <f t="shared" si="3"/>
        <v>204.10594079462359</v>
      </c>
      <c r="J156" s="2">
        <f t="shared" si="4"/>
        <v>3.0982212615313927</v>
      </c>
      <c r="K156" s="15">
        <f t="shared" si="23"/>
        <v>0.4059650997150997</v>
      </c>
      <c r="L156" s="2">
        <f t="shared" si="14"/>
        <v>151</v>
      </c>
      <c r="M156" s="2">
        <f t="shared" si="21"/>
        <v>80.58</v>
      </c>
      <c r="N156" s="2">
        <v>13</v>
      </c>
      <c r="O156" s="2">
        <v>50.26548245743669</v>
      </c>
      <c r="P156" s="11">
        <f t="shared" si="5"/>
        <v>2.5862678252432989</v>
      </c>
      <c r="Q156" s="2">
        <f t="shared" si="6"/>
        <v>208.40146135810502</v>
      </c>
      <c r="R156" s="2">
        <f t="shared" si="7"/>
        <v>2.6003374498912204</v>
      </c>
      <c r="S156" s="2">
        <f t="shared" si="8"/>
        <v>209.53519171223454</v>
      </c>
      <c r="T156" s="2">
        <f t="shared" si="9"/>
        <v>1.1337303541295114</v>
      </c>
    </row>
    <row r="157" spans="1:20" x14ac:dyDescent="0.25">
      <c r="A157" s="14">
        <f t="shared" si="22"/>
        <v>0.43831908831908833</v>
      </c>
      <c r="B157" s="2">
        <f t="shared" si="11"/>
        <v>152</v>
      </c>
      <c r="C157" s="4">
        <f t="shared" si="20"/>
        <v>81.33</v>
      </c>
      <c r="D157" s="2">
        <v>12</v>
      </c>
      <c r="E157" s="2">
        <v>50.26548245743669</v>
      </c>
      <c r="F157" s="11">
        <f t="shared" si="0"/>
        <v>2.3873241463784298</v>
      </c>
      <c r="G157" s="2">
        <f t="shared" si="1"/>
        <v>194.1610728249577</v>
      </c>
      <c r="H157" s="2">
        <f t="shared" si="2"/>
        <v>2.5251260768851118</v>
      </c>
      <c r="I157" s="2">
        <f t="shared" si="3"/>
        <v>205.36850383306614</v>
      </c>
      <c r="J157" s="2">
        <f t="shared" si="4"/>
        <v>11.207431008108443</v>
      </c>
      <c r="K157" s="15">
        <f t="shared" si="23"/>
        <v>0.40616096866096868</v>
      </c>
      <c r="L157" s="2">
        <f t="shared" si="14"/>
        <v>152</v>
      </c>
      <c r="M157" s="2">
        <f t="shared" si="21"/>
        <v>81.08</v>
      </c>
      <c r="N157" s="2">
        <v>12</v>
      </c>
      <c r="O157" s="2">
        <v>50.26548245743669</v>
      </c>
      <c r="P157" s="11">
        <f t="shared" si="5"/>
        <v>2.3873241463784298</v>
      </c>
      <c r="Q157" s="2">
        <f t="shared" si="6"/>
        <v>193.56424178836309</v>
      </c>
      <c r="R157" s="2">
        <f t="shared" si="7"/>
        <v>2.6003374498912204</v>
      </c>
      <c r="S157" s="2">
        <f t="shared" si="8"/>
        <v>210.83536043718016</v>
      </c>
      <c r="T157" s="2">
        <f t="shared" si="9"/>
        <v>17.271118648817065</v>
      </c>
    </row>
    <row r="158" spans="1:20" x14ac:dyDescent="0.25">
      <c r="A158" s="14">
        <f t="shared" si="22"/>
        <v>0.43846153846153846</v>
      </c>
      <c r="B158" s="2">
        <f t="shared" si="11"/>
        <v>153</v>
      </c>
      <c r="C158" s="4">
        <f t="shared" si="20"/>
        <v>81.83</v>
      </c>
      <c r="D158" s="2">
        <v>11.5</v>
      </c>
      <c r="E158" s="2">
        <v>50.26548245743669</v>
      </c>
      <c r="F158" s="11">
        <f t="shared" si="0"/>
        <v>2.2878523069459957</v>
      </c>
      <c r="G158" s="2">
        <f t="shared" si="1"/>
        <v>187.21495427739083</v>
      </c>
      <c r="H158" s="2">
        <f t="shared" si="2"/>
        <v>2.5251260768851118</v>
      </c>
      <c r="I158" s="2">
        <f t="shared" si="3"/>
        <v>206.63106687150869</v>
      </c>
      <c r="J158" s="2">
        <f t="shared" si="4"/>
        <v>19.416112594117862</v>
      </c>
      <c r="K158" s="15">
        <f t="shared" si="23"/>
        <v>0.40635683760683761</v>
      </c>
      <c r="L158" s="2">
        <f t="shared" si="14"/>
        <v>153</v>
      </c>
      <c r="M158" s="2">
        <f t="shared" si="21"/>
        <v>81.58</v>
      </c>
      <c r="N158" s="2">
        <v>12</v>
      </c>
      <c r="O158" s="2">
        <v>50.26548245743669</v>
      </c>
      <c r="P158" s="11">
        <f t="shared" si="5"/>
        <v>2.3873241463784298</v>
      </c>
      <c r="Q158" s="2">
        <f t="shared" si="6"/>
        <v>194.75790386155231</v>
      </c>
      <c r="R158" s="2">
        <f t="shared" si="7"/>
        <v>2.6003374498912204</v>
      </c>
      <c r="S158" s="2">
        <f t="shared" si="8"/>
        <v>212.13552916212575</v>
      </c>
      <c r="T158" s="2">
        <f t="shared" si="9"/>
        <v>17.377625300573442</v>
      </c>
    </row>
    <row r="159" spans="1:20" x14ac:dyDescent="0.25">
      <c r="A159" s="14">
        <f t="shared" si="22"/>
        <v>0.43860398860398858</v>
      </c>
      <c r="B159" s="2">
        <f t="shared" si="11"/>
        <v>154</v>
      </c>
      <c r="C159" s="4">
        <f t="shared" si="20"/>
        <v>82.33</v>
      </c>
      <c r="D159" s="2">
        <v>11</v>
      </c>
      <c r="E159" s="2">
        <v>50.26548245743669</v>
      </c>
      <c r="F159" s="11">
        <f t="shared" si="0"/>
        <v>2.1883804675135607</v>
      </c>
      <c r="G159" s="2">
        <f t="shared" si="1"/>
        <v>180.16936389039145</v>
      </c>
      <c r="H159" s="2">
        <f t="shared" si="2"/>
        <v>2.5251260768851118</v>
      </c>
      <c r="I159" s="2">
        <f t="shared" si="3"/>
        <v>207.89362990995124</v>
      </c>
      <c r="J159" s="2">
        <f t="shared" si="4"/>
        <v>27.724266019559792</v>
      </c>
      <c r="K159" s="15">
        <f t="shared" si="23"/>
        <v>0.40655270655270653</v>
      </c>
      <c r="L159" s="2">
        <f t="shared" si="14"/>
        <v>154</v>
      </c>
      <c r="M159" s="2">
        <f t="shared" si="21"/>
        <v>82.08</v>
      </c>
      <c r="N159" s="2">
        <v>11.5</v>
      </c>
      <c r="O159" s="2">
        <v>50.26548245743669</v>
      </c>
      <c r="P159" s="11">
        <f t="shared" si="5"/>
        <v>2.2878523069459957</v>
      </c>
      <c r="Q159" s="2">
        <f t="shared" si="6"/>
        <v>187.78691735412733</v>
      </c>
      <c r="R159" s="2">
        <f t="shared" si="7"/>
        <v>2.6003374498912204</v>
      </c>
      <c r="S159" s="2">
        <f t="shared" si="8"/>
        <v>213.43569788707137</v>
      </c>
      <c r="T159" s="2">
        <f t="shared" si="9"/>
        <v>25.648780532944045</v>
      </c>
    </row>
    <row r="160" spans="1:20" x14ac:dyDescent="0.25">
      <c r="A160" s="14">
        <f t="shared" si="22"/>
        <v>0.43874643874643876</v>
      </c>
      <c r="B160" s="2">
        <f t="shared" si="11"/>
        <v>155</v>
      </c>
      <c r="C160" s="4">
        <f t="shared" si="20"/>
        <v>82.83</v>
      </c>
      <c r="D160" s="2">
        <v>9.5</v>
      </c>
      <c r="E160" s="2">
        <v>50.26548245743669</v>
      </c>
      <c r="F160" s="11">
        <f t="shared" si="0"/>
        <v>1.8899649492162571</v>
      </c>
      <c r="G160" s="2">
        <f t="shared" si="1"/>
        <v>156.54579674358257</v>
      </c>
      <c r="H160" s="2">
        <f t="shared" si="2"/>
        <v>2.5251260768851118</v>
      </c>
      <c r="I160" s="2">
        <f t="shared" si="3"/>
        <v>209.15619294839379</v>
      </c>
      <c r="J160" s="2">
        <f t="shared" si="4"/>
        <v>52.610396204811224</v>
      </c>
      <c r="K160" s="15">
        <f t="shared" si="23"/>
        <v>0.40674857549857552</v>
      </c>
      <c r="L160" s="2">
        <f t="shared" si="14"/>
        <v>155</v>
      </c>
      <c r="M160" s="2">
        <f t="shared" si="21"/>
        <v>82.58</v>
      </c>
      <c r="N160" s="2">
        <v>10.5</v>
      </c>
      <c r="O160" s="2">
        <v>50.26548245743669</v>
      </c>
      <c r="P160" s="11">
        <f t="shared" si="5"/>
        <v>2.0889086280811267</v>
      </c>
      <c r="Q160" s="2">
        <f t="shared" si="6"/>
        <v>172.50207450693944</v>
      </c>
      <c r="R160" s="2">
        <f t="shared" si="7"/>
        <v>2.6003374498912204</v>
      </c>
      <c r="S160" s="2">
        <f t="shared" si="8"/>
        <v>214.73586661201696</v>
      </c>
      <c r="T160" s="2">
        <f t="shared" si="9"/>
        <v>42.233792105077526</v>
      </c>
    </row>
    <row r="161" spans="1:20" x14ac:dyDescent="0.25">
      <c r="A161" s="10">
        <v>0.43888888888888888</v>
      </c>
      <c r="B161" s="2">
        <f t="shared" si="11"/>
        <v>156</v>
      </c>
      <c r="C161" s="4">
        <f t="shared" si="20"/>
        <v>83.33</v>
      </c>
      <c r="D161" s="2">
        <v>9.5</v>
      </c>
      <c r="E161" s="2">
        <v>50.26548245743669</v>
      </c>
      <c r="F161" s="11">
        <f t="shared" si="0"/>
        <v>1.8899649492162571</v>
      </c>
      <c r="G161" s="2">
        <f t="shared" si="1"/>
        <v>157.49077921819071</v>
      </c>
      <c r="H161" s="2">
        <f t="shared" si="2"/>
        <v>2.5251260768851118</v>
      </c>
      <c r="I161" s="2">
        <f t="shared" si="3"/>
        <v>210.41875598683637</v>
      </c>
      <c r="J161" s="2">
        <f t="shared" si="4"/>
        <v>52.927976768645664</v>
      </c>
      <c r="K161" s="12">
        <v>0.40694444444444444</v>
      </c>
      <c r="L161" s="2">
        <f t="shared" si="14"/>
        <v>156</v>
      </c>
      <c r="M161" s="2">
        <f t="shared" si="21"/>
        <v>83.08</v>
      </c>
      <c r="N161" s="2">
        <v>9</v>
      </c>
      <c r="O161" s="2">
        <v>50.26548245743669</v>
      </c>
      <c r="P161" s="11">
        <f t="shared" si="5"/>
        <v>1.7904931097838226</v>
      </c>
      <c r="Q161" s="2">
        <f t="shared" si="6"/>
        <v>148.75416756083999</v>
      </c>
      <c r="R161" s="2">
        <f t="shared" si="7"/>
        <v>2.6003374498912204</v>
      </c>
      <c r="S161" s="2">
        <f t="shared" si="8"/>
        <v>216.03603533696258</v>
      </c>
      <c r="T161" s="2">
        <f t="shared" si="9"/>
        <v>67.281867776122596</v>
      </c>
    </row>
    <row r="162" spans="1:20" x14ac:dyDescent="0.25">
      <c r="A162" s="10">
        <v>0.43888888888888888</v>
      </c>
      <c r="B162" s="2">
        <f t="shared" si="11"/>
        <v>157</v>
      </c>
      <c r="C162" s="4">
        <f t="shared" si="20"/>
        <v>83.83</v>
      </c>
      <c r="D162" s="2">
        <v>7.5</v>
      </c>
      <c r="E162" s="2">
        <v>50.26548245743669</v>
      </c>
      <c r="F162" s="11">
        <f t="shared" si="0"/>
        <v>1.492077591486519</v>
      </c>
      <c r="G162" s="2">
        <f t="shared" si="1"/>
        <v>125.08086449431488</v>
      </c>
      <c r="H162" s="2">
        <f t="shared" si="2"/>
        <v>2.5251260768851118</v>
      </c>
      <c r="I162" s="2">
        <f t="shared" si="3"/>
        <v>211.68131902527892</v>
      </c>
      <c r="J162" s="2">
        <f t="shared" si="4"/>
        <v>86.600454530964043</v>
      </c>
      <c r="K162" s="12">
        <v>0.40694444444444444</v>
      </c>
      <c r="L162" s="2">
        <f t="shared" si="14"/>
        <v>157</v>
      </c>
      <c r="M162" s="2">
        <f t="shared" si="21"/>
        <v>83.58</v>
      </c>
      <c r="N162" s="2">
        <v>7.5</v>
      </c>
      <c r="O162" s="2">
        <v>50.26548245743669</v>
      </c>
      <c r="P162" s="11">
        <f t="shared" si="5"/>
        <v>1.492077591486519</v>
      </c>
      <c r="Q162" s="2">
        <f t="shared" si="6"/>
        <v>124.70784509644325</v>
      </c>
      <c r="R162" s="2">
        <f t="shared" si="7"/>
        <v>2.6003374498912204</v>
      </c>
      <c r="S162" s="2">
        <f t="shared" si="8"/>
        <v>217.33620406190821</v>
      </c>
      <c r="T162" s="2">
        <f t="shared" si="9"/>
        <v>92.628358965464955</v>
      </c>
    </row>
    <row r="163" spans="1:20" x14ac:dyDescent="0.25">
      <c r="C163" s="4"/>
      <c r="F163" s="11"/>
      <c r="K163" s="12"/>
      <c r="P163" s="11"/>
    </row>
    <row r="164" spans="1:20" x14ac:dyDescent="0.25">
      <c r="C164" s="4"/>
      <c r="F164" s="11"/>
      <c r="K164" s="25"/>
      <c r="P164" s="11"/>
    </row>
    <row r="165" spans="1:20" x14ac:dyDescent="0.25">
      <c r="C165" s="4"/>
      <c r="F165" s="11"/>
      <c r="K165" s="25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29">
    <mergeCell ref="V23:X23"/>
    <mergeCell ref="V24:X24"/>
    <mergeCell ref="V25:X25"/>
    <mergeCell ref="V26:X26"/>
    <mergeCell ref="V11:W11"/>
    <mergeCell ref="V12:W12"/>
    <mergeCell ref="V13:W13"/>
    <mergeCell ref="V14:W14"/>
    <mergeCell ref="V15:W15"/>
    <mergeCell ref="V16:W16"/>
    <mergeCell ref="V17:W17"/>
    <mergeCell ref="V10:W10"/>
    <mergeCell ref="V18:W18"/>
    <mergeCell ref="V19:X19"/>
    <mergeCell ref="W20:X20"/>
    <mergeCell ref="V21:W21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E4:F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174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17197.311310638954</v>
      </c>
      <c r="G2" s="4">
        <f>SUM(C6:C174)</f>
        <v>6934.3099999999931</v>
      </c>
      <c r="H2" s="2">
        <f>F2/G2</f>
        <v>2.4800320883604816</v>
      </c>
      <c r="I2" s="2">
        <f>SUM(J6:J174)</f>
        <v>1946.5113580341515</v>
      </c>
      <c r="J2" s="2">
        <f>(1-(I2/(F2)))*100</f>
        <v>88.681304170902806</v>
      </c>
      <c r="K2" s="1"/>
      <c r="L2" s="1"/>
      <c r="M2" s="1"/>
      <c r="N2" s="1"/>
      <c r="O2" s="1"/>
      <c r="P2" s="2">
        <f>SUM(Q6:Q174)</f>
        <v>17227.661561455545</v>
      </c>
      <c r="Q2" s="2">
        <f>SUM(M6:M174)</f>
        <v>6895.0599999999931</v>
      </c>
      <c r="R2" s="2">
        <f>P2/Q2</f>
        <v>2.4985513630708889</v>
      </c>
      <c r="S2" s="2">
        <f>SUM(T6:T174)</f>
        <v>1941.1589269650212</v>
      </c>
      <c r="T2" s="2">
        <f>(1-(S2/(P2)))*100</f>
        <v>88.732313320409716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48" t="s">
        <v>62</v>
      </c>
      <c r="F4" s="32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48" t="s">
        <v>62</v>
      </c>
      <c r="P4" s="32"/>
      <c r="V4" s="34" t="s">
        <v>12</v>
      </c>
      <c r="W4" s="36"/>
      <c r="X4" s="6" t="s">
        <v>62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45785</v>
      </c>
    </row>
    <row r="6" spans="1:24" x14ac:dyDescent="0.25">
      <c r="A6" s="10">
        <v>0.58958333333333335</v>
      </c>
      <c r="B6" s="2">
        <v>1</v>
      </c>
      <c r="C6" s="4">
        <v>4.83</v>
      </c>
      <c r="D6" s="2">
        <v>4</v>
      </c>
      <c r="E6" s="2">
        <v>50.26548245743669</v>
      </c>
      <c r="F6" s="11">
        <f t="shared" ref="F6:F162" si="0">(D6/E6)*10</f>
        <v>0.79577471545947676</v>
      </c>
      <c r="G6" s="2">
        <f t="shared" ref="G6:G162" si="1">F6*C6</f>
        <v>3.8435918756692726</v>
      </c>
      <c r="H6" s="2">
        <f t="shared" ref="H6:H162" si="2">$H$2</f>
        <v>2.4800320883604816</v>
      </c>
      <c r="I6" s="2">
        <f t="shared" ref="I6:I162" si="3">H6*C6</f>
        <v>11.978554986781127</v>
      </c>
      <c r="J6" s="2">
        <f t="shared" ref="J6:J162" si="4">ABS(G6-I6)</f>
        <v>8.1349631111118548</v>
      </c>
      <c r="K6" s="12">
        <v>0.55555555555555558</v>
      </c>
      <c r="L6" s="2">
        <v>1</v>
      </c>
      <c r="M6" s="2">
        <v>4.58</v>
      </c>
      <c r="N6" s="2">
        <v>2.5</v>
      </c>
      <c r="O6" s="2">
        <v>50.26548245743669</v>
      </c>
      <c r="P6" s="11">
        <f t="shared" ref="P6:P162" si="5">(N6/O6)*10</f>
        <v>0.49735919716217297</v>
      </c>
      <c r="Q6" s="2">
        <f t="shared" ref="Q6:Q162" si="6">P6*M6</f>
        <v>2.2779051230027521</v>
      </c>
      <c r="R6" s="2">
        <f t="shared" ref="R6:R162" si="7">$R$2</f>
        <v>2.4985513630708889</v>
      </c>
      <c r="S6" s="2">
        <f t="shared" ref="S6:S162" si="8">R6*M6</f>
        <v>11.443365242864671</v>
      </c>
      <c r="T6" s="2">
        <f t="shared" ref="T6:T162" si="9">ABS(Q6-S6)</f>
        <v>9.165460119861919</v>
      </c>
      <c r="V6" s="37" t="s">
        <v>23</v>
      </c>
      <c r="W6" s="36"/>
      <c r="X6" s="13" t="s">
        <v>63</v>
      </c>
    </row>
    <row r="7" spans="1:24" x14ac:dyDescent="0.25">
      <c r="A7" s="14">
        <f t="shared" ref="A7:A43" si="10">IF(AND($A$6&lt;&gt;"",$A$44&lt;&gt;""), $A$6 + (B7 - $B$6) * (($A$44 - $A$6) / ($B$44 - $B$6)), "")</f>
        <v>0.58974780701754392</v>
      </c>
      <c r="B7" s="2">
        <f t="shared" ref="B7:B162" si="11">B6+1</f>
        <v>2</v>
      </c>
      <c r="C7" s="4">
        <f t="shared" ref="C7:C109" si="12">C6+0.5</f>
        <v>5.33</v>
      </c>
      <c r="D7" s="2">
        <v>6</v>
      </c>
      <c r="E7" s="2">
        <v>50.26548245743669</v>
      </c>
      <c r="F7" s="11">
        <f t="shared" si="0"/>
        <v>1.1936620731892149</v>
      </c>
      <c r="G7" s="2">
        <f t="shared" si="1"/>
        <v>6.3622188500985155</v>
      </c>
      <c r="H7" s="2">
        <f t="shared" si="2"/>
        <v>2.4800320883604816</v>
      </c>
      <c r="I7" s="2">
        <f t="shared" si="3"/>
        <v>13.218571030961368</v>
      </c>
      <c r="J7" s="2">
        <f t="shared" si="4"/>
        <v>6.856352180862852</v>
      </c>
      <c r="K7" s="15">
        <f t="shared" ref="K7:K43" si="13">IF(AND($K$6&lt;&gt;"",$K$44&lt;&gt;""), $K$6 + (L7 - $L$6) * (($K$44 - $K$6) / ($L$44 - $L$6)), "")</f>
        <v>0.55572002923976616</v>
      </c>
      <c r="L7" s="2">
        <f t="shared" ref="L7:L162" si="14">L6+1</f>
        <v>2</v>
      </c>
      <c r="M7" s="2">
        <f t="shared" ref="M7:M109" si="15">M6+0.5</f>
        <v>5.08</v>
      </c>
      <c r="N7" s="2">
        <v>4.5</v>
      </c>
      <c r="O7" s="2">
        <v>50.26548245743669</v>
      </c>
      <c r="P7" s="11">
        <f t="shared" si="5"/>
        <v>0.89524655489191129</v>
      </c>
      <c r="Q7" s="2">
        <f t="shared" si="6"/>
        <v>4.5478524988509097</v>
      </c>
      <c r="R7" s="2">
        <f t="shared" si="7"/>
        <v>2.4985513630708889</v>
      </c>
      <c r="S7" s="2">
        <f t="shared" si="8"/>
        <v>12.692640924400116</v>
      </c>
      <c r="T7" s="2">
        <f t="shared" si="9"/>
        <v>8.1447884255492067</v>
      </c>
      <c r="V7" s="37" t="s">
        <v>24</v>
      </c>
      <c r="W7" s="36"/>
      <c r="X7" s="6" t="s">
        <v>64</v>
      </c>
    </row>
    <row r="8" spans="1:24" x14ac:dyDescent="0.25">
      <c r="A8" s="14">
        <f t="shared" si="10"/>
        <v>0.58991228070175439</v>
      </c>
      <c r="B8" s="2">
        <f t="shared" si="11"/>
        <v>3</v>
      </c>
      <c r="C8" s="4">
        <f t="shared" si="12"/>
        <v>5.83</v>
      </c>
      <c r="D8" s="2">
        <v>8</v>
      </c>
      <c r="E8" s="2">
        <v>50.26548245743669</v>
      </c>
      <c r="F8" s="11">
        <f t="shared" si="0"/>
        <v>1.5915494309189535</v>
      </c>
      <c r="G8" s="2">
        <f t="shared" si="1"/>
        <v>9.2787331822574988</v>
      </c>
      <c r="H8" s="2">
        <f t="shared" si="2"/>
        <v>2.4800320883604816</v>
      </c>
      <c r="I8" s="2">
        <f t="shared" si="3"/>
        <v>14.458587075141608</v>
      </c>
      <c r="J8" s="2">
        <f t="shared" si="4"/>
        <v>5.1798538928841094</v>
      </c>
      <c r="K8" s="15">
        <f t="shared" si="13"/>
        <v>0.55588450292397662</v>
      </c>
      <c r="L8" s="2">
        <f t="shared" si="14"/>
        <v>3</v>
      </c>
      <c r="M8" s="2">
        <f t="shared" si="15"/>
        <v>5.58</v>
      </c>
      <c r="N8" s="2">
        <v>7.5</v>
      </c>
      <c r="O8" s="2">
        <v>50.26548245743669</v>
      </c>
      <c r="P8" s="11">
        <f t="shared" si="5"/>
        <v>1.492077591486519</v>
      </c>
      <c r="Q8" s="2">
        <f t="shared" si="6"/>
        <v>8.3257929604947751</v>
      </c>
      <c r="R8" s="2">
        <f t="shared" si="7"/>
        <v>2.4985513630708889</v>
      </c>
      <c r="S8" s="2">
        <f t="shared" si="8"/>
        <v>13.94191660593556</v>
      </c>
      <c r="T8" s="2">
        <f t="shared" si="9"/>
        <v>5.6161236454407852</v>
      </c>
      <c r="V8" s="34" t="s">
        <v>25</v>
      </c>
      <c r="W8" s="35"/>
      <c r="X8" s="36"/>
    </row>
    <row r="9" spans="1:24" x14ac:dyDescent="0.25">
      <c r="A9" s="14">
        <f t="shared" si="10"/>
        <v>0.59007675438596496</v>
      </c>
      <c r="B9" s="2">
        <f t="shared" si="11"/>
        <v>4</v>
      </c>
      <c r="C9" s="4">
        <f t="shared" si="12"/>
        <v>6.33</v>
      </c>
      <c r="D9" s="2">
        <v>9</v>
      </c>
      <c r="E9" s="2">
        <v>50.26548245743669</v>
      </c>
      <c r="F9" s="11">
        <f t="shared" si="0"/>
        <v>1.7904931097838226</v>
      </c>
      <c r="G9" s="2">
        <f t="shared" si="1"/>
        <v>11.333821384931596</v>
      </c>
      <c r="H9" s="2">
        <f t="shared" si="2"/>
        <v>2.4800320883604816</v>
      </c>
      <c r="I9" s="2">
        <f t="shared" si="3"/>
        <v>15.698603119321849</v>
      </c>
      <c r="J9" s="2">
        <f t="shared" si="4"/>
        <v>4.3647817343902524</v>
      </c>
      <c r="K9" s="15">
        <f t="shared" si="13"/>
        <v>0.5560489766081872</v>
      </c>
      <c r="L9" s="2">
        <f t="shared" si="14"/>
        <v>4</v>
      </c>
      <c r="M9" s="2">
        <f t="shared" si="15"/>
        <v>6.08</v>
      </c>
      <c r="N9" s="2">
        <v>7.5</v>
      </c>
      <c r="O9" s="2">
        <v>50.26548245743669</v>
      </c>
      <c r="P9" s="11">
        <f t="shared" si="5"/>
        <v>1.492077591486519</v>
      </c>
      <c r="Q9" s="2">
        <f t="shared" si="6"/>
        <v>9.0718317562380353</v>
      </c>
      <c r="R9" s="2">
        <f t="shared" si="7"/>
        <v>2.4985513630708889</v>
      </c>
      <c r="S9" s="2">
        <f t="shared" si="8"/>
        <v>15.191192287471004</v>
      </c>
      <c r="T9" s="2">
        <f t="shared" si="9"/>
        <v>6.1193605312329691</v>
      </c>
      <c r="V9" s="34" t="s">
        <v>26</v>
      </c>
      <c r="W9" s="36"/>
      <c r="X9" s="16">
        <v>0.52222222222222225</v>
      </c>
    </row>
    <row r="10" spans="1:24" x14ac:dyDescent="0.25">
      <c r="A10" s="14">
        <f t="shared" si="10"/>
        <v>0.59024122807017543</v>
      </c>
      <c r="B10" s="2">
        <f t="shared" si="11"/>
        <v>5</v>
      </c>
      <c r="C10" s="4">
        <f t="shared" si="12"/>
        <v>6.83</v>
      </c>
      <c r="D10" s="2">
        <v>10.5</v>
      </c>
      <c r="E10" s="2">
        <v>50.26548245743669</v>
      </c>
      <c r="F10" s="11">
        <f t="shared" si="0"/>
        <v>2.0889086280811267</v>
      </c>
      <c r="G10" s="2">
        <f t="shared" si="1"/>
        <v>14.267245929794095</v>
      </c>
      <c r="H10" s="2">
        <f t="shared" si="2"/>
        <v>2.4800320883604816</v>
      </c>
      <c r="I10" s="2">
        <f t="shared" si="3"/>
        <v>16.938619163502089</v>
      </c>
      <c r="J10" s="2">
        <f t="shared" si="4"/>
        <v>2.6713732337079943</v>
      </c>
      <c r="K10" s="15">
        <f t="shared" si="13"/>
        <v>0.55621345029239766</v>
      </c>
      <c r="L10" s="2">
        <f t="shared" si="14"/>
        <v>5</v>
      </c>
      <c r="M10" s="2">
        <f t="shared" si="15"/>
        <v>6.58</v>
      </c>
      <c r="N10" s="2">
        <v>10</v>
      </c>
      <c r="O10" s="2">
        <v>50.26548245743669</v>
      </c>
      <c r="P10" s="11">
        <f t="shared" si="5"/>
        <v>1.9894367886486919</v>
      </c>
      <c r="Q10" s="2">
        <f t="shared" si="6"/>
        <v>13.090494069308393</v>
      </c>
      <c r="R10" s="2">
        <f t="shared" si="7"/>
        <v>2.4985513630708889</v>
      </c>
      <c r="S10" s="2">
        <f t="shared" si="8"/>
        <v>16.440467969006448</v>
      </c>
      <c r="T10" s="2">
        <f t="shared" si="9"/>
        <v>3.349973899698055</v>
      </c>
      <c r="V10" s="34" t="s">
        <v>27</v>
      </c>
      <c r="W10" s="36"/>
      <c r="X10" s="6">
        <v>50</v>
      </c>
    </row>
    <row r="11" spans="1:24" x14ac:dyDescent="0.25">
      <c r="A11" s="14">
        <f t="shared" si="10"/>
        <v>0.590405701754386</v>
      </c>
      <c r="B11" s="2">
        <f t="shared" si="11"/>
        <v>6</v>
      </c>
      <c r="C11" s="4">
        <f t="shared" si="12"/>
        <v>7.33</v>
      </c>
      <c r="D11" s="2">
        <v>14</v>
      </c>
      <c r="E11" s="2">
        <v>50.26548245743669</v>
      </c>
      <c r="F11" s="11">
        <f t="shared" si="0"/>
        <v>2.7852115041081689</v>
      </c>
      <c r="G11" s="2">
        <f t="shared" si="1"/>
        <v>20.415600325112877</v>
      </c>
      <c r="H11" s="2">
        <f t="shared" si="2"/>
        <v>2.4800320883604816</v>
      </c>
      <c r="I11" s="2">
        <f t="shared" si="3"/>
        <v>18.17863520768233</v>
      </c>
      <c r="J11" s="2">
        <f t="shared" si="4"/>
        <v>2.2369651174305467</v>
      </c>
      <c r="K11" s="15">
        <f t="shared" si="13"/>
        <v>0.55637792397660824</v>
      </c>
      <c r="L11" s="2">
        <f t="shared" si="14"/>
        <v>6</v>
      </c>
      <c r="M11" s="2">
        <f t="shared" si="15"/>
        <v>7.08</v>
      </c>
      <c r="N11" s="2">
        <v>12</v>
      </c>
      <c r="O11" s="2">
        <v>50.26548245743669</v>
      </c>
      <c r="P11" s="11">
        <f t="shared" si="5"/>
        <v>2.3873241463784298</v>
      </c>
      <c r="Q11" s="2">
        <f t="shared" si="6"/>
        <v>16.902254956359283</v>
      </c>
      <c r="R11" s="2">
        <f t="shared" si="7"/>
        <v>2.4985513630708889</v>
      </c>
      <c r="S11" s="2">
        <f t="shared" si="8"/>
        <v>17.689743650541892</v>
      </c>
      <c r="T11" s="2">
        <f t="shared" si="9"/>
        <v>0.78748869418260981</v>
      </c>
      <c r="V11" s="34" t="s">
        <v>28</v>
      </c>
      <c r="W11" s="36"/>
      <c r="X11" s="6">
        <v>50</v>
      </c>
    </row>
    <row r="12" spans="1:24" x14ac:dyDescent="0.25">
      <c r="A12" s="14">
        <f t="shared" si="10"/>
        <v>0.59057017543859647</v>
      </c>
      <c r="B12" s="2">
        <f t="shared" si="11"/>
        <v>7</v>
      </c>
      <c r="C12" s="4">
        <f t="shared" si="12"/>
        <v>7.83</v>
      </c>
      <c r="D12" s="23">
        <v>19.5</v>
      </c>
      <c r="E12" s="2">
        <v>50.26548245743669</v>
      </c>
      <c r="F12" s="11">
        <f t="shared" si="0"/>
        <v>3.8794017378649488</v>
      </c>
      <c r="G12" s="2">
        <f t="shared" si="1"/>
        <v>30.375715607482551</v>
      </c>
      <c r="H12" s="2">
        <f t="shared" si="2"/>
        <v>2.4800320883604816</v>
      </c>
      <c r="I12" s="2">
        <f t="shared" si="3"/>
        <v>19.41865125186257</v>
      </c>
      <c r="J12" s="2">
        <f t="shared" si="4"/>
        <v>10.95706435561998</v>
      </c>
      <c r="K12" s="15">
        <f t="shared" si="13"/>
        <v>0.5565423976608187</v>
      </c>
      <c r="L12" s="2">
        <f t="shared" si="14"/>
        <v>7</v>
      </c>
      <c r="M12" s="2">
        <f t="shared" si="15"/>
        <v>7.58</v>
      </c>
      <c r="N12" s="23">
        <v>14.5</v>
      </c>
      <c r="O12" s="2">
        <v>50.26548245743669</v>
      </c>
      <c r="P12" s="11">
        <f t="shared" si="5"/>
        <v>2.8846833435406034</v>
      </c>
      <c r="Q12" s="2">
        <f t="shared" si="6"/>
        <v>21.865899744037772</v>
      </c>
      <c r="R12" s="2">
        <f t="shared" si="7"/>
        <v>2.4985513630708889</v>
      </c>
      <c r="S12" s="2">
        <f t="shared" si="8"/>
        <v>18.939019332077336</v>
      </c>
      <c r="T12" s="2">
        <f t="shared" si="9"/>
        <v>2.9268804119604361</v>
      </c>
      <c r="V12" s="34" t="s">
        <v>29</v>
      </c>
      <c r="W12" s="36"/>
      <c r="X12" s="6">
        <v>50</v>
      </c>
    </row>
    <row r="13" spans="1:24" x14ac:dyDescent="0.25">
      <c r="A13" s="14">
        <f t="shared" si="10"/>
        <v>0.59073464912280704</v>
      </c>
      <c r="B13" s="2">
        <f t="shared" si="11"/>
        <v>8</v>
      </c>
      <c r="C13" s="4">
        <f t="shared" si="12"/>
        <v>8.33</v>
      </c>
      <c r="D13" s="2">
        <v>15.5</v>
      </c>
      <c r="E13" s="2">
        <v>50.26548245743669</v>
      </c>
      <c r="F13" s="11">
        <f t="shared" si="0"/>
        <v>3.0836270224054725</v>
      </c>
      <c r="G13" s="2">
        <f t="shared" si="1"/>
        <v>25.686613096637586</v>
      </c>
      <c r="H13" s="2">
        <f t="shared" si="2"/>
        <v>2.4800320883604816</v>
      </c>
      <c r="I13" s="2">
        <f t="shared" si="3"/>
        <v>20.658667296042811</v>
      </c>
      <c r="J13" s="2">
        <f t="shared" si="4"/>
        <v>5.0279458005947752</v>
      </c>
      <c r="K13" s="15">
        <f t="shared" si="13"/>
        <v>0.55670687134502927</v>
      </c>
      <c r="L13" s="2">
        <f t="shared" si="14"/>
        <v>8</v>
      </c>
      <c r="M13" s="2">
        <f t="shared" si="15"/>
        <v>8.08</v>
      </c>
      <c r="N13" s="2">
        <v>15.5</v>
      </c>
      <c r="O13" s="2">
        <v>50.26548245743669</v>
      </c>
      <c r="P13" s="11">
        <f t="shared" si="5"/>
        <v>3.0836270224054725</v>
      </c>
      <c r="Q13" s="2">
        <f t="shared" si="6"/>
        <v>24.915706341036216</v>
      </c>
      <c r="R13" s="2">
        <f t="shared" si="7"/>
        <v>2.4985513630708889</v>
      </c>
      <c r="S13" s="2">
        <f t="shared" si="8"/>
        <v>20.188295013612784</v>
      </c>
      <c r="T13" s="2">
        <f t="shared" si="9"/>
        <v>4.7274113274234324</v>
      </c>
      <c r="V13" s="34" t="s">
        <v>30</v>
      </c>
      <c r="W13" s="36"/>
      <c r="X13" s="16">
        <v>0.6333333333333333</v>
      </c>
    </row>
    <row r="14" spans="1:24" x14ac:dyDescent="0.25">
      <c r="A14" s="14">
        <f t="shared" si="10"/>
        <v>0.59089912280701751</v>
      </c>
      <c r="B14" s="2">
        <f t="shared" si="11"/>
        <v>9</v>
      </c>
      <c r="C14" s="4">
        <f t="shared" si="12"/>
        <v>8.83</v>
      </c>
      <c r="D14" s="2">
        <v>17</v>
      </c>
      <c r="E14" s="2">
        <v>50.26548245743669</v>
      </c>
      <c r="F14" s="11">
        <f t="shared" si="0"/>
        <v>3.3820425407027761</v>
      </c>
      <c r="G14" s="2">
        <f t="shared" si="1"/>
        <v>29.863435634405512</v>
      </c>
      <c r="H14" s="2">
        <f t="shared" si="2"/>
        <v>2.4800320883604816</v>
      </c>
      <c r="I14" s="2">
        <f t="shared" si="3"/>
        <v>21.898683340223052</v>
      </c>
      <c r="J14" s="2">
        <f t="shared" si="4"/>
        <v>7.9647522941824604</v>
      </c>
      <c r="K14" s="15">
        <f t="shared" si="13"/>
        <v>0.55687134502923974</v>
      </c>
      <c r="L14" s="2">
        <f t="shared" si="14"/>
        <v>9</v>
      </c>
      <c r="M14" s="2">
        <f t="shared" si="15"/>
        <v>8.58</v>
      </c>
      <c r="N14" s="2">
        <v>16</v>
      </c>
      <c r="O14" s="2">
        <v>50.26548245743669</v>
      </c>
      <c r="P14" s="11">
        <f t="shared" si="5"/>
        <v>3.183098861837907</v>
      </c>
      <c r="Q14" s="2">
        <f t="shared" si="6"/>
        <v>27.310988234569244</v>
      </c>
      <c r="R14" s="2">
        <f t="shared" si="7"/>
        <v>2.4985513630708889</v>
      </c>
      <c r="S14" s="2">
        <f t="shared" si="8"/>
        <v>21.437570695148228</v>
      </c>
      <c r="T14" s="2">
        <f t="shared" si="9"/>
        <v>5.8734175394210162</v>
      </c>
      <c r="V14" s="34" t="s">
        <v>31</v>
      </c>
      <c r="W14" s="36"/>
      <c r="X14" s="6">
        <v>47</v>
      </c>
    </row>
    <row r="15" spans="1:24" x14ac:dyDescent="0.25">
      <c r="A15" s="14">
        <f t="shared" si="10"/>
        <v>0.59106359649122808</v>
      </c>
      <c r="B15" s="2">
        <f t="shared" si="11"/>
        <v>10</v>
      </c>
      <c r="C15" s="4">
        <f t="shared" si="12"/>
        <v>9.33</v>
      </c>
      <c r="D15" s="2">
        <v>18.5</v>
      </c>
      <c r="E15" s="2">
        <v>50.26548245743669</v>
      </c>
      <c r="F15" s="11">
        <f t="shared" si="0"/>
        <v>3.6804580590000797</v>
      </c>
      <c r="G15" s="2">
        <f t="shared" si="1"/>
        <v>34.338673690470742</v>
      </c>
      <c r="H15" s="2">
        <f t="shared" si="2"/>
        <v>2.4800320883604816</v>
      </c>
      <c r="I15" s="2">
        <f t="shared" si="3"/>
        <v>23.138699384403292</v>
      </c>
      <c r="J15" s="2">
        <f t="shared" si="4"/>
        <v>11.19997430606745</v>
      </c>
      <c r="K15" s="15">
        <f t="shared" si="13"/>
        <v>0.55703581871345031</v>
      </c>
      <c r="L15" s="2">
        <f t="shared" si="14"/>
        <v>10</v>
      </c>
      <c r="M15" s="2">
        <f t="shared" si="15"/>
        <v>9.08</v>
      </c>
      <c r="N15" s="2">
        <v>17</v>
      </c>
      <c r="O15" s="2">
        <v>50.26548245743669</v>
      </c>
      <c r="P15" s="11">
        <f t="shared" si="5"/>
        <v>3.3820425407027761</v>
      </c>
      <c r="Q15" s="2">
        <f t="shared" si="6"/>
        <v>30.708946269581208</v>
      </c>
      <c r="R15" s="2">
        <f t="shared" si="7"/>
        <v>2.4985513630708889</v>
      </c>
      <c r="S15" s="2">
        <f t="shared" si="8"/>
        <v>22.686846376683672</v>
      </c>
      <c r="T15" s="2">
        <f t="shared" si="9"/>
        <v>8.0220998928975362</v>
      </c>
      <c r="V15" s="34" t="s">
        <v>32</v>
      </c>
      <c r="W15" s="36"/>
      <c r="X15" s="6">
        <v>47</v>
      </c>
    </row>
    <row r="16" spans="1:24" x14ac:dyDescent="0.25">
      <c r="A16" s="14">
        <f t="shared" si="10"/>
        <v>0.59122807017543866</v>
      </c>
      <c r="B16" s="2">
        <f t="shared" si="11"/>
        <v>11</v>
      </c>
      <c r="C16" s="4">
        <f t="shared" si="12"/>
        <v>9.83</v>
      </c>
      <c r="D16" s="2">
        <v>23</v>
      </c>
      <c r="E16" s="2">
        <v>50.26548245743669</v>
      </c>
      <c r="F16" s="11">
        <f t="shared" si="0"/>
        <v>4.5757046138919915</v>
      </c>
      <c r="G16" s="2">
        <f t="shared" si="1"/>
        <v>44.979176354558277</v>
      </c>
      <c r="H16" s="2">
        <f t="shared" si="2"/>
        <v>2.4800320883604816</v>
      </c>
      <c r="I16" s="2">
        <f t="shared" si="3"/>
        <v>24.378715428583533</v>
      </c>
      <c r="J16" s="2">
        <f t="shared" si="4"/>
        <v>20.600460925974744</v>
      </c>
      <c r="K16" s="15">
        <f t="shared" si="13"/>
        <v>0.55720029239766089</v>
      </c>
      <c r="L16" s="2">
        <f t="shared" si="14"/>
        <v>11</v>
      </c>
      <c r="M16" s="2">
        <f t="shared" si="15"/>
        <v>9.58</v>
      </c>
      <c r="N16" s="2">
        <v>20</v>
      </c>
      <c r="O16" s="2">
        <v>50.26548245743669</v>
      </c>
      <c r="P16" s="11">
        <f t="shared" si="5"/>
        <v>3.9788735772973838</v>
      </c>
      <c r="Q16" s="2">
        <f t="shared" si="6"/>
        <v>38.117608870508938</v>
      </c>
      <c r="R16" s="2">
        <f t="shared" si="7"/>
        <v>2.4985513630708889</v>
      </c>
      <c r="S16" s="2">
        <f t="shared" si="8"/>
        <v>23.936122058219116</v>
      </c>
      <c r="T16" s="2">
        <f t="shared" si="9"/>
        <v>14.181486812289823</v>
      </c>
      <c r="V16" s="34" t="s">
        <v>33</v>
      </c>
      <c r="W16" s="36"/>
      <c r="X16" s="6">
        <v>48</v>
      </c>
    </row>
    <row r="17" spans="1:24" x14ac:dyDescent="0.25">
      <c r="A17" s="14">
        <f t="shared" si="10"/>
        <v>0.59139254385964912</v>
      </c>
      <c r="B17" s="2">
        <f t="shared" si="11"/>
        <v>12</v>
      </c>
      <c r="C17" s="4">
        <f t="shared" si="12"/>
        <v>10.33</v>
      </c>
      <c r="D17" s="2">
        <v>21</v>
      </c>
      <c r="E17" s="2">
        <v>50.26548245743669</v>
      </c>
      <c r="F17" s="11">
        <f t="shared" si="0"/>
        <v>4.1778172561622533</v>
      </c>
      <c r="G17" s="2">
        <f t="shared" si="1"/>
        <v>43.156852256156078</v>
      </c>
      <c r="H17" s="2">
        <f t="shared" si="2"/>
        <v>2.4800320883604816</v>
      </c>
      <c r="I17" s="2">
        <f t="shared" si="3"/>
        <v>25.618731472763777</v>
      </c>
      <c r="J17" s="2">
        <f t="shared" si="4"/>
        <v>17.538120783392301</v>
      </c>
      <c r="K17" s="15">
        <f t="shared" si="13"/>
        <v>0.55736476608187135</v>
      </c>
      <c r="L17" s="2">
        <f t="shared" si="14"/>
        <v>12</v>
      </c>
      <c r="M17" s="2">
        <f t="shared" si="15"/>
        <v>10.08</v>
      </c>
      <c r="N17" s="2">
        <v>21.9</v>
      </c>
      <c r="O17" s="2">
        <v>50.26548245743669</v>
      </c>
      <c r="P17" s="11">
        <f t="shared" si="5"/>
        <v>4.356866567140635</v>
      </c>
      <c r="Q17" s="2">
        <f t="shared" si="6"/>
        <v>43.917214996777602</v>
      </c>
      <c r="R17" s="2">
        <f t="shared" si="7"/>
        <v>2.4985513630708889</v>
      </c>
      <c r="S17" s="2">
        <f t="shared" si="8"/>
        <v>25.18539773975456</v>
      </c>
      <c r="T17" s="2">
        <f t="shared" si="9"/>
        <v>18.731817257023042</v>
      </c>
      <c r="V17" s="38" t="s">
        <v>34</v>
      </c>
      <c r="W17" s="36"/>
      <c r="X17" s="17">
        <f>((X10-X14)+(X11-X15)+(X12-X16))/3</f>
        <v>2.6666666666666665</v>
      </c>
    </row>
    <row r="18" spans="1:24" x14ac:dyDescent="0.25">
      <c r="A18" s="14">
        <f t="shared" si="10"/>
        <v>0.5915570175438597</v>
      </c>
      <c r="B18" s="2">
        <f t="shared" si="11"/>
        <v>13</v>
      </c>
      <c r="C18" s="4">
        <f t="shared" si="12"/>
        <v>10.83</v>
      </c>
      <c r="D18" s="2">
        <v>19</v>
      </c>
      <c r="E18" s="2">
        <v>50.26548245743669</v>
      </c>
      <c r="F18" s="11">
        <f t="shared" si="0"/>
        <v>3.7799298984325143</v>
      </c>
      <c r="G18" s="2">
        <f t="shared" si="1"/>
        <v>40.936640800024129</v>
      </c>
      <c r="H18" s="2">
        <f t="shared" si="2"/>
        <v>2.4800320883604816</v>
      </c>
      <c r="I18" s="2">
        <f t="shared" si="3"/>
        <v>26.858747516944018</v>
      </c>
      <c r="J18" s="2">
        <f t="shared" si="4"/>
        <v>14.077893283080112</v>
      </c>
      <c r="K18" s="15">
        <f t="shared" si="13"/>
        <v>0.55752923976608193</v>
      </c>
      <c r="L18" s="2">
        <f t="shared" si="14"/>
        <v>13</v>
      </c>
      <c r="M18" s="2">
        <f t="shared" si="15"/>
        <v>10.58</v>
      </c>
      <c r="N18" s="2">
        <v>20</v>
      </c>
      <c r="O18" s="2">
        <v>50.26548245743669</v>
      </c>
      <c r="P18" s="11">
        <f t="shared" si="5"/>
        <v>3.9788735772973838</v>
      </c>
      <c r="Q18" s="2">
        <f t="shared" si="6"/>
        <v>42.096482447806324</v>
      </c>
      <c r="R18" s="2">
        <f t="shared" si="7"/>
        <v>2.4985513630708889</v>
      </c>
      <c r="S18" s="2">
        <f t="shared" si="8"/>
        <v>26.434673421290004</v>
      </c>
      <c r="T18" s="2">
        <f t="shared" si="9"/>
        <v>15.66180902651632</v>
      </c>
      <c r="V18" s="38" t="s">
        <v>35</v>
      </c>
      <c r="W18" s="36"/>
      <c r="X18" s="18" t="s">
        <v>41</v>
      </c>
    </row>
    <row r="19" spans="1:24" x14ac:dyDescent="0.25">
      <c r="A19" s="14">
        <f t="shared" si="10"/>
        <v>0.59172149122807016</v>
      </c>
      <c r="B19" s="2">
        <f t="shared" si="11"/>
        <v>14</v>
      </c>
      <c r="C19" s="4">
        <f t="shared" si="12"/>
        <v>11.33</v>
      </c>
      <c r="D19" s="2">
        <v>18</v>
      </c>
      <c r="E19" s="2">
        <v>50.26548245743669</v>
      </c>
      <c r="F19" s="11">
        <f t="shared" si="0"/>
        <v>3.5809862195676452</v>
      </c>
      <c r="G19" s="2">
        <f t="shared" si="1"/>
        <v>40.572573867701422</v>
      </c>
      <c r="H19" s="2">
        <f t="shared" si="2"/>
        <v>2.4800320883604816</v>
      </c>
      <c r="I19" s="2">
        <f t="shared" si="3"/>
        <v>28.098763561124258</v>
      </c>
      <c r="J19" s="2">
        <f t="shared" si="4"/>
        <v>12.473810306577164</v>
      </c>
      <c r="K19" s="15">
        <f t="shared" si="13"/>
        <v>0.55769371345029239</v>
      </c>
      <c r="L19" s="2">
        <f t="shared" si="14"/>
        <v>14</v>
      </c>
      <c r="M19" s="2">
        <f t="shared" si="15"/>
        <v>11.08</v>
      </c>
      <c r="N19" s="2">
        <v>19.5</v>
      </c>
      <c r="O19" s="2">
        <v>50.26548245743669</v>
      </c>
      <c r="P19" s="11">
        <f t="shared" si="5"/>
        <v>3.8794017378649488</v>
      </c>
      <c r="Q19" s="2">
        <f t="shared" si="6"/>
        <v>42.98377125554363</v>
      </c>
      <c r="R19" s="2">
        <f t="shared" si="7"/>
        <v>2.4985513630708889</v>
      </c>
      <c r="S19" s="2">
        <f t="shared" si="8"/>
        <v>27.683949102825448</v>
      </c>
      <c r="T19" s="2">
        <f t="shared" si="9"/>
        <v>15.299822152718182</v>
      </c>
      <c r="V19" s="39" t="s">
        <v>37</v>
      </c>
      <c r="W19" s="35"/>
      <c r="X19" s="36"/>
    </row>
    <row r="20" spans="1:24" x14ac:dyDescent="0.25">
      <c r="A20" s="14">
        <f t="shared" si="10"/>
        <v>0.59188596491228074</v>
      </c>
      <c r="B20" s="2">
        <f t="shared" si="11"/>
        <v>15</v>
      </c>
      <c r="C20" s="4">
        <f t="shared" si="12"/>
        <v>11.83</v>
      </c>
      <c r="D20" s="2">
        <v>19</v>
      </c>
      <c r="E20" s="2">
        <v>50.26548245743669</v>
      </c>
      <c r="F20" s="11">
        <f t="shared" si="0"/>
        <v>3.7799298984325143</v>
      </c>
      <c r="G20" s="2">
        <f t="shared" si="1"/>
        <v>44.716570698456643</v>
      </c>
      <c r="H20" s="2">
        <f t="shared" si="2"/>
        <v>2.4800320883604816</v>
      </c>
      <c r="I20" s="2">
        <f t="shared" si="3"/>
        <v>29.338779605304499</v>
      </c>
      <c r="J20" s="2">
        <f t="shared" si="4"/>
        <v>15.377791093152144</v>
      </c>
      <c r="K20" s="15">
        <f t="shared" si="13"/>
        <v>0.55785818713450297</v>
      </c>
      <c r="L20" s="2">
        <f t="shared" si="14"/>
        <v>15</v>
      </c>
      <c r="M20" s="2">
        <f t="shared" si="15"/>
        <v>11.58</v>
      </c>
      <c r="N20" s="2">
        <v>19.5</v>
      </c>
      <c r="O20" s="2">
        <v>50.26548245743669</v>
      </c>
      <c r="P20" s="11">
        <f t="shared" si="5"/>
        <v>3.8794017378649488</v>
      </c>
      <c r="Q20" s="2">
        <f t="shared" si="6"/>
        <v>44.923472124476106</v>
      </c>
      <c r="R20" s="2">
        <f t="shared" si="7"/>
        <v>2.4985513630708889</v>
      </c>
      <c r="S20" s="2">
        <f t="shared" si="8"/>
        <v>28.933224784360892</v>
      </c>
      <c r="T20" s="2">
        <f t="shared" si="9"/>
        <v>15.990247340115214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14">
        <f t="shared" si="10"/>
        <v>0.5920504385964912</v>
      </c>
      <c r="B21" s="2">
        <f t="shared" si="11"/>
        <v>16</v>
      </c>
      <c r="C21" s="4">
        <f t="shared" si="12"/>
        <v>12.33</v>
      </c>
      <c r="D21" s="2">
        <v>14</v>
      </c>
      <c r="E21" s="2">
        <v>50.26548245743669</v>
      </c>
      <c r="F21" s="11">
        <f t="shared" si="0"/>
        <v>2.7852115041081689</v>
      </c>
      <c r="G21" s="2">
        <f t="shared" si="1"/>
        <v>34.341657845653721</v>
      </c>
      <c r="H21" s="2">
        <f t="shared" si="2"/>
        <v>2.4800320883604816</v>
      </c>
      <c r="I21" s="2">
        <f t="shared" si="3"/>
        <v>30.578795649484739</v>
      </c>
      <c r="J21" s="2">
        <f t="shared" si="4"/>
        <v>3.7628621961689817</v>
      </c>
      <c r="K21" s="15">
        <f t="shared" si="13"/>
        <v>0.55802266081871343</v>
      </c>
      <c r="L21" s="2">
        <f t="shared" si="14"/>
        <v>16</v>
      </c>
      <c r="M21" s="2">
        <f t="shared" si="15"/>
        <v>12.08</v>
      </c>
      <c r="N21" s="2">
        <v>18.5</v>
      </c>
      <c r="O21" s="2">
        <v>50.26548245743669</v>
      </c>
      <c r="P21" s="11">
        <f t="shared" si="5"/>
        <v>3.6804580590000797</v>
      </c>
      <c r="Q21" s="2">
        <f t="shared" si="6"/>
        <v>44.459933352720967</v>
      </c>
      <c r="R21" s="2">
        <f t="shared" si="7"/>
        <v>2.4985513630708889</v>
      </c>
      <c r="S21" s="2">
        <f t="shared" si="8"/>
        <v>30.182500465896339</v>
      </c>
      <c r="T21" s="2">
        <f t="shared" si="9"/>
        <v>14.277432886824627</v>
      </c>
      <c r="V21" s="39" t="s">
        <v>39</v>
      </c>
      <c r="W21" s="36"/>
      <c r="X21" s="20">
        <f>(J2+T2)/2</f>
        <v>88.706808745656261</v>
      </c>
    </row>
    <row r="22" spans="1:24" x14ac:dyDescent="0.25">
      <c r="A22" s="14">
        <f t="shared" si="10"/>
        <v>0.59221491228070178</v>
      </c>
      <c r="B22" s="2">
        <f t="shared" si="11"/>
        <v>17</v>
      </c>
      <c r="C22" s="4">
        <f t="shared" si="12"/>
        <v>12.83</v>
      </c>
      <c r="D22" s="2">
        <v>14.5</v>
      </c>
      <c r="E22" s="2">
        <v>50.26548245743669</v>
      </c>
      <c r="F22" s="11">
        <f t="shared" si="0"/>
        <v>2.8846833435406034</v>
      </c>
      <c r="G22" s="2">
        <f t="shared" si="1"/>
        <v>37.010487297625943</v>
      </c>
      <c r="H22" s="2">
        <f t="shared" si="2"/>
        <v>2.4800320883604816</v>
      </c>
      <c r="I22" s="2">
        <f t="shared" si="3"/>
        <v>31.81881169366498</v>
      </c>
      <c r="J22" s="2">
        <f t="shared" si="4"/>
        <v>5.1916756039609631</v>
      </c>
      <c r="K22" s="15">
        <f t="shared" si="13"/>
        <v>0.55818713450292401</v>
      </c>
      <c r="L22" s="2">
        <f t="shared" si="14"/>
        <v>17</v>
      </c>
      <c r="M22" s="2">
        <f t="shared" si="15"/>
        <v>12.58</v>
      </c>
      <c r="N22" s="2">
        <v>16.5</v>
      </c>
      <c r="O22" s="2">
        <v>50.26548245743669</v>
      </c>
      <c r="P22" s="11">
        <f t="shared" si="5"/>
        <v>3.2825707012703416</v>
      </c>
      <c r="Q22" s="2">
        <f t="shared" si="6"/>
        <v>41.2947394219809</v>
      </c>
      <c r="R22" s="2">
        <f t="shared" si="7"/>
        <v>2.4985513630708889</v>
      </c>
      <c r="S22" s="2">
        <f t="shared" si="8"/>
        <v>31.431776147431783</v>
      </c>
      <c r="T22" s="2">
        <f t="shared" si="9"/>
        <v>9.8629632745491165</v>
      </c>
      <c r="V22" s="27"/>
      <c r="W22" s="27"/>
      <c r="X22" s="28"/>
    </row>
    <row r="23" spans="1:24" x14ac:dyDescent="0.25">
      <c r="A23" s="14">
        <f t="shared" si="10"/>
        <v>0.59237938596491224</v>
      </c>
      <c r="B23" s="2">
        <f t="shared" si="11"/>
        <v>18</v>
      </c>
      <c r="C23" s="4">
        <f t="shared" si="12"/>
        <v>13.33</v>
      </c>
      <c r="D23" s="2">
        <v>15</v>
      </c>
      <c r="E23" s="2">
        <v>50.26548245743669</v>
      </c>
      <c r="F23" s="11">
        <f t="shared" si="0"/>
        <v>2.9841551829730379</v>
      </c>
      <c r="G23" s="2">
        <f t="shared" si="1"/>
        <v>39.778788589030597</v>
      </c>
      <c r="H23" s="2">
        <f t="shared" si="2"/>
        <v>2.4800320883604816</v>
      </c>
      <c r="I23" s="2">
        <f t="shared" si="3"/>
        <v>33.05882773784522</v>
      </c>
      <c r="J23" s="2">
        <f t="shared" si="4"/>
        <v>6.7199608511853768</v>
      </c>
      <c r="K23" s="15">
        <f t="shared" si="13"/>
        <v>0.55835160818713447</v>
      </c>
      <c r="L23" s="2">
        <f t="shared" si="14"/>
        <v>18</v>
      </c>
      <c r="M23" s="2">
        <f t="shared" si="15"/>
        <v>13.08</v>
      </c>
      <c r="N23" s="2">
        <v>15.5</v>
      </c>
      <c r="O23" s="2">
        <v>50.26548245743669</v>
      </c>
      <c r="P23" s="11">
        <f t="shared" si="5"/>
        <v>3.0836270224054725</v>
      </c>
      <c r="Q23" s="2">
        <f t="shared" si="6"/>
        <v>40.333841453063577</v>
      </c>
      <c r="R23" s="2">
        <f t="shared" si="7"/>
        <v>2.4985513630708889</v>
      </c>
      <c r="S23" s="2">
        <f t="shared" si="8"/>
        <v>32.681051828967227</v>
      </c>
      <c r="T23" s="2">
        <f t="shared" si="9"/>
        <v>7.65278962409635</v>
      </c>
      <c r="V23" s="38" t="s">
        <v>45</v>
      </c>
      <c r="W23" s="35"/>
      <c r="X23" s="36"/>
    </row>
    <row r="24" spans="1:24" x14ac:dyDescent="0.25">
      <c r="A24" s="14">
        <f t="shared" si="10"/>
        <v>0.59254385964912282</v>
      </c>
      <c r="B24" s="2">
        <f t="shared" si="11"/>
        <v>19</v>
      </c>
      <c r="C24" s="4">
        <f t="shared" si="12"/>
        <v>13.83</v>
      </c>
      <c r="D24" s="2">
        <v>15.5</v>
      </c>
      <c r="E24" s="2">
        <v>50.26548245743669</v>
      </c>
      <c r="F24" s="11">
        <f t="shared" si="0"/>
        <v>3.0836270224054725</v>
      </c>
      <c r="G24" s="2">
        <f t="shared" si="1"/>
        <v>42.646561719867684</v>
      </c>
      <c r="H24" s="2">
        <f t="shared" si="2"/>
        <v>2.4800320883604816</v>
      </c>
      <c r="I24" s="2">
        <f t="shared" si="3"/>
        <v>34.298843782025457</v>
      </c>
      <c r="J24" s="2">
        <f t="shared" si="4"/>
        <v>8.3477179378422264</v>
      </c>
      <c r="K24" s="15">
        <f t="shared" si="13"/>
        <v>0.55851608187134505</v>
      </c>
      <c r="L24" s="2">
        <f t="shared" si="14"/>
        <v>19</v>
      </c>
      <c r="M24" s="2">
        <f t="shared" si="15"/>
        <v>13.58</v>
      </c>
      <c r="N24" s="2">
        <v>15.5</v>
      </c>
      <c r="O24" s="2">
        <v>50.26548245743669</v>
      </c>
      <c r="P24" s="11">
        <f t="shared" si="5"/>
        <v>3.0836270224054725</v>
      </c>
      <c r="Q24" s="2">
        <f t="shared" si="6"/>
        <v>41.875654964266317</v>
      </c>
      <c r="R24" s="2">
        <f t="shared" si="7"/>
        <v>2.4985513630708889</v>
      </c>
      <c r="S24" s="2">
        <f t="shared" si="8"/>
        <v>33.930327510502671</v>
      </c>
      <c r="T24" s="2">
        <f t="shared" si="9"/>
        <v>7.945327453763646</v>
      </c>
      <c r="V24" s="40" t="s">
        <v>46</v>
      </c>
      <c r="W24" s="35"/>
      <c r="X24" s="36"/>
    </row>
    <row r="25" spans="1:24" x14ac:dyDescent="0.25">
      <c r="A25" s="14">
        <f t="shared" si="10"/>
        <v>0.59270833333333339</v>
      </c>
      <c r="B25" s="2">
        <f t="shared" si="11"/>
        <v>20</v>
      </c>
      <c r="C25" s="4">
        <f t="shared" si="12"/>
        <v>14.33</v>
      </c>
      <c r="D25" s="2">
        <v>16.5</v>
      </c>
      <c r="E25" s="2">
        <v>50.26548245743669</v>
      </c>
      <c r="F25" s="11">
        <f t="shared" si="0"/>
        <v>3.2825707012703416</v>
      </c>
      <c r="G25" s="2">
        <f t="shared" si="1"/>
        <v>47.039238149203996</v>
      </c>
      <c r="H25" s="2">
        <f t="shared" si="2"/>
        <v>2.4800320883604816</v>
      </c>
      <c r="I25" s="2">
        <f t="shared" si="3"/>
        <v>35.538859826205702</v>
      </c>
      <c r="J25" s="2">
        <f t="shared" si="4"/>
        <v>11.500378322998294</v>
      </c>
      <c r="K25" s="15">
        <f t="shared" si="13"/>
        <v>0.55868055555555562</v>
      </c>
      <c r="L25" s="2">
        <f t="shared" si="14"/>
        <v>20</v>
      </c>
      <c r="M25" s="2">
        <f t="shared" si="15"/>
        <v>14.08</v>
      </c>
      <c r="N25" s="2">
        <v>17</v>
      </c>
      <c r="O25" s="2">
        <v>50.26548245743669</v>
      </c>
      <c r="P25" s="11">
        <f t="shared" si="5"/>
        <v>3.3820425407027761</v>
      </c>
      <c r="Q25" s="2">
        <f t="shared" si="6"/>
        <v>47.619158973095089</v>
      </c>
      <c r="R25" s="2">
        <f t="shared" si="7"/>
        <v>2.4985513630708889</v>
      </c>
      <c r="S25" s="2">
        <f t="shared" si="8"/>
        <v>35.179603192038115</v>
      </c>
      <c r="T25" s="2">
        <f t="shared" si="9"/>
        <v>12.439555781056974</v>
      </c>
      <c r="V25" s="38" t="s">
        <v>47</v>
      </c>
      <c r="W25" s="35"/>
      <c r="X25" s="36"/>
    </row>
    <row r="26" spans="1:24" x14ac:dyDescent="0.25">
      <c r="A26" s="14">
        <f t="shared" si="10"/>
        <v>0.59287280701754386</v>
      </c>
      <c r="B26" s="2">
        <f t="shared" si="11"/>
        <v>21</v>
      </c>
      <c r="C26" s="4">
        <f t="shared" si="12"/>
        <v>14.83</v>
      </c>
      <c r="D26" s="2">
        <v>14.5</v>
      </c>
      <c r="E26" s="2">
        <v>50.26548245743669</v>
      </c>
      <c r="F26" s="11">
        <f t="shared" si="0"/>
        <v>2.8846833435406034</v>
      </c>
      <c r="G26" s="2">
        <f t="shared" si="1"/>
        <v>42.779853984707145</v>
      </c>
      <c r="H26" s="2">
        <f t="shared" si="2"/>
        <v>2.4800320883604816</v>
      </c>
      <c r="I26" s="2">
        <f t="shared" si="3"/>
        <v>36.778875870385946</v>
      </c>
      <c r="J26" s="2">
        <f t="shared" si="4"/>
        <v>6.0009781143211995</v>
      </c>
      <c r="K26" s="15">
        <f t="shared" si="13"/>
        <v>0.55884502923976609</v>
      </c>
      <c r="L26" s="2">
        <f t="shared" si="14"/>
        <v>21</v>
      </c>
      <c r="M26" s="2">
        <f t="shared" si="15"/>
        <v>14.58</v>
      </c>
      <c r="N26" s="2">
        <v>14</v>
      </c>
      <c r="O26" s="2">
        <v>50.26548245743669</v>
      </c>
      <c r="P26" s="11">
        <f t="shared" si="5"/>
        <v>2.7852115041081689</v>
      </c>
      <c r="Q26" s="2">
        <f t="shared" si="6"/>
        <v>40.608383729897099</v>
      </c>
      <c r="R26" s="2">
        <f t="shared" si="7"/>
        <v>2.4985513630708889</v>
      </c>
      <c r="S26" s="2">
        <f t="shared" si="8"/>
        <v>36.428878873573559</v>
      </c>
      <c r="T26" s="2">
        <f t="shared" si="9"/>
        <v>4.1795048563235397</v>
      </c>
      <c r="V26" s="40" t="s">
        <v>48</v>
      </c>
      <c r="W26" s="35"/>
      <c r="X26" s="36"/>
    </row>
    <row r="27" spans="1:24" x14ac:dyDescent="0.25">
      <c r="A27" s="14">
        <f t="shared" si="10"/>
        <v>0.59303728070175443</v>
      </c>
      <c r="B27" s="2">
        <f t="shared" si="11"/>
        <v>22</v>
      </c>
      <c r="C27" s="4">
        <f t="shared" si="12"/>
        <v>15.33</v>
      </c>
      <c r="D27" s="2">
        <v>11.5</v>
      </c>
      <c r="E27" s="2">
        <v>50.26548245743669</v>
      </c>
      <c r="F27" s="11">
        <f t="shared" si="0"/>
        <v>2.2878523069459957</v>
      </c>
      <c r="G27" s="2">
        <f t="shared" si="1"/>
        <v>35.072775865482114</v>
      </c>
      <c r="H27" s="2">
        <f t="shared" si="2"/>
        <v>2.4800320883604816</v>
      </c>
      <c r="I27" s="2">
        <f t="shared" si="3"/>
        <v>38.018891914566183</v>
      </c>
      <c r="J27" s="2">
        <f t="shared" si="4"/>
        <v>2.9461160490840683</v>
      </c>
      <c r="K27" s="15">
        <f t="shared" si="13"/>
        <v>0.55900950292397666</v>
      </c>
      <c r="L27" s="2">
        <f t="shared" si="14"/>
        <v>22</v>
      </c>
      <c r="M27" s="2">
        <f t="shared" si="15"/>
        <v>15.08</v>
      </c>
      <c r="N27" s="2">
        <v>13</v>
      </c>
      <c r="O27" s="2">
        <v>50.26548245743669</v>
      </c>
      <c r="P27" s="11">
        <f t="shared" si="5"/>
        <v>2.5862678252432989</v>
      </c>
      <c r="Q27" s="2">
        <f t="shared" si="6"/>
        <v>39.000918804668949</v>
      </c>
      <c r="R27" s="2">
        <f t="shared" si="7"/>
        <v>2.4985513630708889</v>
      </c>
      <c r="S27" s="2">
        <f t="shared" si="8"/>
        <v>37.678154555109003</v>
      </c>
      <c r="T27" s="2">
        <f t="shared" si="9"/>
        <v>1.3227642495599454</v>
      </c>
    </row>
    <row r="28" spans="1:24" x14ac:dyDescent="0.25">
      <c r="A28" s="14">
        <f t="shared" si="10"/>
        <v>0.5932017543859649</v>
      </c>
      <c r="B28" s="2">
        <f t="shared" si="11"/>
        <v>23</v>
      </c>
      <c r="C28" s="4">
        <f t="shared" si="12"/>
        <v>15.83</v>
      </c>
      <c r="D28" s="2">
        <v>10.5</v>
      </c>
      <c r="E28" s="2">
        <v>50.26548245743669</v>
      </c>
      <c r="F28" s="11">
        <f t="shared" si="0"/>
        <v>2.0889086280811267</v>
      </c>
      <c r="G28" s="2">
        <f t="shared" si="1"/>
        <v>33.067423582524235</v>
      </c>
      <c r="H28" s="2">
        <f t="shared" si="2"/>
        <v>2.4800320883604816</v>
      </c>
      <c r="I28" s="2">
        <f t="shared" si="3"/>
        <v>39.258907958746427</v>
      </c>
      <c r="J28" s="2">
        <f t="shared" si="4"/>
        <v>6.1914843762221921</v>
      </c>
      <c r="K28" s="15">
        <f t="shared" si="13"/>
        <v>0.55917397660818713</v>
      </c>
      <c r="L28" s="2">
        <f t="shared" si="14"/>
        <v>23</v>
      </c>
      <c r="M28" s="2">
        <f t="shared" si="15"/>
        <v>15.58</v>
      </c>
      <c r="N28" s="2">
        <v>12</v>
      </c>
      <c r="O28" s="2">
        <v>50.26548245743669</v>
      </c>
      <c r="P28" s="11">
        <f t="shared" si="5"/>
        <v>2.3873241463784298</v>
      </c>
      <c r="Q28" s="2">
        <f t="shared" si="6"/>
        <v>37.194510200575934</v>
      </c>
      <c r="R28" s="2">
        <f t="shared" si="7"/>
        <v>2.4985513630708889</v>
      </c>
      <c r="S28" s="2">
        <f t="shared" si="8"/>
        <v>38.927430236644447</v>
      </c>
      <c r="T28" s="2">
        <f t="shared" si="9"/>
        <v>1.7329200360685135</v>
      </c>
      <c r="V28" s="24" t="s">
        <v>49</v>
      </c>
      <c r="W28" s="24" t="s">
        <v>50</v>
      </c>
    </row>
    <row r="29" spans="1:24" x14ac:dyDescent="0.25">
      <c r="A29" s="14">
        <f t="shared" si="10"/>
        <v>0.59336622807017547</v>
      </c>
      <c r="B29" s="2">
        <f t="shared" si="11"/>
        <v>24</v>
      </c>
      <c r="C29" s="4">
        <f t="shared" si="12"/>
        <v>16.329999999999998</v>
      </c>
      <c r="D29" s="2">
        <v>15.5</v>
      </c>
      <c r="E29" s="2">
        <v>50.26548245743669</v>
      </c>
      <c r="F29" s="11">
        <f t="shared" si="0"/>
        <v>3.0836270224054725</v>
      </c>
      <c r="G29" s="2">
        <f t="shared" si="1"/>
        <v>50.355629275881363</v>
      </c>
      <c r="H29" s="2">
        <f t="shared" si="2"/>
        <v>2.4800320883604816</v>
      </c>
      <c r="I29" s="2">
        <f t="shared" si="3"/>
        <v>40.498924002926664</v>
      </c>
      <c r="J29" s="2">
        <f t="shared" si="4"/>
        <v>9.8567052729546987</v>
      </c>
      <c r="K29" s="15">
        <f t="shared" si="13"/>
        <v>0.5593384502923977</v>
      </c>
      <c r="L29" s="2">
        <f t="shared" si="14"/>
        <v>24</v>
      </c>
      <c r="M29" s="2">
        <f t="shared" si="15"/>
        <v>16.079999999999998</v>
      </c>
      <c r="N29" s="2">
        <v>14</v>
      </c>
      <c r="O29" s="2">
        <v>50.26548245743669</v>
      </c>
      <c r="P29" s="11">
        <f t="shared" si="5"/>
        <v>2.7852115041081689</v>
      </c>
      <c r="Q29" s="2">
        <f t="shared" si="6"/>
        <v>44.786200986059349</v>
      </c>
      <c r="R29" s="2">
        <f t="shared" si="7"/>
        <v>2.4985513630708889</v>
      </c>
      <c r="S29" s="2">
        <f t="shared" si="8"/>
        <v>40.176705918179891</v>
      </c>
      <c r="T29" s="2">
        <f t="shared" si="9"/>
        <v>4.6094950678794575</v>
      </c>
      <c r="V29" s="24">
        <f>MAX(D4:D160)</f>
        <v>23</v>
      </c>
      <c r="W29" s="24">
        <f>MAX(N4:N160)</f>
        <v>21.9</v>
      </c>
    </row>
    <row r="30" spans="1:24" x14ac:dyDescent="0.25">
      <c r="A30" s="14">
        <f t="shared" si="10"/>
        <v>0.59353070175438594</v>
      </c>
      <c r="B30" s="2">
        <f t="shared" si="11"/>
        <v>25</v>
      </c>
      <c r="C30" s="4">
        <f t="shared" si="12"/>
        <v>16.829999999999998</v>
      </c>
      <c r="D30" s="2">
        <v>13</v>
      </c>
      <c r="E30" s="2">
        <v>50.26548245743669</v>
      </c>
      <c r="F30" s="11">
        <f t="shared" si="0"/>
        <v>2.5862678252432989</v>
      </c>
      <c r="G30" s="2">
        <f t="shared" si="1"/>
        <v>43.526887498844715</v>
      </c>
      <c r="H30" s="2">
        <f t="shared" si="2"/>
        <v>2.4800320883604816</v>
      </c>
      <c r="I30" s="2">
        <f t="shared" si="3"/>
        <v>41.738940047106901</v>
      </c>
      <c r="J30" s="2">
        <f t="shared" si="4"/>
        <v>1.7879474517378142</v>
      </c>
      <c r="K30" s="15">
        <f t="shared" si="13"/>
        <v>0.55950292397660817</v>
      </c>
      <c r="L30" s="2">
        <f t="shared" si="14"/>
        <v>25</v>
      </c>
      <c r="M30" s="2">
        <f t="shared" si="15"/>
        <v>16.579999999999998</v>
      </c>
      <c r="N30" s="2">
        <v>14</v>
      </c>
      <c r="O30" s="2">
        <v>50.26548245743669</v>
      </c>
      <c r="P30" s="11">
        <f t="shared" si="5"/>
        <v>2.7852115041081689</v>
      </c>
      <c r="Q30" s="2">
        <f t="shared" si="6"/>
        <v>46.178806738113437</v>
      </c>
      <c r="R30" s="2">
        <f t="shared" si="7"/>
        <v>2.4985513630708889</v>
      </c>
      <c r="S30" s="2">
        <f t="shared" si="8"/>
        <v>41.425981599715335</v>
      </c>
      <c r="T30" s="2">
        <f t="shared" si="9"/>
        <v>4.7528251383981015</v>
      </c>
      <c r="V30" s="24" t="s">
        <v>14</v>
      </c>
      <c r="W30" s="24" t="s">
        <v>14</v>
      </c>
    </row>
    <row r="31" spans="1:24" x14ac:dyDescent="0.25">
      <c r="A31" s="14">
        <f t="shared" si="10"/>
        <v>0.59369517543859651</v>
      </c>
      <c r="B31" s="2">
        <f t="shared" si="11"/>
        <v>26</v>
      </c>
      <c r="C31" s="4">
        <f t="shared" si="12"/>
        <v>17.329999999999998</v>
      </c>
      <c r="D31" s="2">
        <v>13</v>
      </c>
      <c r="E31" s="2">
        <v>50.26548245743669</v>
      </c>
      <c r="F31" s="11">
        <f t="shared" si="0"/>
        <v>2.5862678252432989</v>
      </c>
      <c r="G31" s="2">
        <f t="shared" si="1"/>
        <v>44.820021411466364</v>
      </c>
      <c r="H31" s="2">
        <f t="shared" si="2"/>
        <v>2.4800320883604816</v>
      </c>
      <c r="I31" s="2">
        <f t="shared" si="3"/>
        <v>42.978956091287145</v>
      </c>
      <c r="J31" s="2">
        <f t="shared" si="4"/>
        <v>1.8410653201792186</v>
      </c>
      <c r="K31" s="15">
        <f t="shared" si="13"/>
        <v>0.55966739766081874</v>
      </c>
      <c r="L31" s="2">
        <f t="shared" si="14"/>
        <v>26</v>
      </c>
      <c r="M31" s="2">
        <f t="shared" si="15"/>
        <v>17.079999999999998</v>
      </c>
      <c r="N31" s="2">
        <v>12.5</v>
      </c>
      <c r="O31" s="2">
        <v>50.26548245743669</v>
      </c>
      <c r="P31" s="11">
        <f t="shared" si="5"/>
        <v>2.4867959858108648</v>
      </c>
      <c r="Q31" s="2">
        <f t="shared" si="6"/>
        <v>42.474475437649566</v>
      </c>
      <c r="R31" s="2">
        <f t="shared" si="7"/>
        <v>2.4985513630708889</v>
      </c>
      <c r="S31" s="2">
        <f t="shared" si="8"/>
        <v>42.675257281250779</v>
      </c>
      <c r="T31" s="2">
        <f t="shared" si="9"/>
        <v>0.20078184360121298</v>
      </c>
      <c r="V31" s="24">
        <f t="array" ref="V31">INDEX(B4:B160, MATCH(MAX(D4:D160), D4:D160, 0))</f>
        <v>11</v>
      </c>
      <c r="W31" s="24">
        <f t="array" ref="W31">INDEX(L4:L160, MATCH(MAX(N4:N160), N4:N160, 0))</f>
        <v>12</v>
      </c>
    </row>
    <row r="32" spans="1:24" x14ac:dyDescent="0.25">
      <c r="A32" s="14">
        <f t="shared" si="10"/>
        <v>0.59385964912280698</v>
      </c>
      <c r="B32" s="2">
        <f t="shared" si="11"/>
        <v>27</v>
      </c>
      <c r="C32" s="4">
        <f t="shared" si="12"/>
        <v>17.829999999999998</v>
      </c>
      <c r="D32" s="2">
        <v>13</v>
      </c>
      <c r="E32" s="2">
        <v>50.26548245743669</v>
      </c>
      <c r="F32" s="11">
        <f t="shared" si="0"/>
        <v>2.5862678252432989</v>
      </c>
      <c r="G32" s="2">
        <f t="shared" si="1"/>
        <v>46.113155324088012</v>
      </c>
      <c r="H32" s="2">
        <f t="shared" si="2"/>
        <v>2.4800320883604816</v>
      </c>
      <c r="I32" s="2">
        <f t="shared" si="3"/>
        <v>44.218972135467382</v>
      </c>
      <c r="J32" s="2">
        <f t="shared" si="4"/>
        <v>1.8941831886206302</v>
      </c>
      <c r="K32" s="15">
        <f t="shared" si="13"/>
        <v>0.55983187134502921</v>
      </c>
      <c r="L32" s="2">
        <f t="shared" si="14"/>
        <v>27</v>
      </c>
      <c r="M32" s="2">
        <f t="shared" si="15"/>
        <v>17.579999999999998</v>
      </c>
      <c r="N32" s="2">
        <v>13.5</v>
      </c>
      <c r="O32" s="2">
        <v>50.26548245743669</v>
      </c>
      <c r="P32" s="11">
        <f t="shared" si="5"/>
        <v>2.6857396646757339</v>
      </c>
      <c r="Q32" s="2">
        <f t="shared" si="6"/>
        <v>47.215303304999395</v>
      </c>
      <c r="R32" s="2">
        <f t="shared" si="7"/>
        <v>2.4985513630708889</v>
      </c>
      <c r="S32" s="2">
        <f t="shared" si="8"/>
        <v>43.924532962786223</v>
      </c>
      <c r="T32" s="2">
        <f t="shared" si="9"/>
        <v>3.2907703422131718</v>
      </c>
    </row>
    <row r="33" spans="1:20" x14ac:dyDescent="0.25">
      <c r="A33" s="14">
        <f t="shared" si="10"/>
        <v>0.59402412280701755</v>
      </c>
      <c r="B33" s="2">
        <f t="shared" si="11"/>
        <v>28</v>
      </c>
      <c r="C33" s="4">
        <f t="shared" si="12"/>
        <v>18.329999999999998</v>
      </c>
      <c r="D33" s="2">
        <v>14.5</v>
      </c>
      <c r="E33" s="2">
        <v>50.26548245743669</v>
      </c>
      <c r="F33" s="11">
        <f t="shared" si="0"/>
        <v>2.8846833435406034</v>
      </c>
      <c r="G33" s="2">
        <f t="shared" si="1"/>
        <v>52.876245687099257</v>
      </c>
      <c r="H33" s="2">
        <f t="shared" si="2"/>
        <v>2.4800320883604816</v>
      </c>
      <c r="I33" s="2">
        <f t="shared" si="3"/>
        <v>45.458988179647626</v>
      </c>
      <c r="J33" s="2">
        <f t="shared" si="4"/>
        <v>7.4172575074516303</v>
      </c>
      <c r="K33" s="15">
        <f t="shared" si="13"/>
        <v>0.55999634502923978</v>
      </c>
      <c r="L33" s="2">
        <f t="shared" si="14"/>
        <v>28</v>
      </c>
      <c r="M33" s="2">
        <f t="shared" si="15"/>
        <v>18.079999999999998</v>
      </c>
      <c r="N33" s="2">
        <v>13.5</v>
      </c>
      <c r="O33" s="2">
        <v>50.26548245743669</v>
      </c>
      <c r="P33" s="11">
        <f t="shared" si="5"/>
        <v>2.6857396646757339</v>
      </c>
      <c r="Q33" s="2">
        <f t="shared" si="6"/>
        <v>48.558173137337263</v>
      </c>
      <c r="R33" s="2">
        <f t="shared" si="7"/>
        <v>2.4985513630708889</v>
      </c>
      <c r="S33" s="2">
        <f t="shared" si="8"/>
        <v>45.173808644321667</v>
      </c>
      <c r="T33" s="2">
        <f t="shared" si="9"/>
        <v>3.3843644930155961</v>
      </c>
    </row>
    <row r="34" spans="1:20" x14ac:dyDescent="0.25">
      <c r="A34" s="14">
        <f t="shared" si="10"/>
        <v>0.59418859649122802</v>
      </c>
      <c r="B34" s="2">
        <f t="shared" si="11"/>
        <v>29</v>
      </c>
      <c r="C34" s="4">
        <f t="shared" si="12"/>
        <v>18.829999999999998</v>
      </c>
      <c r="D34" s="2">
        <v>14</v>
      </c>
      <c r="E34" s="2">
        <v>50.26548245743669</v>
      </c>
      <c r="F34" s="11">
        <f t="shared" si="0"/>
        <v>2.7852115041081689</v>
      </c>
      <c r="G34" s="2">
        <f t="shared" si="1"/>
        <v>52.445532622356815</v>
      </c>
      <c r="H34" s="2">
        <f t="shared" si="2"/>
        <v>2.4800320883604816</v>
      </c>
      <c r="I34" s="2">
        <f t="shared" si="3"/>
        <v>46.699004223827863</v>
      </c>
      <c r="J34" s="2">
        <f t="shared" si="4"/>
        <v>5.7465283985289517</v>
      </c>
      <c r="K34" s="15">
        <f t="shared" si="13"/>
        <v>0.56016081871345025</v>
      </c>
      <c r="L34" s="2">
        <f t="shared" si="14"/>
        <v>29</v>
      </c>
      <c r="M34" s="2">
        <f t="shared" si="15"/>
        <v>18.579999999999998</v>
      </c>
      <c r="N34" s="2">
        <v>14.5</v>
      </c>
      <c r="O34" s="2">
        <v>50.26548245743669</v>
      </c>
      <c r="P34" s="11">
        <f t="shared" si="5"/>
        <v>2.8846833435406034</v>
      </c>
      <c r="Q34" s="2">
        <f t="shared" si="6"/>
        <v>53.597416522984403</v>
      </c>
      <c r="R34" s="2">
        <f t="shared" si="7"/>
        <v>2.4985513630708889</v>
      </c>
      <c r="S34" s="2">
        <f t="shared" si="8"/>
        <v>46.423084325857111</v>
      </c>
      <c r="T34" s="2">
        <f t="shared" si="9"/>
        <v>7.174332197127292</v>
      </c>
    </row>
    <row r="35" spans="1:20" x14ac:dyDescent="0.25">
      <c r="A35" s="14">
        <f t="shared" si="10"/>
        <v>0.59435307017543859</v>
      </c>
      <c r="B35" s="2">
        <f t="shared" si="11"/>
        <v>30</v>
      </c>
      <c r="C35" s="4">
        <f t="shared" si="12"/>
        <v>19.329999999999998</v>
      </c>
      <c r="D35" s="2">
        <v>10.5</v>
      </c>
      <c r="E35" s="2">
        <v>50.26548245743669</v>
      </c>
      <c r="F35" s="11">
        <f t="shared" si="0"/>
        <v>2.0889086280811267</v>
      </c>
      <c r="G35" s="2">
        <f t="shared" si="1"/>
        <v>40.378603780808177</v>
      </c>
      <c r="H35" s="2">
        <f t="shared" si="2"/>
        <v>2.4800320883604816</v>
      </c>
      <c r="I35" s="2">
        <f t="shared" si="3"/>
        <v>47.939020268008107</v>
      </c>
      <c r="J35" s="2">
        <f t="shared" si="4"/>
        <v>7.5604164871999302</v>
      </c>
      <c r="K35" s="15">
        <f t="shared" si="13"/>
        <v>0.56032529239766082</v>
      </c>
      <c r="L35" s="2">
        <f t="shared" si="14"/>
        <v>30</v>
      </c>
      <c r="M35" s="2">
        <f t="shared" si="15"/>
        <v>19.079999999999998</v>
      </c>
      <c r="N35" s="2">
        <v>13.5</v>
      </c>
      <c r="O35" s="2">
        <v>50.26548245743669</v>
      </c>
      <c r="P35" s="11">
        <f t="shared" si="5"/>
        <v>2.6857396646757339</v>
      </c>
      <c r="Q35" s="2">
        <f t="shared" si="6"/>
        <v>51.243912802013</v>
      </c>
      <c r="R35" s="2">
        <f t="shared" si="7"/>
        <v>2.4985513630708889</v>
      </c>
      <c r="S35" s="2">
        <f t="shared" si="8"/>
        <v>47.672360007392555</v>
      </c>
      <c r="T35" s="2">
        <f t="shared" si="9"/>
        <v>3.5715527946204446</v>
      </c>
    </row>
    <row r="36" spans="1:20" x14ac:dyDescent="0.25">
      <c r="A36" s="14">
        <f t="shared" si="10"/>
        <v>0.59451754385964917</v>
      </c>
      <c r="B36" s="2">
        <f t="shared" si="11"/>
        <v>31</v>
      </c>
      <c r="C36" s="4">
        <f t="shared" si="12"/>
        <v>19.829999999999998</v>
      </c>
      <c r="D36" s="2">
        <v>11.5</v>
      </c>
      <c r="E36" s="2">
        <v>50.26548245743669</v>
      </c>
      <c r="F36" s="11">
        <f t="shared" si="0"/>
        <v>2.2878523069459957</v>
      </c>
      <c r="G36" s="2">
        <f t="shared" si="1"/>
        <v>45.36811124673909</v>
      </c>
      <c r="H36" s="2">
        <f t="shared" si="2"/>
        <v>2.4800320883604816</v>
      </c>
      <c r="I36" s="2">
        <f t="shared" si="3"/>
        <v>49.179036312188344</v>
      </c>
      <c r="J36" s="2">
        <f t="shared" si="4"/>
        <v>3.8109250654492541</v>
      </c>
      <c r="K36" s="15">
        <f t="shared" si="13"/>
        <v>0.5604897660818714</v>
      </c>
      <c r="L36" s="2">
        <f t="shared" si="14"/>
        <v>31</v>
      </c>
      <c r="M36" s="2">
        <f t="shared" si="15"/>
        <v>19.579999999999998</v>
      </c>
      <c r="N36" s="2">
        <v>11.5</v>
      </c>
      <c r="O36" s="2">
        <v>50.26548245743669</v>
      </c>
      <c r="P36" s="11">
        <f t="shared" si="5"/>
        <v>2.2878523069459957</v>
      </c>
      <c r="Q36" s="2">
        <f t="shared" si="6"/>
        <v>44.796148170002596</v>
      </c>
      <c r="R36" s="2">
        <f t="shared" si="7"/>
        <v>2.4985513630708889</v>
      </c>
      <c r="S36" s="2">
        <f t="shared" si="8"/>
        <v>48.921635688927999</v>
      </c>
      <c r="T36" s="2">
        <f t="shared" si="9"/>
        <v>4.1254875189254037</v>
      </c>
    </row>
    <row r="37" spans="1:20" x14ac:dyDescent="0.25">
      <c r="A37" s="14">
        <f t="shared" si="10"/>
        <v>0.59468201754385963</v>
      </c>
      <c r="B37" s="2">
        <f t="shared" si="11"/>
        <v>32</v>
      </c>
      <c r="C37" s="4">
        <f t="shared" si="12"/>
        <v>20.329999999999998</v>
      </c>
      <c r="D37" s="23">
        <v>13</v>
      </c>
      <c r="E37" s="2">
        <v>50.26548245743669</v>
      </c>
      <c r="F37" s="11">
        <f t="shared" si="0"/>
        <v>2.5862678252432989</v>
      </c>
      <c r="G37" s="2">
        <f t="shared" si="1"/>
        <v>52.578824887196262</v>
      </c>
      <c r="H37" s="2">
        <f t="shared" si="2"/>
        <v>2.4800320883604816</v>
      </c>
      <c r="I37" s="2">
        <f t="shared" si="3"/>
        <v>50.419052356368589</v>
      </c>
      <c r="J37" s="2">
        <f t="shared" si="4"/>
        <v>2.1597725308276736</v>
      </c>
      <c r="K37" s="15">
        <f t="shared" si="13"/>
        <v>0.56065423976608186</v>
      </c>
      <c r="L37" s="21">
        <f t="shared" si="14"/>
        <v>32</v>
      </c>
      <c r="M37" s="21">
        <f t="shared" si="15"/>
        <v>20.079999999999998</v>
      </c>
      <c r="N37" s="21">
        <v>13</v>
      </c>
      <c r="O37" s="2">
        <v>50.26548245743669</v>
      </c>
      <c r="P37" s="11">
        <f t="shared" si="5"/>
        <v>2.5862678252432989</v>
      </c>
      <c r="Q37" s="2">
        <f t="shared" si="6"/>
        <v>51.932257930885434</v>
      </c>
      <c r="R37" s="2">
        <f t="shared" si="7"/>
        <v>2.4985513630708889</v>
      </c>
      <c r="S37" s="2">
        <f t="shared" si="8"/>
        <v>50.170911370463443</v>
      </c>
      <c r="T37" s="2">
        <f t="shared" si="9"/>
        <v>1.7613465604219911</v>
      </c>
    </row>
    <row r="38" spans="1:20" x14ac:dyDescent="0.25">
      <c r="A38" s="14">
        <f t="shared" si="10"/>
        <v>0.59484649122807021</v>
      </c>
      <c r="B38" s="2">
        <f t="shared" si="11"/>
        <v>33</v>
      </c>
      <c r="C38" s="4">
        <f t="shared" si="12"/>
        <v>20.83</v>
      </c>
      <c r="D38" s="2">
        <v>14</v>
      </c>
      <c r="E38" s="2">
        <v>50.26548245743669</v>
      </c>
      <c r="F38" s="11">
        <f t="shared" si="0"/>
        <v>2.7852115041081689</v>
      </c>
      <c r="G38" s="2">
        <f t="shared" si="1"/>
        <v>58.015955630573153</v>
      </c>
      <c r="H38" s="2">
        <f t="shared" si="2"/>
        <v>2.4800320883604816</v>
      </c>
      <c r="I38" s="2">
        <f t="shared" si="3"/>
        <v>51.659068400548826</v>
      </c>
      <c r="J38" s="2">
        <f t="shared" si="4"/>
        <v>6.3568872300243271</v>
      </c>
      <c r="K38" s="15">
        <f t="shared" si="13"/>
        <v>0.56081871345029244</v>
      </c>
      <c r="L38" s="2">
        <f t="shared" si="14"/>
        <v>33</v>
      </c>
      <c r="M38" s="2">
        <f t="shared" si="15"/>
        <v>20.58</v>
      </c>
      <c r="N38" s="2">
        <v>19.5</v>
      </c>
      <c r="O38" s="2">
        <v>50.26548245743669</v>
      </c>
      <c r="P38" s="11">
        <f t="shared" si="5"/>
        <v>3.8794017378649488</v>
      </c>
      <c r="Q38" s="2">
        <f t="shared" si="6"/>
        <v>79.838087765260639</v>
      </c>
      <c r="R38" s="2">
        <f t="shared" si="7"/>
        <v>2.4985513630708889</v>
      </c>
      <c r="S38" s="2">
        <f t="shared" si="8"/>
        <v>51.420187051998887</v>
      </c>
      <c r="T38" s="2">
        <f t="shared" si="9"/>
        <v>28.417900713261751</v>
      </c>
    </row>
    <row r="39" spans="1:20" x14ac:dyDescent="0.25">
      <c r="A39" s="14">
        <f t="shared" si="10"/>
        <v>0.59501096491228067</v>
      </c>
      <c r="B39" s="2">
        <f t="shared" si="11"/>
        <v>34</v>
      </c>
      <c r="C39" s="4">
        <f t="shared" si="12"/>
        <v>21.33</v>
      </c>
      <c r="D39" s="2">
        <v>11.5</v>
      </c>
      <c r="E39" s="2">
        <v>50.26548245743669</v>
      </c>
      <c r="F39" s="11">
        <f t="shared" si="0"/>
        <v>2.2878523069459957</v>
      </c>
      <c r="G39" s="2">
        <f t="shared" si="1"/>
        <v>48.799889707158087</v>
      </c>
      <c r="H39" s="2">
        <f t="shared" si="2"/>
        <v>2.4800320883604816</v>
      </c>
      <c r="I39" s="2">
        <f t="shared" si="3"/>
        <v>52.89908444472907</v>
      </c>
      <c r="J39" s="2">
        <f t="shared" si="4"/>
        <v>4.0991947375709827</v>
      </c>
      <c r="K39" s="15">
        <f t="shared" si="13"/>
        <v>0.5609831871345029</v>
      </c>
      <c r="L39" s="2">
        <f t="shared" si="14"/>
        <v>34</v>
      </c>
      <c r="M39" s="2">
        <f t="shared" si="15"/>
        <v>21.08</v>
      </c>
      <c r="N39" s="2">
        <v>14</v>
      </c>
      <c r="O39" s="2">
        <v>50.26548245743669</v>
      </c>
      <c r="P39" s="11">
        <f t="shared" si="5"/>
        <v>2.7852115041081689</v>
      </c>
      <c r="Q39" s="2">
        <f t="shared" si="6"/>
        <v>58.712258506600193</v>
      </c>
      <c r="R39" s="2">
        <f t="shared" si="7"/>
        <v>2.4985513630708889</v>
      </c>
      <c r="S39" s="2">
        <f t="shared" si="8"/>
        <v>52.669462733534331</v>
      </c>
      <c r="T39" s="2">
        <f t="shared" si="9"/>
        <v>6.0427957730658619</v>
      </c>
    </row>
    <row r="40" spans="1:20" x14ac:dyDescent="0.25">
      <c r="A40" s="14">
        <f t="shared" si="10"/>
        <v>0.59517543859649125</v>
      </c>
      <c r="B40" s="2">
        <f t="shared" si="11"/>
        <v>35</v>
      </c>
      <c r="C40" s="4">
        <f t="shared" si="12"/>
        <v>21.83</v>
      </c>
      <c r="D40" s="2">
        <v>10.5</v>
      </c>
      <c r="E40" s="2">
        <v>50.26548245743669</v>
      </c>
      <c r="F40" s="11">
        <f t="shared" si="0"/>
        <v>2.0889086280811267</v>
      </c>
      <c r="G40" s="2">
        <f t="shared" si="1"/>
        <v>45.600875351010991</v>
      </c>
      <c r="H40" s="2">
        <f t="shared" si="2"/>
        <v>2.4800320883604816</v>
      </c>
      <c r="I40" s="2">
        <f t="shared" si="3"/>
        <v>54.139100488909307</v>
      </c>
      <c r="J40" s="2">
        <f t="shared" si="4"/>
        <v>8.5382251378983156</v>
      </c>
      <c r="K40" s="15">
        <f t="shared" si="13"/>
        <v>0.56114766081871348</v>
      </c>
      <c r="L40" s="2">
        <f t="shared" si="14"/>
        <v>35</v>
      </c>
      <c r="M40" s="2">
        <f t="shared" si="15"/>
        <v>21.58</v>
      </c>
      <c r="N40" s="2">
        <v>11.5</v>
      </c>
      <c r="O40" s="2">
        <v>50.26548245743669</v>
      </c>
      <c r="P40" s="11">
        <f t="shared" si="5"/>
        <v>2.2878523069459957</v>
      </c>
      <c r="Q40" s="2">
        <f t="shared" si="6"/>
        <v>49.371852783894582</v>
      </c>
      <c r="R40" s="2">
        <f t="shared" si="7"/>
        <v>2.4985513630708889</v>
      </c>
      <c r="S40" s="2">
        <f t="shared" si="8"/>
        <v>53.918738415069775</v>
      </c>
      <c r="T40" s="2">
        <f t="shared" si="9"/>
        <v>4.5468856311751935</v>
      </c>
    </row>
    <row r="41" spans="1:20" x14ac:dyDescent="0.25">
      <c r="A41" s="14">
        <f t="shared" si="10"/>
        <v>0.59533991228070171</v>
      </c>
      <c r="B41" s="2">
        <f t="shared" si="11"/>
        <v>36</v>
      </c>
      <c r="C41" s="4">
        <f t="shared" si="12"/>
        <v>22.33</v>
      </c>
      <c r="D41" s="2">
        <v>9.5</v>
      </c>
      <c r="E41" s="2">
        <v>50.26548245743669</v>
      </c>
      <c r="F41" s="11">
        <f t="shared" si="0"/>
        <v>1.8899649492162571</v>
      </c>
      <c r="G41" s="2">
        <f t="shared" si="1"/>
        <v>42.202917315999017</v>
      </c>
      <c r="H41" s="2">
        <f t="shared" si="2"/>
        <v>2.4800320883604816</v>
      </c>
      <c r="I41" s="2">
        <f t="shared" si="3"/>
        <v>55.379116533089551</v>
      </c>
      <c r="J41" s="2">
        <f t="shared" si="4"/>
        <v>13.176199217090534</v>
      </c>
      <c r="K41" s="15">
        <f t="shared" si="13"/>
        <v>0.56131213450292394</v>
      </c>
      <c r="L41" s="2">
        <f t="shared" si="14"/>
        <v>36</v>
      </c>
      <c r="M41" s="2">
        <f t="shared" si="15"/>
        <v>22.08</v>
      </c>
      <c r="N41" s="2">
        <v>11</v>
      </c>
      <c r="O41" s="2">
        <v>50.26548245743669</v>
      </c>
      <c r="P41" s="11">
        <f t="shared" si="5"/>
        <v>2.1883804675135607</v>
      </c>
      <c r="Q41" s="2">
        <f t="shared" si="6"/>
        <v>48.319440722699419</v>
      </c>
      <c r="R41" s="2">
        <f t="shared" si="7"/>
        <v>2.4985513630708889</v>
      </c>
      <c r="S41" s="2">
        <f t="shared" si="8"/>
        <v>55.168014096605219</v>
      </c>
      <c r="T41" s="2">
        <f t="shared" si="9"/>
        <v>6.8485733739058006</v>
      </c>
    </row>
    <row r="42" spans="1:20" x14ac:dyDescent="0.25">
      <c r="A42" s="14">
        <f t="shared" si="10"/>
        <v>0.59550438596491229</v>
      </c>
      <c r="B42" s="2">
        <f t="shared" si="11"/>
        <v>37</v>
      </c>
      <c r="C42" s="4">
        <f t="shared" si="12"/>
        <v>22.83</v>
      </c>
      <c r="D42" s="2">
        <v>10.5</v>
      </c>
      <c r="E42" s="2">
        <v>50.26548245743669</v>
      </c>
      <c r="F42" s="11">
        <f t="shared" si="0"/>
        <v>2.0889086280811267</v>
      </c>
      <c r="G42" s="2">
        <f t="shared" si="1"/>
        <v>47.68978397909212</v>
      </c>
      <c r="H42" s="2">
        <f t="shared" si="2"/>
        <v>2.4800320883604816</v>
      </c>
      <c r="I42" s="2">
        <f t="shared" si="3"/>
        <v>56.619132577269788</v>
      </c>
      <c r="J42" s="2">
        <f t="shared" si="4"/>
        <v>8.9293485981776684</v>
      </c>
      <c r="K42" s="15">
        <f t="shared" si="13"/>
        <v>0.56147660818713452</v>
      </c>
      <c r="L42" s="2">
        <f t="shared" si="14"/>
        <v>37</v>
      </c>
      <c r="M42" s="2">
        <f t="shared" si="15"/>
        <v>22.58</v>
      </c>
      <c r="N42" s="2">
        <v>9.5</v>
      </c>
      <c r="O42" s="2">
        <v>50.26548245743669</v>
      </c>
      <c r="P42" s="11">
        <f t="shared" si="5"/>
        <v>1.8899649492162571</v>
      </c>
      <c r="Q42" s="2">
        <f t="shared" si="6"/>
        <v>42.675408553303086</v>
      </c>
      <c r="R42" s="2">
        <f t="shared" si="7"/>
        <v>2.4985513630708889</v>
      </c>
      <c r="S42" s="2">
        <f t="shared" si="8"/>
        <v>56.417289778140663</v>
      </c>
      <c r="T42" s="2">
        <f t="shared" si="9"/>
        <v>13.741881224837577</v>
      </c>
    </row>
    <row r="43" spans="1:20" x14ac:dyDescent="0.25">
      <c r="A43" s="14">
        <f t="shared" si="10"/>
        <v>0.59566885964912275</v>
      </c>
      <c r="B43" s="2">
        <f t="shared" si="11"/>
        <v>38</v>
      </c>
      <c r="C43" s="4">
        <f t="shared" si="12"/>
        <v>23.33</v>
      </c>
      <c r="D43" s="2">
        <v>8</v>
      </c>
      <c r="E43" s="2">
        <v>50.26548245743669</v>
      </c>
      <c r="F43" s="11">
        <f t="shared" si="0"/>
        <v>1.5915494309189535</v>
      </c>
      <c r="G43" s="2">
        <f t="shared" si="1"/>
        <v>37.130848223339186</v>
      </c>
      <c r="H43" s="2">
        <f t="shared" si="2"/>
        <v>2.4800320883604816</v>
      </c>
      <c r="I43" s="2">
        <f t="shared" si="3"/>
        <v>57.859148621450032</v>
      </c>
      <c r="J43" s="2">
        <f t="shared" si="4"/>
        <v>20.728300398110846</v>
      </c>
      <c r="K43" s="15">
        <f t="shared" si="13"/>
        <v>0.56164108187134498</v>
      </c>
      <c r="L43" s="2">
        <f t="shared" si="14"/>
        <v>38</v>
      </c>
      <c r="M43" s="2">
        <f t="shared" si="15"/>
        <v>23.08</v>
      </c>
      <c r="N43" s="2">
        <v>9.5</v>
      </c>
      <c r="O43" s="2">
        <v>50.26548245743669</v>
      </c>
      <c r="P43" s="11">
        <f t="shared" si="5"/>
        <v>1.8899649492162571</v>
      </c>
      <c r="Q43" s="2">
        <f t="shared" si="6"/>
        <v>43.620391027911211</v>
      </c>
      <c r="R43" s="2">
        <f t="shared" si="7"/>
        <v>2.4985513630708889</v>
      </c>
      <c r="S43" s="2">
        <f t="shared" si="8"/>
        <v>57.666565459676114</v>
      </c>
      <c r="T43" s="2">
        <f t="shared" si="9"/>
        <v>14.046174431764904</v>
      </c>
    </row>
    <row r="44" spans="1:20" x14ac:dyDescent="0.25">
      <c r="A44" s="10">
        <v>0.59583333333333333</v>
      </c>
      <c r="B44" s="2">
        <f t="shared" si="11"/>
        <v>39</v>
      </c>
      <c r="C44" s="4">
        <f t="shared" si="12"/>
        <v>23.83</v>
      </c>
      <c r="D44" s="2">
        <v>7.5</v>
      </c>
      <c r="E44" s="2">
        <v>50.26548245743669</v>
      </c>
      <c r="F44" s="11">
        <f t="shared" si="0"/>
        <v>1.492077591486519</v>
      </c>
      <c r="G44" s="2">
        <f t="shared" si="1"/>
        <v>35.556209005123748</v>
      </c>
      <c r="H44" s="2">
        <f t="shared" si="2"/>
        <v>2.4800320883604816</v>
      </c>
      <c r="I44" s="2">
        <f t="shared" si="3"/>
        <v>59.099164665630269</v>
      </c>
      <c r="J44" s="2">
        <f t="shared" si="4"/>
        <v>23.542955660506522</v>
      </c>
      <c r="K44" s="12">
        <v>0.56180555555555556</v>
      </c>
      <c r="L44" s="2">
        <f t="shared" si="14"/>
        <v>39</v>
      </c>
      <c r="M44" s="2">
        <f t="shared" si="15"/>
        <v>23.58</v>
      </c>
      <c r="N44" s="2">
        <v>8.5</v>
      </c>
      <c r="O44" s="2">
        <v>50.26548245743669</v>
      </c>
      <c r="P44" s="11">
        <f t="shared" si="5"/>
        <v>1.6910212703513881</v>
      </c>
      <c r="Q44" s="2">
        <f t="shared" si="6"/>
        <v>39.874281554885727</v>
      </c>
      <c r="R44" s="2">
        <f t="shared" si="7"/>
        <v>2.4985513630708889</v>
      </c>
      <c r="S44" s="2">
        <f t="shared" si="8"/>
        <v>58.915841141211558</v>
      </c>
      <c r="T44" s="2">
        <f t="shared" si="9"/>
        <v>19.041559586325832</v>
      </c>
    </row>
    <row r="45" spans="1:20" x14ac:dyDescent="0.25">
      <c r="A45" s="14">
        <f t="shared" ref="A45:A82" si="16">IF(AND($A$44&lt;&gt;"",$A$83&lt;&gt;""), $A$44 + (B45 - $B$44) * (($A$83 - $A$44) / ($B$83 - $B$44)), "")</f>
        <v>0.59606481481481477</v>
      </c>
      <c r="B45" s="2">
        <f t="shared" si="11"/>
        <v>40</v>
      </c>
      <c r="C45" s="4">
        <f t="shared" si="12"/>
        <v>24.33</v>
      </c>
      <c r="D45" s="2">
        <v>8</v>
      </c>
      <c r="E45" s="2">
        <v>50.26548245743669</v>
      </c>
      <c r="F45" s="11">
        <f t="shared" si="0"/>
        <v>1.5915494309189535</v>
      </c>
      <c r="G45" s="2">
        <f t="shared" si="1"/>
        <v>38.722397654258138</v>
      </c>
      <c r="H45" s="2">
        <f t="shared" si="2"/>
        <v>2.4800320883604816</v>
      </c>
      <c r="I45" s="2">
        <f t="shared" si="3"/>
        <v>60.339180709810513</v>
      </c>
      <c r="J45" s="2">
        <f t="shared" si="4"/>
        <v>21.616783055552375</v>
      </c>
      <c r="K45" s="15">
        <f t="shared" ref="K45:K82" si="17">IF(AND($K$44&lt;&gt;"",$K$83&lt;&gt;""), $K$44 + (L45 - $L$44) * (($K$83 - $K$44) / ($L$83 - $L$44)), "")</f>
        <v>0.56200142450142454</v>
      </c>
      <c r="L45" s="2">
        <f t="shared" si="14"/>
        <v>40</v>
      </c>
      <c r="M45" s="2">
        <f t="shared" si="15"/>
        <v>24.08</v>
      </c>
      <c r="N45" s="2">
        <v>8.5</v>
      </c>
      <c r="O45" s="2">
        <v>50.26548245743669</v>
      </c>
      <c r="P45" s="11">
        <f t="shared" si="5"/>
        <v>1.6910212703513881</v>
      </c>
      <c r="Q45" s="2">
        <f t="shared" si="6"/>
        <v>40.719792190061419</v>
      </c>
      <c r="R45" s="2">
        <f t="shared" si="7"/>
        <v>2.4985513630708889</v>
      </c>
      <c r="S45" s="2">
        <f t="shared" si="8"/>
        <v>60.165116822747002</v>
      </c>
      <c r="T45" s="2">
        <f t="shared" si="9"/>
        <v>19.445324632685583</v>
      </c>
    </row>
    <row r="46" spans="1:20" x14ac:dyDescent="0.25">
      <c r="A46" s="14">
        <f t="shared" si="16"/>
        <v>0.59629629629629632</v>
      </c>
      <c r="B46" s="2">
        <f t="shared" si="11"/>
        <v>41</v>
      </c>
      <c r="C46" s="4">
        <f t="shared" si="12"/>
        <v>24.83</v>
      </c>
      <c r="D46" s="2">
        <v>8.5</v>
      </c>
      <c r="E46" s="2">
        <v>50.26548245743669</v>
      </c>
      <c r="F46" s="11">
        <f t="shared" si="0"/>
        <v>1.6910212703513881</v>
      </c>
      <c r="G46" s="2">
        <f t="shared" si="1"/>
        <v>41.988058142824961</v>
      </c>
      <c r="H46" s="2">
        <f t="shared" si="2"/>
        <v>2.4800320883604816</v>
      </c>
      <c r="I46" s="2">
        <f t="shared" si="3"/>
        <v>61.579196753990757</v>
      </c>
      <c r="J46" s="2">
        <f t="shared" si="4"/>
        <v>19.591138611165796</v>
      </c>
      <c r="K46" s="15">
        <f t="shared" si="17"/>
        <v>0.56219729344729341</v>
      </c>
      <c r="L46" s="2">
        <f t="shared" si="14"/>
        <v>41</v>
      </c>
      <c r="M46" s="2">
        <f t="shared" si="15"/>
        <v>24.58</v>
      </c>
      <c r="N46" s="2">
        <v>8</v>
      </c>
      <c r="O46" s="2">
        <v>50.26548245743669</v>
      </c>
      <c r="P46" s="11">
        <f t="shared" si="5"/>
        <v>1.5915494309189535</v>
      </c>
      <c r="Q46" s="2">
        <f t="shared" si="6"/>
        <v>39.120285011987875</v>
      </c>
      <c r="R46" s="2">
        <f t="shared" si="7"/>
        <v>2.4985513630708889</v>
      </c>
      <c r="S46" s="2">
        <f t="shared" si="8"/>
        <v>61.414392504282446</v>
      </c>
      <c r="T46" s="2">
        <f t="shared" si="9"/>
        <v>22.294107492294572</v>
      </c>
    </row>
    <row r="47" spans="1:20" x14ac:dyDescent="0.25">
      <c r="A47" s="14">
        <f t="shared" si="16"/>
        <v>0.59652777777777777</v>
      </c>
      <c r="B47" s="2">
        <f t="shared" si="11"/>
        <v>42</v>
      </c>
      <c r="C47" s="4">
        <f t="shared" si="12"/>
        <v>25.33</v>
      </c>
      <c r="D47" s="2">
        <v>8.5</v>
      </c>
      <c r="E47" s="2">
        <v>50.26548245743669</v>
      </c>
      <c r="F47" s="11">
        <f t="shared" si="0"/>
        <v>1.6910212703513881</v>
      </c>
      <c r="G47" s="2">
        <f t="shared" si="1"/>
        <v>42.833568778000654</v>
      </c>
      <c r="H47" s="2">
        <f t="shared" si="2"/>
        <v>2.4800320883604816</v>
      </c>
      <c r="I47" s="2">
        <f t="shared" si="3"/>
        <v>62.819212798170994</v>
      </c>
      <c r="J47" s="2">
        <f t="shared" si="4"/>
        <v>19.985644020170341</v>
      </c>
      <c r="K47" s="15">
        <f t="shared" si="17"/>
        <v>0.56239316239316239</v>
      </c>
      <c r="L47" s="2">
        <f t="shared" si="14"/>
        <v>42</v>
      </c>
      <c r="M47" s="2">
        <f t="shared" si="15"/>
        <v>25.08</v>
      </c>
      <c r="N47" s="2">
        <v>8.5</v>
      </c>
      <c r="O47" s="2">
        <v>50.26548245743669</v>
      </c>
      <c r="P47" s="11">
        <f t="shared" si="5"/>
        <v>1.6910212703513881</v>
      </c>
      <c r="Q47" s="2">
        <f t="shared" si="6"/>
        <v>42.410813460412811</v>
      </c>
      <c r="R47" s="2">
        <f t="shared" si="7"/>
        <v>2.4985513630708889</v>
      </c>
      <c r="S47" s="2">
        <f t="shared" si="8"/>
        <v>62.66366818581789</v>
      </c>
      <c r="T47" s="2">
        <f t="shared" si="9"/>
        <v>20.252854725405079</v>
      </c>
    </row>
    <row r="48" spans="1:20" x14ac:dyDescent="0.25">
      <c r="A48" s="14">
        <f t="shared" si="16"/>
        <v>0.59675925925925921</v>
      </c>
      <c r="B48" s="2">
        <f t="shared" si="11"/>
        <v>43</v>
      </c>
      <c r="C48" s="4">
        <f t="shared" si="12"/>
        <v>25.83</v>
      </c>
      <c r="D48" s="2">
        <v>8</v>
      </c>
      <c r="E48" s="2">
        <v>50.26548245743669</v>
      </c>
      <c r="F48" s="11">
        <f t="shared" si="0"/>
        <v>1.5915494309189535</v>
      </c>
      <c r="G48" s="2">
        <f t="shared" si="1"/>
        <v>41.109721800636564</v>
      </c>
      <c r="H48" s="2">
        <f t="shared" si="2"/>
        <v>2.4800320883604816</v>
      </c>
      <c r="I48" s="2">
        <f t="shared" si="3"/>
        <v>64.059228842351231</v>
      </c>
      <c r="J48" s="2">
        <f t="shared" si="4"/>
        <v>22.949507041714668</v>
      </c>
      <c r="K48" s="15">
        <f t="shared" si="17"/>
        <v>0.56258903133903138</v>
      </c>
      <c r="L48" s="2">
        <f t="shared" si="14"/>
        <v>43</v>
      </c>
      <c r="M48" s="2">
        <f t="shared" si="15"/>
        <v>25.58</v>
      </c>
      <c r="N48" s="2">
        <v>8.5</v>
      </c>
      <c r="O48" s="2">
        <v>50.26548245743669</v>
      </c>
      <c r="P48" s="11">
        <f t="shared" si="5"/>
        <v>1.6910212703513881</v>
      </c>
      <c r="Q48" s="2">
        <f t="shared" si="6"/>
        <v>43.256324095588504</v>
      </c>
      <c r="R48" s="2">
        <f t="shared" si="7"/>
        <v>2.4985513630708889</v>
      </c>
      <c r="S48" s="2">
        <f t="shared" si="8"/>
        <v>63.912943867353334</v>
      </c>
      <c r="T48" s="2">
        <f t="shared" si="9"/>
        <v>20.656619771764831</v>
      </c>
    </row>
    <row r="49" spans="1:20" x14ac:dyDescent="0.25">
      <c r="A49" s="14">
        <f t="shared" si="16"/>
        <v>0.59699074074074077</v>
      </c>
      <c r="B49" s="2">
        <f t="shared" si="11"/>
        <v>44</v>
      </c>
      <c r="C49" s="4">
        <f t="shared" si="12"/>
        <v>26.33</v>
      </c>
      <c r="D49" s="2">
        <v>8</v>
      </c>
      <c r="E49" s="2">
        <v>50.26548245743669</v>
      </c>
      <c r="F49" s="11">
        <f t="shared" si="0"/>
        <v>1.5915494309189535</v>
      </c>
      <c r="G49" s="2">
        <f t="shared" si="1"/>
        <v>41.905496516096044</v>
      </c>
      <c r="H49" s="2">
        <f t="shared" si="2"/>
        <v>2.4800320883604816</v>
      </c>
      <c r="I49" s="2">
        <f t="shared" si="3"/>
        <v>65.299244886531483</v>
      </c>
      <c r="J49" s="2">
        <f t="shared" si="4"/>
        <v>23.393748370435439</v>
      </c>
      <c r="K49" s="15">
        <f t="shared" si="17"/>
        <v>0.56278490028490025</v>
      </c>
      <c r="L49" s="2">
        <f t="shared" si="14"/>
        <v>44</v>
      </c>
      <c r="M49" s="2">
        <f t="shared" si="15"/>
        <v>26.08</v>
      </c>
      <c r="N49" s="2">
        <v>7</v>
      </c>
      <c r="O49" s="2">
        <v>50.26548245743669</v>
      </c>
      <c r="P49" s="11">
        <f t="shared" si="5"/>
        <v>1.3926057520540844</v>
      </c>
      <c r="Q49" s="2">
        <f t="shared" si="6"/>
        <v>36.319158013570522</v>
      </c>
      <c r="R49" s="2">
        <f t="shared" si="7"/>
        <v>2.4985513630708889</v>
      </c>
      <c r="S49" s="2">
        <f t="shared" si="8"/>
        <v>65.162219548888771</v>
      </c>
      <c r="T49" s="2">
        <f t="shared" si="9"/>
        <v>28.843061535318249</v>
      </c>
    </row>
    <row r="50" spans="1:20" x14ac:dyDescent="0.25">
      <c r="A50" s="14">
        <f t="shared" si="16"/>
        <v>0.59722222222222221</v>
      </c>
      <c r="B50" s="2">
        <f t="shared" si="11"/>
        <v>45</v>
      </c>
      <c r="C50" s="4">
        <f t="shared" si="12"/>
        <v>26.83</v>
      </c>
      <c r="D50" s="2">
        <v>8</v>
      </c>
      <c r="E50" s="2">
        <v>50.26548245743669</v>
      </c>
      <c r="F50" s="11">
        <f t="shared" si="0"/>
        <v>1.5915494309189535</v>
      </c>
      <c r="G50" s="2">
        <f t="shared" si="1"/>
        <v>42.701271231555523</v>
      </c>
      <c r="H50" s="2">
        <f t="shared" si="2"/>
        <v>2.4800320883604816</v>
      </c>
      <c r="I50" s="2">
        <f t="shared" si="3"/>
        <v>66.53926093071172</v>
      </c>
      <c r="J50" s="2">
        <f t="shared" si="4"/>
        <v>23.837989699156196</v>
      </c>
      <c r="K50" s="15">
        <f t="shared" si="17"/>
        <v>0.56298076923076923</v>
      </c>
      <c r="L50" s="2">
        <f t="shared" si="14"/>
        <v>45</v>
      </c>
      <c r="M50" s="2">
        <f t="shared" si="15"/>
        <v>26.58</v>
      </c>
      <c r="N50" s="2">
        <v>8.5</v>
      </c>
      <c r="O50" s="2">
        <v>50.26548245743669</v>
      </c>
      <c r="P50" s="11">
        <f t="shared" si="5"/>
        <v>1.6910212703513881</v>
      </c>
      <c r="Q50" s="2">
        <f t="shared" si="6"/>
        <v>44.947345365939888</v>
      </c>
      <c r="R50" s="2">
        <f t="shared" si="7"/>
        <v>2.4985513630708889</v>
      </c>
      <c r="S50" s="2">
        <f t="shared" si="8"/>
        <v>66.411495230424222</v>
      </c>
      <c r="T50" s="2">
        <f t="shared" si="9"/>
        <v>21.464149864484334</v>
      </c>
    </row>
    <row r="51" spans="1:20" x14ac:dyDescent="0.25">
      <c r="A51" s="14">
        <f t="shared" si="16"/>
        <v>0.59745370370370365</v>
      </c>
      <c r="B51" s="2">
        <f t="shared" si="11"/>
        <v>46</v>
      </c>
      <c r="C51" s="4">
        <f t="shared" si="12"/>
        <v>27.33</v>
      </c>
      <c r="D51" s="2">
        <v>9</v>
      </c>
      <c r="E51" s="2">
        <v>50.26548245743669</v>
      </c>
      <c r="F51" s="11">
        <f t="shared" si="0"/>
        <v>1.7904931097838226</v>
      </c>
      <c r="G51" s="2">
        <f t="shared" si="1"/>
        <v>48.934176690391865</v>
      </c>
      <c r="H51" s="2">
        <f t="shared" si="2"/>
        <v>2.4800320883604816</v>
      </c>
      <c r="I51" s="2">
        <f t="shared" si="3"/>
        <v>67.779276974891957</v>
      </c>
      <c r="J51" s="2">
        <f t="shared" si="4"/>
        <v>18.845100284500091</v>
      </c>
      <c r="K51" s="15">
        <f t="shared" si="17"/>
        <v>0.56317663817663821</v>
      </c>
      <c r="L51" s="2">
        <f t="shared" si="14"/>
        <v>46</v>
      </c>
      <c r="M51" s="2">
        <f t="shared" si="15"/>
        <v>27.08</v>
      </c>
      <c r="N51" s="2">
        <v>9</v>
      </c>
      <c r="O51" s="2">
        <v>50.26548245743669</v>
      </c>
      <c r="P51" s="11">
        <f t="shared" si="5"/>
        <v>1.7904931097838226</v>
      </c>
      <c r="Q51" s="2">
        <f t="shared" si="6"/>
        <v>48.486553412945909</v>
      </c>
      <c r="R51" s="2">
        <f t="shared" si="7"/>
        <v>2.4985513630708889</v>
      </c>
      <c r="S51" s="2">
        <f t="shared" si="8"/>
        <v>67.660770911959673</v>
      </c>
      <c r="T51" s="2">
        <f t="shared" si="9"/>
        <v>19.174217499013764</v>
      </c>
    </row>
    <row r="52" spans="1:20" x14ac:dyDescent="0.25">
      <c r="A52" s="14">
        <f t="shared" si="16"/>
        <v>0.59768518518518521</v>
      </c>
      <c r="B52" s="2">
        <f t="shared" si="11"/>
        <v>47</v>
      </c>
      <c r="C52" s="4">
        <f t="shared" si="12"/>
        <v>27.83</v>
      </c>
      <c r="D52" s="2">
        <v>9</v>
      </c>
      <c r="E52" s="2">
        <v>50.26548245743669</v>
      </c>
      <c r="F52" s="11">
        <f t="shared" si="0"/>
        <v>1.7904931097838226</v>
      </c>
      <c r="G52" s="2">
        <f t="shared" si="1"/>
        <v>49.829423245283778</v>
      </c>
      <c r="H52" s="2">
        <f t="shared" si="2"/>
        <v>2.4800320883604816</v>
      </c>
      <c r="I52" s="2">
        <f t="shared" si="3"/>
        <v>69.019293019072194</v>
      </c>
      <c r="J52" s="2">
        <f t="shared" si="4"/>
        <v>19.189869773788416</v>
      </c>
      <c r="K52" s="15">
        <f t="shared" si="17"/>
        <v>0.56337250712250708</v>
      </c>
      <c r="L52" s="2">
        <f t="shared" si="14"/>
        <v>47</v>
      </c>
      <c r="M52" s="2">
        <f t="shared" si="15"/>
        <v>27.58</v>
      </c>
      <c r="N52" s="2">
        <v>10.5</v>
      </c>
      <c r="O52" s="2">
        <v>50.26548245743669</v>
      </c>
      <c r="P52" s="11">
        <f t="shared" si="5"/>
        <v>2.0889086280811267</v>
      </c>
      <c r="Q52" s="2">
        <f t="shared" si="6"/>
        <v>57.612099962477473</v>
      </c>
      <c r="R52" s="2">
        <f t="shared" si="7"/>
        <v>2.4985513630708889</v>
      </c>
      <c r="S52" s="2">
        <f t="shared" si="8"/>
        <v>68.91004659349511</v>
      </c>
      <c r="T52" s="2">
        <f t="shared" si="9"/>
        <v>11.297946631017638</v>
      </c>
    </row>
    <row r="53" spans="1:20" x14ac:dyDescent="0.25">
      <c r="A53" s="14">
        <f t="shared" si="16"/>
        <v>0.59791666666666665</v>
      </c>
      <c r="B53" s="2">
        <f t="shared" si="11"/>
        <v>48</v>
      </c>
      <c r="C53" s="4">
        <f t="shared" si="12"/>
        <v>28.33</v>
      </c>
      <c r="D53" s="2">
        <v>9.5</v>
      </c>
      <c r="E53" s="2">
        <v>50.26548245743669</v>
      </c>
      <c r="F53" s="11">
        <f t="shared" si="0"/>
        <v>1.8899649492162571</v>
      </c>
      <c r="G53" s="2">
        <f t="shared" si="1"/>
        <v>53.542707011296564</v>
      </c>
      <c r="H53" s="2">
        <f t="shared" si="2"/>
        <v>2.4800320883604816</v>
      </c>
      <c r="I53" s="2">
        <f t="shared" si="3"/>
        <v>70.259309063252445</v>
      </c>
      <c r="J53" s="2">
        <f t="shared" si="4"/>
        <v>16.716602051955881</v>
      </c>
      <c r="K53" s="15">
        <f t="shared" si="17"/>
        <v>0.56356837606837606</v>
      </c>
      <c r="L53" s="2">
        <f t="shared" si="14"/>
        <v>48</v>
      </c>
      <c r="M53" s="2">
        <f t="shared" si="15"/>
        <v>28.08</v>
      </c>
      <c r="N53" s="2">
        <v>9.5</v>
      </c>
      <c r="O53" s="2">
        <v>50.26548245743669</v>
      </c>
      <c r="P53" s="11">
        <f t="shared" si="5"/>
        <v>1.8899649492162571</v>
      </c>
      <c r="Q53" s="2">
        <f t="shared" si="6"/>
        <v>53.070215773992494</v>
      </c>
      <c r="R53" s="2">
        <f t="shared" si="7"/>
        <v>2.4985513630708889</v>
      </c>
      <c r="S53" s="2">
        <f t="shared" si="8"/>
        <v>70.159322275030561</v>
      </c>
      <c r="T53" s="2">
        <f t="shared" si="9"/>
        <v>17.089106501038067</v>
      </c>
    </row>
    <row r="54" spans="1:20" x14ac:dyDescent="0.25">
      <c r="A54" s="14">
        <f t="shared" si="16"/>
        <v>0.5981481481481481</v>
      </c>
      <c r="B54" s="2">
        <f t="shared" si="11"/>
        <v>49</v>
      </c>
      <c r="C54" s="4">
        <f t="shared" si="12"/>
        <v>28.83</v>
      </c>
      <c r="D54" s="2">
        <v>10.5</v>
      </c>
      <c r="E54" s="2">
        <v>50.26548245743669</v>
      </c>
      <c r="F54" s="11">
        <f t="shared" si="0"/>
        <v>2.0889086280811267</v>
      </c>
      <c r="G54" s="2">
        <f t="shared" si="1"/>
        <v>60.223235747578876</v>
      </c>
      <c r="H54" s="2">
        <f t="shared" si="2"/>
        <v>2.4800320883604816</v>
      </c>
      <c r="I54" s="2">
        <f t="shared" si="3"/>
        <v>71.499325107432682</v>
      </c>
      <c r="J54" s="2">
        <f t="shared" si="4"/>
        <v>11.276089359853806</v>
      </c>
      <c r="K54" s="15">
        <f t="shared" si="17"/>
        <v>0.56376424501424505</v>
      </c>
      <c r="L54" s="2">
        <f t="shared" si="14"/>
        <v>49</v>
      </c>
      <c r="M54" s="2">
        <f t="shared" si="15"/>
        <v>28.58</v>
      </c>
      <c r="N54" s="2">
        <v>11</v>
      </c>
      <c r="O54" s="2">
        <v>50.26548245743669</v>
      </c>
      <c r="P54" s="11">
        <f t="shared" si="5"/>
        <v>2.1883804675135607</v>
      </c>
      <c r="Q54" s="2">
        <f t="shared" si="6"/>
        <v>62.54391376153756</v>
      </c>
      <c r="R54" s="2">
        <f t="shared" si="7"/>
        <v>2.4985513630708889</v>
      </c>
      <c r="S54" s="2">
        <f t="shared" si="8"/>
        <v>71.408597956565998</v>
      </c>
      <c r="T54" s="2">
        <f t="shared" si="9"/>
        <v>8.8646841950284383</v>
      </c>
    </row>
    <row r="55" spans="1:20" x14ac:dyDescent="0.25">
      <c r="A55" s="14">
        <f t="shared" si="16"/>
        <v>0.59837962962962965</v>
      </c>
      <c r="B55" s="2">
        <f t="shared" si="11"/>
        <v>50</v>
      </c>
      <c r="C55" s="4">
        <f t="shared" si="12"/>
        <v>29.33</v>
      </c>
      <c r="D55" s="2">
        <v>12.5</v>
      </c>
      <c r="E55" s="2">
        <v>50.26548245743669</v>
      </c>
      <c r="F55" s="11">
        <f t="shared" si="0"/>
        <v>2.4867959858108648</v>
      </c>
      <c r="G55" s="2">
        <f t="shared" si="1"/>
        <v>72.937726263832658</v>
      </c>
      <c r="H55" s="2">
        <f t="shared" si="2"/>
        <v>2.4800320883604816</v>
      </c>
      <c r="I55" s="2">
        <f t="shared" si="3"/>
        <v>72.739341151612919</v>
      </c>
      <c r="J55" s="2">
        <f t="shared" si="4"/>
        <v>0.19838511221973931</v>
      </c>
      <c r="K55" s="15">
        <f t="shared" si="17"/>
        <v>0.56396011396011392</v>
      </c>
      <c r="L55" s="2">
        <f t="shared" si="14"/>
        <v>50</v>
      </c>
      <c r="M55" s="2">
        <f t="shared" si="15"/>
        <v>29.08</v>
      </c>
      <c r="N55" s="2">
        <v>17</v>
      </c>
      <c r="O55" s="2">
        <v>50.26548245743669</v>
      </c>
      <c r="P55" s="11">
        <f t="shared" si="5"/>
        <v>3.3820425407027761</v>
      </c>
      <c r="Q55" s="2">
        <f t="shared" si="6"/>
        <v>98.34979708363673</v>
      </c>
      <c r="R55" s="2">
        <f t="shared" si="7"/>
        <v>2.4985513630708889</v>
      </c>
      <c r="S55" s="2">
        <f t="shared" si="8"/>
        <v>72.657873638101449</v>
      </c>
      <c r="T55" s="2">
        <f t="shared" si="9"/>
        <v>25.691923445535281</v>
      </c>
    </row>
    <row r="56" spans="1:20" x14ac:dyDescent="0.25">
      <c r="A56" s="14">
        <f t="shared" si="16"/>
        <v>0.59861111111111109</v>
      </c>
      <c r="B56" s="2">
        <f t="shared" si="11"/>
        <v>51</v>
      </c>
      <c r="C56" s="4">
        <f t="shared" si="12"/>
        <v>29.83</v>
      </c>
      <c r="D56" s="2">
        <v>12</v>
      </c>
      <c r="E56" s="2">
        <v>50.26548245743669</v>
      </c>
      <c r="F56" s="11">
        <f t="shared" si="0"/>
        <v>2.3873241463784298</v>
      </c>
      <c r="G56" s="2">
        <f t="shared" si="1"/>
        <v>71.213879286468554</v>
      </c>
      <c r="H56" s="2">
        <f t="shared" si="2"/>
        <v>2.4800320883604816</v>
      </c>
      <c r="I56" s="2">
        <f t="shared" si="3"/>
        <v>73.979357195793156</v>
      </c>
      <c r="J56" s="2">
        <f t="shared" si="4"/>
        <v>2.765477909324602</v>
      </c>
      <c r="K56" s="15">
        <f t="shared" si="17"/>
        <v>0.5641559829059829</v>
      </c>
      <c r="L56" s="2">
        <f t="shared" si="14"/>
        <v>51</v>
      </c>
      <c r="M56" s="2">
        <f t="shared" si="15"/>
        <v>29.58</v>
      </c>
      <c r="N56" s="2">
        <v>13</v>
      </c>
      <c r="O56" s="2">
        <v>50.26548245743669</v>
      </c>
      <c r="P56" s="11">
        <f t="shared" si="5"/>
        <v>2.5862678252432989</v>
      </c>
      <c r="Q56" s="2">
        <f t="shared" si="6"/>
        <v>76.501802270696771</v>
      </c>
      <c r="R56" s="2">
        <f t="shared" si="7"/>
        <v>2.4985513630708889</v>
      </c>
      <c r="S56" s="2">
        <f t="shared" si="8"/>
        <v>73.907149319636886</v>
      </c>
      <c r="T56" s="2">
        <f t="shared" si="9"/>
        <v>2.594652951059885</v>
      </c>
    </row>
    <row r="57" spans="1:20" x14ac:dyDescent="0.25">
      <c r="A57" s="14">
        <f t="shared" si="16"/>
        <v>0.59884259259259254</v>
      </c>
      <c r="B57" s="2">
        <f t="shared" si="11"/>
        <v>52</v>
      </c>
      <c r="C57" s="4">
        <f t="shared" si="12"/>
        <v>30.33</v>
      </c>
      <c r="D57" s="2">
        <v>11</v>
      </c>
      <c r="E57" s="2">
        <v>50.26548245743669</v>
      </c>
      <c r="F57" s="11">
        <f t="shared" si="0"/>
        <v>2.1883804675135607</v>
      </c>
      <c r="G57" s="2">
        <f t="shared" si="1"/>
        <v>66.373579579686293</v>
      </c>
      <c r="H57" s="2">
        <f t="shared" si="2"/>
        <v>2.4800320883604816</v>
      </c>
      <c r="I57" s="2">
        <f t="shared" si="3"/>
        <v>75.219373239973407</v>
      </c>
      <c r="J57" s="2">
        <f t="shared" si="4"/>
        <v>8.8457936602871143</v>
      </c>
      <c r="K57" s="15">
        <f t="shared" si="17"/>
        <v>0.56435185185185188</v>
      </c>
      <c r="L57" s="2">
        <f t="shared" si="14"/>
        <v>52</v>
      </c>
      <c r="M57" s="2">
        <f t="shared" si="15"/>
        <v>30.08</v>
      </c>
      <c r="N57" s="2">
        <v>12</v>
      </c>
      <c r="O57" s="2">
        <v>50.26548245743669</v>
      </c>
      <c r="P57" s="11">
        <f t="shared" si="5"/>
        <v>2.3873241463784298</v>
      </c>
      <c r="Q57" s="2">
        <f t="shared" si="6"/>
        <v>71.810710323063162</v>
      </c>
      <c r="R57" s="2">
        <f t="shared" si="7"/>
        <v>2.4985513630708889</v>
      </c>
      <c r="S57" s="2">
        <f t="shared" si="8"/>
        <v>75.156425001172337</v>
      </c>
      <c r="T57" s="2">
        <f t="shared" si="9"/>
        <v>3.3457146781091751</v>
      </c>
    </row>
    <row r="58" spans="1:20" x14ac:dyDescent="0.25">
      <c r="A58" s="14">
        <f t="shared" si="16"/>
        <v>0.59907407407407409</v>
      </c>
      <c r="B58" s="2">
        <f t="shared" si="11"/>
        <v>53</v>
      </c>
      <c r="C58" s="4">
        <f t="shared" si="12"/>
        <v>30.83</v>
      </c>
      <c r="D58" s="2">
        <v>11.5</v>
      </c>
      <c r="E58" s="2">
        <v>50.26548245743669</v>
      </c>
      <c r="F58" s="11">
        <f t="shared" si="0"/>
        <v>2.2878523069459957</v>
      </c>
      <c r="G58" s="2">
        <f t="shared" si="1"/>
        <v>70.534486623145042</v>
      </c>
      <c r="H58" s="2">
        <f t="shared" si="2"/>
        <v>2.4800320883604816</v>
      </c>
      <c r="I58" s="2">
        <f t="shared" si="3"/>
        <v>76.459389284153644</v>
      </c>
      <c r="J58" s="2">
        <f t="shared" si="4"/>
        <v>5.924902661008602</v>
      </c>
      <c r="K58" s="15">
        <f t="shared" si="17"/>
        <v>0.56454772079772075</v>
      </c>
      <c r="L58" s="2">
        <f t="shared" si="14"/>
        <v>53</v>
      </c>
      <c r="M58" s="2">
        <f t="shared" si="15"/>
        <v>30.58</v>
      </c>
      <c r="N58" s="2">
        <v>12</v>
      </c>
      <c r="O58" s="2">
        <v>50.26548245743669</v>
      </c>
      <c r="P58" s="11">
        <f t="shared" si="5"/>
        <v>2.3873241463784298</v>
      </c>
      <c r="Q58" s="2">
        <f t="shared" si="6"/>
        <v>73.004372396252379</v>
      </c>
      <c r="R58" s="2">
        <f t="shared" si="7"/>
        <v>2.4985513630708889</v>
      </c>
      <c r="S58" s="2">
        <f t="shared" si="8"/>
        <v>76.405700682707774</v>
      </c>
      <c r="T58" s="2">
        <f t="shared" si="9"/>
        <v>3.4013282864553958</v>
      </c>
    </row>
    <row r="59" spans="1:20" x14ac:dyDescent="0.25">
      <c r="A59" s="14">
        <f t="shared" si="16"/>
        <v>0.59930555555555554</v>
      </c>
      <c r="B59" s="2">
        <f t="shared" si="11"/>
        <v>54</v>
      </c>
      <c r="C59" s="4">
        <f t="shared" si="12"/>
        <v>31.33</v>
      </c>
      <c r="D59" s="2">
        <v>12.5</v>
      </c>
      <c r="E59" s="2">
        <v>50.26548245743669</v>
      </c>
      <c r="F59" s="11">
        <f t="shared" si="0"/>
        <v>2.4867959858108648</v>
      </c>
      <c r="G59" s="2">
        <f t="shared" si="1"/>
        <v>77.911318235454388</v>
      </c>
      <c r="H59" s="2">
        <f t="shared" si="2"/>
        <v>2.4800320883604816</v>
      </c>
      <c r="I59" s="2">
        <f t="shared" si="3"/>
        <v>77.699405328333881</v>
      </c>
      <c r="J59" s="2">
        <f t="shared" si="4"/>
        <v>0.21191290712050659</v>
      </c>
      <c r="K59" s="15">
        <f t="shared" si="17"/>
        <v>0.56474358974358974</v>
      </c>
      <c r="L59" s="2">
        <f t="shared" si="14"/>
        <v>54</v>
      </c>
      <c r="M59" s="2">
        <f t="shared" si="15"/>
        <v>31.08</v>
      </c>
      <c r="N59" s="2">
        <v>15.5</v>
      </c>
      <c r="O59" s="2">
        <v>50.26548245743669</v>
      </c>
      <c r="P59" s="11">
        <f t="shared" si="5"/>
        <v>3.0836270224054725</v>
      </c>
      <c r="Q59" s="2">
        <f t="shared" si="6"/>
        <v>95.839127856362083</v>
      </c>
      <c r="R59" s="2">
        <f t="shared" si="7"/>
        <v>2.4985513630708889</v>
      </c>
      <c r="S59" s="2">
        <f t="shared" si="8"/>
        <v>77.654976364243225</v>
      </c>
      <c r="T59" s="2">
        <f t="shared" si="9"/>
        <v>18.184151492118858</v>
      </c>
    </row>
    <row r="60" spans="1:20" x14ac:dyDescent="0.25">
      <c r="A60" s="14">
        <f t="shared" si="16"/>
        <v>0.59953703703703698</v>
      </c>
      <c r="B60" s="2">
        <f t="shared" si="11"/>
        <v>55</v>
      </c>
      <c r="C60" s="4">
        <f t="shared" si="12"/>
        <v>31.83</v>
      </c>
      <c r="D60" s="2">
        <v>12</v>
      </c>
      <c r="E60" s="2">
        <v>50.26548245743669</v>
      </c>
      <c r="F60" s="11">
        <f t="shared" si="0"/>
        <v>2.3873241463784298</v>
      </c>
      <c r="G60" s="2">
        <f t="shared" si="1"/>
        <v>75.988527579225419</v>
      </c>
      <c r="H60" s="2">
        <f t="shared" si="2"/>
        <v>2.4800320883604816</v>
      </c>
      <c r="I60" s="2">
        <f t="shared" si="3"/>
        <v>78.939421372514119</v>
      </c>
      <c r="J60" s="2">
        <f t="shared" si="4"/>
        <v>2.9508937932886994</v>
      </c>
      <c r="K60" s="15">
        <f t="shared" si="17"/>
        <v>0.56493945868945872</v>
      </c>
      <c r="L60" s="2">
        <f t="shared" si="14"/>
        <v>55</v>
      </c>
      <c r="M60" s="2">
        <f t="shared" si="15"/>
        <v>31.58</v>
      </c>
      <c r="N60" s="2">
        <v>13</v>
      </c>
      <c r="O60" s="2">
        <v>50.26548245743669</v>
      </c>
      <c r="P60" s="11">
        <f t="shared" si="5"/>
        <v>2.5862678252432989</v>
      </c>
      <c r="Q60" s="2">
        <f t="shared" si="6"/>
        <v>81.67433792118338</v>
      </c>
      <c r="R60" s="2">
        <f t="shared" si="7"/>
        <v>2.4985513630708889</v>
      </c>
      <c r="S60" s="2">
        <f t="shared" si="8"/>
        <v>78.904252045778662</v>
      </c>
      <c r="T60" s="2">
        <f t="shared" si="9"/>
        <v>2.7700858754047175</v>
      </c>
    </row>
    <row r="61" spans="1:20" x14ac:dyDescent="0.25">
      <c r="A61" s="14">
        <f t="shared" si="16"/>
        <v>0.59976851851851853</v>
      </c>
      <c r="B61" s="2">
        <f t="shared" si="11"/>
        <v>56</v>
      </c>
      <c r="C61" s="4">
        <f t="shared" si="12"/>
        <v>32.33</v>
      </c>
      <c r="D61" s="2">
        <v>16</v>
      </c>
      <c r="E61" s="2">
        <v>50.26548245743669</v>
      </c>
      <c r="F61" s="11">
        <f t="shared" si="0"/>
        <v>3.183098861837907</v>
      </c>
      <c r="G61" s="2">
        <f t="shared" si="1"/>
        <v>102.90958620321953</v>
      </c>
      <c r="H61" s="2">
        <f t="shared" si="2"/>
        <v>2.4800320883604816</v>
      </c>
      <c r="I61" s="2">
        <f t="shared" si="3"/>
        <v>80.17943741669437</v>
      </c>
      <c r="J61" s="2">
        <f t="shared" si="4"/>
        <v>22.730148786525163</v>
      </c>
      <c r="K61" s="15">
        <f t="shared" si="17"/>
        <v>0.56513532763532759</v>
      </c>
      <c r="L61" s="2">
        <f t="shared" si="14"/>
        <v>56</v>
      </c>
      <c r="M61" s="2">
        <f t="shared" si="15"/>
        <v>32.08</v>
      </c>
      <c r="N61" s="2">
        <v>13</v>
      </c>
      <c r="O61" s="2">
        <v>50.26548245743669</v>
      </c>
      <c r="P61" s="11">
        <f t="shared" si="5"/>
        <v>2.5862678252432989</v>
      </c>
      <c r="Q61" s="2">
        <f t="shared" si="6"/>
        <v>82.967471833805021</v>
      </c>
      <c r="R61" s="2">
        <f t="shared" si="7"/>
        <v>2.4985513630708889</v>
      </c>
      <c r="S61" s="2">
        <f t="shared" si="8"/>
        <v>80.153527727314113</v>
      </c>
      <c r="T61" s="2">
        <f t="shared" si="9"/>
        <v>2.8139441064909079</v>
      </c>
    </row>
    <row r="62" spans="1:20" x14ac:dyDescent="0.25">
      <c r="A62" s="14">
        <f t="shared" si="16"/>
        <v>0.6</v>
      </c>
      <c r="B62" s="2">
        <f t="shared" si="11"/>
        <v>57</v>
      </c>
      <c r="C62" s="4">
        <f t="shared" si="12"/>
        <v>32.83</v>
      </c>
      <c r="D62" s="2">
        <v>12.5</v>
      </c>
      <c r="E62" s="2">
        <v>50.26548245743669</v>
      </c>
      <c r="F62" s="11">
        <f t="shared" si="0"/>
        <v>2.4867959858108648</v>
      </c>
      <c r="G62" s="2">
        <f t="shared" si="1"/>
        <v>81.641512214170689</v>
      </c>
      <c r="H62" s="2">
        <f t="shared" si="2"/>
        <v>2.4800320883604816</v>
      </c>
      <c r="I62" s="2">
        <f t="shared" si="3"/>
        <v>81.419453460874607</v>
      </c>
      <c r="J62" s="2">
        <f t="shared" si="4"/>
        <v>0.22205875329608205</v>
      </c>
      <c r="K62" s="15">
        <f t="shared" si="17"/>
        <v>0.56533119658119657</v>
      </c>
      <c r="L62" s="2">
        <f t="shared" si="14"/>
        <v>57</v>
      </c>
      <c r="M62" s="2">
        <f t="shared" si="15"/>
        <v>32.58</v>
      </c>
      <c r="N62" s="2">
        <v>12.5</v>
      </c>
      <c r="O62" s="2">
        <v>50.26548245743669</v>
      </c>
      <c r="P62" s="11">
        <f t="shared" si="5"/>
        <v>2.4867959858108648</v>
      </c>
      <c r="Q62" s="2">
        <f t="shared" si="6"/>
        <v>81.019813217717967</v>
      </c>
      <c r="R62" s="2">
        <f t="shared" si="7"/>
        <v>2.4985513630708889</v>
      </c>
      <c r="S62" s="2">
        <f t="shared" si="8"/>
        <v>81.40280340884955</v>
      </c>
      <c r="T62" s="2">
        <f t="shared" si="9"/>
        <v>0.38299019113158295</v>
      </c>
    </row>
    <row r="63" spans="1:20" x14ac:dyDescent="0.25">
      <c r="A63" s="14">
        <f t="shared" si="16"/>
        <v>0.60023148148148142</v>
      </c>
      <c r="B63" s="2">
        <f t="shared" si="11"/>
        <v>58</v>
      </c>
      <c r="C63" s="4">
        <f t="shared" si="12"/>
        <v>33.33</v>
      </c>
      <c r="D63" s="2">
        <v>17</v>
      </c>
      <c r="E63" s="2">
        <v>50.26548245743669</v>
      </c>
      <c r="F63" s="11">
        <f t="shared" si="0"/>
        <v>3.3820425407027761</v>
      </c>
      <c r="G63" s="2">
        <f t="shared" si="1"/>
        <v>112.72347788162352</v>
      </c>
      <c r="H63" s="2">
        <f t="shared" si="2"/>
        <v>2.4800320883604816</v>
      </c>
      <c r="I63" s="2">
        <f t="shared" si="3"/>
        <v>82.659469505054844</v>
      </c>
      <c r="J63" s="2">
        <f t="shared" si="4"/>
        <v>30.06400837656868</v>
      </c>
      <c r="K63" s="15">
        <f t="shared" si="17"/>
        <v>0.56552706552706555</v>
      </c>
      <c r="L63" s="2">
        <f t="shared" si="14"/>
        <v>58</v>
      </c>
      <c r="M63" s="2">
        <f t="shared" si="15"/>
        <v>33.08</v>
      </c>
      <c r="N63" s="2">
        <v>14.5</v>
      </c>
      <c r="O63" s="2">
        <v>50.26548245743669</v>
      </c>
      <c r="P63" s="11">
        <f t="shared" si="5"/>
        <v>2.8846833435406034</v>
      </c>
      <c r="Q63" s="2">
        <f t="shared" si="6"/>
        <v>95.425325004323156</v>
      </c>
      <c r="R63" s="2">
        <f t="shared" si="7"/>
        <v>2.4985513630708889</v>
      </c>
      <c r="S63" s="2">
        <f t="shared" si="8"/>
        <v>82.652079090385001</v>
      </c>
      <c r="T63" s="2">
        <f t="shared" si="9"/>
        <v>12.773245913938155</v>
      </c>
    </row>
    <row r="64" spans="1:20" x14ac:dyDescent="0.25">
      <c r="A64" s="14">
        <f t="shared" si="16"/>
        <v>0.60046296296296298</v>
      </c>
      <c r="B64" s="2">
        <f t="shared" si="11"/>
        <v>59</v>
      </c>
      <c r="C64" s="4">
        <f t="shared" si="12"/>
        <v>33.83</v>
      </c>
      <c r="D64" s="2">
        <v>12</v>
      </c>
      <c r="E64" s="2">
        <v>50.26548245743669</v>
      </c>
      <c r="F64" s="11">
        <f t="shared" si="0"/>
        <v>2.3873241463784298</v>
      </c>
      <c r="G64" s="2">
        <f t="shared" si="1"/>
        <v>80.76317587198227</v>
      </c>
      <c r="H64" s="2">
        <f t="shared" si="2"/>
        <v>2.4800320883604816</v>
      </c>
      <c r="I64" s="2">
        <f t="shared" si="3"/>
        <v>83.899485549235095</v>
      </c>
      <c r="J64" s="2">
        <f t="shared" si="4"/>
        <v>3.1363096772528252</v>
      </c>
      <c r="K64" s="15">
        <f t="shared" si="17"/>
        <v>0.56572293447293442</v>
      </c>
      <c r="L64" s="2">
        <f t="shared" si="14"/>
        <v>59</v>
      </c>
      <c r="M64" s="2">
        <f t="shared" si="15"/>
        <v>33.58</v>
      </c>
      <c r="N64" s="2">
        <v>13.5</v>
      </c>
      <c r="O64" s="2">
        <v>50.26548245743669</v>
      </c>
      <c r="P64" s="11">
        <f t="shared" si="5"/>
        <v>2.6857396646757339</v>
      </c>
      <c r="Q64" s="2">
        <f t="shared" si="6"/>
        <v>90.187137939811137</v>
      </c>
      <c r="R64" s="2">
        <f t="shared" si="7"/>
        <v>2.4985513630708889</v>
      </c>
      <c r="S64" s="2">
        <f t="shared" si="8"/>
        <v>83.901354771920438</v>
      </c>
      <c r="T64" s="2">
        <f t="shared" si="9"/>
        <v>6.285783167890699</v>
      </c>
    </row>
    <row r="65" spans="1:20" x14ac:dyDescent="0.25">
      <c r="A65" s="14">
        <f t="shared" si="16"/>
        <v>0.60069444444444442</v>
      </c>
      <c r="B65" s="2">
        <f t="shared" si="11"/>
        <v>60</v>
      </c>
      <c r="C65" s="4">
        <f t="shared" si="12"/>
        <v>34.33</v>
      </c>
      <c r="D65" s="2">
        <v>11.5</v>
      </c>
      <c r="E65" s="2">
        <v>50.26548245743669</v>
      </c>
      <c r="F65" s="11">
        <f t="shared" si="0"/>
        <v>2.2878523069459957</v>
      </c>
      <c r="G65" s="2">
        <f t="shared" si="1"/>
        <v>78.541969697456025</v>
      </c>
      <c r="H65" s="2">
        <f t="shared" si="2"/>
        <v>2.4800320883604816</v>
      </c>
      <c r="I65" s="2">
        <f t="shared" si="3"/>
        <v>85.139501593415332</v>
      </c>
      <c r="J65" s="2">
        <f t="shared" si="4"/>
        <v>6.5975318959593068</v>
      </c>
      <c r="K65" s="15">
        <f t="shared" si="17"/>
        <v>0.56591880341880341</v>
      </c>
      <c r="L65" s="2">
        <f t="shared" si="14"/>
        <v>60</v>
      </c>
      <c r="M65" s="2">
        <f t="shared" si="15"/>
        <v>34.08</v>
      </c>
      <c r="N65" s="2">
        <v>12.5</v>
      </c>
      <c r="O65" s="2">
        <v>50.26548245743669</v>
      </c>
      <c r="P65" s="11">
        <f t="shared" si="5"/>
        <v>2.4867959858108648</v>
      </c>
      <c r="Q65" s="2">
        <f t="shared" si="6"/>
        <v>84.750007196434268</v>
      </c>
      <c r="R65" s="2">
        <f t="shared" si="7"/>
        <v>2.4985513630708889</v>
      </c>
      <c r="S65" s="2">
        <f t="shared" si="8"/>
        <v>85.150630453455889</v>
      </c>
      <c r="T65" s="2">
        <f t="shared" si="9"/>
        <v>0.40062325702162127</v>
      </c>
    </row>
    <row r="66" spans="1:20" x14ac:dyDescent="0.25">
      <c r="A66" s="14">
        <f t="shared" si="16"/>
        <v>0.60092592592592586</v>
      </c>
      <c r="B66" s="2">
        <f t="shared" si="11"/>
        <v>61</v>
      </c>
      <c r="C66" s="4">
        <f t="shared" si="12"/>
        <v>34.83</v>
      </c>
      <c r="D66" s="2">
        <v>13</v>
      </c>
      <c r="E66" s="2">
        <v>50.26548245743669</v>
      </c>
      <c r="F66" s="11">
        <f t="shared" si="0"/>
        <v>2.5862678252432989</v>
      </c>
      <c r="G66" s="2">
        <f t="shared" si="1"/>
        <v>90.079708353224092</v>
      </c>
      <c r="H66" s="2">
        <f t="shared" si="2"/>
        <v>2.4800320883604816</v>
      </c>
      <c r="I66" s="2">
        <f t="shared" si="3"/>
        <v>86.379517637595569</v>
      </c>
      <c r="J66" s="2">
        <f t="shared" si="4"/>
        <v>3.7001907156285228</v>
      </c>
      <c r="K66" s="15">
        <f t="shared" si="17"/>
        <v>0.56611467236467239</v>
      </c>
      <c r="L66" s="2">
        <f t="shared" si="14"/>
        <v>61</v>
      </c>
      <c r="M66" s="2">
        <f t="shared" si="15"/>
        <v>34.58</v>
      </c>
      <c r="N66" s="2">
        <v>13.5</v>
      </c>
      <c r="O66" s="2">
        <v>50.26548245743669</v>
      </c>
      <c r="P66" s="11">
        <f t="shared" si="5"/>
        <v>2.6857396646757339</v>
      </c>
      <c r="Q66" s="2">
        <f t="shared" si="6"/>
        <v>92.872877604486874</v>
      </c>
      <c r="R66" s="2">
        <f t="shared" si="7"/>
        <v>2.4985513630708889</v>
      </c>
      <c r="S66" s="2">
        <f t="shared" si="8"/>
        <v>86.399906134991326</v>
      </c>
      <c r="T66" s="2">
        <f t="shared" si="9"/>
        <v>6.4729714694955476</v>
      </c>
    </row>
    <row r="67" spans="1:20" x14ac:dyDescent="0.25">
      <c r="A67" s="14">
        <f t="shared" si="16"/>
        <v>0.60115740740740742</v>
      </c>
      <c r="B67" s="2">
        <f t="shared" si="11"/>
        <v>62</v>
      </c>
      <c r="C67" s="4">
        <f t="shared" si="12"/>
        <v>35.33</v>
      </c>
      <c r="D67" s="2">
        <v>12</v>
      </c>
      <c r="E67" s="2">
        <v>50.26548245743669</v>
      </c>
      <c r="F67" s="11">
        <f t="shared" si="0"/>
        <v>2.3873241463784298</v>
      </c>
      <c r="G67" s="2">
        <f t="shared" si="1"/>
        <v>84.344162091549919</v>
      </c>
      <c r="H67" s="2">
        <f t="shared" si="2"/>
        <v>2.4800320883604816</v>
      </c>
      <c r="I67" s="2">
        <f t="shared" si="3"/>
        <v>87.619533681775806</v>
      </c>
      <c r="J67" s="2">
        <f t="shared" si="4"/>
        <v>3.2753715902258875</v>
      </c>
      <c r="K67" s="15">
        <f t="shared" si="17"/>
        <v>0.56631054131054126</v>
      </c>
      <c r="L67" s="2">
        <f t="shared" si="14"/>
        <v>62</v>
      </c>
      <c r="M67" s="2">
        <f t="shared" si="15"/>
        <v>35.08</v>
      </c>
      <c r="N67" s="2">
        <v>13</v>
      </c>
      <c r="O67" s="2">
        <v>50.26548245743669</v>
      </c>
      <c r="P67" s="11">
        <f t="shared" si="5"/>
        <v>2.5862678252432989</v>
      </c>
      <c r="Q67" s="2">
        <f t="shared" si="6"/>
        <v>90.726275309534927</v>
      </c>
      <c r="R67" s="2">
        <f t="shared" si="7"/>
        <v>2.4985513630708889</v>
      </c>
      <c r="S67" s="2">
        <f t="shared" si="8"/>
        <v>87.649181816526777</v>
      </c>
      <c r="T67" s="2">
        <f t="shared" si="9"/>
        <v>3.0770934930081495</v>
      </c>
    </row>
    <row r="68" spans="1:20" x14ac:dyDescent="0.25">
      <c r="A68" s="14">
        <f t="shared" si="16"/>
        <v>0.60138888888888886</v>
      </c>
      <c r="B68" s="2">
        <f t="shared" si="11"/>
        <v>63</v>
      </c>
      <c r="C68" s="4">
        <f t="shared" si="12"/>
        <v>35.83</v>
      </c>
      <c r="D68" s="2">
        <v>12</v>
      </c>
      <c r="E68" s="2">
        <v>50.26548245743669</v>
      </c>
      <c r="F68" s="11">
        <f t="shared" si="0"/>
        <v>2.3873241463784298</v>
      </c>
      <c r="G68" s="2">
        <f t="shared" si="1"/>
        <v>85.537824164739135</v>
      </c>
      <c r="H68" s="2">
        <f t="shared" si="2"/>
        <v>2.4800320883604816</v>
      </c>
      <c r="I68" s="2">
        <f t="shared" si="3"/>
        <v>88.859549725956057</v>
      </c>
      <c r="J68" s="2">
        <f t="shared" si="4"/>
        <v>3.3217255612169225</v>
      </c>
      <c r="K68" s="15">
        <f t="shared" si="17"/>
        <v>0.56650641025641024</v>
      </c>
      <c r="L68" s="2">
        <f t="shared" si="14"/>
        <v>63</v>
      </c>
      <c r="M68" s="2">
        <f t="shared" si="15"/>
        <v>35.58</v>
      </c>
      <c r="N68" s="2">
        <v>14</v>
      </c>
      <c r="O68" s="2">
        <v>50.26548245743669</v>
      </c>
      <c r="P68" s="11">
        <f t="shared" si="5"/>
        <v>2.7852115041081689</v>
      </c>
      <c r="Q68" s="2">
        <f t="shared" si="6"/>
        <v>99.097825316168638</v>
      </c>
      <c r="R68" s="2">
        <f t="shared" si="7"/>
        <v>2.4985513630708889</v>
      </c>
      <c r="S68" s="2">
        <f t="shared" si="8"/>
        <v>88.898457498062228</v>
      </c>
      <c r="T68" s="2">
        <f t="shared" si="9"/>
        <v>10.19936781810641</v>
      </c>
    </row>
    <row r="69" spans="1:20" x14ac:dyDescent="0.25">
      <c r="A69" s="14">
        <f t="shared" si="16"/>
        <v>0.60162037037037031</v>
      </c>
      <c r="B69" s="2">
        <f t="shared" si="11"/>
        <v>64</v>
      </c>
      <c r="C69" s="4">
        <f t="shared" si="12"/>
        <v>36.33</v>
      </c>
      <c r="D69" s="2">
        <v>12.5</v>
      </c>
      <c r="E69" s="2">
        <v>50.26548245743669</v>
      </c>
      <c r="F69" s="11">
        <f t="shared" si="0"/>
        <v>2.4867959858108648</v>
      </c>
      <c r="G69" s="2">
        <f t="shared" si="1"/>
        <v>90.345298164508719</v>
      </c>
      <c r="H69" s="2">
        <f t="shared" si="2"/>
        <v>2.4800320883604816</v>
      </c>
      <c r="I69" s="2">
        <f t="shared" si="3"/>
        <v>90.099565770136294</v>
      </c>
      <c r="J69" s="2">
        <f t="shared" si="4"/>
        <v>0.24573239437242478</v>
      </c>
      <c r="K69" s="15">
        <f t="shared" si="17"/>
        <v>0.56670227920227922</v>
      </c>
      <c r="L69" s="2">
        <f t="shared" si="14"/>
        <v>64</v>
      </c>
      <c r="M69" s="2">
        <f t="shared" si="15"/>
        <v>36.08</v>
      </c>
      <c r="N69" s="2">
        <v>15</v>
      </c>
      <c r="O69" s="2">
        <v>50.26548245743669</v>
      </c>
      <c r="P69" s="11">
        <f t="shared" si="5"/>
        <v>2.9841551829730379</v>
      </c>
      <c r="Q69" s="2">
        <f t="shared" si="6"/>
        <v>107.6683190016672</v>
      </c>
      <c r="R69" s="2">
        <f t="shared" si="7"/>
        <v>2.4985513630708889</v>
      </c>
      <c r="S69" s="2">
        <f t="shared" si="8"/>
        <v>90.147733179597665</v>
      </c>
      <c r="T69" s="2">
        <f t="shared" si="9"/>
        <v>17.520585822069535</v>
      </c>
    </row>
    <row r="70" spans="1:20" x14ac:dyDescent="0.25">
      <c r="A70" s="14">
        <f t="shared" si="16"/>
        <v>0.60185185185185186</v>
      </c>
      <c r="B70" s="2">
        <f t="shared" si="11"/>
        <v>65</v>
      </c>
      <c r="C70" s="4">
        <f t="shared" si="12"/>
        <v>36.83</v>
      </c>
      <c r="D70" s="2">
        <v>11.5</v>
      </c>
      <c r="E70" s="2">
        <v>50.26548245743669</v>
      </c>
      <c r="F70" s="11">
        <f t="shared" si="0"/>
        <v>2.2878523069459957</v>
      </c>
      <c r="G70" s="2">
        <f t="shared" si="1"/>
        <v>84.261600464821015</v>
      </c>
      <c r="H70" s="2">
        <f t="shared" si="2"/>
        <v>2.4800320883604816</v>
      </c>
      <c r="I70" s="2">
        <f t="shared" si="3"/>
        <v>91.339581814316531</v>
      </c>
      <c r="J70" s="2">
        <f t="shared" si="4"/>
        <v>7.0779813494955164</v>
      </c>
      <c r="K70" s="15">
        <f t="shared" si="17"/>
        <v>0.5668981481481481</v>
      </c>
      <c r="L70" s="2">
        <f t="shared" si="14"/>
        <v>65</v>
      </c>
      <c r="M70" s="2">
        <f t="shared" si="15"/>
        <v>36.58</v>
      </c>
      <c r="N70" s="2">
        <v>14</v>
      </c>
      <c r="O70" s="2">
        <v>50.26548245743669</v>
      </c>
      <c r="P70" s="11">
        <f t="shared" si="5"/>
        <v>2.7852115041081689</v>
      </c>
      <c r="Q70" s="2">
        <f t="shared" si="6"/>
        <v>101.88303682027681</v>
      </c>
      <c r="R70" s="2">
        <f t="shared" si="7"/>
        <v>2.4985513630708889</v>
      </c>
      <c r="S70" s="2">
        <f t="shared" si="8"/>
        <v>91.397008861133116</v>
      </c>
      <c r="T70" s="2">
        <f t="shared" si="9"/>
        <v>10.486027959143698</v>
      </c>
    </row>
    <row r="71" spans="1:20" x14ac:dyDescent="0.25">
      <c r="A71" s="14">
        <f t="shared" si="16"/>
        <v>0.6020833333333333</v>
      </c>
      <c r="B71" s="2">
        <f t="shared" si="11"/>
        <v>66</v>
      </c>
      <c r="C71" s="4">
        <f t="shared" si="12"/>
        <v>37.33</v>
      </c>
      <c r="D71" s="2">
        <v>11.5</v>
      </c>
      <c r="E71" s="2">
        <v>50.26548245743669</v>
      </c>
      <c r="F71" s="11">
        <f t="shared" si="0"/>
        <v>2.2878523069459957</v>
      </c>
      <c r="G71" s="2">
        <f t="shared" si="1"/>
        <v>85.405526618294019</v>
      </c>
      <c r="H71" s="2">
        <f t="shared" si="2"/>
        <v>2.4800320883604816</v>
      </c>
      <c r="I71" s="2">
        <f t="shared" si="3"/>
        <v>92.579597858496768</v>
      </c>
      <c r="J71" s="2">
        <f t="shared" si="4"/>
        <v>7.1740712402027498</v>
      </c>
      <c r="K71" s="15">
        <f t="shared" si="17"/>
        <v>0.56709401709401708</v>
      </c>
      <c r="L71" s="2">
        <f t="shared" si="14"/>
        <v>66</v>
      </c>
      <c r="M71" s="2">
        <f t="shared" si="15"/>
        <v>37.08</v>
      </c>
      <c r="N71" s="2">
        <v>13</v>
      </c>
      <c r="O71" s="2">
        <v>50.26548245743669</v>
      </c>
      <c r="P71" s="11">
        <f t="shared" si="5"/>
        <v>2.5862678252432989</v>
      </c>
      <c r="Q71" s="2">
        <f t="shared" si="6"/>
        <v>95.898810960021521</v>
      </c>
      <c r="R71" s="2">
        <f t="shared" si="7"/>
        <v>2.4985513630708889</v>
      </c>
      <c r="S71" s="2">
        <f t="shared" si="8"/>
        <v>92.646284542668553</v>
      </c>
      <c r="T71" s="2">
        <f t="shared" si="9"/>
        <v>3.2525264173529678</v>
      </c>
    </row>
    <row r="72" spans="1:20" x14ac:dyDescent="0.25">
      <c r="A72" s="14">
        <f t="shared" si="16"/>
        <v>0.60231481481481475</v>
      </c>
      <c r="B72" s="2">
        <f t="shared" si="11"/>
        <v>67</v>
      </c>
      <c r="C72" s="4">
        <f t="shared" si="12"/>
        <v>37.83</v>
      </c>
      <c r="D72" s="2">
        <v>13</v>
      </c>
      <c r="E72" s="2">
        <v>50.26548245743669</v>
      </c>
      <c r="F72" s="11">
        <f t="shared" si="0"/>
        <v>2.5862678252432989</v>
      </c>
      <c r="G72" s="2">
        <f t="shared" si="1"/>
        <v>97.838511828953997</v>
      </c>
      <c r="H72" s="2">
        <f t="shared" si="2"/>
        <v>2.4800320883604816</v>
      </c>
      <c r="I72" s="2">
        <f t="shared" si="3"/>
        <v>93.81961390267702</v>
      </c>
      <c r="J72" s="2">
        <f t="shared" si="4"/>
        <v>4.0188979262769777</v>
      </c>
      <c r="K72" s="15">
        <f t="shared" si="17"/>
        <v>0.56728988603988606</v>
      </c>
      <c r="L72" s="2">
        <f t="shared" si="14"/>
        <v>67</v>
      </c>
      <c r="M72" s="2">
        <f t="shared" si="15"/>
        <v>37.58</v>
      </c>
      <c r="N72" s="2">
        <v>16</v>
      </c>
      <c r="O72" s="2">
        <v>50.26548245743669</v>
      </c>
      <c r="P72" s="11">
        <f t="shared" si="5"/>
        <v>3.183098861837907</v>
      </c>
      <c r="Q72" s="2">
        <f t="shared" si="6"/>
        <v>119.62085522786855</v>
      </c>
      <c r="R72" s="2">
        <f t="shared" si="7"/>
        <v>2.4985513630708889</v>
      </c>
      <c r="S72" s="2">
        <f t="shared" si="8"/>
        <v>93.895560224204004</v>
      </c>
      <c r="T72" s="2">
        <f t="shared" si="9"/>
        <v>25.725295003664542</v>
      </c>
    </row>
    <row r="73" spans="1:20" x14ac:dyDescent="0.25">
      <c r="A73" s="14">
        <f t="shared" si="16"/>
        <v>0.6025462962962963</v>
      </c>
      <c r="B73" s="2">
        <f t="shared" si="11"/>
        <v>68</v>
      </c>
      <c r="C73" s="4">
        <f t="shared" si="12"/>
        <v>38.33</v>
      </c>
      <c r="D73" s="2">
        <v>13</v>
      </c>
      <c r="E73" s="2">
        <v>50.26548245743669</v>
      </c>
      <c r="F73" s="11">
        <f t="shared" si="0"/>
        <v>2.5862678252432989</v>
      </c>
      <c r="G73" s="2">
        <f t="shared" si="1"/>
        <v>99.131645741575639</v>
      </c>
      <c r="H73" s="2">
        <f t="shared" si="2"/>
        <v>2.4800320883604816</v>
      </c>
      <c r="I73" s="2">
        <f t="shared" si="3"/>
        <v>95.059629946857257</v>
      </c>
      <c r="J73" s="2">
        <f t="shared" si="4"/>
        <v>4.0720157947183822</v>
      </c>
      <c r="K73" s="15">
        <f t="shared" si="17"/>
        <v>0.56748575498575493</v>
      </c>
      <c r="L73" s="2">
        <f t="shared" si="14"/>
        <v>68</v>
      </c>
      <c r="M73" s="2">
        <f t="shared" si="15"/>
        <v>38.08</v>
      </c>
      <c r="N73" s="2">
        <v>14</v>
      </c>
      <c r="O73" s="2">
        <v>50.26548245743669</v>
      </c>
      <c r="P73" s="11">
        <f t="shared" si="5"/>
        <v>2.7852115041081689</v>
      </c>
      <c r="Q73" s="2">
        <f t="shared" si="6"/>
        <v>106.06085407643907</v>
      </c>
      <c r="R73" s="2">
        <f t="shared" si="7"/>
        <v>2.4985513630708889</v>
      </c>
      <c r="S73" s="2">
        <f t="shared" si="8"/>
        <v>95.144835905739441</v>
      </c>
      <c r="T73" s="2">
        <f t="shared" si="9"/>
        <v>10.91601817069963</v>
      </c>
    </row>
    <row r="74" spans="1:20" x14ac:dyDescent="0.25">
      <c r="A74" s="14">
        <f t="shared" si="16"/>
        <v>0.60277777777777775</v>
      </c>
      <c r="B74" s="2">
        <f t="shared" si="11"/>
        <v>69</v>
      </c>
      <c r="C74" s="4">
        <f t="shared" si="12"/>
        <v>38.83</v>
      </c>
      <c r="D74" s="2">
        <v>14</v>
      </c>
      <c r="E74" s="2">
        <v>50.26548245743669</v>
      </c>
      <c r="F74" s="11">
        <f t="shared" si="0"/>
        <v>2.7852115041081689</v>
      </c>
      <c r="G74" s="2">
        <f t="shared" si="1"/>
        <v>108.1497627045202</v>
      </c>
      <c r="H74" s="2">
        <f t="shared" si="2"/>
        <v>2.4800320883604816</v>
      </c>
      <c r="I74" s="2">
        <f t="shared" si="3"/>
        <v>96.299645991037494</v>
      </c>
      <c r="J74" s="2">
        <f t="shared" si="4"/>
        <v>11.850116713482706</v>
      </c>
      <c r="K74" s="15">
        <f t="shared" si="17"/>
        <v>0.56768162393162391</v>
      </c>
      <c r="L74" s="2">
        <f t="shared" si="14"/>
        <v>69</v>
      </c>
      <c r="M74" s="2">
        <f t="shared" si="15"/>
        <v>38.58</v>
      </c>
      <c r="N74" s="2">
        <v>13.5</v>
      </c>
      <c r="O74" s="2">
        <v>50.26548245743669</v>
      </c>
      <c r="P74" s="11">
        <f t="shared" si="5"/>
        <v>2.6857396646757339</v>
      </c>
      <c r="Q74" s="2">
        <f t="shared" si="6"/>
        <v>103.61583626318981</v>
      </c>
      <c r="R74" s="2">
        <f t="shared" si="7"/>
        <v>2.4985513630708889</v>
      </c>
      <c r="S74" s="2">
        <f t="shared" si="8"/>
        <v>96.394111587274892</v>
      </c>
      <c r="T74" s="2">
        <f t="shared" si="9"/>
        <v>7.2217246759149134</v>
      </c>
    </row>
    <row r="75" spans="1:20" x14ac:dyDescent="0.25">
      <c r="A75" s="14">
        <f t="shared" si="16"/>
        <v>0.60300925925925919</v>
      </c>
      <c r="B75" s="2">
        <f t="shared" si="11"/>
        <v>70</v>
      </c>
      <c r="C75" s="4">
        <f t="shared" si="12"/>
        <v>39.33</v>
      </c>
      <c r="D75" s="2">
        <v>12</v>
      </c>
      <c r="E75" s="2">
        <v>50.26548245743669</v>
      </c>
      <c r="F75" s="11">
        <f t="shared" si="0"/>
        <v>2.3873241463784298</v>
      </c>
      <c r="G75" s="2">
        <f t="shared" si="1"/>
        <v>93.893458677063634</v>
      </c>
      <c r="H75" s="2">
        <f t="shared" si="2"/>
        <v>2.4800320883604816</v>
      </c>
      <c r="I75" s="2">
        <f t="shared" si="3"/>
        <v>97.539662035217731</v>
      </c>
      <c r="J75" s="2">
        <f t="shared" si="4"/>
        <v>3.6462033581540965</v>
      </c>
      <c r="K75" s="15">
        <f t="shared" si="17"/>
        <v>0.5678774928774929</v>
      </c>
      <c r="L75" s="2">
        <f t="shared" si="14"/>
        <v>70</v>
      </c>
      <c r="M75" s="2">
        <f t="shared" si="15"/>
        <v>39.08</v>
      </c>
      <c r="N75" s="2">
        <v>14.5</v>
      </c>
      <c r="O75" s="2">
        <v>50.26548245743669</v>
      </c>
      <c r="P75" s="11">
        <f t="shared" si="5"/>
        <v>2.8846833435406034</v>
      </c>
      <c r="Q75" s="2">
        <f t="shared" si="6"/>
        <v>112.73342506556678</v>
      </c>
      <c r="R75" s="2">
        <f t="shared" si="7"/>
        <v>2.4985513630708889</v>
      </c>
      <c r="S75" s="2">
        <f t="shared" si="8"/>
        <v>97.643387268810329</v>
      </c>
      <c r="T75" s="2">
        <f t="shared" si="9"/>
        <v>15.090037796756448</v>
      </c>
    </row>
    <row r="76" spans="1:20" x14ac:dyDescent="0.25">
      <c r="A76" s="14">
        <f t="shared" si="16"/>
        <v>0.60324074074074074</v>
      </c>
      <c r="B76" s="2">
        <f t="shared" si="11"/>
        <v>71</v>
      </c>
      <c r="C76" s="4">
        <f t="shared" si="12"/>
        <v>39.83</v>
      </c>
      <c r="D76" s="2">
        <v>15</v>
      </c>
      <c r="E76" s="2">
        <v>50.26548245743669</v>
      </c>
      <c r="F76" s="11">
        <f t="shared" si="0"/>
        <v>2.9841551829730379</v>
      </c>
      <c r="G76" s="2">
        <f t="shared" si="1"/>
        <v>118.8589009378161</v>
      </c>
      <c r="H76" s="2">
        <f t="shared" si="2"/>
        <v>2.4800320883604816</v>
      </c>
      <c r="I76" s="2">
        <f t="shared" si="3"/>
        <v>98.779678079397982</v>
      </c>
      <c r="J76" s="2">
        <f t="shared" si="4"/>
        <v>20.07922285841812</v>
      </c>
      <c r="K76" s="15">
        <f t="shared" si="17"/>
        <v>0.56807336182336177</v>
      </c>
      <c r="L76" s="2">
        <f t="shared" si="14"/>
        <v>71</v>
      </c>
      <c r="M76" s="2">
        <f t="shared" si="15"/>
        <v>39.58</v>
      </c>
      <c r="N76" s="2">
        <v>13.5</v>
      </c>
      <c r="O76" s="2">
        <v>50.26548245743669</v>
      </c>
      <c r="P76" s="11">
        <f t="shared" si="5"/>
        <v>2.6857396646757339</v>
      </c>
      <c r="Q76" s="2">
        <f t="shared" si="6"/>
        <v>106.30157592786554</v>
      </c>
      <c r="R76" s="2">
        <f t="shared" si="7"/>
        <v>2.4985513630708889</v>
      </c>
      <c r="S76" s="2">
        <f t="shared" si="8"/>
        <v>98.89266295034578</v>
      </c>
      <c r="T76" s="2">
        <f t="shared" si="9"/>
        <v>7.408912977519762</v>
      </c>
    </row>
    <row r="77" spans="1:20" x14ac:dyDescent="0.25">
      <c r="A77" s="14">
        <f t="shared" si="16"/>
        <v>0.60347222222222219</v>
      </c>
      <c r="B77" s="2">
        <f t="shared" si="11"/>
        <v>72</v>
      </c>
      <c r="C77" s="4">
        <f t="shared" si="12"/>
        <v>40.33</v>
      </c>
      <c r="D77" s="2">
        <v>14</v>
      </c>
      <c r="E77" s="2">
        <v>50.26548245743669</v>
      </c>
      <c r="F77" s="11">
        <f t="shared" si="0"/>
        <v>2.7852115041081689</v>
      </c>
      <c r="G77" s="2">
        <f t="shared" si="1"/>
        <v>112.32757996068244</v>
      </c>
      <c r="H77" s="2">
        <f t="shared" si="2"/>
        <v>2.4800320883604816</v>
      </c>
      <c r="I77" s="2">
        <f t="shared" si="3"/>
        <v>100.01969412357822</v>
      </c>
      <c r="J77" s="2">
        <f t="shared" si="4"/>
        <v>12.307885837104223</v>
      </c>
      <c r="K77" s="15">
        <f t="shared" si="17"/>
        <v>0.56826923076923075</v>
      </c>
      <c r="L77" s="2">
        <f t="shared" si="14"/>
        <v>72</v>
      </c>
      <c r="M77" s="2">
        <f t="shared" si="15"/>
        <v>40.08</v>
      </c>
      <c r="N77" s="2">
        <v>13.5</v>
      </c>
      <c r="O77" s="2">
        <v>50.26548245743669</v>
      </c>
      <c r="P77" s="11">
        <f t="shared" si="5"/>
        <v>2.6857396646757339</v>
      </c>
      <c r="Q77" s="2">
        <f t="shared" si="6"/>
        <v>107.64444576020341</v>
      </c>
      <c r="R77" s="2">
        <f t="shared" si="7"/>
        <v>2.4985513630708889</v>
      </c>
      <c r="S77" s="2">
        <f t="shared" si="8"/>
        <v>100.14193863188122</v>
      </c>
      <c r="T77" s="2">
        <f t="shared" si="9"/>
        <v>7.5025071283221934</v>
      </c>
    </row>
    <row r="78" spans="1:20" x14ac:dyDescent="0.25">
      <c r="A78" s="14">
        <f t="shared" si="16"/>
        <v>0.60370370370370363</v>
      </c>
      <c r="B78" s="2">
        <f t="shared" si="11"/>
        <v>73</v>
      </c>
      <c r="C78" s="4">
        <f t="shared" si="12"/>
        <v>40.83</v>
      </c>
      <c r="D78" s="2">
        <v>12.5</v>
      </c>
      <c r="E78" s="2">
        <v>50.26548245743669</v>
      </c>
      <c r="F78" s="11">
        <f t="shared" si="0"/>
        <v>2.4867959858108648</v>
      </c>
      <c r="G78" s="2">
        <f t="shared" si="1"/>
        <v>101.53588010065761</v>
      </c>
      <c r="H78" s="2">
        <f t="shared" si="2"/>
        <v>2.4800320883604816</v>
      </c>
      <c r="I78" s="2">
        <f t="shared" si="3"/>
        <v>101.25971016775846</v>
      </c>
      <c r="J78" s="2">
        <f t="shared" si="4"/>
        <v>0.27616993289915115</v>
      </c>
      <c r="K78" s="15">
        <f t="shared" si="17"/>
        <v>0.56846509971509973</v>
      </c>
      <c r="L78" s="2">
        <f t="shared" si="14"/>
        <v>73</v>
      </c>
      <c r="M78" s="2">
        <f t="shared" si="15"/>
        <v>40.58</v>
      </c>
      <c r="N78" s="2">
        <v>13</v>
      </c>
      <c r="O78" s="2">
        <v>50.26548245743669</v>
      </c>
      <c r="P78" s="11">
        <f t="shared" si="5"/>
        <v>2.5862678252432989</v>
      </c>
      <c r="Q78" s="2">
        <f t="shared" si="6"/>
        <v>104.95074834837307</v>
      </c>
      <c r="R78" s="2">
        <f t="shared" si="7"/>
        <v>2.4985513630708889</v>
      </c>
      <c r="S78" s="2">
        <f t="shared" si="8"/>
        <v>101.39121431341667</v>
      </c>
      <c r="T78" s="2">
        <f t="shared" si="9"/>
        <v>3.5595340349563998</v>
      </c>
    </row>
    <row r="79" spans="1:20" x14ac:dyDescent="0.25">
      <c r="A79" s="14">
        <f t="shared" si="16"/>
        <v>0.60393518518518519</v>
      </c>
      <c r="B79" s="2">
        <f t="shared" si="11"/>
        <v>74</v>
      </c>
      <c r="C79" s="4">
        <f t="shared" si="12"/>
        <v>41.33</v>
      </c>
      <c r="D79" s="2">
        <v>11.5</v>
      </c>
      <c r="E79" s="2">
        <v>50.26548245743669</v>
      </c>
      <c r="F79" s="11">
        <f t="shared" si="0"/>
        <v>2.2878523069459957</v>
      </c>
      <c r="G79" s="2">
        <f t="shared" si="1"/>
        <v>94.556935846078005</v>
      </c>
      <c r="H79" s="2">
        <f t="shared" si="2"/>
        <v>2.4800320883604816</v>
      </c>
      <c r="I79" s="2">
        <f t="shared" si="3"/>
        <v>102.49972621193871</v>
      </c>
      <c r="J79" s="2">
        <f t="shared" si="4"/>
        <v>7.9427903658607022</v>
      </c>
      <c r="K79" s="15">
        <f t="shared" si="17"/>
        <v>0.5686609686609686</v>
      </c>
      <c r="L79" s="2">
        <f t="shared" si="14"/>
        <v>74</v>
      </c>
      <c r="M79" s="2">
        <f t="shared" si="15"/>
        <v>41.08</v>
      </c>
      <c r="N79" s="2">
        <v>12.5</v>
      </c>
      <c r="O79" s="2">
        <v>50.26548245743669</v>
      </c>
      <c r="P79" s="11">
        <f t="shared" si="5"/>
        <v>2.4867959858108648</v>
      </c>
      <c r="Q79" s="2">
        <f t="shared" si="6"/>
        <v>102.15757909711033</v>
      </c>
      <c r="R79" s="2">
        <f t="shared" si="7"/>
        <v>2.4985513630708889</v>
      </c>
      <c r="S79" s="2">
        <f t="shared" si="8"/>
        <v>102.64048999495211</v>
      </c>
      <c r="T79" s="2">
        <f t="shared" si="9"/>
        <v>0.48291089784177643</v>
      </c>
    </row>
    <row r="80" spans="1:20" x14ac:dyDescent="0.25">
      <c r="A80" s="14">
        <f t="shared" si="16"/>
        <v>0.60416666666666663</v>
      </c>
      <c r="B80" s="2">
        <f t="shared" si="11"/>
        <v>75</v>
      </c>
      <c r="C80" s="4">
        <f t="shared" si="12"/>
        <v>41.83</v>
      </c>
      <c r="D80" s="2">
        <v>15.5</v>
      </c>
      <c r="E80" s="2">
        <v>50.26548245743669</v>
      </c>
      <c r="F80" s="11">
        <f t="shared" si="0"/>
        <v>3.0836270224054725</v>
      </c>
      <c r="G80" s="2">
        <f t="shared" si="1"/>
        <v>128.9881183472209</v>
      </c>
      <c r="H80" s="2">
        <f t="shared" si="2"/>
        <v>2.4800320883604816</v>
      </c>
      <c r="I80" s="2">
        <f t="shared" si="3"/>
        <v>103.73974225611894</v>
      </c>
      <c r="J80" s="2">
        <f t="shared" si="4"/>
        <v>25.24837609110196</v>
      </c>
      <c r="K80" s="15">
        <f t="shared" si="17"/>
        <v>0.56885683760683758</v>
      </c>
      <c r="L80" s="2">
        <f t="shared" si="14"/>
        <v>75</v>
      </c>
      <c r="M80" s="2">
        <f t="shared" si="15"/>
        <v>41.58</v>
      </c>
      <c r="N80" s="2">
        <v>13</v>
      </c>
      <c r="O80" s="2">
        <v>50.26548245743669</v>
      </c>
      <c r="P80" s="11">
        <f t="shared" si="5"/>
        <v>2.5862678252432989</v>
      </c>
      <c r="Q80" s="2">
        <f t="shared" si="6"/>
        <v>107.53701617361637</v>
      </c>
      <c r="R80" s="2">
        <f t="shared" si="7"/>
        <v>2.4985513630708889</v>
      </c>
      <c r="S80" s="2">
        <f t="shared" si="8"/>
        <v>103.88976567648756</v>
      </c>
      <c r="T80" s="2">
        <f t="shared" si="9"/>
        <v>3.6472504971288089</v>
      </c>
    </row>
    <row r="81" spans="1:20" x14ac:dyDescent="0.25">
      <c r="A81" s="14">
        <f t="shared" si="16"/>
        <v>0.60439814814814807</v>
      </c>
      <c r="B81" s="2">
        <f t="shared" si="11"/>
        <v>76</v>
      </c>
      <c r="C81" s="4">
        <f t="shared" si="12"/>
        <v>42.33</v>
      </c>
      <c r="D81" s="2">
        <v>13</v>
      </c>
      <c r="E81" s="2">
        <v>50.26548245743669</v>
      </c>
      <c r="F81" s="11">
        <f t="shared" si="0"/>
        <v>2.5862678252432989</v>
      </c>
      <c r="G81" s="2">
        <f t="shared" si="1"/>
        <v>109.47671704254884</v>
      </c>
      <c r="H81" s="2">
        <f t="shared" si="2"/>
        <v>2.4800320883604816</v>
      </c>
      <c r="I81" s="2">
        <f t="shared" si="3"/>
        <v>104.97975830029918</v>
      </c>
      <c r="J81" s="2">
        <f t="shared" si="4"/>
        <v>4.4969587422496602</v>
      </c>
      <c r="K81" s="15">
        <f t="shared" si="17"/>
        <v>0.56905270655270657</v>
      </c>
      <c r="L81" s="2">
        <f t="shared" si="14"/>
        <v>76</v>
      </c>
      <c r="M81" s="2">
        <f t="shared" si="15"/>
        <v>42.08</v>
      </c>
      <c r="N81" s="2">
        <v>13.5</v>
      </c>
      <c r="O81" s="2">
        <v>50.26548245743669</v>
      </c>
      <c r="P81" s="11">
        <f t="shared" si="5"/>
        <v>2.6857396646757339</v>
      </c>
      <c r="Q81" s="2">
        <f t="shared" si="6"/>
        <v>113.01592508955488</v>
      </c>
      <c r="R81" s="2">
        <f t="shared" si="7"/>
        <v>2.4985513630708889</v>
      </c>
      <c r="S81" s="2">
        <f t="shared" si="8"/>
        <v>105.13904135802299</v>
      </c>
      <c r="T81" s="2">
        <f t="shared" si="9"/>
        <v>7.8768837315318905</v>
      </c>
    </row>
    <row r="82" spans="1:20" x14ac:dyDescent="0.25">
      <c r="A82" s="14">
        <f t="shared" si="16"/>
        <v>0.60462962962962963</v>
      </c>
      <c r="B82" s="2">
        <f t="shared" si="11"/>
        <v>77</v>
      </c>
      <c r="C82" s="4">
        <f t="shared" si="12"/>
        <v>42.83</v>
      </c>
      <c r="D82" s="2">
        <v>12.5</v>
      </c>
      <c r="E82" s="2">
        <v>50.26548245743669</v>
      </c>
      <c r="F82" s="11">
        <f t="shared" si="0"/>
        <v>2.4867959858108648</v>
      </c>
      <c r="G82" s="2">
        <f t="shared" si="1"/>
        <v>106.50947207227934</v>
      </c>
      <c r="H82" s="2">
        <f t="shared" si="2"/>
        <v>2.4800320883604816</v>
      </c>
      <c r="I82" s="2">
        <f t="shared" si="3"/>
        <v>106.21977434447942</v>
      </c>
      <c r="J82" s="2">
        <f t="shared" si="4"/>
        <v>0.28969772779991843</v>
      </c>
      <c r="K82" s="15">
        <f t="shared" si="17"/>
        <v>0.56924857549857544</v>
      </c>
      <c r="L82" s="2">
        <f t="shared" si="14"/>
        <v>77</v>
      </c>
      <c r="M82" s="2">
        <f t="shared" si="15"/>
        <v>42.58</v>
      </c>
      <c r="N82" s="2">
        <v>13.5</v>
      </c>
      <c r="O82" s="2">
        <v>50.26548245743669</v>
      </c>
      <c r="P82" s="11">
        <f t="shared" si="5"/>
        <v>2.6857396646757339</v>
      </c>
      <c r="Q82" s="2">
        <f t="shared" si="6"/>
        <v>114.35879492189274</v>
      </c>
      <c r="R82" s="2">
        <f t="shared" si="7"/>
        <v>2.4985513630708889</v>
      </c>
      <c r="S82" s="2">
        <f t="shared" si="8"/>
        <v>106.38831703955844</v>
      </c>
      <c r="T82" s="2">
        <f t="shared" si="9"/>
        <v>7.9704778823342934</v>
      </c>
    </row>
    <row r="83" spans="1:20" x14ac:dyDescent="0.25">
      <c r="A83" s="10">
        <v>0.60486111111111107</v>
      </c>
      <c r="B83" s="2">
        <f t="shared" si="11"/>
        <v>78</v>
      </c>
      <c r="C83" s="4">
        <f t="shared" si="12"/>
        <v>43.33</v>
      </c>
      <c r="D83" s="2">
        <v>12</v>
      </c>
      <c r="E83" s="2">
        <v>50.26548245743669</v>
      </c>
      <c r="F83" s="11">
        <f t="shared" si="0"/>
        <v>2.3873241463784298</v>
      </c>
      <c r="G83" s="2">
        <f t="shared" si="1"/>
        <v>103.44275526257736</v>
      </c>
      <c r="H83" s="2">
        <f t="shared" si="2"/>
        <v>2.4800320883604816</v>
      </c>
      <c r="I83" s="2">
        <f t="shared" si="3"/>
        <v>107.45979038865967</v>
      </c>
      <c r="J83" s="2">
        <f t="shared" si="4"/>
        <v>4.0170351260823054</v>
      </c>
      <c r="K83" s="12">
        <v>0.56944444444444442</v>
      </c>
      <c r="L83" s="2">
        <f t="shared" si="14"/>
        <v>78</v>
      </c>
      <c r="M83" s="2">
        <f t="shared" si="15"/>
        <v>43.08</v>
      </c>
      <c r="N83" s="2">
        <v>13.5</v>
      </c>
      <c r="O83" s="2">
        <v>50.26548245743669</v>
      </c>
      <c r="P83" s="11">
        <f t="shared" si="5"/>
        <v>2.6857396646757339</v>
      </c>
      <c r="Q83" s="2">
        <f t="shared" si="6"/>
        <v>115.70166475423061</v>
      </c>
      <c r="R83" s="2">
        <f t="shared" si="7"/>
        <v>2.4985513630708889</v>
      </c>
      <c r="S83" s="2">
        <f t="shared" si="8"/>
        <v>107.6375927210939</v>
      </c>
      <c r="T83" s="2">
        <f t="shared" si="9"/>
        <v>8.0640720331367106</v>
      </c>
    </row>
    <row r="84" spans="1:20" x14ac:dyDescent="0.25">
      <c r="A84" s="14">
        <f t="shared" ref="A84:A121" si="18">IF(AND($A$83&lt;&gt;"",$A$122&lt;&gt;""), $A$83 + (B84 - $B$83) * (($A$122 - $A$83) / ($B$122 - $B$83)), "")</f>
        <v>0.60512820512820509</v>
      </c>
      <c r="B84" s="2">
        <f t="shared" si="11"/>
        <v>79</v>
      </c>
      <c r="C84" s="4">
        <f t="shared" si="12"/>
        <v>43.83</v>
      </c>
      <c r="D84" s="2">
        <v>21.5</v>
      </c>
      <c r="E84" s="2">
        <v>50.26548245743669</v>
      </c>
      <c r="F84" s="11">
        <f t="shared" si="0"/>
        <v>4.2772890955946874</v>
      </c>
      <c r="G84" s="2">
        <f t="shared" si="1"/>
        <v>187.47358105991515</v>
      </c>
      <c r="H84" s="2">
        <f t="shared" si="2"/>
        <v>2.4800320883604816</v>
      </c>
      <c r="I84" s="2">
        <f t="shared" si="3"/>
        <v>108.69980643283991</v>
      </c>
      <c r="J84" s="2">
        <f t="shared" si="4"/>
        <v>78.773774627075241</v>
      </c>
      <c r="K84" s="15">
        <f t="shared" ref="K84:K121" si="19">IF(AND($K$83&lt;&gt;"",$K$122&lt;&gt;""), $K$83 + (L84 - $L$83) * (($K$122 - $K$83) / ($L$122 - $L$83)), "")</f>
        <v>0.56965811965811963</v>
      </c>
      <c r="L84" s="2">
        <f t="shared" si="14"/>
        <v>79</v>
      </c>
      <c r="M84" s="2">
        <f t="shared" si="15"/>
        <v>43.58</v>
      </c>
      <c r="N84" s="2">
        <v>13</v>
      </c>
      <c r="O84" s="2">
        <v>50.26548245743669</v>
      </c>
      <c r="P84" s="11">
        <f t="shared" si="5"/>
        <v>2.5862678252432989</v>
      </c>
      <c r="Q84" s="2">
        <f t="shared" si="6"/>
        <v>112.70955182410296</v>
      </c>
      <c r="R84" s="2">
        <f t="shared" si="7"/>
        <v>2.4985513630708889</v>
      </c>
      <c r="S84" s="2">
        <f t="shared" si="8"/>
        <v>108.88686840262933</v>
      </c>
      <c r="T84" s="2">
        <f t="shared" si="9"/>
        <v>3.8226834214736272</v>
      </c>
    </row>
    <row r="85" spans="1:20" x14ac:dyDescent="0.25">
      <c r="A85" s="14">
        <f t="shared" si="18"/>
        <v>0.6053952991452991</v>
      </c>
      <c r="B85" s="2">
        <f t="shared" si="11"/>
        <v>80</v>
      </c>
      <c r="C85" s="4">
        <f t="shared" si="12"/>
        <v>44.33</v>
      </c>
      <c r="D85" s="2">
        <v>11.5</v>
      </c>
      <c r="E85" s="2">
        <v>50.26548245743669</v>
      </c>
      <c r="F85" s="11">
        <f t="shared" si="0"/>
        <v>2.2878523069459957</v>
      </c>
      <c r="G85" s="2">
        <f t="shared" si="1"/>
        <v>101.42049276691598</v>
      </c>
      <c r="H85" s="2">
        <f t="shared" si="2"/>
        <v>2.4800320883604816</v>
      </c>
      <c r="I85" s="2">
        <f t="shared" si="3"/>
        <v>109.93982247702014</v>
      </c>
      <c r="J85" s="2">
        <f t="shared" si="4"/>
        <v>8.5193297101041594</v>
      </c>
      <c r="K85" s="15">
        <f t="shared" si="19"/>
        <v>0.56987179487179485</v>
      </c>
      <c r="L85" s="2">
        <f t="shared" si="14"/>
        <v>80</v>
      </c>
      <c r="M85" s="2">
        <f t="shared" si="15"/>
        <v>44.08</v>
      </c>
      <c r="N85" s="2">
        <v>14</v>
      </c>
      <c r="O85" s="2">
        <v>50.26548245743669</v>
      </c>
      <c r="P85" s="11">
        <f t="shared" si="5"/>
        <v>2.7852115041081689</v>
      </c>
      <c r="Q85" s="2">
        <f t="shared" si="6"/>
        <v>122.77212310108808</v>
      </c>
      <c r="R85" s="2">
        <f t="shared" si="7"/>
        <v>2.4985513630708889</v>
      </c>
      <c r="S85" s="2">
        <f t="shared" si="8"/>
        <v>110.13614408416478</v>
      </c>
      <c r="T85" s="2">
        <f t="shared" si="9"/>
        <v>12.635979016923301</v>
      </c>
    </row>
    <row r="86" spans="1:20" x14ac:dyDescent="0.25">
      <c r="A86" s="14">
        <f t="shared" si="18"/>
        <v>0.60566239316239312</v>
      </c>
      <c r="B86" s="2">
        <f t="shared" si="11"/>
        <v>81</v>
      </c>
      <c r="C86" s="4">
        <f t="shared" si="12"/>
        <v>44.83</v>
      </c>
      <c r="D86" s="2">
        <v>12</v>
      </c>
      <c r="E86" s="2">
        <v>50.26548245743669</v>
      </c>
      <c r="F86" s="11">
        <f t="shared" si="0"/>
        <v>2.3873241463784298</v>
      </c>
      <c r="G86" s="2">
        <f t="shared" si="1"/>
        <v>107.023741482145</v>
      </c>
      <c r="H86" s="2">
        <f t="shared" si="2"/>
        <v>2.4800320883604816</v>
      </c>
      <c r="I86" s="2">
        <f t="shared" si="3"/>
        <v>111.17983852120038</v>
      </c>
      <c r="J86" s="2">
        <f t="shared" si="4"/>
        <v>4.156097039055382</v>
      </c>
      <c r="K86" s="15">
        <f t="shared" si="19"/>
        <v>0.57008547008547006</v>
      </c>
      <c r="L86" s="2">
        <f t="shared" si="14"/>
        <v>81</v>
      </c>
      <c r="M86" s="2">
        <f t="shared" si="15"/>
        <v>44.58</v>
      </c>
      <c r="N86" s="2">
        <v>12.5</v>
      </c>
      <c r="O86" s="2">
        <v>50.26548245743669</v>
      </c>
      <c r="P86" s="11">
        <f t="shared" si="5"/>
        <v>2.4867959858108648</v>
      </c>
      <c r="Q86" s="2">
        <f t="shared" si="6"/>
        <v>110.86136504744834</v>
      </c>
      <c r="R86" s="2">
        <f t="shared" si="7"/>
        <v>2.4985513630708889</v>
      </c>
      <c r="S86" s="2">
        <f t="shared" si="8"/>
        <v>111.38541976570022</v>
      </c>
      <c r="T86" s="2">
        <f t="shared" si="9"/>
        <v>0.52405471825187533</v>
      </c>
    </row>
    <row r="87" spans="1:20" x14ac:dyDescent="0.25">
      <c r="A87" s="14">
        <f t="shared" si="18"/>
        <v>0.60592948717948714</v>
      </c>
      <c r="B87" s="2">
        <f t="shared" si="11"/>
        <v>82</v>
      </c>
      <c r="C87" s="4">
        <f t="shared" si="12"/>
        <v>45.33</v>
      </c>
      <c r="D87" s="2">
        <v>13</v>
      </c>
      <c r="E87" s="2">
        <v>50.26548245743669</v>
      </c>
      <c r="F87" s="11">
        <f t="shared" si="0"/>
        <v>2.5862678252432989</v>
      </c>
      <c r="G87" s="2">
        <f t="shared" si="1"/>
        <v>117.23552051827873</v>
      </c>
      <c r="H87" s="2">
        <f t="shared" si="2"/>
        <v>2.4800320883604816</v>
      </c>
      <c r="I87" s="2">
        <f t="shared" si="3"/>
        <v>112.41985456538063</v>
      </c>
      <c r="J87" s="2">
        <f t="shared" si="4"/>
        <v>4.815665952898101</v>
      </c>
      <c r="K87" s="15">
        <f t="shared" si="19"/>
        <v>0.57029914529914527</v>
      </c>
      <c r="L87" s="2">
        <f t="shared" si="14"/>
        <v>82</v>
      </c>
      <c r="M87" s="2">
        <f t="shared" si="15"/>
        <v>45.08</v>
      </c>
      <c r="N87" s="2">
        <v>12</v>
      </c>
      <c r="O87" s="2">
        <v>50.26548245743669</v>
      </c>
      <c r="P87" s="11">
        <f t="shared" si="5"/>
        <v>2.3873241463784298</v>
      </c>
      <c r="Q87" s="2">
        <f t="shared" si="6"/>
        <v>107.62057251873961</v>
      </c>
      <c r="R87" s="2">
        <f t="shared" si="7"/>
        <v>2.4985513630708889</v>
      </c>
      <c r="S87" s="2">
        <f t="shared" si="8"/>
        <v>112.63469544723567</v>
      </c>
      <c r="T87" s="2">
        <f t="shared" si="9"/>
        <v>5.0141229284960644</v>
      </c>
    </row>
    <row r="88" spans="1:20" x14ac:dyDescent="0.25">
      <c r="A88" s="14">
        <f t="shared" si="18"/>
        <v>0.60619658119658115</v>
      </c>
      <c r="B88" s="2">
        <f t="shared" si="11"/>
        <v>83</v>
      </c>
      <c r="C88" s="4">
        <f t="shared" si="12"/>
        <v>45.83</v>
      </c>
      <c r="D88" s="2">
        <v>12.5</v>
      </c>
      <c r="E88" s="2">
        <v>50.26548245743669</v>
      </c>
      <c r="F88" s="11">
        <f t="shared" si="0"/>
        <v>2.4867959858108648</v>
      </c>
      <c r="G88" s="2">
        <f t="shared" si="1"/>
        <v>113.96986002971192</v>
      </c>
      <c r="H88" s="2">
        <f t="shared" si="2"/>
        <v>2.4800320883604816</v>
      </c>
      <c r="I88" s="2">
        <f t="shared" si="3"/>
        <v>113.65987060956087</v>
      </c>
      <c r="J88" s="2">
        <f t="shared" si="4"/>
        <v>0.30998942015105513</v>
      </c>
      <c r="K88" s="15">
        <f t="shared" si="19"/>
        <v>0.57051282051282048</v>
      </c>
      <c r="L88" s="2">
        <f t="shared" si="14"/>
        <v>83</v>
      </c>
      <c r="M88" s="2">
        <f t="shared" si="15"/>
        <v>45.58</v>
      </c>
      <c r="N88" s="2">
        <v>13.5</v>
      </c>
      <c r="O88" s="2">
        <v>50.26548245743669</v>
      </c>
      <c r="P88" s="11">
        <f t="shared" si="5"/>
        <v>2.6857396646757339</v>
      </c>
      <c r="Q88" s="2">
        <f t="shared" si="6"/>
        <v>122.41601391591995</v>
      </c>
      <c r="R88" s="2">
        <f t="shared" si="7"/>
        <v>2.4985513630708889</v>
      </c>
      <c r="S88" s="2">
        <f t="shared" si="8"/>
        <v>113.88397112877111</v>
      </c>
      <c r="T88" s="2">
        <f t="shared" si="9"/>
        <v>8.5320427871488391</v>
      </c>
    </row>
    <row r="89" spans="1:20" x14ac:dyDescent="0.25">
      <c r="A89" s="14">
        <f t="shared" si="18"/>
        <v>0.60646367521367517</v>
      </c>
      <c r="B89" s="2">
        <f t="shared" si="11"/>
        <v>84</v>
      </c>
      <c r="C89" s="4">
        <f t="shared" si="12"/>
        <v>46.33</v>
      </c>
      <c r="D89" s="2">
        <v>13.5</v>
      </c>
      <c r="E89" s="2">
        <v>50.26548245743669</v>
      </c>
      <c r="F89" s="11">
        <f t="shared" si="0"/>
        <v>2.6857396646757339</v>
      </c>
      <c r="G89" s="2">
        <f t="shared" si="1"/>
        <v>124.43031866442675</v>
      </c>
      <c r="H89" s="2">
        <f t="shared" si="2"/>
        <v>2.4800320883604816</v>
      </c>
      <c r="I89" s="2">
        <f t="shared" si="3"/>
        <v>114.89988665374111</v>
      </c>
      <c r="J89" s="2">
        <f t="shared" si="4"/>
        <v>9.5304320106856437</v>
      </c>
      <c r="K89" s="15">
        <f t="shared" si="19"/>
        <v>0.5707264957264957</v>
      </c>
      <c r="L89" s="2">
        <f t="shared" si="14"/>
        <v>84</v>
      </c>
      <c r="M89" s="2">
        <f t="shared" si="15"/>
        <v>46.08</v>
      </c>
      <c r="N89" s="2">
        <v>16.5</v>
      </c>
      <c r="O89" s="2">
        <v>50.26548245743669</v>
      </c>
      <c r="P89" s="11">
        <f t="shared" si="5"/>
        <v>3.2825707012703416</v>
      </c>
      <c r="Q89" s="2">
        <f t="shared" si="6"/>
        <v>151.26085791453733</v>
      </c>
      <c r="R89" s="2">
        <f t="shared" si="7"/>
        <v>2.4985513630708889</v>
      </c>
      <c r="S89" s="2">
        <f t="shared" si="8"/>
        <v>115.13324681030656</v>
      </c>
      <c r="T89" s="2">
        <f t="shared" si="9"/>
        <v>36.127611104230766</v>
      </c>
    </row>
    <row r="90" spans="1:20" x14ac:dyDescent="0.25">
      <c r="A90" s="14">
        <f t="shared" si="18"/>
        <v>0.60673076923076918</v>
      </c>
      <c r="B90" s="2">
        <f t="shared" si="11"/>
        <v>85</v>
      </c>
      <c r="C90" s="4">
        <f t="shared" si="12"/>
        <v>46.83</v>
      </c>
      <c r="D90" s="2">
        <v>12</v>
      </c>
      <c r="E90" s="2">
        <v>50.26548245743669</v>
      </c>
      <c r="F90" s="11">
        <f t="shared" si="0"/>
        <v>2.3873241463784298</v>
      </c>
      <c r="G90" s="2">
        <f t="shared" si="1"/>
        <v>111.79838977490186</v>
      </c>
      <c r="H90" s="2">
        <f t="shared" si="2"/>
        <v>2.4800320883604816</v>
      </c>
      <c r="I90" s="2">
        <f t="shared" si="3"/>
        <v>116.13990269792134</v>
      </c>
      <c r="J90" s="2">
        <f t="shared" si="4"/>
        <v>4.3415129230194793</v>
      </c>
      <c r="K90" s="15">
        <f t="shared" si="19"/>
        <v>0.57094017094017091</v>
      </c>
      <c r="L90" s="2">
        <f t="shared" si="14"/>
        <v>85</v>
      </c>
      <c r="M90" s="2">
        <f t="shared" si="15"/>
        <v>46.58</v>
      </c>
      <c r="N90" s="2">
        <v>13</v>
      </c>
      <c r="O90" s="2">
        <v>50.26548245743669</v>
      </c>
      <c r="P90" s="11">
        <f t="shared" si="5"/>
        <v>2.5862678252432989</v>
      </c>
      <c r="Q90" s="2">
        <f t="shared" si="6"/>
        <v>120.46835529983287</v>
      </c>
      <c r="R90" s="2">
        <f t="shared" si="7"/>
        <v>2.4985513630708889</v>
      </c>
      <c r="S90" s="2">
        <f t="shared" si="8"/>
        <v>116.382522491842</v>
      </c>
      <c r="T90" s="2">
        <f t="shared" si="9"/>
        <v>4.0858328079908688</v>
      </c>
    </row>
    <row r="91" spans="1:20" x14ac:dyDescent="0.25">
      <c r="A91" s="14">
        <f t="shared" si="18"/>
        <v>0.6069978632478632</v>
      </c>
      <c r="B91" s="2">
        <f t="shared" si="11"/>
        <v>86</v>
      </c>
      <c r="C91" s="4">
        <f t="shared" si="12"/>
        <v>47.33</v>
      </c>
      <c r="D91" s="2">
        <v>13</v>
      </c>
      <c r="E91" s="2">
        <v>50.26548245743669</v>
      </c>
      <c r="F91" s="11">
        <f t="shared" si="0"/>
        <v>2.5862678252432989</v>
      </c>
      <c r="G91" s="2">
        <f t="shared" si="1"/>
        <v>122.40805616876533</v>
      </c>
      <c r="H91" s="2">
        <f t="shared" si="2"/>
        <v>2.4800320883604816</v>
      </c>
      <c r="I91" s="2">
        <f t="shared" si="3"/>
        <v>117.37991874210159</v>
      </c>
      <c r="J91" s="2">
        <f t="shared" si="4"/>
        <v>5.0281374266637329</v>
      </c>
      <c r="K91" s="15">
        <f t="shared" si="19"/>
        <v>0.57115384615384612</v>
      </c>
      <c r="L91" s="2">
        <f t="shared" si="14"/>
        <v>86</v>
      </c>
      <c r="M91" s="2">
        <f t="shared" si="15"/>
        <v>47.08</v>
      </c>
      <c r="N91" s="2">
        <v>13</v>
      </c>
      <c r="O91" s="2">
        <v>50.26548245743669</v>
      </c>
      <c r="P91" s="11">
        <f t="shared" si="5"/>
        <v>2.5862678252432989</v>
      </c>
      <c r="Q91" s="2">
        <f t="shared" si="6"/>
        <v>121.76148921245451</v>
      </c>
      <c r="R91" s="2">
        <f t="shared" si="7"/>
        <v>2.4985513630708889</v>
      </c>
      <c r="S91" s="2">
        <f t="shared" si="8"/>
        <v>117.63179817337745</v>
      </c>
      <c r="T91" s="2">
        <f t="shared" si="9"/>
        <v>4.1296910390770591</v>
      </c>
    </row>
    <row r="92" spans="1:20" x14ac:dyDescent="0.25">
      <c r="A92" s="14">
        <f t="shared" si="18"/>
        <v>0.60726495726495722</v>
      </c>
      <c r="B92" s="2">
        <f t="shared" si="11"/>
        <v>87</v>
      </c>
      <c r="C92" s="4">
        <f t="shared" si="12"/>
        <v>47.83</v>
      </c>
      <c r="D92" s="2">
        <v>13.5</v>
      </c>
      <c r="E92" s="2">
        <v>50.26548245743669</v>
      </c>
      <c r="F92" s="11">
        <f t="shared" si="0"/>
        <v>2.6857396646757339</v>
      </c>
      <c r="G92" s="2">
        <f t="shared" si="1"/>
        <v>128.45892816144035</v>
      </c>
      <c r="H92" s="2">
        <f t="shared" si="2"/>
        <v>2.4800320883604816</v>
      </c>
      <c r="I92" s="2">
        <f t="shared" si="3"/>
        <v>118.61993478628183</v>
      </c>
      <c r="J92" s="2">
        <f t="shared" si="4"/>
        <v>9.8389933751585232</v>
      </c>
      <c r="K92" s="15">
        <f t="shared" si="19"/>
        <v>0.57136752136752134</v>
      </c>
      <c r="L92" s="2">
        <f t="shared" si="14"/>
        <v>87</v>
      </c>
      <c r="M92" s="2">
        <f t="shared" si="15"/>
        <v>47.58</v>
      </c>
      <c r="N92" s="2">
        <v>13.5</v>
      </c>
      <c r="O92" s="2">
        <v>50.26548245743669</v>
      </c>
      <c r="P92" s="11">
        <f t="shared" si="5"/>
        <v>2.6857396646757339</v>
      </c>
      <c r="Q92" s="2">
        <f t="shared" si="6"/>
        <v>127.78749324527142</v>
      </c>
      <c r="R92" s="2">
        <f t="shared" si="7"/>
        <v>2.4985513630708889</v>
      </c>
      <c r="S92" s="2">
        <f t="shared" si="8"/>
        <v>118.88107385491288</v>
      </c>
      <c r="T92" s="2">
        <f t="shared" si="9"/>
        <v>8.9064193903585362</v>
      </c>
    </row>
    <row r="93" spans="1:20" x14ac:dyDescent="0.25">
      <c r="A93" s="14">
        <f t="shared" si="18"/>
        <v>0.60753205128205123</v>
      </c>
      <c r="B93" s="2">
        <f t="shared" si="11"/>
        <v>88</v>
      </c>
      <c r="C93" s="4">
        <f t="shared" si="12"/>
        <v>48.33</v>
      </c>
      <c r="D93" s="2">
        <v>14</v>
      </c>
      <c r="E93" s="2">
        <v>50.26548245743669</v>
      </c>
      <c r="F93" s="11">
        <f t="shared" si="0"/>
        <v>2.7852115041081689</v>
      </c>
      <c r="G93" s="2">
        <f t="shared" si="1"/>
        <v>134.60927199354779</v>
      </c>
      <c r="H93" s="2">
        <f t="shared" si="2"/>
        <v>2.4800320883604816</v>
      </c>
      <c r="I93" s="2">
        <f t="shared" si="3"/>
        <v>119.85995083046207</v>
      </c>
      <c r="J93" s="2">
        <f t="shared" si="4"/>
        <v>14.749321163085725</v>
      </c>
      <c r="K93" s="15">
        <f t="shared" si="19"/>
        <v>0.57158119658119655</v>
      </c>
      <c r="L93" s="2">
        <f t="shared" si="14"/>
        <v>88</v>
      </c>
      <c r="M93" s="2">
        <f t="shared" si="15"/>
        <v>48.08</v>
      </c>
      <c r="N93" s="2">
        <v>13</v>
      </c>
      <c r="O93" s="2">
        <v>50.26548245743669</v>
      </c>
      <c r="P93" s="11">
        <f t="shared" si="5"/>
        <v>2.5862678252432989</v>
      </c>
      <c r="Q93" s="2">
        <f t="shared" si="6"/>
        <v>124.3477570376978</v>
      </c>
      <c r="R93" s="2">
        <f t="shared" si="7"/>
        <v>2.4985513630708889</v>
      </c>
      <c r="S93" s="2">
        <f t="shared" si="8"/>
        <v>120.13034953644834</v>
      </c>
      <c r="T93" s="2">
        <f t="shared" si="9"/>
        <v>4.2174075012494683</v>
      </c>
    </row>
    <row r="94" spans="1:20" x14ac:dyDescent="0.25">
      <c r="A94" s="14">
        <f t="shared" si="18"/>
        <v>0.60779914529914525</v>
      </c>
      <c r="B94" s="2">
        <f t="shared" si="11"/>
        <v>89</v>
      </c>
      <c r="C94" s="4">
        <f t="shared" si="12"/>
        <v>48.83</v>
      </c>
      <c r="D94" s="2">
        <v>11</v>
      </c>
      <c r="E94" s="2">
        <v>50.26548245743669</v>
      </c>
      <c r="F94" s="11">
        <f t="shared" si="0"/>
        <v>2.1883804675135607</v>
      </c>
      <c r="G94" s="2">
        <f t="shared" si="1"/>
        <v>106.85861822868716</v>
      </c>
      <c r="H94" s="2">
        <f t="shared" si="2"/>
        <v>2.4800320883604816</v>
      </c>
      <c r="I94" s="2">
        <f t="shared" si="3"/>
        <v>121.09996687464232</v>
      </c>
      <c r="J94" s="2">
        <f t="shared" si="4"/>
        <v>14.241348645955156</v>
      </c>
      <c r="K94" s="15">
        <f t="shared" si="19"/>
        <v>0.57179487179487176</v>
      </c>
      <c r="L94" s="2">
        <f t="shared" si="14"/>
        <v>89</v>
      </c>
      <c r="M94" s="2">
        <f t="shared" si="15"/>
        <v>48.58</v>
      </c>
      <c r="N94" s="2">
        <v>14</v>
      </c>
      <c r="O94" s="2">
        <v>50.26548245743669</v>
      </c>
      <c r="P94" s="11">
        <f t="shared" si="5"/>
        <v>2.7852115041081689</v>
      </c>
      <c r="Q94" s="2">
        <f t="shared" si="6"/>
        <v>135.30557486957483</v>
      </c>
      <c r="R94" s="2">
        <f t="shared" si="7"/>
        <v>2.4985513630708889</v>
      </c>
      <c r="S94" s="2">
        <f t="shared" si="8"/>
        <v>121.37962521798377</v>
      </c>
      <c r="T94" s="2">
        <f t="shared" si="9"/>
        <v>13.925949651591054</v>
      </c>
    </row>
    <row r="95" spans="1:20" x14ac:dyDescent="0.25">
      <c r="A95" s="14">
        <f t="shared" si="18"/>
        <v>0.60806623931623927</v>
      </c>
      <c r="B95" s="2">
        <f t="shared" si="11"/>
        <v>90</v>
      </c>
      <c r="C95" s="4">
        <f t="shared" si="12"/>
        <v>49.33</v>
      </c>
      <c r="D95" s="2">
        <v>12.5</v>
      </c>
      <c r="E95" s="2">
        <v>50.26548245743669</v>
      </c>
      <c r="F95" s="11">
        <f t="shared" si="0"/>
        <v>2.4867959858108648</v>
      </c>
      <c r="G95" s="2">
        <f t="shared" si="1"/>
        <v>122.67364598004995</v>
      </c>
      <c r="H95" s="2">
        <f t="shared" si="2"/>
        <v>2.4800320883604816</v>
      </c>
      <c r="I95" s="2">
        <f t="shared" si="3"/>
        <v>122.33998291882256</v>
      </c>
      <c r="J95" s="2">
        <f t="shared" si="4"/>
        <v>0.33366306122739786</v>
      </c>
      <c r="K95" s="15">
        <f t="shared" si="19"/>
        <v>0.57200854700854697</v>
      </c>
      <c r="L95" s="2">
        <f t="shared" si="14"/>
        <v>90</v>
      </c>
      <c r="M95" s="2">
        <f t="shared" si="15"/>
        <v>49.08</v>
      </c>
      <c r="N95" s="2">
        <v>11.5</v>
      </c>
      <c r="O95" s="2">
        <v>50.26548245743669</v>
      </c>
      <c r="P95" s="11">
        <f t="shared" si="5"/>
        <v>2.2878523069459957</v>
      </c>
      <c r="Q95" s="2">
        <f t="shared" si="6"/>
        <v>112.28779122490947</v>
      </c>
      <c r="R95" s="2">
        <f t="shared" si="7"/>
        <v>2.4985513630708889</v>
      </c>
      <c r="S95" s="2">
        <f t="shared" si="8"/>
        <v>122.62890089951922</v>
      </c>
      <c r="T95" s="2">
        <f t="shared" si="9"/>
        <v>10.341109674609754</v>
      </c>
    </row>
    <row r="96" spans="1:20" x14ac:dyDescent="0.25">
      <c r="A96" s="14">
        <f t="shared" si="18"/>
        <v>0.60833333333333328</v>
      </c>
      <c r="B96" s="2">
        <f t="shared" si="11"/>
        <v>91</v>
      </c>
      <c r="C96" s="4">
        <f t="shared" si="12"/>
        <v>49.83</v>
      </c>
      <c r="D96" s="2">
        <v>12.5</v>
      </c>
      <c r="E96" s="2">
        <v>50.26548245743669</v>
      </c>
      <c r="F96" s="11">
        <f t="shared" si="0"/>
        <v>2.4867959858108648</v>
      </c>
      <c r="G96" s="2">
        <f t="shared" si="1"/>
        <v>123.91704397295538</v>
      </c>
      <c r="H96" s="2">
        <f t="shared" si="2"/>
        <v>2.4800320883604816</v>
      </c>
      <c r="I96" s="2">
        <f t="shared" si="3"/>
        <v>123.57999896300279</v>
      </c>
      <c r="J96" s="2">
        <f t="shared" si="4"/>
        <v>0.33704500995258968</v>
      </c>
      <c r="K96" s="15">
        <f t="shared" si="19"/>
        <v>0.57222222222222219</v>
      </c>
      <c r="L96" s="2">
        <f t="shared" si="14"/>
        <v>91</v>
      </c>
      <c r="M96" s="2">
        <f t="shared" si="15"/>
        <v>49.58</v>
      </c>
      <c r="N96" s="2">
        <v>11.5</v>
      </c>
      <c r="O96" s="2">
        <v>50.26548245743669</v>
      </c>
      <c r="P96" s="11">
        <f t="shared" si="5"/>
        <v>2.2878523069459957</v>
      </c>
      <c r="Q96" s="2">
        <f t="shared" si="6"/>
        <v>113.43171737838246</v>
      </c>
      <c r="R96" s="2">
        <f t="shared" si="7"/>
        <v>2.4985513630708889</v>
      </c>
      <c r="S96" s="2">
        <f t="shared" si="8"/>
        <v>123.87817658105466</v>
      </c>
      <c r="T96" s="2">
        <f t="shared" si="9"/>
        <v>10.446459202672202</v>
      </c>
    </row>
    <row r="97" spans="1:20" x14ac:dyDescent="0.25">
      <c r="A97" s="14">
        <f t="shared" si="18"/>
        <v>0.6086004273504273</v>
      </c>
      <c r="B97" s="2">
        <f t="shared" si="11"/>
        <v>92</v>
      </c>
      <c r="C97" s="4">
        <f t="shared" si="12"/>
        <v>50.33</v>
      </c>
      <c r="D97" s="2">
        <v>13</v>
      </c>
      <c r="E97" s="2">
        <v>50.26548245743669</v>
      </c>
      <c r="F97" s="11">
        <f t="shared" si="0"/>
        <v>2.5862678252432989</v>
      </c>
      <c r="G97" s="2">
        <f t="shared" si="1"/>
        <v>130.16685964449522</v>
      </c>
      <c r="H97" s="2">
        <f t="shared" si="2"/>
        <v>2.4800320883604816</v>
      </c>
      <c r="I97" s="2">
        <f t="shared" si="3"/>
        <v>124.82001500718303</v>
      </c>
      <c r="J97" s="2">
        <f t="shared" si="4"/>
        <v>5.3468446373121878</v>
      </c>
      <c r="K97" s="15">
        <f t="shared" si="19"/>
        <v>0.5724358974358974</v>
      </c>
      <c r="L97" s="2">
        <f t="shared" si="14"/>
        <v>92</v>
      </c>
      <c r="M97" s="2">
        <f t="shared" si="15"/>
        <v>50.08</v>
      </c>
      <c r="N97" s="2">
        <v>13</v>
      </c>
      <c r="O97" s="2">
        <v>50.26548245743669</v>
      </c>
      <c r="P97" s="11">
        <f t="shared" si="5"/>
        <v>2.5862678252432989</v>
      </c>
      <c r="Q97" s="2">
        <f t="shared" si="6"/>
        <v>129.52029268818441</v>
      </c>
      <c r="R97" s="2">
        <f t="shared" si="7"/>
        <v>2.4985513630708889</v>
      </c>
      <c r="S97" s="2">
        <f t="shared" si="8"/>
        <v>125.12745226259011</v>
      </c>
      <c r="T97" s="2">
        <f t="shared" si="9"/>
        <v>4.3928404255943008</v>
      </c>
    </row>
    <row r="98" spans="1:20" x14ac:dyDescent="0.25">
      <c r="A98" s="14">
        <f t="shared" si="18"/>
        <v>0.60886752136752131</v>
      </c>
      <c r="B98" s="2">
        <f t="shared" si="11"/>
        <v>93</v>
      </c>
      <c r="C98" s="4">
        <f t="shared" si="12"/>
        <v>50.83</v>
      </c>
      <c r="D98" s="2">
        <v>13</v>
      </c>
      <c r="E98" s="2">
        <v>50.26548245743669</v>
      </c>
      <c r="F98" s="11">
        <f t="shared" si="0"/>
        <v>2.5862678252432989</v>
      </c>
      <c r="G98" s="2">
        <f t="shared" si="1"/>
        <v>131.45999355711689</v>
      </c>
      <c r="H98" s="2">
        <f t="shared" si="2"/>
        <v>2.4800320883604816</v>
      </c>
      <c r="I98" s="2">
        <f t="shared" si="3"/>
        <v>126.06003105136328</v>
      </c>
      <c r="J98" s="2">
        <f t="shared" si="4"/>
        <v>5.3999625057536065</v>
      </c>
      <c r="K98" s="15">
        <f t="shared" si="19"/>
        <v>0.57264957264957261</v>
      </c>
      <c r="L98" s="2">
        <f t="shared" si="14"/>
        <v>93</v>
      </c>
      <c r="M98" s="2">
        <f t="shared" si="15"/>
        <v>50.58</v>
      </c>
      <c r="N98" s="2">
        <v>14</v>
      </c>
      <c r="O98" s="2">
        <v>50.26548245743669</v>
      </c>
      <c r="P98" s="11">
        <f t="shared" si="5"/>
        <v>2.7852115041081689</v>
      </c>
      <c r="Q98" s="2">
        <f t="shared" si="6"/>
        <v>140.87599787779118</v>
      </c>
      <c r="R98" s="2">
        <f t="shared" si="7"/>
        <v>2.4985513630708889</v>
      </c>
      <c r="S98" s="2">
        <f t="shared" si="8"/>
        <v>126.37672794412555</v>
      </c>
      <c r="T98" s="2">
        <f t="shared" si="9"/>
        <v>14.49926993366563</v>
      </c>
    </row>
    <row r="99" spans="1:20" x14ac:dyDescent="0.25">
      <c r="A99" s="14">
        <f t="shared" si="18"/>
        <v>0.60913461538461533</v>
      </c>
      <c r="B99" s="2">
        <f t="shared" si="11"/>
        <v>94</v>
      </c>
      <c r="C99" s="4">
        <f t="shared" si="12"/>
        <v>51.33</v>
      </c>
      <c r="D99" s="2">
        <v>13</v>
      </c>
      <c r="E99" s="2">
        <v>50.26548245743669</v>
      </c>
      <c r="F99" s="11">
        <f t="shared" si="0"/>
        <v>2.5862678252432989</v>
      </c>
      <c r="G99" s="2">
        <f t="shared" si="1"/>
        <v>132.75312746973853</v>
      </c>
      <c r="H99" s="2">
        <f t="shared" si="2"/>
        <v>2.4800320883604816</v>
      </c>
      <c r="I99" s="2">
        <f t="shared" si="3"/>
        <v>127.30004709554352</v>
      </c>
      <c r="J99" s="2">
        <f t="shared" si="4"/>
        <v>5.4530803741950109</v>
      </c>
      <c r="K99" s="15">
        <f t="shared" si="19"/>
        <v>0.57286324786324783</v>
      </c>
      <c r="L99" s="2">
        <f t="shared" si="14"/>
        <v>94</v>
      </c>
      <c r="M99" s="2">
        <f t="shared" si="15"/>
        <v>51.08</v>
      </c>
      <c r="N99" s="2">
        <v>14.5</v>
      </c>
      <c r="O99" s="2">
        <v>50.26548245743669</v>
      </c>
      <c r="P99" s="11">
        <f t="shared" si="5"/>
        <v>2.8846833435406034</v>
      </c>
      <c r="Q99" s="2">
        <f t="shared" si="6"/>
        <v>147.34962518805401</v>
      </c>
      <c r="R99" s="2">
        <f t="shared" si="7"/>
        <v>2.4985513630708889</v>
      </c>
      <c r="S99" s="2">
        <f t="shared" si="8"/>
        <v>127.626003625661</v>
      </c>
      <c r="T99" s="2">
        <f t="shared" si="9"/>
        <v>19.723621562393006</v>
      </c>
    </row>
    <row r="100" spans="1:20" x14ac:dyDescent="0.25">
      <c r="A100" s="14">
        <f t="shared" si="18"/>
        <v>0.60940170940170935</v>
      </c>
      <c r="B100" s="2">
        <f t="shared" si="11"/>
        <v>95</v>
      </c>
      <c r="C100" s="4">
        <f t="shared" si="12"/>
        <v>51.83</v>
      </c>
      <c r="D100" s="2">
        <v>13</v>
      </c>
      <c r="E100" s="2">
        <v>50.26548245743669</v>
      </c>
      <c r="F100" s="11">
        <f t="shared" si="0"/>
        <v>2.5862678252432989</v>
      </c>
      <c r="G100" s="2">
        <f t="shared" si="1"/>
        <v>134.04626138236017</v>
      </c>
      <c r="H100" s="2">
        <f t="shared" si="2"/>
        <v>2.4800320883604816</v>
      </c>
      <c r="I100" s="2">
        <f t="shared" si="3"/>
        <v>128.54006313972377</v>
      </c>
      <c r="J100" s="2">
        <f t="shared" si="4"/>
        <v>5.5061982426364011</v>
      </c>
      <c r="K100" s="15">
        <f t="shared" si="19"/>
        <v>0.57307692307692304</v>
      </c>
      <c r="L100" s="2">
        <f t="shared" si="14"/>
        <v>95</v>
      </c>
      <c r="M100" s="2">
        <f t="shared" si="15"/>
        <v>51.58</v>
      </c>
      <c r="N100" s="2">
        <v>15</v>
      </c>
      <c r="O100" s="2">
        <v>50.26548245743669</v>
      </c>
      <c r="P100" s="11">
        <f t="shared" si="5"/>
        <v>2.9841551829730379</v>
      </c>
      <c r="Q100" s="2">
        <f t="shared" si="6"/>
        <v>153.92272433774929</v>
      </c>
      <c r="R100" s="2">
        <f t="shared" si="7"/>
        <v>2.4985513630708889</v>
      </c>
      <c r="S100" s="2">
        <f t="shared" si="8"/>
        <v>128.87527930719645</v>
      </c>
      <c r="T100" s="2">
        <f t="shared" si="9"/>
        <v>25.047445030552836</v>
      </c>
    </row>
    <row r="101" spans="1:20" x14ac:dyDescent="0.25">
      <c r="A101" s="14">
        <f t="shared" si="18"/>
        <v>0.60966880341880336</v>
      </c>
      <c r="B101" s="2">
        <f t="shared" si="11"/>
        <v>96</v>
      </c>
      <c r="C101" s="4">
        <f t="shared" si="12"/>
        <v>52.33</v>
      </c>
      <c r="D101" s="2">
        <v>13</v>
      </c>
      <c r="E101" s="2">
        <v>50.26548245743669</v>
      </c>
      <c r="F101" s="11">
        <f t="shared" si="0"/>
        <v>2.5862678252432989</v>
      </c>
      <c r="G101" s="2">
        <f t="shared" si="1"/>
        <v>135.33939529498184</v>
      </c>
      <c r="H101" s="2">
        <f t="shared" si="2"/>
        <v>2.4800320883604816</v>
      </c>
      <c r="I101" s="2">
        <f t="shared" si="3"/>
        <v>129.78007918390401</v>
      </c>
      <c r="J101" s="2">
        <f t="shared" si="4"/>
        <v>5.559316111077834</v>
      </c>
      <c r="K101" s="15">
        <f t="shared" si="19"/>
        <v>0.57329059829059825</v>
      </c>
      <c r="L101" s="2">
        <f t="shared" si="14"/>
        <v>96</v>
      </c>
      <c r="M101" s="2">
        <f t="shared" si="15"/>
        <v>52.08</v>
      </c>
      <c r="N101" s="2">
        <v>13</v>
      </c>
      <c r="O101" s="2">
        <v>50.26548245743669</v>
      </c>
      <c r="P101" s="11">
        <f t="shared" si="5"/>
        <v>2.5862678252432989</v>
      </c>
      <c r="Q101" s="2">
        <f t="shared" si="6"/>
        <v>134.69282833867101</v>
      </c>
      <c r="R101" s="2">
        <f t="shared" si="7"/>
        <v>2.4985513630708889</v>
      </c>
      <c r="S101" s="2">
        <f t="shared" si="8"/>
        <v>130.12455498873189</v>
      </c>
      <c r="T101" s="2">
        <f t="shared" si="9"/>
        <v>4.568273349939119</v>
      </c>
    </row>
    <row r="102" spans="1:20" x14ac:dyDescent="0.25">
      <c r="A102" s="14">
        <f t="shared" si="18"/>
        <v>0.60993589743589738</v>
      </c>
      <c r="B102" s="2">
        <f t="shared" si="11"/>
        <v>97</v>
      </c>
      <c r="C102" s="4">
        <f t="shared" si="12"/>
        <v>52.83</v>
      </c>
      <c r="D102" s="2">
        <v>13</v>
      </c>
      <c r="E102" s="2">
        <v>50.26548245743669</v>
      </c>
      <c r="F102" s="11">
        <f t="shared" si="0"/>
        <v>2.5862678252432989</v>
      </c>
      <c r="G102" s="2">
        <f t="shared" si="1"/>
        <v>136.63252920760348</v>
      </c>
      <c r="H102" s="2">
        <f t="shared" si="2"/>
        <v>2.4800320883604816</v>
      </c>
      <c r="I102" s="2">
        <f t="shared" si="3"/>
        <v>131.02009522808424</v>
      </c>
      <c r="J102" s="2">
        <f t="shared" si="4"/>
        <v>5.6124339795192384</v>
      </c>
      <c r="K102" s="15">
        <f t="shared" si="19"/>
        <v>0.57350427350427347</v>
      </c>
      <c r="L102" s="2">
        <f t="shared" si="14"/>
        <v>97</v>
      </c>
      <c r="M102" s="2">
        <f t="shared" si="15"/>
        <v>52.58</v>
      </c>
      <c r="N102" s="2">
        <v>13.5</v>
      </c>
      <c r="O102" s="2">
        <v>50.26548245743669</v>
      </c>
      <c r="P102" s="11">
        <f t="shared" si="5"/>
        <v>2.6857396646757339</v>
      </c>
      <c r="Q102" s="2">
        <f t="shared" si="6"/>
        <v>141.21619156865009</v>
      </c>
      <c r="R102" s="2">
        <f t="shared" si="7"/>
        <v>2.4985513630708889</v>
      </c>
      <c r="S102" s="2">
        <f t="shared" si="8"/>
        <v>131.37383067026732</v>
      </c>
      <c r="T102" s="2">
        <f t="shared" si="9"/>
        <v>9.8423608983827648</v>
      </c>
    </row>
    <row r="103" spans="1:20" x14ac:dyDescent="0.25">
      <c r="A103" s="14">
        <f t="shared" si="18"/>
        <v>0.61020299145299151</v>
      </c>
      <c r="B103" s="2">
        <f t="shared" si="11"/>
        <v>98</v>
      </c>
      <c r="C103" s="4">
        <f t="shared" si="12"/>
        <v>53.33</v>
      </c>
      <c r="D103" s="2">
        <v>10.5</v>
      </c>
      <c r="E103" s="2">
        <v>50.26548245743669</v>
      </c>
      <c r="F103" s="11">
        <f t="shared" si="0"/>
        <v>2.0889086280811267</v>
      </c>
      <c r="G103" s="2">
        <f t="shared" si="1"/>
        <v>111.40149713556649</v>
      </c>
      <c r="H103" s="2">
        <f t="shared" si="2"/>
        <v>2.4800320883604816</v>
      </c>
      <c r="I103" s="2">
        <f t="shared" si="3"/>
        <v>132.26011127226448</v>
      </c>
      <c r="J103" s="2">
        <f t="shared" si="4"/>
        <v>20.858614136697994</v>
      </c>
      <c r="K103" s="15">
        <f t="shared" si="19"/>
        <v>0.57371794871794868</v>
      </c>
      <c r="L103" s="2">
        <f t="shared" si="14"/>
        <v>98</v>
      </c>
      <c r="M103" s="2">
        <f t="shared" si="15"/>
        <v>53.08</v>
      </c>
      <c r="N103" s="2">
        <v>12</v>
      </c>
      <c r="O103" s="2">
        <v>50.26548245743669</v>
      </c>
      <c r="P103" s="11">
        <f t="shared" si="5"/>
        <v>2.3873241463784298</v>
      </c>
      <c r="Q103" s="2">
        <f t="shared" si="6"/>
        <v>126.71916568976705</v>
      </c>
      <c r="R103" s="2">
        <f t="shared" si="7"/>
        <v>2.4985513630708889</v>
      </c>
      <c r="S103" s="2">
        <f t="shared" si="8"/>
        <v>132.62310635180279</v>
      </c>
      <c r="T103" s="2">
        <f t="shared" si="9"/>
        <v>5.9039406620357369</v>
      </c>
    </row>
    <row r="104" spans="1:20" x14ac:dyDescent="0.25">
      <c r="A104" s="14">
        <f t="shared" si="18"/>
        <v>0.61047008547008552</v>
      </c>
      <c r="B104" s="2">
        <f t="shared" si="11"/>
        <v>99</v>
      </c>
      <c r="C104" s="4">
        <f t="shared" si="12"/>
        <v>53.83</v>
      </c>
      <c r="D104" s="2">
        <v>10</v>
      </c>
      <c r="E104" s="2">
        <v>50.26548245743669</v>
      </c>
      <c r="F104" s="11">
        <f t="shared" si="0"/>
        <v>1.9894367886486919</v>
      </c>
      <c r="G104" s="2">
        <f t="shared" si="1"/>
        <v>107.09138233295909</v>
      </c>
      <c r="H104" s="2">
        <f t="shared" si="2"/>
        <v>2.4800320883604816</v>
      </c>
      <c r="I104" s="2">
        <f t="shared" si="3"/>
        <v>133.50012731644472</v>
      </c>
      <c r="J104" s="2">
        <f t="shared" si="4"/>
        <v>26.408744983485633</v>
      </c>
      <c r="K104" s="15">
        <f t="shared" si="19"/>
        <v>0.57393162393162389</v>
      </c>
      <c r="L104" s="2">
        <f t="shared" si="14"/>
        <v>99</v>
      </c>
      <c r="M104" s="2">
        <f t="shared" si="15"/>
        <v>53.58</v>
      </c>
      <c r="N104" s="2">
        <v>10.5</v>
      </c>
      <c r="O104" s="2">
        <v>50.26548245743669</v>
      </c>
      <c r="P104" s="11">
        <f t="shared" si="5"/>
        <v>2.0889086280811267</v>
      </c>
      <c r="Q104" s="2">
        <f t="shared" si="6"/>
        <v>111.92372429258677</v>
      </c>
      <c r="R104" s="2">
        <f t="shared" si="7"/>
        <v>2.4985513630708889</v>
      </c>
      <c r="S104" s="2">
        <f t="shared" si="8"/>
        <v>133.87238203333823</v>
      </c>
      <c r="T104" s="2">
        <f t="shared" si="9"/>
        <v>21.948657740751457</v>
      </c>
    </row>
    <row r="105" spans="1:20" x14ac:dyDescent="0.25">
      <c r="A105" s="14">
        <f t="shared" si="18"/>
        <v>0.61073717948717954</v>
      </c>
      <c r="B105" s="2">
        <f t="shared" si="11"/>
        <v>100</v>
      </c>
      <c r="C105" s="4">
        <f t="shared" si="12"/>
        <v>54.33</v>
      </c>
      <c r="D105" s="2">
        <v>10</v>
      </c>
      <c r="E105" s="2">
        <v>50.26548245743669</v>
      </c>
      <c r="F105" s="11">
        <f t="shared" si="0"/>
        <v>1.9894367886486919</v>
      </c>
      <c r="G105" s="2">
        <f t="shared" si="1"/>
        <v>108.08610072728342</v>
      </c>
      <c r="H105" s="2">
        <f t="shared" si="2"/>
        <v>2.4800320883604816</v>
      </c>
      <c r="I105" s="2">
        <f t="shared" si="3"/>
        <v>134.74014336062496</v>
      </c>
      <c r="J105" s="2">
        <f t="shared" si="4"/>
        <v>26.654042633341533</v>
      </c>
      <c r="K105" s="15">
        <f t="shared" si="19"/>
        <v>0.5741452991452991</v>
      </c>
      <c r="L105" s="2">
        <f t="shared" si="14"/>
        <v>100</v>
      </c>
      <c r="M105" s="2">
        <f t="shared" si="15"/>
        <v>54.08</v>
      </c>
      <c r="N105" s="2">
        <v>11.5</v>
      </c>
      <c r="O105" s="2">
        <v>50.26548245743669</v>
      </c>
      <c r="P105" s="11">
        <f t="shared" si="5"/>
        <v>2.2878523069459957</v>
      </c>
      <c r="Q105" s="2">
        <f t="shared" si="6"/>
        <v>123.72705275963945</v>
      </c>
      <c r="R105" s="2">
        <f t="shared" si="7"/>
        <v>2.4985513630708889</v>
      </c>
      <c r="S105" s="2">
        <f t="shared" si="8"/>
        <v>135.12165771487366</v>
      </c>
      <c r="T105" s="2">
        <f t="shared" si="9"/>
        <v>11.394604955234215</v>
      </c>
    </row>
    <row r="106" spans="1:20" x14ac:dyDescent="0.25">
      <c r="A106" s="14">
        <f t="shared" si="18"/>
        <v>0.61100427350427355</v>
      </c>
      <c r="B106" s="2">
        <f t="shared" si="11"/>
        <v>101</v>
      </c>
      <c r="C106" s="4">
        <f t="shared" si="12"/>
        <v>54.83</v>
      </c>
      <c r="D106" s="2">
        <v>9</v>
      </c>
      <c r="E106" s="2">
        <v>50.26548245743669</v>
      </c>
      <c r="F106" s="11">
        <f t="shared" si="0"/>
        <v>1.7904931097838226</v>
      </c>
      <c r="G106" s="2">
        <f t="shared" si="1"/>
        <v>98.172737209446993</v>
      </c>
      <c r="H106" s="2">
        <f t="shared" si="2"/>
        <v>2.4800320883604816</v>
      </c>
      <c r="I106" s="2">
        <f t="shared" si="3"/>
        <v>135.98015940480519</v>
      </c>
      <c r="J106" s="2">
        <f t="shared" si="4"/>
        <v>37.8074221953582</v>
      </c>
      <c r="K106" s="15">
        <f t="shared" si="19"/>
        <v>0.57435897435897432</v>
      </c>
      <c r="L106" s="2">
        <f t="shared" si="14"/>
        <v>101</v>
      </c>
      <c r="M106" s="2">
        <f t="shared" si="15"/>
        <v>54.58</v>
      </c>
      <c r="N106" s="2">
        <v>12.5</v>
      </c>
      <c r="O106" s="2">
        <v>50.26548245743669</v>
      </c>
      <c r="P106" s="11">
        <f t="shared" si="5"/>
        <v>2.4867959858108648</v>
      </c>
      <c r="Q106" s="2">
        <f t="shared" si="6"/>
        <v>135.72932490555701</v>
      </c>
      <c r="R106" s="2">
        <f t="shared" si="7"/>
        <v>2.4985513630708889</v>
      </c>
      <c r="S106" s="2">
        <f t="shared" si="8"/>
        <v>136.3709333964091</v>
      </c>
      <c r="T106" s="2">
        <f t="shared" si="9"/>
        <v>0.64160849085209293</v>
      </c>
    </row>
    <row r="107" spans="1:20" x14ac:dyDescent="0.25">
      <c r="A107" s="14">
        <f t="shared" si="18"/>
        <v>0.61127136752136757</v>
      </c>
      <c r="B107" s="2">
        <f t="shared" si="11"/>
        <v>102</v>
      </c>
      <c r="C107" s="4">
        <f t="shared" si="12"/>
        <v>55.33</v>
      </c>
      <c r="D107" s="2">
        <v>8.5</v>
      </c>
      <c r="E107" s="2">
        <v>50.26548245743669</v>
      </c>
      <c r="F107" s="11">
        <f t="shared" si="0"/>
        <v>1.6910212703513881</v>
      </c>
      <c r="G107" s="2">
        <f t="shared" si="1"/>
        <v>93.564206888542301</v>
      </c>
      <c r="H107" s="2">
        <f t="shared" si="2"/>
        <v>2.4800320883604816</v>
      </c>
      <c r="I107" s="2">
        <f t="shared" si="3"/>
        <v>137.22017544898543</v>
      </c>
      <c r="J107" s="2">
        <f t="shared" si="4"/>
        <v>43.655968560443128</v>
      </c>
      <c r="K107" s="15">
        <f t="shared" si="19"/>
        <v>0.57457264957264953</v>
      </c>
      <c r="L107" s="2">
        <f t="shared" si="14"/>
        <v>102</v>
      </c>
      <c r="M107" s="2">
        <f t="shared" si="15"/>
        <v>55.08</v>
      </c>
      <c r="N107" s="2">
        <v>9</v>
      </c>
      <c r="O107" s="2">
        <v>50.26548245743669</v>
      </c>
      <c r="P107" s="11">
        <f t="shared" si="5"/>
        <v>1.7904931097838226</v>
      </c>
      <c r="Q107" s="2">
        <f t="shared" si="6"/>
        <v>98.620360486892949</v>
      </c>
      <c r="R107" s="2">
        <f t="shared" si="7"/>
        <v>2.4985513630708889</v>
      </c>
      <c r="S107" s="2">
        <f t="shared" si="8"/>
        <v>137.62020907794457</v>
      </c>
      <c r="T107" s="2">
        <f t="shared" si="9"/>
        <v>38.999848591051617</v>
      </c>
    </row>
    <row r="108" spans="1:20" x14ac:dyDescent="0.25">
      <c r="A108" s="14">
        <f t="shared" si="18"/>
        <v>0.61153846153846159</v>
      </c>
      <c r="B108" s="2">
        <f t="shared" si="11"/>
        <v>103</v>
      </c>
      <c r="C108" s="4">
        <f t="shared" si="12"/>
        <v>55.83</v>
      </c>
      <c r="D108" s="2">
        <v>9.5</v>
      </c>
      <c r="E108" s="2">
        <v>50.26548245743669</v>
      </c>
      <c r="F108" s="11">
        <f t="shared" si="0"/>
        <v>1.8899649492162571</v>
      </c>
      <c r="G108" s="2">
        <f t="shared" si="1"/>
        <v>105.51674311474363</v>
      </c>
      <c r="H108" s="2">
        <f t="shared" si="2"/>
        <v>2.4800320883604816</v>
      </c>
      <c r="I108" s="2">
        <f t="shared" si="3"/>
        <v>138.46019149316569</v>
      </c>
      <c r="J108" s="2">
        <f t="shared" si="4"/>
        <v>32.943448378422062</v>
      </c>
      <c r="K108" s="15">
        <f t="shared" si="19"/>
        <v>0.57478632478632474</v>
      </c>
      <c r="L108" s="2">
        <f t="shared" si="14"/>
        <v>103</v>
      </c>
      <c r="M108" s="2">
        <f t="shared" si="15"/>
        <v>55.58</v>
      </c>
      <c r="N108" s="2">
        <v>12</v>
      </c>
      <c r="O108" s="2">
        <v>50.26548245743669</v>
      </c>
      <c r="P108" s="11">
        <f t="shared" si="5"/>
        <v>2.3873241463784298</v>
      </c>
      <c r="Q108" s="2">
        <f t="shared" si="6"/>
        <v>132.68747605571312</v>
      </c>
      <c r="R108" s="2">
        <f t="shared" si="7"/>
        <v>2.4985513630708889</v>
      </c>
      <c r="S108" s="2">
        <f t="shared" si="8"/>
        <v>138.86948475948</v>
      </c>
      <c r="T108" s="2">
        <f t="shared" si="9"/>
        <v>6.1820087037668827</v>
      </c>
    </row>
    <row r="109" spans="1:20" x14ac:dyDescent="0.25">
      <c r="A109" s="14">
        <f t="shared" si="18"/>
        <v>0.6118055555555556</v>
      </c>
      <c r="B109" s="21">
        <f t="shared" si="11"/>
        <v>104</v>
      </c>
      <c r="C109" s="22">
        <f t="shared" si="12"/>
        <v>56.33</v>
      </c>
      <c r="D109" s="21">
        <v>11</v>
      </c>
      <c r="E109" s="2">
        <v>50.26548245743669</v>
      </c>
      <c r="F109" s="11">
        <f t="shared" si="0"/>
        <v>2.1883804675135607</v>
      </c>
      <c r="G109" s="2">
        <f t="shared" si="1"/>
        <v>123.27147173503887</v>
      </c>
      <c r="H109" s="2">
        <f t="shared" si="2"/>
        <v>2.4800320883604816</v>
      </c>
      <c r="I109" s="2">
        <f t="shared" si="3"/>
        <v>139.70020753734593</v>
      </c>
      <c r="J109" s="2">
        <f t="shared" si="4"/>
        <v>16.42873580230706</v>
      </c>
      <c r="K109" s="15">
        <f t="shared" si="19"/>
        <v>0.57499999999999996</v>
      </c>
      <c r="L109" s="21">
        <f t="shared" si="14"/>
        <v>104</v>
      </c>
      <c r="M109" s="21">
        <f t="shared" si="15"/>
        <v>56.08</v>
      </c>
      <c r="N109" s="21">
        <v>10.5</v>
      </c>
      <c r="O109" s="2">
        <v>50.26548245743669</v>
      </c>
      <c r="P109" s="11">
        <f t="shared" si="5"/>
        <v>2.0889086280811267</v>
      </c>
      <c r="Q109" s="2">
        <f t="shared" si="6"/>
        <v>117.14599586278958</v>
      </c>
      <c r="R109" s="2">
        <f t="shared" si="7"/>
        <v>2.4985513630708889</v>
      </c>
      <c r="S109" s="2">
        <f t="shared" si="8"/>
        <v>140.11876044101544</v>
      </c>
      <c r="T109" s="2">
        <f t="shared" si="9"/>
        <v>22.972764578225863</v>
      </c>
    </row>
    <row r="110" spans="1:20" x14ac:dyDescent="0.25">
      <c r="A110" s="14">
        <f t="shared" si="18"/>
        <v>0.61207264957264962</v>
      </c>
      <c r="B110" s="21">
        <f t="shared" si="11"/>
        <v>105</v>
      </c>
      <c r="C110" s="22">
        <f>C109+1.5</f>
        <v>57.83</v>
      </c>
      <c r="D110" s="21">
        <v>10</v>
      </c>
      <c r="E110" s="2">
        <v>50.26548245743669</v>
      </c>
      <c r="F110" s="11">
        <f t="shared" si="0"/>
        <v>1.9894367886486919</v>
      </c>
      <c r="G110" s="2">
        <f t="shared" si="1"/>
        <v>115.04912948755384</v>
      </c>
      <c r="H110" s="2">
        <f t="shared" si="2"/>
        <v>2.4800320883604816</v>
      </c>
      <c r="I110" s="2">
        <f t="shared" si="3"/>
        <v>143.42025566988664</v>
      </c>
      <c r="J110" s="2">
        <f t="shared" si="4"/>
        <v>28.371126182332802</v>
      </c>
      <c r="K110" s="15">
        <f t="shared" si="19"/>
        <v>0.57521367521367517</v>
      </c>
      <c r="L110" s="21">
        <f t="shared" si="14"/>
        <v>105</v>
      </c>
      <c r="M110" s="21">
        <f>M109+1.5</f>
        <v>57.58</v>
      </c>
      <c r="N110" s="21">
        <v>10</v>
      </c>
      <c r="O110" s="2">
        <v>50.26548245743669</v>
      </c>
      <c r="P110" s="11">
        <f t="shared" si="5"/>
        <v>1.9894367886486919</v>
      </c>
      <c r="Q110" s="2">
        <f t="shared" si="6"/>
        <v>114.55177029039167</v>
      </c>
      <c r="R110" s="2">
        <f t="shared" si="7"/>
        <v>2.4985513630708889</v>
      </c>
      <c r="S110" s="2">
        <f t="shared" si="8"/>
        <v>143.86658748562178</v>
      </c>
      <c r="T110" s="2">
        <f t="shared" si="9"/>
        <v>29.314817195230106</v>
      </c>
    </row>
    <row r="111" spans="1:20" x14ac:dyDescent="0.25">
      <c r="A111" s="14">
        <f t="shared" si="18"/>
        <v>0.61233974358974363</v>
      </c>
      <c r="B111" s="21">
        <f t="shared" si="11"/>
        <v>106</v>
      </c>
      <c r="C111" s="22">
        <f t="shared" ref="C111:C162" si="20">C110+0.5</f>
        <v>58.33</v>
      </c>
      <c r="D111" s="21">
        <v>9.5</v>
      </c>
      <c r="E111" s="2">
        <v>50.26548245743669</v>
      </c>
      <c r="F111" s="11">
        <f t="shared" si="0"/>
        <v>1.8899649492162571</v>
      </c>
      <c r="G111" s="2">
        <f t="shared" si="1"/>
        <v>110.24165548778427</v>
      </c>
      <c r="H111" s="2">
        <f t="shared" si="2"/>
        <v>2.4800320883604816</v>
      </c>
      <c r="I111" s="2">
        <f t="shared" si="3"/>
        <v>144.66027171406688</v>
      </c>
      <c r="J111" s="2">
        <f t="shared" si="4"/>
        <v>34.418616226282609</v>
      </c>
      <c r="K111" s="15">
        <f t="shared" si="19"/>
        <v>0.57542735042735038</v>
      </c>
      <c r="L111" s="21">
        <f t="shared" si="14"/>
        <v>106</v>
      </c>
      <c r="M111" s="21">
        <f t="shared" ref="M111:M162" si="21">M110+0.5</f>
        <v>58.08</v>
      </c>
      <c r="N111" s="21">
        <v>9.5</v>
      </c>
      <c r="O111" s="2">
        <v>50.26548245743669</v>
      </c>
      <c r="P111" s="11">
        <f t="shared" si="5"/>
        <v>1.8899649492162571</v>
      </c>
      <c r="Q111" s="2">
        <f t="shared" si="6"/>
        <v>109.76916425048022</v>
      </c>
      <c r="R111" s="2">
        <f t="shared" si="7"/>
        <v>2.4985513630708889</v>
      </c>
      <c r="S111" s="2">
        <f t="shared" si="8"/>
        <v>145.11586316715722</v>
      </c>
      <c r="T111" s="2">
        <f t="shared" si="9"/>
        <v>35.346698916676999</v>
      </c>
    </row>
    <row r="112" spans="1:20" x14ac:dyDescent="0.25">
      <c r="A112" s="14">
        <f t="shared" si="18"/>
        <v>0.61260683760683765</v>
      </c>
      <c r="B112" s="2">
        <f t="shared" si="11"/>
        <v>107</v>
      </c>
      <c r="C112" s="4">
        <f t="shared" si="20"/>
        <v>58.83</v>
      </c>
      <c r="D112" s="2">
        <v>10.5</v>
      </c>
      <c r="E112" s="2">
        <v>50.26548245743669</v>
      </c>
      <c r="F112" s="11">
        <f t="shared" si="0"/>
        <v>2.0889086280811267</v>
      </c>
      <c r="G112" s="2">
        <f t="shared" si="1"/>
        <v>122.89049459001268</v>
      </c>
      <c r="H112" s="2">
        <f t="shared" si="2"/>
        <v>2.4800320883604816</v>
      </c>
      <c r="I112" s="2">
        <f t="shared" si="3"/>
        <v>145.90028775824712</v>
      </c>
      <c r="J112" s="2">
        <f t="shared" si="4"/>
        <v>23.009793168234438</v>
      </c>
      <c r="K112" s="15">
        <f t="shared" si="19"/>
        <v>0.57564102564102559</v>
      </c>
      <c r="L112" s="2">
        <f t="shared" si="14"/>
        <v>107</v>
      </c>
      <c r="M112" s="2">
        <f t="shared" si="21"/>
        <v>58.58</v>
      </c>
      <c r="N112" s="2">
        <v>9.5</v>
      </c>
      <c r="O112" s="2">
        <v>50.26548245743669</v>
      </c>
      <c r="P112" s="11">
        <f t="shared" si="5"/>
        <v>1.8899649492162571</v>
      </c>
      <c r="Q112" s="2">
        <f t="shared" si="6"/>
        <v>110.71414672508834</v>
      </c>
      <c r="R112" s="2">
        <f t="shared" si="7"/>
        <v>2.4985513630708889</v>
      </c>
      <c r="S112" s="2">
        <f t="shared" si="8"/>
        <v>146.36513884869265</v>
      </c>
      <c r="T112" s="2">
        <f t="shared" si="9"/>
        <v>35.650992123604311</v>
      </c>
    </row>
    <row r="113" spans="1:20" x14ac:dyDescent="0.25">
      <c r="A113" s="14">
        <f t="shared" si="18"/>
        <v>0.61287393162393167</v>
      </c>
      <c r="B113" s="2">
        <f t="shared" si="11"/>
        <v>108</v>
      </c>
      <c r="C113" s="4">
        <f t="shared" si="20"/>
        <v>59.33</v>
      </c>
      <c r="D113" s="2">
        <v>11</v>
      </c>
      <c r="E113" s="2">
        <v>50.26548245743669</v>
      </c>
      <c r="F113" s="11">
        <f t="shared" si="0"/>
        <v>2.1883804675135607</v>
      </c>
      <c r="G113" s="2">
        <f t="shared" si="1"/>
        <v>129.83661313757955</v>
      </c>
      <c r="H113" s="2">
        <f t="shared" si="2"/>
        <v>2.4800320883604816</v>
      </c>
      <c r="I113" s="2">
        <f t="shared" si="3"/>
        <v>147.14030380242738</v>
      </c>
      <c r="J113" s="2">
        <f t="shared" si="4"/>
        <v>17.303690664847835</v>
      </c>
      <c r="K113" s="15">
        <f t="shared" si="19"/>
        <v>0.57585470085470081</v>
      </c>
      <c r="L113" s="2">
        <f t="shared" si="14"/>
        <v>108</v>
      </c>
      <c r="M113" s="2">
        <f t="shared" si="21"/>
        <v>59.08</v>
      </c>
      <c r="N113" s="2">
        <v>9</v>
      </c>
      <c r="O113" s="2">
        <v>50.26548245743669</v>
      </c>
      <c r="P113" s="11">
        <f t="shared" si="5"/>
        <v>1.7904931097838226</v>
      </c>
      <c r="Q113" s="2">
        <f t="shared" si="6"/>
        <v>105.78233292602823</v>
      </c>
      <c r="R113" s="2">
        <f t="shared" si="7"/>
        <v>2.4985513630708889</v>
      </c>
      <c r="S113" s="2">
        <f t="shared" si="8"/>
        <v>147.61441453022812</v>
      </c>
      <c r="T113" s="2">
        <f t="shared" si="9"/>
        <v>41.832081604199885</v>
      </c>
    </row>
    <row r="114" spans="1:20" x14ac:dyDescent="0.25">
      <c r="A114" s="14">
        <f t="shared" si="18"/>
        <v>0.61314102564102568</v>
      </c>
      <c r="B114" s="2">
        <f t="shared" si="11"/>
        <v>109</v>
      </c>
      <c r="C114" s="4">
        <f t="shared" si="20"/>
        <v>59.83</v>
      </c>
      <c r="D114" s="2">
        <v>9.5</v>
      </c>
      <c r="E114" s="2">
        <v>50.26548245743669</v>
      </c>
      <c r="F114" s="11">
        <f t="shared" si="0"/>
        <v>1.8899649492162571</v>
      </c>
      <c r="G114" s="2">
        <f t="shared" si="1"/>
        <v>113.07660291160866</v>
      </c>
      <c r="H114" s="2">
        <f t="shared" si="2"/>
        <v>2.4800320883604816</v>
      </c>
      <c r="I114" s="2">
        <f t="shared" si="3"/>
        <v>148.38031984660762</v>
      </c>
      <c r="J114" s="2">
        <f t="shared" si="4"/>
        <v>35.30371693499896</v>
      </c>
      <c r="K114" s="15">
        <f t="shared" si="19"/>
        <v>0.57606837606837602</v>
      </c>
      <c r="L114" s="2">
        <f t="shared" si="14"/>
        <v>109</v>
      </c>
      <c r="M114" s="2">
        <f t="shared" si="21"/>
        <v>59.58</v>
      </c>
      <c r="N114" s="2">
        <v>9.5</v>
      </c>
      <c r="O114" s="2">
        <v>50.26548245743669</v>
      </c>
      <c r="P114" s="11">
        <f t="shared" si="5"/>
        <v>1.8899649492162571</v>
      </c>
      <c r="Q114" s="2">
        <f t="shared" si="6"/>
        <v>112.60411167430459</v>
      </c>
      <c r="R114" s="2">
        <f t="shared" si="7"/>
        <v>2.4985513630708889</v>
      </c>
      <c r="S114" s="2">
        <f t="shared" si="8"/>
        <v>148.86369021176355</v>
      </c>
      <c r="T114" s="2">
        <f t="shared" si="9"/>
        <v>36.259578537458964</v>
      </c>
    </row>
    <row r="115" spans="1:20" x14ac:dyDescent="0.25">
      <c r="A115" s="14">
        <f t="shared" si="18"/>
        <v>0.6134081196581197</v>
      </c>
      <c r="B115" s="2">
        <f t="shared" si="11"/>
        <v>110</v>
      </c>
      <c r="C115" s="4">
        <f t="shared" si="20"/>
        <v>60.33</v>
      </c>
      <c r="D115" s="2">
        <v>11</v>
      </c>
      <c r="E115" s="2">
        <v>50.26548245743669</v>
      </c>
      <c r="F115" s="11">
        <f t="shared" si="0"/>
        <v>2.1883804675135607</v>
      </c>
      <c r="G115" s="2">
        <f t="shared" si="1"/>
        <v>132.02499360509313</v>
      </c>
      <c r="H115" s="2">
        <f t="shared" si="2"/>
        <v>2.4800320883604816</v>
      </c>
      <c r="I115" s="2">
        <f t="shared" si="3"/>
        <v>149.62033589078786</v>
      </c>
      <c r="J115" s="2">
        <f t="shared" si="4"/>
        <v>17.595342285694727</v>
      </c>
      <c r="K115" s="15">
        <f t="shared" si="19"/>
        <v>0.57628205128205123</v>
      </c>
      <c r="L115" s="2">
        <f t="shared" si="14"/>
        <v>110</v>
      </c>
      <c r="M115" s="2">
        <f t="shared" si="21"/>
        <v>60.08</v>
      </c>
      <c r="N115" s="2">
        <v>8.5</v>
      </c>
      <c r="O115" s="2">
        <v>50.26548245743669</v>
      </c>
      <c r="P115" s="11">
        <f t="shared" si="5"/>
        <v>1.6910212703513881</v>
      </c>
      <c r="Q115" s="2">
        <f t="shared" si="6"/>
        <v>101.5965579227114</v>
      </c>
      <c r="R115" s="2">
        <f t="shared" si="7"/>
        <v>2.4985513630708889</v>
      </c>
      <c r="S115" s="2">
        <f t="shared" si="8"/>
        <v>150.11296589329899</v>
      </c>
      <c r="T115" s="2">
        <f t="shared" si="9"/>
        <v>48.516407970587593</v>
      </c>
    </row>
    <row r="116" spans="1:20" x14ac:dyDescent="0.25">
      <c r="A116" s="14">
        <f t="shared" si="18"/>
        <v>0.61367521367521372</v>
      </c>
      <c r="B116" s="2">
        <f t="shared" si="11"/>
        <v>111</v>
      </c>
      <c r="C116" s="4">
        <f t="shared" si="20"/>
        <v>60.83</v>
      </c>
      <c r="D116" s="2">
        <v>10</v>
      </c>
      <c r="E116" s="2">
        <v>50.26548245743669</v>
      </c>
      <c r="F116" s="11">
        <f t="shared" si="0"/>
        <v>1.9894367886486919</v>
      </c>
      <c r="G116" s="2">
        <f t="shared" si="1"/>
        <v>121.01743985349992</v>
      </c>
      <c r="H116" s="2">
        <f t="shared" si="2"/>
        <v>2.4800320883604816</v>
      </c>
      <c r="I116" s="2">
        <f t="shared" si="3"/>
        <v>150.86035193496809</v>
      </c>
      <c r="J116" s="2">
        <f t="shared" si="4"/>
        <v>29.842912081468171</v>
      </c>
      <c r="K116" s="15">
        <f t="shared" si="19"/>
        <v>0.57649572649572645</v>
      </c>
      <c r="L116" s="2">
        <f t="shared" si="14"/>
        <v>111</v>
      </c>
      <c r="M116" s="2">
        <f t="shared" si="21"/>
        <v>60.58</v>
      </c>
      <c r="N116" s="2">
        <v>10</v>
      </c>
      <c r="O116" s="2">
        <v>50.26548245743669</v>
      </c>
      <c r="P116" s="11">
        <f t="shared" si="5"/>
        <v>1.9894367886486919</v>
      </c>
      <c r="Q116" s="2">
        <f t="shared" si="6"/>
        <v>120.52008065633775</v>
      </c>
      <c r="R116" s="2">
        <f t="shared" si="7"/>
        <v>2.4985513630708889</v>
      </c>
      <c r="S116" s="2">
        <f t="shared" si="8"/>
        <v>151.36224157483446</v>
      </c>
      <c r="T116" s="2">
        <f t="shared" si="9"/>
        <v>30.842160918496702</v>
      </c>
    </row>
    <row r="117" spans="1:20" x14ac:dyDescent="0.25">
      <c r="A117" s="14">
        <f t="shared" si="18"/>
        <v>0.61394230769230773</v>
      </c>
      <c r="B117" s="2">
        <f t="shared" si="11"/>
        <v>112</v>
      </c>
      <c r="C117" s="4">
        <f t="shared" si="20"/>
        <v>61.33</v>
      </c>
      <c r="D117" s="2">
        <v>10</v>
      </c>
      <c r="E117" s="2">
        <v>50.26548245743669</v>
      </c>
      <c r="F117" s="11">
        <f t="shared" si="0"/>
        <v>1.9894367886486919</v>
      </c>
      <c r="G117" s="2">
        <f t="shared" si="1"/>
        <v>122.01215824782427</v>
      </c>
      <c r="H117" s="2">
        <f t="shared" si="2"/>
        <v>2.4800320883604816</v>
      </c>
      <c r="I117" s="2">
        <f t="shared" si="3"/>
        <v>152.10036797914833</v>
      </c>
      <c r="J117" s="2">
        <f t="shared" si="4"/>
        <v>30.088209731324056</v>
      </c>
      <c r="K117" s="15">
        <f t="shared" si="19"/>
        <v>0.57670940170940166</v>
      </c>
      <c r="L117" s="2">
        <f t="shared" si="14"/>
        <v>112</v>
      </c>
      <c r="M117" s="2">
        <f t="shared" si="21"/>
        <v>61.08</v>
      </c>
      <c r="N117" s="2">
        <v>10</v>
      </c>
      <c r="O117" s="2">
        <v>50.26548245743669</v>
      </c>
      <c r="P117" s="11">
        <f t="shared" si="5"/>
        <v>1.9894367886486919</v>
      </c>
      <c r="Q117" s="2">
        <f t="shared" si="6"/>
        <v>121.51479905066209</v>
      </c>
      <c r="R117" s="2">
        <f t="shared" si="7"/>
        <v>2.4985513630708889</v>
      </c>
      <c r="S117" s="2">
        <f t="shared" si="8"/>
        <v>152.61151725636989</v>
      </c>
      <c r="T117" s="2">
        <f t="shared" si="9"/>
        <v>31.096718205707802</v>
      </c>
    </row>
    <row r="118" spans="1:20" x14ac:dyDescent="0.25">
      <c r="A118" s="14">
        <f t="shared" si="18"/>
        <v>0.61420940170940175</v>
      </c>
      <c r="B118" s="2">
        <f t="shared" si="11"/>
        <v>113</v>
      </c>
      <c r="C118" s="4">
        <f t="shared" si="20"/>
        <v>61.83</v>
      </c>
      <c r="D118" s="2">
        <v>10</v>
      </c>
      <c r="E118" s="2">
        <v>50.26548245743669</v>
      </c>
      <c r="F118" s="11">
        <f t="shared" si="0"/>
        <v>1.9894367886486919</v>
      </c>
      <c r="G118" s="2">
        <f t="shared" si="1"/>
        <v>123.00687664214861</v>
      </c>
      <c r="H118" s="2">
        <f t="shared" si="2"/>
        <v>2.4800320883604816</v>
      </c>
      <c r="I118" s="2">
        <f t="shared" si="3"/>
        <v>153.34038402332857</v>
      </c>
      <c r="J118" s="2">
        <f t="shared" si="4"/>
        <v>30.333507381179956</v>
      </c>
      <c r="K118" s="15">
        <f t="shared" si="19"/>
        <v>0.57692307692307687</v>
      </c>
      <c r="L118" s="2">
        <f t="shared" si="14"/>
        <v>113</v>
      </c>
      <c r="M118" s="2">
        <f t="shared" si="21"/>
        <v>61.58</v>
      </c>
      <c r="N118" s="2">
        <v>10</v>
      </c>
      <c r="O118" s="2">
        <v>50.26548245743669</v>
      </c>
      <c r="P118" s="11">
        <f t="shared" si="5"/>
        <v>1.9894367886486919</v>
      </c>
      <c r="Q118" s="2">
        <f t="shared" si="6"/>
        <v>122.50951744498644</v>
      </c>
      <c r="R118" s="2">
        <f t="shared" si="7"/>
        <v>2.4985513630708889</v>
      </c>
      <c r="S118" s="2">
        <f t="shared" si="8"/>
        <v>153.86079293790533</v>
      </c>
      <c r="T118" s="2">
        <f t="shared" si="9"/>
        <v>31.351275492918887</v>
      </c>
    </row>
    <row r="119" spans="1:20" x14ac:dyDescent="0.25">
      <c r="A119" s="14">
        <f t="shared" si="18"/>
        <v>0.61447649572649576</v>
      </c>
      <c r="B119" s="2">
        <f t="shared" si="11"/>
        <v>114</v>
      </c>
      <c r="C119" s="4">
        <f t="shared" si="20"/>
        <v>62.33</v>
      </c>
      <c r="D119" s="2">
        <v>10.5</v>
      </c>
      <c r="E119" s="2">
        <v>50.26548245743669</v>
      </c>
      <c r="F119" s="11">
        <f t="shared" si="0"/>
        <v>2.0889086280811267</v>
      </c>
      <c r="G119" s="2">
        <f t="shared" si="1"/>
        <v>130.20167478829663</v>
      </c>
      <c r="H119" s="2">
        <f t="shared" si="2"/>
        <v>2.4800320883604816</v>
      </c>
      <c r="I119" s="2">
        <f t="shared" si="3"/>
        <v>154.5804000675088</v>
      </c>
      <c r="J119" s="2">
        <f t="shared" si="4"/>
        <v>24.378725279212176</v>
      </c>
      <c r="K119" s="15">
        <f t="shared" si="19"/>
        <v>0.57713675213675208</v>
      </c>
      <c r="L119" s="2">
        <f t="shared" si="14"/>
        <v>114</v>
      </c>
      <c r="M119" s="2">
        <f t="shared" si="21"/>
        <v>62.08</v>
      </c>
      <c r="N119" s="2">
        <v>9.5</v>
      </c>
      <c r="O119" s="2">
        <v>50.26548245743669</v>
      </c>
      <c r="P119" s="11">
        <f t="shared" si="5"/>
        <v>1.8899649492162571</v>
      </c>
      <c r="Q119" s="2">
        <f t="shared" si="6"/>
        <v>117.32902404734524</v>
      </c>
      <c r="R119" s="2">
        <f t="shared" si="7"/>
        <v>2.4985513630708889</v>
      </c>
      <c r="S119" s="2">
        <f t="shared" si="8"/>
        <v>155.11006861944077</v>
      </c>
      <c r="T119" s="2">
        <f t="shared" si="9"/>
        <v>37.781044572095524</v>
      </c>
    </row>
    <row r="120" spans="1:20" x14ac:dyDescent="0.25">
      <c r="A120" s="14">
        <f t="shared" si="18"/>
        <v>0.61474358974358978</v>
      </c>
      <c r="B120" s="2">
        <f t="shared" si="11"/>
        <v>115</v>
      </c>
      <c r="C120" s="4">
        <f t="shared" si="20"/>
        <v>62.83</v>
      </c>
      <c r="D120" s="2">
        <v>12</v>
      </c>
      <c r="E120" s="2">
        <v>50.26548245743669</v>
      </c>
      <c r="F120" s="11">
        <f t="shared" si="0"/>
        <v>2.3873241463784298</v>
      </c>
      <c r="G120" s="2">
        <f t="shared" si="1"/>
        <v>149.99557611695676</v>
      </c>
      <c r="H120" s="2">
        <f t="shared" si="2"/>
        <v>2.4800320883604816</v>
      </c>
      <c r="I120" s="2">
        <f t="shared" si="3"/>
        <v>155.82041611168904</v>
      </c>
      <c r="J120" s="2">
        <f t="shared" si="4"/>
        <v>5.8248399947322866</v>
      </c>
      <c r="K120" s="15">
        <f t="shared" si="19"/>
        <v>0.5773504273504273</v>
      </c>
      <c r="L120" s="2">
        <f t="shared" si="14"/>
        <v>115</v>
      </c>
      <c r="M120" s="2">
        <f t="shared" si="21"/>
        <v>62.58</v>
      </c>
      <c r="N120" s="2">
        <v>11.5</v>
      </c>
      <c r="O120" s="2">
        <v>50.26548245743669</v>
      </c>
      <c r="P120" s="11">
        <f t="shared" si="5"/>
        <v>2.2878523069459957</v>
      </c>
      <c r="Q120" s="2">
        <f t="shared" si="6"/>
        <v>143.1737973686804</v>
      </c>
      <c r="R120" s="2">
        <f t="shared" si="7"/>
        <v>2.4985513630708889</v>
      </c>
      <c r="S120" s="2">
        <f t="shared" si="8"/>
        <v>156.35934430097623</v>
      </c>
      <c r="T120" s="2">
        <f t="shared" si="9"/>
        <v>13.185546932295836</v>
      </c>
    </row>
    <row r="121" spans="1:20" x14ac:dyDescent="0.25">
      <c r="A121" s="14">
        <f t="shared" si="18"/>
        <v>0.6150106837606838</v>
      </c>
      <c r="B121" s="2">
        <f t="shared" si="11"/>
        <v>116</v>
      </c>
      <c r="C121" s="4">
        <f t="shared" si="20"/>
        <v>63.33</v>
      </c>
      <c r="D121" s="2">
        <v>12</v>
      </c>
      <c r="E121" s="2">
        <v>50.26548245743669</v>
      </c>
      <c r="F121" s="11">
        <f t="shared" si="0"/>
        <v>2.3873241463784298</v>
      </c>
      <c r="G121" s="2">
        <f t="shared" si="1"/>
        <v>151.18923819014594</v>
      </c>
      <c r="H121" s="2">
        <f t="shared" si="2"/>
        <v>2.4800320883604816</v>
      </c>
      <c r="I121" s="2">
        <f t="shared" si="3"/>
        <v>157.06043215586931</v>
      </c>
      <c r="J121" s="2">
        <f t="shared" si="4"/>
        <v>5.8711939657233643</v>
      </c>
      <c r="K121" s="15">
        <f t="shared" si="19"/>
        <v>0.57756410256410251</v>
      </c>
      <c r="L121" s="2">
        <f t="shared" si="14"/>
        <v>116</v>
      </c>
      <c r="M121" s="2">
        <f t="shared" si="21"/>
        <v>63.08</v>
      </c>
      <c r="N121" s="2">
        <v>12</v>
      </c>
      <c r="O121" s="2">
        <v>50.26548245743669</v>
      </c>
      <c r="P121" s="11">
        <f t="shared" si="5"/>
        <v>2.3873241463784298</v>
      </c>
      <c r="Q121" s="2">
        <f t="shared" si="6"/>
        <v>150.59240715355136</v>
      </c>
      <c r="R121" s="2">
        <f t="shared" si="7"/>
        <v>2.4985513630708889</v>
      </c>
      <c r="S121" s="2">
        <f t="shared" si="8"/>
        <v>157.60861998251167</v>
      </c>
      <c r="T121" s="2">
        <f t="shared" si="9"/>
        <v>7.0162128289603061</v>
      </c>
    </row>
    <row r="122" spans="1:20" x14ac:dyDescent="0.25">
      <c r="A122" s="10">
        <v>0.61527777777777781</v>
      </c>
      <c r="B122" s="2">
        <f t="shared" si="11"/>
        <v>117</v>
      </c>
      <c r="C122" s="4">
        <f t="shared" si="20"/>
        <v>63.83</v>
      </c>
      <c r="D122" s="2">
        <v>11</v>
      </c>
      <c r="E122" s="2">
        <v>50.26548245743669</v>
      </c>
      <c r="F122" s="11">
        <f t="shared" si="0"/>
        <v>2.1883804675135607</v>
      </c>
      <c r="G122" s="2">
        <f t="shared" si="1"/>
        <v>139.68432524139058</v>
      </c>
      <c r="H122" s="2">
        <f t="shared" si="2"/>
        <v>2.4800320883604816</v>
      </c>
      <c r="I122" s="2">
        <f t="shared" si="3"/>
        <v>158.30044820004954</v>
      </c>
      <c r="J122" s="2">
        <f t="shared" si="4"/>
        <v>18.616122958658963</v>
      </c>
      <c r="K122" s="12">
        <v>0.57777777777777772</v>
      </c>
      <c r="L122" s="2">
        <f t="shared" si="14"/>
        <v>117</v>
      </c>
      <c r="M122" s="2">
        <f t="shared" si="21"/>
        <v>63.58</v>
      </c>
      <c r="N122" s="2">
        <v>10.5</v>
      </c>
      <c r="O122" s="2">
        <v>50.26548245743669</v>
      </c>
      <c r="P122" s="11">
        <f t="shared" si="5"/>
        <v>2.0889086280811267</v>
      </c>
      <c r="Q122" s="2">
        <f t="shared" si="6"/>
        <v>132.81281057339802</v>
      </c>
      <c r="R122" s="2">
        <f t="shared" si="7"/>
        <v>2.4985513630708889</v>
      </c>
      <c r="S122" s="2">
        <f t="shared" si="8"/>
        <v>158.85789566404711</v>
      </c>
      <c r="T122" s="2">
        <f t="shared" si="9"/>
        <v>26.045085090649081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0.61543803418803422</v>
      </c>
      <c r="B123" s="2">
        <f t="shared" si="11"/>
        <v>118</v>
      </c>
      <c r="C123" s="4">
        <f t="shared" si="20"/>
        <v>64.33</v>
      </c>
      <c r="D123" s="2">
        <v>11.5</v>
      </c>
      <c r="E123" s="2">
        <v>50.26548245743669</v>
      </c>
      <c r="F123" s="11">
        <f t="shared" si="0"/>
        <v>2.2878523069459957</v>
      </c>
      <c r="G123" s="2">
        <f t="shared" si="1"/>
        <v>147.17753890583589</v>
      </c>
      <c r="H123" s="2">
        <f t="shared" si="2"/>
        <v>2.4800320883604816</v>
      </c>
      <c r="I123" s="2">
        <f t="shared" si="3"/>
        <v>159.54046424422978</v>
      </c>
      <c r="J123" s="2">
        <f t="shared" si="4"/>
        <v>12.362925338393893</v>
      </c>
      <c r="K123" s="15">
        <f t="shared" ref="K123:K160" si="23">IF(AND($K$122&lt;&gt;"",$K$161&lt;&gt;""), $K$122 + (L123 - $L$122) * (($K$161 - $K$122) / ($L$161 - $L$122)), "")</f>
        <v>0.5779202279202279</v>
      </c>
      <c r="L123" s="2">
        <f t="shared" si="14"/>
        <v>118</v>
      </c>
      <c r="M123" s="2">
        <f t="shared" si="21"/>
        <v>64.08</v>
      </c>
      <c r="N123" s="2">
        <v>10.5</v>
      </c>
      <c r="O123" s="2">
        <v>50.26548245743669</v>
      </c>
      <c r="P123" s="11">
        <f t="shared" si="5"/>
        <v>2.0889086280811267</v>
      </c>
      <c r="Q123" s="2">
        <f t="shared" si="6"/>
        <v>133.85726488743859</v>
      </c>
      <c r="R123" s="2">
        <f t="shared" si="7"/>
        <v>2.4985513630708889</v>
      </c>
      <c r="S123" s="2">
        <f t="shared" si="8"/>
        <v>160.10717134558254</v>
      </c>
      <c r="T123" s="2">
        <f t="shared" si="9"/>
        <v>26.249906458143954</v>
      </c>
    </row>
    <row r="124" spans="1:20" x14ac:dyDescent="0.25">
      <c r="A124" s="14">
        <f t="shared" si="22"/>
        <v>0.61559829059829063</v>
      </c>
      <c r="B124" s="2">
        <f t="shared" si="11"/>
        <v>119</v>
      </c>
      <c r="C124" s="4">
        <f t="shared" si="20"/>
        <v>64.83</v>
      </c>
      <c r="D124" s="2">
        <v>12</v>
      </c>
      <c r="E124" s="2">
        <v>50.26548245743669</v>
      </c>
      <c r="F124" s="11">
        <f t="shared" si="0"/>
        <v>2.3873241463784298</v>
      </c>
      <c r="G124" s="2">
        <f t="shared" si="1"/>
        <v>154.77022440971359</v>
      </c>
      <c r="H124" s="2">
        <f t="shared" si="2"/>
        <v>2.4800320883604816</v>
      </c>
      <c r="I124" s="2">
        <f t="shared" si="3"/>
        <v>160.78048028841002</v>
      </c>
      <c r="J124" s="2">
        <f t="shared" si="4"/>
        <v>6.0102558786964266</v>
      </c>
      <c r="K124" s="15">
        <f t="shared" si="23"/>
        <v>0.57806267806267797</v>
      </c>
      <c r="L124" s="2">
        <f t="shared" si="14"/>
        <v>119</v>
      </c>
      <c r="M124" s="2">
        <f t="shared" si="21"/>
        <v>64.58</v>
      </c>
      <c r="N124" s="2">
        <v>11.5</v>
      </c>
      <c r="O124" s="2">
        <v>50.26548245743669</v>
      </c>
      <c r="P124" s="11">
        <f t="shared" si="5"/>
        <v>2.2878523069459957</v>
      </c>
      <c r="Q124" s="2">
        <f t="shared" si="6"/>
        <v>147.74950198257241</v>
      </c>
      <c r="R124" s="2">
        <f t="shared" si="7"/>
        <v>2.4985513630708889</v>
      </c>
      <c r="S124" s="2">
        <f t="shared" si="8"/>
        <v>161.35644702711801</v>
      </c>
      <c r="T124" s="2">
        <f t="shared" si="9"/>
        <v>13.606945044545597</v>
      </c>
    </row>
    <row r="125" spans="1:20" x14ac:dyDescent="0.25">
      <c r="A125" s="14">
        <f t="shared" si="22"/>
        <v>0.61575854700854704</v>
      </c>
      <c r="B125" s="2">
        <f t="shared" si="11"/>
        <v>120</v>
      </c>
      <c r="C125" s="4">
        <f t="shared" si="20"/>
        <v>65.33</v>
      </c>
      <c r="D125" s="2">
        <v>14</v>
      </c>
      <c r="E125" s="2">
        <v>50.26548245743669</v>
      </c>
      <c r="F125" s="11">
        <f t="shared" si="0"/>
        <v>2.7852115041081689</v>
      </c>
      <c r="G125" s="2">
        <f t="shared" si="1"/>
        <v>181.95786756338666</v>
      </c>
      <c r="H125" s="2">
        <f t="shared" si="2"/>
        <v>2.4800320883604816</v>
      </c>
      <c r="I125" s="2">
        <f t="shared" si="3"/>
        <v>162.02049633259026</v>
      </c>
      <c r="J125" s="2">
        <f t="shared" si="4"/>
        <v>19.937371230796401</v>
      </c>
      <c r="K125" s="15">
        <f t="shared" si="23"/>
        <v>0.57820512820512815</v>
      </c>
      <c r="L125" s="2">
        <f t="shared" si="14"/>
        <v>120</v>
      </c>
      <c r="M125" s="2">
        <f t="shared" si="21"/>
        <v>65.08</v>
      </c>
      <c r="N125" s="2">
        <v>12</v>
      </c>
      <c r="O125" s="2">
        <v>50.26548245743669</v>
      </c>
      <c r="P125" s="11">
        <f t="shared" si="5"/>
        <v>2.3873241463784298</v>
      </c>
      <c r="Q125" s="2">
        <f t="shared" si="6"/>
        <v>155.3670554463082</v>
      </c>
      <c r="R125" s="2">
        <f t="shared" si="7"/>
        <v>2.4985513630708889</v>
      </c>
      <c r="S125" s="2">
        <f t="shared" si="8"/>
        <v>162.60572270865345</v>
      </c>
      <c r="T125" s="2">
        <f t="shared" si="9"/>
        <v>7.2386672623452455</v>
      </c>
    </row>
    <row r="126" spans="1:20" x14ac:dyDescent="0.25">
      <c r="A126" s="14">
        <f t="shared" si="22"/>
        <v>0.61591880341880345</v>
      </c>
      <c r="B126" s="2">
        <f t="shared" si="11"/>
        <v>121</v>
      </c>
      <c r="C126" s="4">
        <f t="shared" si="20"/>
        <v>65.83</v>
      </c>
      <c r="D126" s="2">
        <v>12</v>
      </c>
      <c r="E126" s="2">
        <v>50.26548245743669</v>
      </c>
      <c r="F126" s="11">
        <f t="shared" si="0"/>
        <v>2.3873241463784298</v>
      </c>
      <c r="G126" s="2">
        <f t="shared" si="1"/>
        <v>157.15754855609202</v>
      </c>
      <c r="H126" s="2">
        <f t="shared" si="2"/>
        <v>2.4800320883604816</v>
      </c>
      <c r="I126" s="2">
        <f t="shared" si="3"/>
        <v>163.26051237677049</v>
      </c>
      <c r="J126" s="2">
        <f t="shared" si="4"/>
        <v>6.1029638206784682</v>
      </c>
      <c r="K126" s="15">
        <f t="shared" si="23"/>
        <v>0.57834757834757833</v>
      </c>
      <c r="L126" s="2">
        <f t="shared" si="14"/>
        <v>121</v>
      </c>
      <c r="M126" s="2">
        <f t="shared" si="21"/>
        <v>65.58</v>
      </c>
      <c r="N126" s="2">
        <v>12</v>
      </c>
      <c r="O126" s="2">
        <v>50.26548245743669</v>
      </c>
      <c r="P126" s="11">
        <f t="shared" si="5"/>
        <v>2.3873241463784298</v>
      </c>
      <c r="Q126" s="2">
        <f t="shared" si="6"/>
        <v>156.56071751949742</v>
      </c>
      <c r="R126" s="2">
        <f t="shared" si="7"/>
        <v>2.4985513630708889</v>
      </c>
      <c r="S126" s="2">
        <f t="shared" si="8"/>
        <v>163.85499839018888</v>
      </c>
      <c r="T126" s="2">
        <f t="shared" si="9"/>
        <v>7.2942808706914661</v>
      </c>
    </row>
    <row r="127" spans="1:20" x14ac:dyDescent="0.25">
      <c r="A127" s="14">
        <f t="shared" si="22"/>
        <v>0.61607905982905986</v>
      </c>
      <c r="B127" s="2">
        <f t="shared" si="11"/>
        <v>122</v>
      </c>
      <c r="C127" s="4">
        <f t="shared" si="20"/>
        <v>66.33</v>
      </c>
      <c r="D127" s="2">
        <v>12.5</v>
      </c>
      <c r="E127" s="2">
        <v>50.26548245743669</v>
      </c>
      <c r="F127" s="11">
        <f t="shared" si="0"/>
        <v>2.4867959858108648</v>
      </c>
      <c r="G127" s="2">
        <f t="shared" si="1"/>
        <v>164.94917773883466</v>
      </c>
      <c r="H127" s="2">
        <f t="shared" si="2"/>
        <v>2.4800320883604816</v>
      </c>
      <c r="I127" s="2">
        <f t="shared" si="3"/>
        <v>164.50052842095073</v>
      </c>
      <c r="J127" s="2">
        <f t="shared" si="4"/>
        <v>0.44864931788393392</v>
      </c>
      <c r="K127" s="15">
        <f t="shared" si="23"/>
        <v>0.5784900284900284</v>
      </c>
      <c r="L127" s="2">
        <f t="shared" si="14"/>
        <v>122</v>
      </c>
      <c r="M127" s="2">
        <f t="shared" si="21"/>
        <v>66.08</v>
      </c>
      <c r="N127" s="2">
        <v>14</v>
      </c>
      <c r="O127" s="2">
        <v>50.26548245743669</v>
      </c>
      <c r="P127" s="11">
        <f t="shared" si="5"/>
        <v>2.7852115041081689</v>
      </c>
      <c r="Q127" s="2">
        <f t="shared" si="6"/>
        <v>184.04677619146779</v>
      </c>
      <c r="R127" s="2">
        <f t="shared" si="7"/>
        <v>2.4985513630708889</v>
      </c>
      <c r="S127" s="2">
        <f t="shared" si="8"/>
        <v>165.10427407172432</v>
      </c>
      <c r="T127" s="2">
        <f t="shared" si="9"/>
        <v>18.942502119743466</v>
      </c>
    </row>
    <row r="128" spans="1:20" x14ac:dyDescent="0.25">
      <c r="A128" s="14">
        <f t="shared" si="22"/>
        <v>0.61623931623931627</v>
      </c>
      <c r="B128" s="2">
        <f t="shared" si="11"/>
        <v>123</v>
      </c>
      <c r="C128" s="4">
        <f t="shared" si="20"/>
        <v>66.83</v>
      </c>
      <c r="D128" s="2">
        <v>14</v>
      </c>
      <c r="E128" s="2">
        <v>50.26548245743669</v>
      </c>
      <c r="F128" s="11">
        <f t="shared" si="0"/>
        <v>2.7852115041081689</v>
      </c>
      <c r="G128" s="2">
        <f t="shared" si="1"/>
        <v>186.13568481954891</v>
      </c>
      <c r="H128" s="2">
        <f t="shared" si="2"/>
        <v>2.4800320883604816</v>
      </c>
      <c r="I128" s="2">
        <f t="shared" si="3"/>
        <v>165.74054446513099</v>
      </c>
      <c r="J128" s="2">
        <f t="shared" si="4"/>
        <v>20.395140354417919</v>
      </c>
      <c r="K128" s="15">
        <f t="shared" si="23"/>
        <v>0.57863247863247858</v>
      </c>
      <c r="L128" s="2">
        <f t="shared" si="14"/>
        <v>123</v>
      </c>
      <c r="M128" s="2">
        <f t="shared" si="21"/>
        <v>66.58</v>
      </c>
      <c r="N128" s="2">
        <v>14</v>
      </c>
      <c r="O128" s="2">
        <v>50.26548245743669</v>
      </c>
      <c r="P128" s="11">
        <f t="shared" si="5"/>
        <v>2.7852115041081689</v>
      </c>
      <c r="Q128" s="2">
        <f t="shared" si="6"/>
        <v>185.43938194352188</v>
      </c>
      <c r="R128" s="2">
        <f t="shared" si="7"/>
        <v>2.4985513630708889</v>
      </c>
      <c r="S128" s="2">
        <f t="shared" si="8"/>
        <v>166.35354975325978</v>
      </c>
      <c r="T128" s="2">
        <f t="shared" si="9"/>
        <v>19.085832190262096</v>
      </c>
    </row>
    <row r="129" spans="1:20" x14ac:dyDescent="0.25">
      <c r="A129" s="14">
        <f t="shared" si="22"/>
        <v>0.61639957264957268</v>
      </c>
      <c r="B129" s="2">
        <f t="shared" si="11"/>
        <v>124</v>
      </c>
      <c r="C129" s="4">
        <f t="shared" si="20"/>
        <v>67.33</v>
      </c>
      <c r="D129" s="2">
        <v>15.5</v>
      </c>
      <c r="E129" s="2">
        <v>50.26548245743669</v>
      </c>
      <c r="F129" s="11">
        <f t="shared" si="0"/>
        <v>3.0836270224054725</v>
      </c>
      <c r="G129" s="2">
        <f t="shared" si="1"/>
        <v>207.62060741856047</v>
      </c>
      <c r="H129" s="2">
        <f t="shared" si="2"/>
        <v>2.4800320883604816</v>
      </c>
      <c r="I129" s="2">
        <f t="shared" si="3"/>
        <v>166.98056050931123</v>
      </c>
      <c r="J129" s="2">
        <f t="shared" si="4"/>
        <v>40.640046909249236</v>
      </c>
      <c r="K129" s="15">
        <f t="shared" si="23"/>
        <v>0.57877492877492875</v>
      </c>
      <c r="L129" s="2">
        <f t="shared" si="14"/>
        <v>124</v>
      </c>
      <c r="M129" s="2">
        <f t="shared" si="21"/>
        <v>67.08</v>
      </c>
      <c r="N129" s="2">
        <v>14</v>
      </c>
      <c r="O129" s="2">
        <v>50.26548245743669</v>
      </c>
      <c r="P129" s="11">
        <f t="shared" si="5"/>
        <v>2.7852115041081689</v>
      </c>
      <c r="Q129" s="2">
        <f t="shared" si="6"/>
        <v>186.83198769557598</v>
      </c>
      <c r="R129" s="2">
        <f t="shared" si="7"/>
        <v>2.4985513630708889</v>
      </c>
      <c r="S129" s="2">
        <f t="shared" si="8"/>
        <v>167.60282543479522</v>
      </c>
      <c r="T129" s="2">
        <f t="shared" si="9"/>
        <v>19.229162260780754</v>
      </c>
    </row>
    <row r="130" spans="1:20" x14ac:dyDescent="0.25">
      <c r="A130" s="14">
        <f t="shared" si="22"/>
        <v>0.61655982905982909</v>
      </c>
      <c r="B130" s="2">
        <f t="shared" si="11"/>
        <v>125</v>
      </c>
      <c r="C130" s="4">
        <f t="shared" si="20"/>
        <v>67.83</v>
      </c>
      <c r="D130" s="2">
        <v>13</v>
      </c>
      <c r="E130" s="2">
        <v>50.26548245743669</v>
      </c>
      <c r="F130" s="11">
        <f t="shared" si="0"/>
        <v>2.5862678252432989</v>
      </c>
      <c r="G130" s="2">
        <f t="shared" si="1"/>
        <v>175.42654658625295</v>
      </c>
      <c r="H130" s="2">
        <f t="shared" si="2"/>
        <v>2.4800320883604816</v>
      </c>
      <c r="I130" s="2">
        <f t="shared" si="3"/>
        <v>168.22057655349147</v>
      </c>
      <c r="J130" s="2">
        <f t="shared" si="4"/>
        <v>7.2059700327614848</v>
      </c>
      <c r="K130" s="15">
        <f t="shared" si="23"/>
        <v>0.57891737891737893</v>
      </c>
      <c r="L130" s="2">
        <f t="shared" si="14"/>
        <v>125</v>
      </c>
      <c r="M130" s="2">
        <f t="shared" si="21"/>
        <v>67.58</v>
      </c>
      <c r="N130" s="2">
        <v>13.5</v>
      </c>
      <c r="O130" s="2">
        <v>50.26548245743669</v>
      </c>
      <c r="P130" s="11">
        <f t="shared" si="5"/>
        <v>2.6857396646757339</v>
      </c>
      <c r="Q130" s="2">
        <f t="shared" si="6"/>
        <v>181.50228653878608</v>
      </c>
      <c r="R130" s="2">
        <f t="shared" si="7"/>
        <v>2.4985513630708889</v>
      </c>
      <c r="S130" s="2">
        <f t="shared" si="8"/>
        <v>168.85210111633066</v>
      </c>
      <c r="T130" s="2">
        <f t="shared" si="9"/>
        <v>12.650185422455422</v>
      </c>
    </row>
    <row r="131" spans="1:20" x14ac:dyDescent="0.25">
      <c r="A131" s="14">
        <f t="shared" si="22"/>
        <v>0.6167200854700855</v>
      </c>
      <c r="B131" s="2">
        <f t="shared" si="11"/>
        <v>126</v>
      </c>
      <c r="C131" s="4">
        <f t="shared" si="20"/>
        <v>68.33</v>
      </c>
      <c r="D131" s="2">
        <v>13.5</v>
      </c>
      <c r="E131" s="2">
        <v>50.26548245743669</v>
      </c>
      <c r="F131" s="11">
        <f t="shared" si="0"/>
        <v>2.6857396646757339</v>
      </c>
      <c r="G131" s="2">
        <f t="shared" si="1"/>
        <v>183.5165912872929</v>
      </c>
      <c r="H131" s="2">
        <f t="shared" si="2"/>
        <v>2.4800320883604816</v>
      </c>
      <c r="I131" s="2">
        <f t="shared" si="3"/>
        <v>169.46059259767171</v>
      </c>
      <c r="J131" s="2">
        <f t="shared" si="4"/>
        <v>14.055998689621191</v>
      </c>
      <c r="K131" s="15">
        <f t="shared" si="23"/>
        <v>0.579059829059829</v>
      </c>
      <c r="L131" s="2">
        <f t="shared" si="14"/>
        <v>126</v>
      </c>
      <c r="M131" s="2">
        <f t="shared" si="21"/>
        <v>68.08</v>
      </c>
      <c r="N131" s="2">
        <v>14</v>
      </c>
      <c r="O131" s="2">
        <v>50.26548245743669</v>
      </c>
      <c r="P131" s="11">
        <f t="shared" si="5"/>
        <v>2.7852115041081689</v>
      </c>
      <c r="Q131" s="2">
        <f t="shared" si="6"/>
        <v>189.61719919968414</v>
      </c>
      <c r="R131" s="2">
        <f t="shared" si="7"/>
        <v>2.4985513630708889</v>
      </c>
      <c r="S131" s="2">
        <f t="shared" si="8"/>
        <v>170.10137679786612</v>
      </c>
      <c r="T131" s="2">
        <f t="shared" si="9"/>
        <v>19.515822401818014</v>
      </c>
    </row>
    <row r="132" spans="1:20" x14ac:dyDescent="0.25">
      <c r="A132" s="14">
        <f t="shared" si="22"/>
        <v>0.61688034188034191</v>
      </c>
      <c r="B132" s="2">
        <f t="shared" si="11"/>
        <v>127</v>
      </c>
      <c r="C132" s="4">
        <f t="shared" si="20"/>
        <v>68.83</v>
      </c>
      <c r="D132" s="2">
        <v>14</v>
      </c>
      <c r="E132" s="2">
        <v>50.26548245743669</v>
      </c>
      <c r="F132" s="11">
        <f t="shared" si="0"/>
        <v>2.7852115041081689</v>
      </c>
      <c r="G132" s="2">
        <f t="shared" si="1"/>
        <v>191.70610782776527</v>
      </c>
      <c r="H132" s="2">
        <f t="shared" si="2"/>
        <v>2.4800320883604816</v>
      </c>
      <c r="I132" s="2">
        <f t="shared" si="3"/>
        <v>170.70060864185194</v>
      </c>
      <c r="J132" s="2">
        <f t="shared" si="4"/>
        <v>21.005499185913322</v>
      </c>
      <c r="K132" s="15">
        <f t="shared" si="23"/>
        <v>0.57920227920227918</v>
      </c>
      <c r="L132" s="2">
        <f t="shared" si="14"/>
        <v>127</v>
      </c>
      <c r="M132" s="2">
        <f t="shared" si="21"/>
        <v>68.58</v>
      </c>
      <c r="N132" s="2">
        <v>14</v>
      </c>
      <c r="O132" s="2">
        <v>50.26548245743669</v>
      </c>
      <c r="P132" s="11">
        <f t="shared" si="5"/>
        <v>2.7852115041081689</v>
      </c>
      <c r="Q132" s="2">
        <f t="shared" si="6"/>
        <v>191.0098049517382</v>
      </c>
      <c r="R132" s="2">
        <f t="shared" si="7"/>
        <v>2.4985513630708889</v>
      </c>
      <c r="S132" s="2">
        <f t="shared" si="8"/>
        <v>171.35065247940156</v>
      </c>
      <c r="T132" s="2">
        <f t="shared" si="9"/>
        <v>19.659152472336643</v>
      </c>
    </row>
    <row r="133" spans="1:20" x14ac:dyDescent="0.25">
      <c r="A133" s="14">
        <f t="shared" si="22"/>
        <v>0.61704059829059832</v>
      </c>
      <c r="B133" s="2">
        <f t="shared" si="11"/>
        <v>128</v>
      </c>
      <c r="C133" s="4">
        <f t="shared" si="20"/>
        <v>69.33</v>
      </c>
      <c r="D133" s="2">
        <v>13.5</v>
      </c>
      <c r="E133" s="2">
        <v>50.26548245743669</v>
      </c>
      <c r="F133" s="11">
        <f t="shared" si="0"/>
        <v>2.6857396646757339</v>
      </c>
      <c r="G133" s="2">
        <f t="shared" si="1"/>
        <v>186.20233095196863</v>
      </c>
      <c r="H133" s="2">
        <f t="shared" si="2"/>
        <v>2.4800320883604816</v>
      </c>
      <c r="I133" s="2">
        <f t="shared" si="3"/>
        <v>171.94062468603218</v>
      </c>
      <c r="J133" s="2">
        <f t="shared" si="4"/>
        <v>14.261706265936454</v>
      </c>
      <c r="K133" s="15">
        <f t="shared" si="23"/>
        <v>0.57934472934472936</v>
      </c>
      <c r="L133" s="2">
        <f t="shared" si="14"/>
        <v>128</v>
      </c>
      <c r="M133" s="2">
        <f t="shared" si="21"/>
        <v>69.08</v>
      </c>
      <c r="N133" s="2">
        <v>13.5</v>
      </c>
      <c r="O133" s="2">
        <v>50.26548245743669</v>
      </c>
      <c r="P133" s="11">
        <f t="shared" si="5"/>
        <v>2.6857396646757339</v>
      </c>
      <c r="Q133" s="2">
        <f t="shared" si="6"/>
        <v>185.53089603579969</v>
      </c>
      <c r="R133" s="2">
        <f t="shared" si="7"/>
        <v>2.4985513630708889</v>
      </c>
      <c r="S133" s="2">
        <f t="shared" si="8"/>
        <v>172.599928160937</v>
      </c>
      <c r="T133" s="2">
        <f t="shared" si="9"/>
        <v>12.930967874862688</v>
      </c>
    </row>
    <row r="134" spans="1:20" x14ac:dyDescent="0.25">
      <c r="A134" s="14">
        <f t="shared" si="22"/>
        <v>0.61720085470085473</v>
      </c>
      <c r="B134" s="2">
        <f t="shared" si="11"/>
        <v>129</v>
      </c>
      <c r="C134" s="4">
        <f t="shared" si="20"/>
        <v>69.83</v>
      </c>
      <c r="D134" s="2">
        <v>12.5</v>
      </c>
      <c r="E134" s="2">
        <v>50.26548245743669</v>
      </c>
      <c r="F134" s="11">
        <f t="shared" si="0"/>
        <v>2.4867959858108648</v>
      </c>
      <c r="G134" s="2">
        <f t="shared" si="1"/>
        <v>173.65296368917268</v>
      </c>
      <c r="H134" s="2">
        <f t="shared" si="2"/>
        <v>2.4800320883604816</v>
      </c>
      <c r="I134" s="2">
        <f t="shared" si="3"/>
        <v>173.18064073021242</v>
      </c>
      <c r="J134" s="2">
        <f t="shared" si="4"/>
        <v>0.47232295896026244</v>
      </c>
      <c r="K134" s="15">
        <f t="shared" si="23"/>
        <v>0.57948717948717943</v>
      </c>
      <c r="L134" s="2">
        <f t="shared" si="14"/>
        <v>129</v>
      </c>
      <c r="M134" s="2">
        <f t="shared" si="21"/>
        <v>69.58</v>
      </c>
      <c r="N134" s="2">
        <v>13.5</v>
      </c>
      <c r="O134" s="2">
        <v>50.26548245743669</v>
      </c>
      <c r="P134" s="11">
        <f t="shared" si="5"/>
        <v>2.6857396646757339</v>
      </c>
      <c r="Q134" s="2">
        <f t="shared" si="6"/>
        <v>186.87376586813755</v>
      </c>
      <c r="R134" s="2">
        <f t="shared" si="7"/>
        <v>2.4985513630708889</v>
      </c>
      <c r="S134" s="2">
        <f t="shared" si="8"/>
        <v>173.84920384247243</v>
      </c>
      <c r="T134" s="2">
        <f t="shared" si="9"/>
        <v>13.024562025665119</v>
      </c>
    </row>
    <row r="135" spans="1:20" x14ac:dyDescent="0.25">
      <c r="A135" s="14">
        <f t="shared" si="22"/>
        <v>0.61736111111111114</v>
      </c>
      <c r="B135" s="2">
        <f t="shared" si="11"/>
        <v>130</v>
      </c>
      <c r="C135" s="4">
        <f t="shared" si="20"/>
        <v>70.33</v>
      </c>
      <c r="D135" s="2">
        <v>13</v>
      </c>
      <c r="E135" s="2">
        <v>50.26548245743669</v>
      </c>
      <c r="F135" s="11">
        <f t="shared" si="0"/>
        <v>2.5862678252432989</v>
      </c>
      <c r="G135" s="2">
        <f t="shared" si="1"/>
        <v>181.89221614936122</v>
      </c>
      <c r="H135" s="2">
        <f t="shared" si="2"/>
        <v>2.4800320883604816</v>
      </c>
      <c r="I135" s="2">
        <f t="shared" si="3"/>
        <v>174.42065677439265</v>
      </c>
      <c r="J135" s="2">
        <f t="shared" si="4"/>
        <v>7.4715593749685638</v>
      </c>
      <c r="K135" s="15">
        <f t="shared" si="23"/>
        <v>0.57962962962962961</v>
      </c>
      <c r="L135" s="2">
        <f t="shared" si="14"/>
        <v>130</v>
      </c>
      <c r="M135" s="2">
        <f t="shared" si="21"/>
        <v>70.08</v>
      </c>
      <c r="N135" s="2">
        <v>13</v>
      </c>
      <c r="O135" s="2">
        <v>50.26548245743669</v>
      </c>
      <c r="P135" s="11">
        <f t="shared" si="5"/>
        <v>2.5862678252432989</v>
      </c>
      <c r="Q135" s="2">
        <f t="shared" si="6"/>
        <v>181.24564919305038</v>
      </c>
      <c r="R135" s="2">
        <f t="shared" si="7"/>
        <v>2.4985513630708889</v>
      </c>
      <c r="S135" s="2">
        <f t="shared" si="8"/>
        <v>175.0984795240079</v>
      </c>
      <c r="T135" s="2">
        <f t="shared" si="9"/>
        <v>6.1471696690424835</v>
      </c>
    </row>
    <row r="136" spans="1:20" x14ac:dyDescent="0.25">
      <c r="A136" s="14">
        <f t="shared" si="22"/>
        <v>0.61752136752136755</v>
      </c>
      <c r="B136" s="2">
        <f t="shared" si="11"/>
        <v>131</v>
      </c>
      <c r="C136" s="4">
        <f t="shared" si="20"/>
        <v>70.83</v>
      </c>
      <c r="D136" s="2">
        <v>12</v>
      </c>
      <c r="E136" s="2">
        <v>50.26548245743669</v>
      </c>
      <c r="F136" s="11">
        <f t="shared" si="0"/>
        <v>2.3873241463784298</v>
      </c>
      <c r="G136" s="2">
        <f t="shared" si="1"/>
        <v>169.09416928798419</v>
      </c>
      <c r="H136" s="2">
        <f t="shared" si="2"/>
        <v>2.4800320883604816</v>
      </c>
      <c r="I136" s="2">
        <f t="shared" si="3"/>
        <v>175.66067281857292</v>
      </c>
      <c r="J136" s="2">
        <f t="shared" si="4"/>
        <v>6.5665035305887329</v>
      </c>
      <c r="K136" s="15">
        <f t="shared" si="23"/>
        <v>0.57977207977207978</v>
      </c>
      <c r="L136" s="2">
        <f t="shared" si="14"/>
        <v>131</v>
      </c>
      <c r="M136" s="2">
        <f t="shared" si="21"/>
        <v>70.58</v>
      </c>
      <c r="N136" s="2">
        <v>12</v>
      </c>
      <c r="O136" s="2">
        <v>50.26548245743669</v>
      </c>
      <c r="P136" s="11">
        <f t="shared" si="5"/>
        <v>2.3873241463784298</v>
      </c>
      <c r="Q136" s="2">
        <f t="shared" si="6"/>
        <v>168.49733825138958</v>
      </c>
      <c r="R136" s="2">
        <f t="shared" si="7"/>
        <v>2.4985513630708889</v>
      </c>
      <c r="S136" s="2">
        <f t="shared" si="8"/>
        <v>176.34775520554334</v>
      </c>
      <c r="T136" s="2">
        <f t="shared" si="9"/>
        <v>7.8504169541537578</v>
      </c>
    </row>
    <row r="137" spans="1:20" x14ac:dyDescent="0.25">
      <c r="A137" s="14">
        <f t="shared" si="22"/>
        <v>0.61768162393162396</v>
      </c>
      <c r="B137" s="2">
        <f t="shared" si="11"/>
        <v>132</v>
      </c>
      <c r="C137" s="4">
        <f t="shared" si="20"/>
        <v>71.33</v>
      </c>
      <c r="D137" s="2">
        <v>13.5</v>
      </c>
      <c r="E137" s="2">
        <v>50.26548245743669</v>
      </c>
      <c r="F137" s="11">
        <f t="shared" si="0"/>
        <v>2.6857396646757339</v>
      </c>
      <c r="G137" s="2">
        <f t="shared" si="1"/>
        <v>191.57381028132011</v>
      </c>
      <c r="H137" s="2">
        <f t="shared" si="2"/>
        <v>2.4800320883604816</v>
      </c>
      <c r="I137" s="2">
        <f t="shared" si="3"/>
        <v>176.90068886275316</v>
      </c>
      <c r="J137" s="2">
        <f t="shared" si="4"/>
        <v>14.67312141856695</v>
      </c>
      <c r="K137" s="15">
        <f t="shared" si="23"/>
        <v>0.57991452991452985</v>
      </c>
      <c r="L137" s="2">
        <f t="shared" si="14"/>
        <v>132</v>
      </c>
      <c r="M137" s="2">
        <f t="shared" si="21"/>
        <v>71.08</v>
      </c>
      <c r="N137" s="2">
        <v>13</v>
      </c>
      <c r="O137" s="2">
        <v>50.26548245743669</v>
      </c>
      <c r="P137" s="11">
        <f t="shared" si="5"/>
        <v>2.5862678252432989</v>
      </c>
      <c r="Q137" s="2">
        <f t="shared" si="6"/>
        <v>183.83191701829369</v>
      </c>
      <c r="R137" s="2">
        <f t="shared" si="7"/>
        <v>2.4985513630708889</v>
      </c>
      <c r="S137" s="2">
        <f t="shared" si="8"/>
        <v>177.59703088707877</v>
      </c>
      <c r="T137" s="2">
        <f t="shared" si="9"/>
        <v>6.2348861312149211</v>
      </c>
    </row>
    <row r="138" spans="1:20" x14ac:dyDescent="0.25">
      <c r="A138" s="14">
        <f t="shared" si="22"/>
        <v>0.61784188034188037</v>
      </c>
      <c r="B138" s="2">
        <f t="shared" si="11"/>
        <v>133</v>
      </c>
      <c r="C138" s="4">
        <f t="shared" si="20"/>
        <v>71.83</v>
      </c>
      <c r="D138" s="2">
        <v>13.5</v>
      </c>
      <c r="E138" s="2">
        <v>50.26548245743669</v>
      </c>
      <c r="F138" s="11">
        <f t="shared" si="0"/>
        <v>2.6857396646757339</v>
      </c>
      <c r="G138" s="2">
        <f t="shared" si="1"/>
        <v>192.91668011365795</v>
      </c>
      <c r="H138" s="2">
        <f t="shared" si="2"/>
        <v>2.4800320883604816</v>
      </c>
      <c r="I138" s="2">
        <f t="shared" si="3"/>
        <v>178.14070490693339</v>
      </c>
      <c r="J138" s="2">
        <f t="shared" si="4"/>
        <v>14.775975206724553</v>
      </c>
      <c r="K138" s="15">
        <f t="shared" si="23"/>
        <v>0.58005698005698003</v>
      </c>
      <c r="L138" s="2">
        <f t="shared" si="14"/>
        <v>133</v>
      </c>
      <c r="M138" s="2">
        <f t="shared" si="21"/>
        <v>71.58</v>
      </c>
      <c r="N138" s="2">
        <v>13.5</v>
      </c>
      <c r="O138" s="2">
        <v>50.26548245743669</v>
      </c>
      <c r="P138" s="11">
        <f t="shared" si="5"/>
        <v>2.6857396646757339</v>
      </c>
      <c r="Q138" s="2">
        <f t="shared" si="6"/>
        <v>192.24524519748903</v>
      </c>
      <c r="R138" s="2">
        <f t="shared" si="7"/>
        <v>2.4985513630708889</v>
      </c>
      <c r="S138" s="2">
        <f t="shared" si="8"/>
        <v>178.84630656861421</v>
      </c>
      <c r="T138" s="2">
        <f t="shared" si="9"/>
        <v>13.398938628874816</v>
      </c>
    </row>
    <row r="139" spans="1:20" x14ac:dyDescent="0.25">
      <c r="A139" s="14">
        <f t="shared" si="22"/>
        <v>0.61800213675213678</v>
      </c>
      <c r="B139" s="2">
        <f t="shared" si="11"/>
        <v>134</v>
      </c>
      <c r="C139" s="4">
        <f t="shared" si="20"/>
        <v>72.33</v>
      </c>
      <c r="D139" s="2">
        <v>14</v>
      </c>
      <c r="E139" s="2">
        <v>50.26548245743669</v>
      </c>
      <c r="F139" s="11">
        <f t="shared" si="0"/>
        <v>2.7852115041081689</v>
      </c>
      <c r="G139" s="2">
        <f t="shared" si="1"/>
        <v>201.45434809214385</v>
      </c>
      <c r="H139" s="2">
        <f t="shared" si="2"/>
        <v>2.4800320883604816</v>
      </c>
      <c r="I139" s="2">
        <f t="shared" si="3"/>
        <v>179.38072095111363</v>
      </c>
      <c r="J139" s="2">
        <f t="shared" si="4"/>
        <v>22.073627141030215</v>
      </c>
      <c r="K139" s="15">
        <f t="shared" si="23"/>
        <v>0.58019943019943021</v>
      </c>
      <c r="L139" s="2">
        <f t="shared" si="14"/>
        <v>134</v>
      </c>
      <c r="M139" s="2">
        <f t="shared" si="21"/>
        <v>72.08</v>
      </c>
      <c r="N139" s="2">
        <v>13</v>
      </c>
      <c r="O139" s="2">
        <v>50.26548245743669</v>
      </c>
      <c r="P139" s="11">
        <f t="shared" si="5"/>
        <v>2.5862678252432989</v>
      </c>
      <c r="Q139" s="2">
        <f t="shared" si="6"/>
        <v>186.41818484353698</v>
      </c>
      <c r="R139" s="2">
        <f t="shared" si="7"/>
        <v>2.4985513630708889</v>
      </c>
      <c r="S139" s="2">
        <f t="shared" si="8"/>
        <v>180.09558225014968</v>
      </c>
      <c r="T139" s="2">
        <f t="shared" si="9"/>
        <v>6.3226025933873018</v>
      </c>
    </row>
    <row r="140" spans="1:20" x14ac:dyDescent="0.25">
      <c r="A140" s="14">
        <f t="shared" si="22"/>
        <v>0.61816239316239319</v>
      </c>
      <c r="B140" s="2">
        <f t="shared" si="11"/>
        <v>135</v>
      </c>
      <c r="C140" s="4">
        <f t="shared" si="20"/>
        <v>72.83</v>
      </c>
      <c r="D140" s="2">
        <v>13</v>
      </c>
      <c r="E140" s="2">
        <v>50.26548245743669</v>
      </c>
      <c r="F140" s="11">
        <f t="shared" si="0"/>
        <v>2.5862678252432989</v>
      </c>
      <c r="G140" s="2">
        <f t="shared" si="1"/>
        <v>188.35788571246945</v>
      </c>
      <c r="H140" s="2">
        <f t="shared" si="2"/>
        <v>2.4800320883604816</v>
      </c>
      <c r="I140" s="2">
        <f t="shared" si="3"/>
        <v>180.62073699529387</v>
      </c>
      <c r="J140" s="2">
        <f t="shared" si="4"/>
        <v>7.7371487171755859</v>
      </c>
      <c r="K140" s="15">
        <f t="shared" si="23"/>
        <v>0.58034188034188028</v>
      </c>
      <c r="L140" s="2">
        <f t="shared" si="14"/>
        <v>135</v>
      </c>
      <c r="M140" s="2">
        <f t="shared" si="21"/>
        <v>72.58</v>
      </c>
      <c r="N140" s="2">
        <v>12.5</v>
      </c>
      <c r="O140" s="2">
        <v>50.26548245743669</v>
      </c>
      <c r="P140" s="11">
        <f t="shared" si="5"/>
        <v>2.4867959858108648</v>
      </c>
      <c r="Q140" s="2">
        <f t="shared" si="6"/>
        <v>180.49165265015256</v>
      </c>
      <c r="R140" s="2">
        <f t="shared" si="7"/>
        <v>2.4985513630708889</v>
      </c>
      <c r="S140" s="2">
        <f t="shared" si="8"/>
        <v>181.34485793168511</v>
      </c>
      <c r="T140" s="2">
        <f t="shared" si="9"/>
        <v>0.85320528153255282</v>
      </c>
    </row>
    <row r="141" spans="1:20" x14ac:dyDescent="0.25">
      <c r="A141" s="14">
        <f t="shared" si="22"/>
        <v>0.6183226495726496</v>
      </c>
      <c r="B141" s="2">
        <f t="shared" si="11"/>
        <v>136</v>
      </c>
      <c r="C141" s="4">
        <f t="shared" si="20"/>
        <v>73.33</v>
      </c>
      <c r="D141" s="2">
        <v>13.5</v>
      </c>
      <c r="E141" s="2">
        <v>50.26548245743669</v>
      </c>
      <c r="F141" s="11">
        <f t="shared" si="0"/>
        <v>2.6857396646757339</v>
      </c>
      <c r="G141" s="2">
        <f t="shared" si="1"/>
        <v>196.94528961067155</v>
      </c>
      <c r="H141" s="2">
        <f t="shared" si="2"/>
        <v>2.4800320883604816</v>
      </c>
      <c r="I141" s="2">
        <f t="shared" si="3"/>
        <v>181.8607530394741</v>
      </c>
      <c r="J141" s="2">
        <f t="shared" si="4"/>
        <v>15.084536571197447</v>
      </c>
      <c r="K141" s="15">
        <f t="shared" si="23"/>
        <v>0.58048433048433046</v>
      </c>
      <c r="L141" s="2">
        <f t="shared" si="14"/>
        <v>136</v>
      </c>
      <c r="M141" s="2">
        <f t="shared" si="21"/>
        <v>73.08</v>
      </c>
      <c r="N141" s="2">
        <v>13</v>
      </c>
      <c r="O141" s="2">
        <v>50.26548245743669</v>
      </c>
      <c r="P141" s="11">
        <f t="shared" si="5"/>
        <v>2.5862678252432989</v>
      </c>
      <c r="Q141" s="2">
        <f t="shared" si="6"/>
        <v>189.00445266878029</v>
      </c>
      <c r="R141" s="2">
        <f t="shared" si="7"/>
        <v>2.4985513630708889</v>
      </c>
      <c r="S141" s="2">
        <f t="shared" si="8"/>
        <v>182.59413361322055</v>
      </c>
      <c r="T141" s="2">
        <f t="shared" si="9"/>
        <v>6.4103190555597394</v>
      </c>
    </row>
    <row r="142" spans="1:20" x14ac:dyDescent="0.25">
      <c r="A142" s="14">
        <f t="shared" si="22"/>
        <v>0.61848290598290601</v>
      </c>
      <c r="B142" s="2">
        <f t="shared" si="11"/>
        <v>137</v>
      </c>
      <c r="C142" s="4">
        <f t="shared" si="20"/>
        <v>73.83</v>
      </c>
      <c r="D142" s="2">
        <v>13.5</v>
      </c>
      <c r="E142" s="2">
        <v>50.26548245743669</v>
      </c>
      <c r="F142" s="11">
        <f t="shared" si="0"/>
        <v>2.6857396646757339</v>
      </c>
      <c r="G142" s="2">
        <f t="shared" si="1"/>
        <v>198.28815944300942</v>
      </c>
      <c r="H142" s="2">
        <f t="shared" si="2"/>
        <v>2.4800320883604816</v>
      </c>
      <c r="I142" s="2">
        <f t="shared" si="3"/>
        <v>183.10076908365434</v>
      </c>
      <c r="J142" s="2">
        <f t="shared" si="4"/>
        <v>15.187390359355078</v>
      </c>
      <c r="K142" s="15">
        <f t="shared" si="23"/>
        <v>0.58062678062678064</v>
      </c>
      <c r="L142" s="2">
        <f t="shared" si="14"/>
        <v>137</v>
      </c>
      <c r="M142" s="2">
        <f t="shared" si="21"/>
        <v>73.58</v>
      </c>
      <c r="N142" s="2">
        <v>13</v>
      </c>
      <c r="O142" s="2">
        <v>50.26548245743669</v>
      </c>
      <c r="P142" s="11">
        <f t="shared" si="5"/>
        <v>2.5862678252432989</v>
      </c>
      <c r="Q142" s="2">
        <f t="shared" si="6"/>
        <v>190.29758658140193</v>
      </c>
      <c r="R142" s="2">
        <f t="shared" si="7"/>
        <v>2.4985513630708889</v>
      </c>
      <c r="S142" s="2">
        <f t="shared" si="8"/>
        <v>183.84340929475599</v>
      </c>
      <c r="T142" s="2">
        <f t="shared" si="9"/>
        <v>6.4541772866459439</v>
      </c>
    </row>
    <row r="143" spans="1:20" x14ac:dyDescent="0.25">
      <c r="A143" s="14">
        <f t="shared" si="22"/>
        <v>0.61864316239316242</v>
      </c>
      <c r="B143" s="2">
        <f t="shared" si="11"/>
        <v>138</v>
      </c>
      <c r="C143" s="4">
        <f t="shared" si="20"/>
        <v>74.33</v>
      </c>
      <c r="D143" s="2">
        <v>13</v>
      </c>
      <c r="E143" s="2">
        <v>50.26548245743669</v>
      </c>
      <c r="F143" s="11">
        <f t="shared" si="0"/>
        <v>2.5862678252432989</v>
      </c>
      <c r="G143" s="2">
        <f t="shared" si="1"/>
        <v>192.23728745033441</v>
      </c>
      <c r="H143" s="2">
        <f t="shared" si="2"/>
        <v>2.4800320883604816</v>
      </c>
      <c r="I143" s="2">
        <f t="shared" si="3"/>
        <v>184.34078512783461</v>
      </c>
      <c r="J143" s="2">
        <f t="shared" si="4"/>
        <v>7.8965023224997992</v>
      </c>
      <c r="K143" s="15">
        <f t="shared" si="23"/>
        <v>0.58076923076923082</v>
      </c>
      <c r="L143" s="2">
        <f t="shared" si="14"/>
        <v>138</v>
      </c>
      <c r="M143" s="2">
        <f t="shared" si="21"/>
        <v>74.08</v>
      </c>
      <c r="N143" s="2">
        <v>13.5</v>
      </c>
      <c r="O143" s="2">
        <v>50.26548245743669</v>
      </c>
      <c r="P143" s="11">
        <f t="shared" si="5"/>
        <v>2.6857396646757339</v>
      </c>
      <c r="Q143" s="2">
        <f t="shared" si="6"/>
        <v>198.95959435917837</v>
      </c>
      <c r="R143" s="2">
        <f t="shared" si="7"/>
        <v>2.4985513630708889</v>
      </c>
      <c r="S143" s="2">
        <f t="shared" si="8"/>
        <v>185.09268497629145</v>
      </c>
      <c r="T143" s="2">
        <f t="shared" si="9"/>
        <v>13.866909382886917</v>
      </c>
    </row>
    <row r="144" spans="1:20" x14ac:dyDescent="0.25">
      <c r="A144" s="14">
        <f t="shared" si="22"/>
        <v>0.61880341880341883</v>
      </c>
      <c r="B144" s="2">
        <f t="shared" si="11"/>
        <v>139</v>
      </c>
      <c r="C144" s="4">
        <f t="shared" si="20"/>
        <v>74.83</v>
      </c>
      <c r="D144" s="2">
        <v>13</v>
      </c>
      <c r="E144" s="2">
        <v>50.26548245743669</v>
      </c>
      <c r="F144" s="11">
        <f t="shared" si="0"/>
        <v>2.5862678252432989</v>
      </c>
      <c r="G144" s="2">
        <f t="shared" si="1"/>
        <v>193.53042136295605</v>
      </c>
      <c r="H144" s="2">
        <f t="shared" si="2"/>
        <v>2.4800320883604816</v>
      </c>
      <c r="I144" s="2">
        <f t="shared" si="3"/>
        <v>185.58080117201484</v>
      </c>
      <c r="J144" s="2">
        <f t="shared" si="4"/>
        <v>7.9496201909412036</v>
      </c>
      <c r="K144" s="15">
        <f t="shared" si="23"/>
        <v>0.58091168091168088</v>
      </c>
      <c r="L144" s="2">
        <f t="shared" si="14"/>
        <v>139</v>
      </c>
      <c r="M144" s="2">
        <f t="shared" si="21"/>
        <v>74.58</v>
      </c>
      <c r="N144" s="2">
        <v>14</v>
      </c>
      <c r="O144" s="2">
        <v>50.26548245743669</v>
      </c>
      <c r="P144" s="11">
        <f t="shared" si="5"/>
        <v>2.7852115041081689</v>
      </c>
      <c r="Q144" s="2">
        <f t="shared" si="6"/>
        <v>207.72107397638723</v>
      </c>
      <c r="R144" s="2">
        <f t="shared" si="7"/>
        <v>2.4985513630708889</v>
      </c>
      <c r="S144" s="2">
        <f t="shared" si="8"/>
        <v>186.34196065782689</v>
      </c>
      <c r="T144" s="2">
        <f t="shared" si="9"/>
        <v>21.379113318560343</v>
      </c>
    </row>
    <row r="145" spans="1:20" x14ac:dyDescent="0.25">
      <c r="A145" s="14">
        <f t="shared" si="22"/>
        <v>0.61896367521367524</v>
      </c>
      <c r="B145" s="2">
        <f t="shared" si="11"/>
        <v>140</v>
      </c>
      <c r="C145" s="4">
        <f t="shared" si="20"/>
        <v>75.33</v>
      </c>
      <c r="D145" s="2">
        <v>13.5</v>
      </c>
      <c r="E145" s="2">
        <v>50.26548245743669</v>
      </c>
      <c r="F145" s="11">
        <f t="shared" si="0"/>
        <v>2.6857396646757339</v>
      </c>
      <c r="G145" s="2">
        <f t="shared" si="1"/>
        <v>202.31676894002302</v>
      </c>
      <c r="H145" s="2">
        <f t="shared" si="2"/>
        <v>2.4800320883604816</v>
      </c>
      <c r="I145" s="2">
        <f t="shared" si="3"/>
        <v>186.82081721619508</v>
      </c>
      <c r="J145" s="2">
        <f t="shared" si="4"/>
        <v>15.495951723827943</v>
      </c>
      <c r="K145" s="15">
        <f t="shared" si="23"/>
        <v>0.58105413105413106</v>
      </c>
      <c r="L145" s="2">
        <f t="shared" si="14"/>
        <v>140</v>
      </c>
      <c r="M145" s="2">
        <f t="shared" si="21"/>
        <v>75.08</v>
      </c>
      <c r="N145" s="2">
        <v>13</v>
      </c>
      <c r="O145" s="2">
        <v>50.26548245743669</v>
      </c>
      <c r="P145" s="11">
        <f t="shared" si="5"/>
        <v>2.5862678252432989</v>
      </c>
      <c r="Q145" s="2">
        <f t="shared" si="6"/>
        <v>194.17698831926688</v>
      </c>
      <c r="R145" s="2">
        <f t="shared" si="7"/>
        <v>2.4985513630708889</v>
      </c>
      <c r="S145" s="2">
        <f t="shared" si="8"/>
        <v>187.59123633936233</v>
      </c>
      <c r="T145" s="2">
        <f t="shared" si="9"/>
        <v>6.5857519799045576</v>
      </c>
    </row>
    <row r="146" spans="1:20" x14ac:dyDescent="0.25">
      <c r="A146" s="14">
        <f t="shared" si="22"/>
        <v>0.61912393162393164</v>
      </c>
      <c r="B146" s="2">
        <f t="shared" si="11"/>
        <v>141</v>
      </c>
      <c r="C146" s="4">
        <f t="shared" si="20"/>
        <v>75.83</v>
      </c>
      <c r="D146" s="2">
        <v>14.5</v>
      </c>
      <c r="E146" s="2">
        <v>50.26548245743669</v>
      </c>
      <c r="F146" s="11">
        <f t="shared" si="0"/>
        <v>2.8846833435406034</v>
      </c>
      <c r="G146" s="2">
        <f t="shared" si="1"/>
        <v>218.74553794068396</v>
      </c>
      <c r="H146" s="2">
        <f t="shared" si="2"/>
        <v>2.4800320883604816</v>
      </c>
      <c r="I146" s="2">
        <f t="shared" si="3"/>
        <v>188.06083326037532</v>
      </c>
      <c r="J146" s="2">
        <f t="shared" si="4"/>
        <v>30.684704680308641</v>
      </c>
      <c r="K146" s="15">
        <f t="shared" si="23"/>
        <v>0.58119658119658124</v>
      </c>
      <c r="L146" s="2">
        <f t="shared" si="14"/>
        <v>141</v>
      </c>
      <c r="M146" s="2">
        <f t="shared" si="21"/>
        <v>75.58</v>
      </c>
      <c r="N146" s="2">
        <v>13</v>
      </c>
      <c r="O146" s="2">
        <v>50.26548245743669</v>
      </c>
      <c r="P146" s="11">
        <f t="shared" si="5"/>
        <v>2.5862678252432989</v>
      </c>
      <c r="Q146" s="2">
        <f t="shared" si="6"/>
        <v>195.47012223188852</v>
      </c>
      <c r="R146" s="2">
        <f t="shared" si="7"/>
        <v>2.4985513630708889</v>
      </c>
      <c r="S146" s="2">
        <f t="shared" si="8"/>
        <v>188.84051202089779</v>
      </c>
      <c r="T146" s="2">
        <f t="shared" si="9"/>
        <v>6.6296102109907338</v>
      </c>
    </row>
    <row r="147" spans="1:20" x14ac:dyDescent="0.25">
      <c r="A147" s="14">
        <f t="shared" si="22"/>
        <v>0.61928418803418805</v>
      </c>
      <c r="B147" s="2">
        <f t="shared" si="11"/>
        <v>142</v>
      </c>
      <c r="C147" s="4">
        <f t="shared" si="20"/>
        <v>76.33</v>
      </c>
      <c r="D147" s="2">
        <v>12.5</v>
      </c>
      <c r="E147" s="2">
        <v>50.26548245743669</v>
      </c>
      <c r="F147" s="11">
        <f t="shared" si="0"/>
        <v>2.4867959858108648</v>
      </c>
      <c r="G147" s="2">
        <f t="shared" si="1"/>
        <v>189.8171375969433</v>
      </c>
      <c r="H147" s="2">
        <f t="shared" si="2"/>
        <v>2.4800320883604816</v>
      </c>
      <c r="I147" s="2">
        <f t="shared" si="3"/>
        <v>189.30084930455556</v>
      </c>
      <c r="J147" s="2">
        <f t="shared" si="4"/>
        <v>0.51628829238774188</v>
      </c>
      <c r="K147" s="15">
        <f t="shared" si="23"/>
        <v>0.58133903133903131</v>
      </c>
      <c r="L147" s="2">
        <f t="shared" si="14"/>
        <v>142</v>
      </c>
      <c r="M147" s="2">
        <f t="shared" si="21"/>
        <v>76.08</v>
      </c>
      <c r="N147" s="2">
        <v>14</v>
      </c>
      <c r="O147" s="2">
        <v>50.26548245743669</v>
      </c>
      <c r="P147" s="11">
        <f t="shared" si="5"/>
        <v>2.7852115041081689</v>
      </c>
      <c r="Q147" s="2">
        <f t="shared" si="6"/>
        <v>211.89889123254949</v>
      </c>
      <c r="R147" s="2">
        <f t="shared" si="7"/>
        <v>2.4985513630708889</v>
      </c>
      <c r="S147" s="2">
        <f t="shared" si="8"/>
        <v>190.08978770243323</v>
      </c>
      <c r="T147" s="2">
        <f t="shared" si="9"/>
        <v>21.809103530116261</v>
      </c>
    </row>
    <row r="148" spans="1:20" x14ac:dyDescent="0.25">
      <c r="A148" s="14">
        <f t="shared" si="22"/>
        <v>0.61944444444444446</v>
      </c>
      <c r="B148" s="2">
        <f t="shared" si="11"/>
        <v>143</v>
      </c>
      <c r="C148" s="4">
        <f t="shared" si="20"/>
        <v>76.83</v>
      </c>
      <c r="D148" s="2">
        <v>13.5</v>
      </c>
      <c r="E148" s="2">
        <v>50.26548245743669</v>
      </c>
      <c r="F148" s="11">
        <f t="shared" si="0"/>
        <v>2.6857396646757339</v>
      </c>
      <c r="G148" s="2">
        <f t="shared" si="1"/>
        <v>206.34537843703663</v>
      </c>
      <c r="H148" s="2">
        <f t="shared" si="2"/>
        <v>2.4800320883604816</v>
      </c>
      <c r="I148" s="2">
        <f t="shared" si="3"/>
        <v>190.54086534873579</v>
      </c>
      <c r="J148" s="2">
        <f t="shared" si="4"/>
        <v>15.804513088300837</v>
      </c>
      <c r="K148" s="15">
        <f t="shared" si="23"/>
        <v>0.58148148148148149</v>
      </c>
      <c r="L148" s="2">
        <f t="shared" si="14"/>
        <v>143</v>
      </c>
      <c r="M148" s="2">
        <f t="shared" si="21"/>
        <v>76.58</v>
      </c>
      <c r="N148" s="2">
        <v>14</v>
      </c>
      <c r="O148" s="2">
        <v>50.26548245743669</v>
      </c>
      <c r="P148" s="11">
        <f t="shared" si="5"/>
        <v>2.7852115041081689</v>
      </c>
      <c r="Q148" s="2">
        <f t="shared" si="6"/>
        <v>213.29149698460355</v>
      </c>
      <c r="R148" s="2">
        <f t="shared" si="7"/>
        <v>2.4985513630708889</v>
      </c>
      <c r="S148" s="2">
        <f t="shared" si="8"/>
        <v>191.33906338396866</v>
      </c>
      <c r="T148" s="2">
        <f t="shared" si="9"/>
        <v>21.95243360063489</v>
      </c>
    </row>
    <row r="149" spans="1:20" x14ac:dyDescent="0.25">
      <c r="A149" s="14">
        <f t="shared" si="22"/>
        <v>0.61960470085470087</v>
      </c>
      <c r="B149" s="2">
        <f t="shared" si="11"/>
        <v>144</v>
      </c>
      <c r="C149" s="4">
        <f t="shared" si="20"/>
        <v>77.33</v>
      </c>
      <c r="D149" s="2">
        <v>12</v>
      </c>
      <c r="E149" s="2">
        <v>50.26548245743669</v>
      </c>
      <c r="F149" s="11">
        <f t="shared" si="0"/>
        <v>2.3873241463784298</v>
      </c>
      <c r="G149" s="2">
        <f t="shared" si="1"/>
        <v>184.61177623944397</v>
      </c>
      <c r="H149" s="2">
        <f t="shared" si="2"/>
        <v>2.4800320883604816</v>
      </c>
      <c r="I149" s="2">
        <f t="shared" si="3"/>
        <v>191.78088139291603</v>
      </c>
      <c r="J149" s="2">
        <f t="shared" si="4"/>
        <v>7.16910515347206</v>
      </c>
      <c r="K149" s="15">
        <f t="shared" si="23"/>
        <v>0.58162393162393167</v>
      </c>
      <c r="L149" s="2">
        <f t="shared" si="14"/>
        <v>144</v>
      </c>
      <c r="M149" s="2">
        <f t="shared" si="21"/>
        <v>77.08</v>
      </c>
      <c r="N149" s="2">
        <v>12.5</v>
      </c>
      <c r="O149" s="2">
        <v>50.26548245743669</v>
      </c>
      <c r="P149" s="11">
        <f t="shared" si="5"/>
        <v>2.4867959858108648</v>
      </c>
      <c r="Q149" s="2">
        <f t="shared" si="6"/>
        <v>191.68223458630146</v>
      </c>
      <c r="R149" s="2">
        <f t="shared" si="7"/>
        <v>2.4985513630708889</v>
      </c>
      <c r="S149" s="2">
        <f t="shared" si="8"/>
        <v>192.5883390655041</v>
      </c>
      <c r="T149" s="2">
        <f t="shared" si="9"/>
        <v>0.90610447920263937</v>
      </c>
    </row>
    <row r="150" spans="1:20" x14ac:dyDescent="0.25">
      <c r="A150" s="14">
        <f t="shared" si="22"/>
        <v>0.61976495726495728</v>
      </c>
      <c r="B150" s="2">
        <f t="shared" si="11"/>
        <v>145</v>
      </c>
      <c r="C150" s="4">
        <f t="shared" si="20"/>
        <v>77.83</v>
      </c>
      <c r="D150" s="2">
        <v>13</v>
      </c>
      <c r="E150" s="2">
        <v>50.26548245743669</v>
      </c>
      <c r="F150" s="11">
        <f t="shared" si="0"/>
        <v>2.5862678252432989</v>
      </c>
      <c r="G150" s="2">
        <f t="shared" si="1"/>
        <v>201.28922483868595</v>
      </c>
      <c r="H150" s="2">
        <f t="shared" si="2"/>
        <v>2.4800320883604816</v>
      </c>
      <c r="I150" s="2">
        <f t="shared" si="3"/>
        <v>193.02089743709627</v>
      </c>
      <c r="J150" s="2">
        <f t="shared" si="4"/>
        <v>8.268327401589687</v>
      </c>
      <c r="K150" s="15">
        <f t="shared" si="23"/>
        <v>0.58176638176638173</v>
      </c>
      <c r="L150" s="2">
        <f t="shared" si="14"/>
        <v>145</v>
      </c>
      <c r="M150" s="2">
        <f t="shared" si="21"/>
        <v>77.58</v>
      </c>
      <c r="N150" s="2">
        <v>13</v>
      </c>
      <c r="O150" s="2">
        <v>50.26548245743669</v>
      </c>
      <c r="P150" s="11">
        <f t="shared" si="5"/>
        <v>2.5862678252432989</v>
      </c>
      <c r="Q150" s="2">
        <f t="shared" si="6"/>
        <v>200.64265788237512</v>
      </c>
      <c r="R150" s="2">
        <f t="shared" si="7"/>
        <v>2.4985513630708889</v>
      </c>
      <c r="S150" s="2">
        <f t="shared" si="8"/>
        <v>193.83761474703957</v>
      </c>
      <c r="T150" s="2">
        <f t="shared" si="9"/>
        <v>6.8050431353355521</v>
      </c>
    </row>
    <row r="151" spans="1:20" x14ac:dyDescent="0.25">
      <c r="A151" s="14">
        <f t="shared" si="22"/>
        <v>0.61992521367521369</v>
      </c>
      <c r="B151" s="2">
        <f t="shared" si="11"/>
        <v>146</v>
      </c>
      <c r="C151" s="4">
        <f t="shared" si="20"/>
        <v>78.33</v>
      </c>
      <c r="D151" s="2">
        <v>12</v>
      </c>
      <c r="E151" s="2">
        <v>50.26548245743669</v>
      </c>
      <c r="F151" s="11">
        <f t="shared" si="0"/>
        <v>2.3873241463784298</v>
      </c>
      <c r="G151" s="2">
        <f t="shared" si="1"/>
        <v>186.9991003858224</v>
      </c>
      <c r="H151" s="2">
        <f t="shared" si="2"/>
        <v>2.4800320883604816</v>
      </c>
      <c r="I151" s="2">
        <f t="shared" si="3"/>
        <v>194.26091348127653</v>
      </c>
      <c r="J151" s="2">
        <f t="shared" si="4"/>
        <v>7.26181309545413</v>
      </c>
      <c r="K151" s="15">
        <f t="shared" si="23"/>
        <v>0.58190883190883191</v>
      </c>
      <c r="L151" s="2">
        <f t="shared" si="14"/>
        <v>146</v>
      </c>
      <c r="M151" s="2">
        <f t="shared" si="21"/>
        <v>78.08</v>
      </c>
      <c r="N151" s="2">
        <v>13.5</v>
      </c>
      <c r="O151" s="2">
        <v>50.26548245743669</v>
      </c>
      <c r="P151" s="11">
        <f t="shared" si="5"/>
        <v>2.6857396646757339</v>
      </c>
      <c r="Q151" s="2">
        <f t="shared" si="6"/>
        <v>209.70255301788129</v>
      </c>
      <c r="R151" s="2">
        <f t="shared" si="7"/>
        <v>2.4985513630708889</v>
      </c>
      <c r="S151" s="2">
        <f t="shared" si="8"/>
        <v>195.086890428575</v>
      </c>
      <c r="T151" s="2">
        <f t="shared" si="9"/>
        <v>14.615662589306282</v>
      </c>
    </row>
    <row r="152" spans="1:20" x14ac:dyDescent="0.25">
      <c r="A152" s="14">
        <f t="shared" si="22"/>
        <v>0.6200854700854701</v>
      </c>
      <c r="B152" s="2">
        <f t="shared" si="11"/>
        <v>147</v>
      </c>
      <c r="C152" s="4">
        <f t="shared" si="20"/>
        <v>78.83</v>
      </c>
      <c r="D152" s="2">
        <v>14</v>
      </c>
      <c r="E152" s="2">
        <v>50.26548245743669</v>
      </c>
      <c r="F152" s="11">
        <f t="shared" si="0"/>
        <v>2.7852115041081689</v>
      </c>
      <c r="G152" s="2">
        <f t="shared" si="1"/>
        <v>219.55822286884694</v>
      </c>
      <c r="H152" s="2">
        <f t="shared" si="2"/>
        <v>2.4800320883604816</v>
      </c>
      <c r="I152" s="2">
        <f t="shared" si="3"/>
        <v>195.50092952545677</v>
      </c>
      <c r="J152" s="2">
        <f t="shared" si="4"/>
        <v>24.057293343390171</v>
      </c>
      <c r="K152" s="15">
        <f t="shared" si="23"/>
        <v>0.58205128205128209</v>
      </c>
      <c r="L152" s="2">
        <f t="shared" si="14"/>
        <v>147</v>
      </c>
      <c r="M152" s="2">
        <f t="shared" si="21"/>
        <v>78.58</v>
      </c>
      <c r="N152" s="2">
        <v>12.5</v>
      </c>
      <c r="O152" s="2">
        <v>50.26548245743669</v>
      </c>
      <c r="P152" s="11">
        <f t="shared" si="5"/>
        <v>2.4867959858108648</v>
      </c>
      <c r="Q152" s="2">
        <f t="shared" si="6"/>
        <v>195.41242856501776</v>
      </c>
      <c r="R152" s="2">
        <f t="shared" si="7"/>
        <v>2.4985513630708889</v>
      </c>
      <c r="S152" s="2">
        <f t="shared" si="8"/>
        <v>196.33616611011044</v>
      </c>
      <c r="T152" s="2">
        <f t="shared" si="9"/>
        <v>0.92373754509267769</v>
      </c>
    </row>
    <row r="153" spans="1:20" x14ac:dyDescent="0.25">
      <c r="A153" s="14">
        <f t="shared" si="22"/>
        <v>0.62024572649572651</v>
      </c>
      <c r="B153" s="2">
        <f t="shared" si="11"/>
        <v>148</v>
      </c>
      <c r="C153" s="4">
        <f t="shared" si="20"/>
        <v>79.33</v>
      </c>
      <c r="D153" s="2">
        <v>12.5</v>
      </c>
      <c r="E153" s="2">
        <v>50.26548245743669</v>
      </c>
      <c r="F153" s="11">
        <f t="shared" si="0"/>
        <v>2.4867959858108648</v>
      </c>
      <c r="G153" s="2">
        <f t="shared" si="1"/>
        <v>197.2775255543759</v>
      </c>
      <c r="H153" s="2">
        <f t="shared" si="2"/>
        <v>2.4800320883604816</v>
      </c>
      <c r="I153" s="2">
        <f t="shared" si="3"/>
        <v>196.74094556963701</v>
      </c>
      <c r="J153" s="2">
        <f t="shared" si="4"/>
        <v>0.53657998473889279</v>
      </c>
      <c r="K153" s="15">
        <f t="shared" si="23"/>
        <v>0.58219373219373216</v>
      </c>
      <c r="L153" s="2">
        <f t="shared" si="14"/>
        <v>148</v>
      </c>
      <c r="M153" s="2">
        <f t="shared" si="21"/>
        <v>79.08</v>
      </c>
      <c r="N153" s="2">
        <v>12</v>
      </c>
      <c r="O153" s="2">
        <v>50.26548245743669</v>
      </c>
      <c r="P153" s="11">
        <f t="shared" si="5"/>
        <v>2.3873241463784298</v>
      </c>
      <c r="Q153" s="2">
        <f t="shared" si="6"/>
        <v>188.78959349560623</v>
      </c>
      <c r="R153" s="2">
        <f t="shared" si="7"/>
        <v>2.4985513630708889</v>
      </c>
      <c r="S153" s="2">
        <f t="shared" si="8"/>
        <v>197.58544179164588</v>
      </c>
      <c r="T153" s="2">
        <f t="shared" si="9"/>
        <v>8.7958482960396509</v>
      </c>
    </row>
    <row r="154" spans="1:20" x14ac:dyDescent="0.25">
      <c r="A154" s="14">
        <f t="shared" si="22"/>
        <v>0.62040598290598292</v>
      </c>
      <c r="B154" s="2">
        <f t="shared" si="11"/>
        <v>149</v>
      </c>
      <c r="C154" s="4">
        <f t="shared" si="20"/>
        <v>79.83</v>
      </c>
      <c r="D154" s="2">
        <v>13</v>
      </c>
      <c r="E154" s="2">
        <v>50.26548245743669</v>
      </c>
      <c r="F154" s="11">
        <f t="shared" si="0"/>
        <v>2.5862678252432989</v>
      </c>
      <c r="G154" s="2">
        <f t="shared" si="1"/>
        <v>206.46176048917255</v>
      </c>
      <c r="H154" s="2">
        <f t="shared" si="2"/>
        <v>2.4800320883604816</v>
      </c>
      <c r="I154" s="2">
        <f t="shared" si="3"/>
        <v>197.98096161381724</v>
      </c>
      <c r="J154" s="2">
        <f t="shared" si="4"/>
        <v>8.4807988753553047</v>
      </c>
      <c r="K154" s="15">
        <f t="shared" si="23"/>
        <v>0.58233618233618234</v>
      </c>
      <c r="L154" s="2">
        <f t="shared" si="14"/>
        <v>149</v>
      </c>
      <c r="M154" s="2">
        <f t="shared" si="21"/>
        <v>79.58</v>
      </c>
      <c r="N154" s="2">
        <v>12</v>
      </c>
      <c r="O154" s="2">
        <v>50.26548245743669</v>
      </c>
      <c r="P154" s="11">
        <f t="shared" si="5"/>
        <v>2.3873241463784298</v>
      </c>
      <c r="Q154" s="2">
        <f t="shared" si="6"/>
        <v>189.98325556879544</v>
      </c>
      <c r="R154" s="2">
        <f t="shared" si="7"/>
        <v>2.4985513630708889</v>
      </c>
      <c r="S154" s="2">
        <f t="shared" si="8"/>
        <v>198.83471747318134</v>
      </c>
      <c r="T154" s="2">
        <f t="shared" si="9"/>
        <v>8.8514619043859</v>
      </c>
    </row>
    <row r="155" spans="1:20" x14ac:dyDescent="0.25">
      <c r="A155" s="14">
        <f t="shared" si="22"/>
        <v>0.62056623931623933</v>
      </c>
      <c r="B155" s="2">
        <f t="shared" si="11"/>
        <v>150</v>
      </c>
      <c r="C155" s="4">
        <f t="shared" si="20"/>
        <v>80.33</v>
      </c>
      <c r="D155" s="2">
        <v>14.5</v>
      </c>
      <c r="E155" s="2">
        <v>50.26548245743669</v>
      </c>
      <c r="F155" s="11">
        <f t="shared" si="0"/>
        <v>2.8846833435406034</v>
      </c>
      <c r="G155" s="2">
        <f t="shared" si="1"/>
        <v>231.72661298661666</v>
      </c>
      <c r="H155" s="2">
        <f t="shared" si="2"/>
        <v>2.4800320883604816</v>
      </c>
      <c r="I155" s="2">
        <f t="shared" si="3"/>
        <v>199.22097765799748</v>
      </c>
      <c r="J155" s="2">
        <f t="shared" si="4"/>
        <v>32.505635328619178</v>
      </c>
      <c r="K155" s="15">
        <f t="shared" si="23"/>
        <v>0.58247863247863252</v>
      </c>
      <c r="L155" s="2">
        <f t="shared" si="14"/>
        <v>150</v>
      </c>
      <c r="M155" s="2">
        <f t="shared" si="21"/>
        <v>80.08</v>
      </c>
      <c r="N155" s="2">
        <v>13.5</v>
      </c>
      <c r="O155" s="2">
        <v>50.26548245743669</v>
      </c>
      <c r="P155" s="11">
        <f t="shared" si="5"/>
        <v>2.6857396646757339</v>
      </c>
      <c r="Q155" s="2">
        <f t="shared" si="6"/>
        <v>215.07403234723276</v>
      </c>
      <c r="R155" s="2">
        <f t="shared" si="7"/>
        <v>2.4985513630708889</v>
      </c>
      <c r="S155" s="2">
        <f t="shared" si="8"/>
        <v>200.08399315471678</v>
      </c>
      <c r="T155" s="2">
        <f t="shared" si="9"/>
        <v>14.990039192515979</v>
      </c>
    </row>
    <row r="156" spans="1:20" x14ac:dyDescent="0.25">
      <c r="A156" s="14">
        <f t="shared" si="22"/>
        <v>0.62072649572649574</v>
      </c>
      <c r="B156" s="2">
        <f t="shared" si="11"/>
        <v>151</v>
      </c>
      <c r="C156" s="4">
        <f t="shared" si="20"/>
        <v>80.83</v>
      </c>
      <c r="D156" s="2">
        <v>15</v>
      </c>
      <c r="E156" s="2">
        <v>50.26548245743669</v>
      </c>
      <c r="F156" s="11">
        <f t="shared" si="0"/>
        <v>2.9841551829730379</v>
      </c>
      <c r="G156" s="2">
        <f t="shared" si="1"/>
        <v>241.20926343971064</v>
      </c>
      <c r="H156" s="2">
        <f t="shared" si="2"/>
        <v>2.4800320883604816</v>
      </c>
      <c r="I156" s="2">
        <f t="shared" si="3"/>
        <v>200.46099370217772</v>
      </c>
      <c r="J156" s="2">
        <f t="shared" si="4"/>
        <v>40.748269737532922</v>
      </c>
      <c r="K156" s="15">
        <f t="shared" si="23"/>
        <v>0.5826210826210827</v>
      </c>
      <c r="L156" s="2">
        <f t="shared" si="14"/>
        <v>151</v>
      </c>
      <c r="M156" s="2">
        <f t="shared" si="21"/>
        <v>80.58</v>
      </c>
      <c r="N156" s="2">
        <v>14</v>
      </c>
      <c r="O156" s="2">
        <v>50.26548245743669</v>
      </c>
      <c r="P156" s="11">
        <f t="shared" si="5"/>
        <v>2.7852115041081689</v>
      </c>
      <c r="Q156" s="2">
        <f t="shared" si="6"/>
        <v>224.43234300103623</v>
      </c>
      <c r="R156" s="2">
        <f t="shared" si="7"/>
        <v>2.4985513630708889</v>
      </c>
      <c r="S156" s="2">
        <f t="shared" si="8"/>
        <v>201.33326883625222</v>
      </c>
      <c r="T156" s="2">
        <f t="shared" si="9"/>
        <v>23.099074164784014</v>
      </c>
    </row>
    <row r="157" spans="1:20" x14ac:dyDescent="0.25">
      <c r="A157" s="14">
        <f t="shared" si="22"/>
        <v>0.62088675213675215</v>
      </c>
      <c r="B157" s="2">
        <f t="shared" si="11"/>
        <v>152</v>
      </c>
      <c r="C157" s="4">
        <f t="shared" si="20"/>
        <v>81.33</v>
      </c>
      <c r="D157" s="2">
        <v>13.5</v>
      </c>
      <c r="E157" s="2">
        <v>50.26548245743669</v>
      </c>
      <c r="F157" s="11">
        <f t="shared" si="0"/>
        <v>2.6857396646757339</v>
      </c>
      <c r="G157" s="2">
        <f t="shared" si="1"/>
        <v>218.43120692807744</v>
      </c>
      <c r="H157" s="2">
        <f t="shared" si="2"/>
        <v>2.4800320883604816</v>
      </c>
      <c r="I157" s="2">
        <f t="shared" si="3"/>
        <v>201.70100974635795</v>
      </c>
      <c r="J157" s="2">
        <f t="shared" si="4"/>
        <v>16.73019718171949</v>
      </c>
      <c r="K157" s="15">
        <f t="shared" si="23"/>
        <v>0.58276353276353277</v>
      </c>
      <c r="L157" s="2">
        <f t="shared" si="14"/>
        <v>152</v>
      </c>
      <c r="M157" s="2">
        <f t="shared" si="21"/>
        <v>81.08</v>
      </c>
      <c r="N157" s="2">
        <v>13.5</v>
      </c>
      <c r="O157" s="2">
        <v>50.26548245743669</v>
      </c>
      <c r="P157" s="11">
        <f t="shared" si="5"/>
        <v>2.6857396646757339</v>
      </c>
      <c r="Q157" s="2">
        <f t="shared" si="6"/>
        <v>217.7597720119085</v>
      </c>
      <c r="R157" s="2">
        <f t="shared" si="7"/>
        <v>2.4985513630708889</v>
      </c>
      <c r="S157" s="2">
        <f t="shared" si="8"/>
        <v>202.58254451778765</v>
      </c>
      <c r="T157" s="2">
        <f t="shared" si="9"/>
        <v>15.177227494120842</v>
      </c>
    </row>
    <row r="158" spans="1:20" x14ac:dyDescent="0.25">
      <c r="A158" s="14">
        <f t="shared" si="22"/>
        <v>0.62104700854700856</v>
      </c>
      <c r="B158" s="2">
        <f t="shared" si="11"/>
        <v>153</v>
      </c>
      <c r="C158" s="4">
        <f t="shared" si="20"/>
        <v>81.83</v>
      </c>
      <c r="D158" s="2">
        <v>13</v>
      </c>
      <c r="E158" s="2">
        <v>50.26548245743669</v>
      </c>
      <c r="F158" s="11">
        <f t="shared" si="0"/>
        <v>2.5862678252432989</v>
      </c>
      <c r="G158" s="2">
        <f t="shared" si="1"/>
        <v>211.63429613965914</v>
      </c>
      <c r="H158" s="2">
        <f t="shared" si="2"/>
        <v>2.4800320883604816</v>
      </c>
      <c r="I158" s="2">
        <f t="shared" si="3"/>
        <v>202.94102579053822</v>
      </c>
      <c r="J158" s="2">
        <f t="shared" si="4"/>
        <v>8.6932703491209224</v>
      </c>
      <c r="K158" s="15">
        <f t="shared" si="23"/>
        <v>0.58290598290598294</v>
      </c>
      <c r="L158" s="2">
        <f t="shared" si="14"/>
        <v>153</v>
      </c>
      <c r="M158" s="2">
        <f t="shared" si="21"/>
        <v>81.58</v>
      </c>
      <c r="N158" s="2">
        <v>12.5</v>
      </c>
      <c r="O158" s="2">
        <v>50.26548245743669</v>
      </c>
      <c r="P158" s="11">
        <f t="shared" si="5"/>
        <v>2.4867959858108648</v>
      </c>
      <c r="Q158" s="2">
        <f t="shared" si="6"/>
        <v>202.87281652245034</v>
      </c>
      <c r="R158" s="2">
        <f t="shared" si="7"/>
        <v>2.4985513630708889</v>
      </c>
      <c r="S158" s="2">
        <f t="shared" si="8"/>
        <v>203.83182019932312</v>
      </c>
      <c r="T158" s="2">
        <f t="shared" si="9"/>
        <v>0.95900367687278276</v>
      </c>
    </row>
    <row r="159" spans="1:20" x14ac:dyDescent="0.25">
      <c r="A159" s="14">
        <f t="shared" si="22"/>
        <v>0.62120726495726497</v>
      </c>
      <c r="B159" s="2">
        <f t="shared" si="11"/>
        <v>154</v>
      </c>
      <c r="C159" s="4">
        <f t="shared" si="20"/>
        <v>82.33</v>
      </c>
      <c r="D159" s="2">
        <v>14</v>
      </c>
      <c r="E159" s="2">
        <v>50.26548245743669</v>
      </c>
      <c r="F159" s="11">
        <f t="shared" si="0"/>
        <v>2.7852115041081689</v>
      </c>
      <c r="G159" s="2">
        <f t="shared" si="1"/>
        <v>229.30646313322555</v>
      </c>
      <c r="H159" s="2">
        <f t="shared" si="2"/>
        <v>2.4800320883604816</v>
      </c>
      <c r="I159" s="2">
        <f t="shared" si="3"/>
        <v>204.18104183471846</v>
      </c>
      <c r="J159" s="2">
        <f t="shared" si="4"/>
        <v>25.125421298507092</v>
      </c>
      <c r="K159" s="15">
        <f t="shared" si="23"/>
        <v>0.58304843304843312</v>
      </c>
      <c r="L159" s="2">
        <f t="shared" si="14"/>
        <v>154</v>
      </c>
      <c r="M159" s="2">
        <f t="shared" si="21"/>
        <v>82.08</v>
      </c>
      <c r="N159" s="2">
        <v>12</v>
      </c>
      <c r="O159" s="2">
        <v>50.26548245743669</v>
      </c>
      <c r="P159" s="11">
        <f t="shared" si="5"/>
        <v>2.3873241463784298</v>
      </c>
      <c r="Q159" s="2">
        <f t="shared" si="6"/>
        <v>195.95156593474152</v>
      </c>
      <c r="R159" s="2">
        <f t="shared" si="7"/>
        <v>2.4985513630708889</v>
      </c>
      <c r="S159" s="2">
        <f t="shared" si="8"/>
        <v>205.08109588085856</v>
      </c>
      <c r="T159" s="2">
        <f t="shared" si="9"/>
        <v>9.1295299461170316</v>
      </c>
    </row>
    <row r="160" spans="1:20" x14ac:dyDescent="0.25">
      <c r="A160" s="14">
        <f t="shared" si="22"/>
        <v>0.62136752136752138</v>
      </c>
      <c r="B160" s="2">
        <f t="shared" si="11"/>
        <v>155</v>
      </c>
      <c r="C160" s="4">
        <f t="shared" si="20"/>
        <v>82.83</v>
      </c>
      <c r="D160" s="2">
        <v>12.5</v>
      </c>
      <c r="E160" s="2">
        <v>50.26548245743669</v>
      </c>
      <c r="F160" s="11">
        <f t="shared" si="0"/>
        <v>2.4867959858108648</v>
      </c>
      <c r="G160" s="2">
        <f t="shared" si="1"/>
        <v>205.98131150471391</v>
      </c>
      <c r="H160" s="2">
        <f t="shared" si="2"/>
        <v>2.4800320883604816</v>
      </c>
      <c r="I160" s="2">
        <f t="shared" si="3"/>
        <v>205.42105787889869</v>
      </c>
      <c r="J160" s="2">
        <f t="shared" si="4"/>
        <v>0.56025362581522131</v>
      </c>
      <c r="K160" s="15">
        <f t="shared" si="23"/>
        <v>0.58319088319088319</v>
      </c>
      <c r="L160" s="2">
        <f t="shared" si="14"/>
        <v>155</v>
      </c>
      <c r="M160" s="2">
        <f t="shared" si="21"/>
        <v>82.58</v>
      </c>
      <c r="N160" s="2">
        <v>12.5</v>
      </c>
      <c r="O160" s="2">
        <v>50.26548245743669</v>
      </c>
      <c r="P160" s="11">
        <f t="shared" si="5"/>
        <v>2.4867959858108648</v>
      </c>
      <c r="Q160" s="2">
        <f t="shared" si="6"/>
        <v>205.35961250826122</v>
      </c>
      <c r="R160" s="2">
        <f t="shared" si="7"/>
        <v>2.4985513630708889</v>
      </c>
      <c r="S160" s="2">
        <f t="shared" si="8"/>
        <v>206.33037156239399</v>
      </c>
      <c r="T160" s="2">
        <f t="shared" si="9"/>
        <v>0.97075905413277042</v>
      </c>
    </row>
    <row r="161" spans="1:20" x14ac:dyDescent="0.25">
      <c r="A161" s="10">
        <v>0.62152777777777779</v>
      </c>
      <c r="B161" s="2">
        <f t="shared" si="11"/>
        <v>156</v>
      </c>
      <c r="C161" s="4">
        <f t="shared" si="20"/>
        <v>83.33</v>
      </c>
      <c r="D161" s="2">
        <v>12.5</v>
      </c>
      <c r="E161" s="2">
        <v>50.26548245743669</v>
      </c>
      <c r="F161" s="11">
        <f t="shared" si="0"/>
        <v>2.4867959858108648</v>
      </c>
      <c r="G161" s="2">
        <f t="shared" si="1"/>
        <v>207.22470949761936</v>
      </c>
      <c r="H161" s="2">
        <f t="shared" si="2"/>
        <v>2.4800320883604816</v>
      </c>
      <c r="I161" s="2">
        <f t="shared" si="3"/>
        <v>206.66107392307893</v>
      </c>
      <c r="J161" s="2">
        <f t="shared" si="4"/>
        <v>0.56363557454042734</v>
      </c>
      <c r="K161" s="12">
        <v>0.58333333333333337</v>
      </c>
      <c r="L161" s="2">
        <f t="shared" si="14"/>
        <v>156</v>
      </c>
      <c r="M161" s="2">
        <f t="shared" si="21"/>
        <v>83.08</v>
      </c>
      <c r="N161" s="2">
        <v>12</v>
      </c>
      <c r="O161" s="2">
        <v>50.26548245743669</v>
      </c>
      <c r="P161" s="11">
        <f t="shared" si="5"/>
        <v>2.3873241463784298</v>
      </c>
      <c r="Q161" s="2">
        <f t="shared" si="6"/>
        <v>198.33889008111996</v>
      </c>
      <c r="R161" s="2">
        <f t="shared" si="7"/>
        <v>2.4985513630708889</v>
      </c>
      <c r="S161" s="2">
        <f t="shared" si="8"/>
        <v>207.57964724392946</v>
      </c>
      <c r="T161" s="2">
        <f t="shared" si="9"/>
        <v>9.2407571628095013</v>
      </c>
    </row>
    <row r="162" spans="1:20" x14ac:dyDescent="0.25">
      <c r="A162" s="10">
        <v>0.62152777777777779</v>
      </c>
      <c r="B162" s="2">
        <f t="shared" si="11"/>
        <v>157</v>
      </c>
      <c r="C162" s="4">
        <f t="shared" si="20"/>
        <v>83.83</v>
      </c>
      <c r="D162" s="2">
        <v>12.5</v>
      </c>
      <c r="E162" s="2">
        <v>50.26548245743669</v>
      </c>
      <c r="F162" s="11">
        <f t="shared" si="0"/>
        <v>2.4867959858108648</v>
      </c>
      <c r="G162" s="2">
        <f t="shared" si="1"/>
        <v>208.4681074905248</v>
      </c>
      <c r="H162" s="2">
        <f t="shared" si="2"/>
        <v>2.4800320883604816</v>
      </c>
      <c r="I162" s="2">
        <f t="shared" si="3"/>
        <v>207.90108996725917</v>
      </c>
      <c r="J162" s="2">
        <f t="shared" si="4"/>
        <v>0.56701752326563337</v>
      </c>
      <c r="K162" s="12">
        <v>0.58333333333333337</v>
      </c>
      <c r="L162" s="2">
        <f t="shared" si="14"/>
        <v>157</v>
      </c>
      <c r="M162" s="2">
        <f t="shared" si="21"/>
        <v>83.58</v>
      </c>
      <c r="N162" s="2">
        <v>10.5</v>
      </c>
      <c r="O162" s="2">
        <v>50.26548245743669</v>
      </c>
      <c r="P162" s="11">
        <f t="shared" si="5"/>
        <v>2.0889086280811267</v>
      </c>
      <c r="Q162" s="2">
        <f t="shared" si="6"/>
        <v>174.59098313502056</v>
      </c>
      <c r="R162" s="2">
        <f t="shared" si="7"/>
        <v>2.4985513630708889</v>
      </c>
      <c r="S162" s="2">
        <f t="shared" si="8"/>
        <v>208.82892292546489</v>
      </c>
      <c r="T162" s="2">
        <f t="shared" si="9"/>
        <v>34.237939790444329</v>
      </c>
    </row>
    <row r="163" spans="1:20" x14ac:dyDescent="0.25">
      <c r="A163" s="10"/>
      <c r="C163" s="4"/>
      <c r="F163" s="11"/>
      <c r="K163" s="12"/>
      <c r="P163" s="11"/>
    </row>
    <row r="164" spans="1:20" x14ac:dyDescent="0.25">
      <c r="C164" s="4"/>
      <c r="F164" s="11"/>
      <c r="K164" s="25"/>
      <c r="P164" s="11"/>
    </row>
    <row r="165" spans="1:20" x14ac:dyDescent="0.25">
      <c r="C165" s="4"/>
      <c r="F165" s="11"/>
      <c r="K165" s="25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29">
    <mergeCell ref="V23:X23"/>
    <mergeCell ref="V24:X24"/>
    <mergeCell ref="V25:X25"/>
    <mergeCell ref="V26:X26"/>
    <mergeCell ref="V11:W11"/>
    <mergeCell ref="V12:W12"/>
    <mergeCell ref="V13:W13"/>
    <mergeCell ref="V14:W14"/>
    <mergeCell ref="V15:W15"/>
    <mergeCell ref="V16:W16"/>
    <mergeCell ref="V17:W17"/>
    <mergeCell ref="V10:W10"/>
    <mergeCell ref="V18:W18"/>
    <mergeCell ref="V19:X19"/>
    <mergeCell ref="W20:X20"/>
    <mergeCell ref="V21:W21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E4:F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174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16220.366544584396</v>
      </c>
      <c r="G2" s="4">
        <f>SUM(C6:C174)</f>
        <v>6934.3099999999931</v>
      </c>
      <c r="H2" s="2">
        <f>F2/G2</f>
        <v>2.3391464391676191</v>
      </c>
      <c r="I2" s="2">
        <f>SUM(J6:J174)</f>
        <v>2540.7125532000491</v>
      </c>
      <c r="J2" s="2">
        <f>(1-(I2/(F2)))*100</f>
        <v>84.336281512403104</v>
      </c>
      <c r="K2" s="1"/>
      <c r="L2" s="1"/>
      <c r="M2" s="1"/>
      <c r="N2" s="1"/>
      <c r="O2" s="1"/>
      <c r="P2" s="2">
        <f>SUM(Q6:Q174)</f>
        <v>17125.845767598727</v>
      </c>
      <c r="Q2" s="2">
        <f>SUM(M6:M174)</f>
        <v>6895.0599999999931</v>
      </c>
      <c r="R2" s="2">
        <f>P2/Q2</f>
        <v>2.4837848789711394</v>
      </c>
      <c r="S2" s="2">
        <f>SUM(T6:T174)</f>
        <v>2269.9276889569505</v>
      </c>
      <c r="T2" s="2">
        <f>(1-(S2/(P2)))*100</f>
        <v>86.745602408427942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48" t="s">
        <v>65</v>
      </c>
      <c r="F4" s="32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48" t="s">
        <v>65</v>
      </c>
      <c r="P4" s="32"/>
      <c r="V4" s="34" t="s">
        <v>12</v>
      </c>
      <c r="W4" s="36"/>
      <c r="X4" s="6" t="s">
        <v>65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45786</v>
      </c>
    </row>
    <row r="6" spans="1:24" x14ac:dyDescent="0.25">
      <c r="A6" s="10">
        <v>0.6020833333333333</v>
      </c>
      <c r="B6" s="2">
        <v>1</v>
      </c>
      <c r="C6" s="4">
        <v>4.83</v>
      </c>
      <c r="D6" s="2">
        <v>8.5</v>
      </c>
      <c r="E6" s="2">
        <v>50.26548245743669</v>
      </c>
      <c r="F6" s="11">
        <f t="shared" ref="F6:F162" si="0">(D6/E6)*10</f>
        <v>1.6910212703513881</v>
      </c>
      <c r="G6" s="2">
        <f t="shared" ref="G6:G162" si="1">F6*C6</f>
        <v>8.1676327357972038</v>
      </c>
      <c r="H6" s="2">
        <f t="shared" ref="H6:H162" si="2">$H$2</f>
        <v>2.3391464391676191</v>
      </c>
      <c r="I6" s="2">
        <f t="shared" ref="I6:I162" si="3">H6*C6</f>
        <v>11.2980773011796</v>
      </c>
      <c r="J6" s="2">
        <f t="shared" ref="J6:J162" si="4">ABS(G6-I6)</f>
        <v>3.1304445653823958</v>
      </c>
      <c r="K6" s="12">
        <v>0.57986111111111116</v>
      </c>
      <c r="L6" s="2">
        <v>1</v>
      </c>
      <c r="M6" s="2">
        <v>4.58</v>
      </c>
      <c r="N6" s="2">
        <v>8.5</v>
      </c>
      <c r="O6" s="2">
        <v>50.26548245743669</v>
      </c>
      <c r="P6" s="11">
        <f t="shared" ref="P6:P162" si="5">(N6/O6)*10</f>
        <v>1.6910212703513881</v>
      </c>
      <c r="Q6" s="2">
        <f t="shared" ref="Q6:Q162" si="6">P6*M6</f>
        <v>7.7448774182093576</v>
      </c>
      <c r="R6" s="2">
        <f t="shared" ref="R6:R162" si="7">$R$2</f>
        <v>2.4837848789711394</v>
      </c>
      <c r="S6" s="2">
        <f t="shared" ref="S6:S162" si="8">R6*M6</f>
        <v>11.375734745687819</v>
      </c>
      <c r="T6" s="2">
        <f t="shared" ref="T6:T162" si="9">ABS(Q6-S6)</f>
        <v>3.630857327478461</v>
      </c>
      <c r="V6" s="37" t="s">
        <v>23</v>
      </c>
      <c r="W6" s="36"/>
      <c r="X6" s="13" t="s">
        <v>66</v>
      </c>
    </row>
    <row r="7" spans="1:24" x14ac:dyDescent="0.25">
      <c r="A7" s="14">
        <f t="shared" ref="A7:A43" si="10">IF(AND($A$6&lt;&gt;"",$A$44&lt;&gt;""), $A$6 + (B7 - $B$6) * (($A$44 - $A$6) / ($B$44 - $B$6)), "")</f>
        <v>0.60222953216374264</v>
      </c>
      <c r="B7" s="2">
        <f t="shared" ref="B7:B162" si="11">B6+1</f>
        <v>2</v>
      </c>
      <c r="C7" s="4">
        <f t="shared" ref="C7:C109" si="12">C6+0.5</f>
        <v>5.33</v>
      </c>
      <c r="D7" s="2">
        <v>11</v>
      </c>
      <c r="E7" s="2">
        <v>50.26548245743669</v>
      </c>
      <c r="F7" s="11">
        <f t="shared" si="0"/>
        <v>2.1883804675135607</v>
      </c>
      <c r="G7" s="2">
        <f t="shared" si="1"/>
        <v>11.66406789184728</v>
      </c>
      <c r="H7" s="2">
        <f t="shared" si="2"/>
        <v>2.3391464391676191</v>
      </c>
      <c r="I7" s="2">
        <f t="shared" si="3"/>
        <v>12.46765052076341</v>
      </c>
      <c r="J7" s="2">
        <f t="shared" si="4"/>
        <v>0.8035826289161303</v>
      </c>
      <c r="K7" s="15">
        <f t="shared" ref="K7:K43" si="13">IF(AND($K$6&lt;&gt;"",$K$44&lt;&gt;""), $K$6 + (L7 - $L$6) * (($K$44 - $K$6) / ($L$44 - $L$6)), "")</f>
        <v>0.5800073099415205</v>
      </c>
      <c r="L7" s="2">
        <f t="shared" ref="L7:L162" si="14">L6+1</f>
        <v>2</v>
      </c>
      <c r="M7" s="2">
        <f t="shared" ref="M7:M109" si="15">M6+0.5</f>
        <v>5.08</v>
      </c>
      <c r="N7" s="2">
        <v>10</v>
      </c>
      <c r="O7" s="2">
        <v>50.26548245743669</v>
      </c>
      <c r="P7" s="11">
        <f t="shared" si="5"/>
        <v>1.9894367886486919</v>
      </c>
      <c r="Q7" s="2">
        <f t="shared" si="6"/>
        <v>10.106338886335354</v>
      </c>
      <c r="R7" s="2">
        <f t="shared" si="7"/>
        <v>2.4837848789711394</v>
      </c>
      <c r="S7" s="2">
        <f t="shared" si="8"/>
        <v>12.617627185173388</v>
      </c>
      <c r="T7" s="2">
        <f t="shared" si="9"/>
        <v>2.5112882988380338</v>
      </c>
      <c r="V7" s="37" t="s">
        <v>24</v>
      </c>
      <c r="W7" s="36"/>
      <c r="X7" s="6" t="s">
        <v>67</v>
      </c>
    </row>
    <row r="8" spans="1:24" x14ac:dyDescent="0.25">
      <c r="A8" s="14">
        <f t="shared" si="10"/>
        <v>0.60237573099415198</v>
      </c>
      <c r="B8" s="2">
        <f t="shared" si="11"/>
        <v>3</v>
      </c>
      <c r="C8" s="4">
        <f t="shared" si="12"/>
        <v>5.83</v>
      </c>
      <c r="D8" s="2">
        <v>14</v>
      </c>
      <c r="E8" s="2">
        <v>50.26548245743669</v>
      </c>
      <c r="F8" s="11">
        <f t="shared" si="0"/>
        <v>2.7852115041081689</v>
      </c>
      <c r="G8" s="2">
        <f t="shared" si="1"/>
        <v>16.237783068950623</v>
      </c>
      <c r="H8" s="2">
        <f t="shared" si="2"/>
        <v>2.3391464391676191</v>
      </c>
      <c r="I8" s="2">
        <f t="shared" si="3"/>
        <v>13.637223740347219</v>
      </c>
      <c r="J8" s="2">
        <f t="shared" si="4"/>
        <v>2.6005593286034046</v>
      </c>
      <c r="K8" s="15">
        <f t="shared" si="13"/>
        <v>0.58015350877192984</v>
      </c>
      <c r="L8" s="2">
        <f t="shared" si="14"/>
        <v>3</v>
      </c>
      <c r="M8" s="2">
        <f t="shared" si="15"/>
        <v>5.58</v>
      </c>
      <c r="N8" s="2">
        <v>11.5</v>
      </c>
      <c r="O8" s="2">
        <v>50.26548245743669</v>
      </c>
      <c r="P8" s="11">
        <f t="shared" si="5"/>
        <v>2.2878523069459957</v>
      </c>
      <c r="Q8" s="2">
        <f t="shared" si="6"/>
        <v>12.766215872758657</v>
      </c>
      <c r="R8" s="2">
        <f t="shared" si="7"/>
        <v>2.4837848789711394</v>
      </c>
      <c r="S8" s="2">
        <f t="shared" si="8"/>
        <v>13.859519624658958</v>
      </c>
      <c r="T8" s="2">
        <f t="shared" si="9"/>
        <v>1.0933037519003008</v>
      </c>
      <c r="V8" s="34" t="s">
        <v>25</v>
      </c>
      <c r="W8" s="35"/>
      <c r="X8" s="36"/>
    </row>
    <row r="9" spans="1:24" x14ac:dyDescent="0.25">
      <c r="A9" s="14">
        <f t="shared" si="10"/>
        <v>0.60252192982456132</v>
      </c>
      <c r="B9" s="2">
        <f t="shared" si="11"/>
        <v>4</v>
      </c>
      <c r="C9" s="4">
        <f t="shared" si="12"/>
        <v>6.33</v>
      </c>
      <c r="D9" s="2">
        <v>15</v>
      </c>
      <c r="E9" s="2">
        <v>50.26548245743669</v>
      </c>
      <c r="F9" s="11">
        <f t="shared" si="0"/>
        <v>2.9841551829730379</v>
      </c>
      <c r="G9" s="2">
        <f t="shared" si="1"/>
        <v>18.889702308219331</v>
      </c>
      <c r="H9" s="2">
        <f t="shared" si="2"/>
        <v>2.3391464391676191</v>
      </c>
      <c r="I9" s="2">
        <f t="shared" si="3"/>
        <v>14.806796959931029</v>
      </c>
      <c r="J9" s="2">
        <f t="shared" si="4"/>
        <v>4.0829053482883015</v>
      </c>
      <c r="K9" s="15">
        <f t="shared" si="13"/>
        <v>0.58029970760233918</v>
      </c>
      <c r="L9" s="2">
        <f t="shared" si="14"/>
        <v>4</v>
      </c>
      <c r="M9" s="2">
        <f t="shared" si="15"/>
        <v>6.08</v>
      </c>
      <c r="N9" s="2">
        <v>14.5</v>
      </c>
      <c r="O9" s="2">
        <v>50.26548245743669</v>
      </c>
      <c r="P9" s="11">
        <f t="shared" si="5"/>
        <v>2.8846833435406034</v>
      </c>
      <c r="Q9" s="2">
        <f t="shared" si="6"/>
        <v>17.538874728726867</v>
      </c>
      <c r="R9" s="2">
        <f t="shared" si="7"/>
        <v>2.4837848789711394</v>
      </c>
      <c r="S9" s="2">
        <f t="shared" si="8"/>
        <v>15.101412064144528</v>
      </c>
      <c r="T9" s="2">
        <f t="shared" si="9"/>
        <v>2.4374626645823394</v>
      </c>
      <c r="V9" s="34" t="s">
        <v>26</v>
      </c>
      <c r="W9" s="36"/>
      <c r="X9" s="16">
        <v>0.53472222222222221</v>
      </c>
    </row>
    <row r="10" spans="1:24" x14ac:dyDescent="0.25">
      <c r="A10" s="14">
        <f t="shared" si="10"/>
        <v>0.60266812865497077</v>
      </c>
      <c r="B10" s="2">
        <f t="shared" si="11"/>
        <v>5</v>
      </c>
      <c r="C10" s="4">
        <f t="shared" si="12"/>
        <v>6.83</v>
      </c>
      <c r="D10" s="2">
        <v>17.5</v>
      </c>
      <c r="E10" s="2">
        <v>50.26548245743669</v>
      </c>
      <c r="F10" s="11">
        <f t="shared" si="0"/>
        <v>3.4815143801352106</v>
      </c>
      <c r="G10" s="2">
        <f t="shared" si="1"/>
        <v>23.778743216323488</v>
      </c>
      <c r="H10" s="2">
        <f t="shared" si="2"/>
        <v>2.3391464391676191</v>
      </c>
      <c r="I10" s="2">
        <f t="shared" si="3"/>
        <v>15.976370179514838</v>
      </c>
      <c r="J10" s="2">
        <f t="shared" si="4"/>
        <v>7.8023730368086497</v>
      </c>
      <c r="K10" s="15">
        <f t="shared" si="13"/>
        <v>0.58044590643274863</v>
      </c>
      <c r="L10" s="2">
        <f t="shared" si="14"/>
        <v>5</v>
      </c>
      <c r="M10" s="2">
        <f t="shared" si="15"/>
        <v>6.58</v>
      </c>
      <c r="N10" s="2">
        <v>14.5</v>
      </c>
      <c r="O10" s="2">
        <v>50.26548245743669</v>
      </c>
      <c r="P10" s="11">
        <f t="shared" si="5"/>
        <v>2.8846833435406034</v>
      </c>
      <c r="Q10" s="2">
        <f t="shared" si="6"/>
        <v>18.981216400497171</v>
      </c>
      <c r="R10" s="2">
        <f t="shared" si="7"/>
        <v>2.4837848789711394</v>
      </c>
      <c r="S10" s="2">
        <f t="shared" si="8"/>
        <v>16.343304503630097</v>
      </c>
      <c r="T10" s="2">
        <f t="shared" si="9"/>
        <v>2.6379118968670738</v>
      </c>
      <c r="V10" s="34" t="s">
        <v>27</v>
      </c>
      <c r="W10" s="36"/>
      <c r="X10" s="6">
        <v>50</v>
      </c>
    </row>
    <row r="11" spans="1:24" x14ac:dyDescent="0.25">
      <c r="A11" s="14">
        <f t="shared" si="10"/>
        <v>0.60281432748538011</v>
      </c>
      <c r="B11" s="2">
        <f t="shared" si="11"/>
        <v>6</v>
      </c>
      <c r="C11" s="4">
        <f t="shared" si="12"/>
        <v>7.33</v>
      </c>
      <c r="D11" s="2">
        <v>23</v>
      </c>
      <c r="E11" s="2">
        <v>50.26548245743669</v>
      </c>
      <c r="F11" s="11">
        <f t="shared" si="0"/>
        <v>4.5757046138919915</v>
      </c>
      <c r="G11" s="2">
        <f t="shared" si="1"/>
        <v>33.539914819828297</v>
      </c>
      <c r="H11" s="2">
        <f t="shared" si="2"/>
        <v>2.3391464391676191</v>
      </c>
      <c r="I11" s="2">
        <f t="shared" si="3"/>
        <v>17.145943399098648</v>
      </c>
      <c r="J11" s="2">
        <f t="shared" si="4"/>
        <v>16.393971420729649</v>
      </c>
      <c r="K11" s="15">
        <f t="shared" si="13"/>
        <v>0.58059210526315796</v>
      </c>
      <c r="L11" s="2">
        <f t="shared" si="14"/>
        <v>6</v>
      </c>
      <c r="M11" s="2">
        <f t="shared" si="15"/>
        <v>7.08</v>
      </c>
      <c r="N11" s="2">
        <v>18.5</v>
      </c>
      <c r="O11" s="2">
        <v>50.26548245743669</v>
      </c>
      <c r="P11" s="11">
        <f t="shared" si="5"/>
        <v>3.6804580590000797</v>
      </c>
      <c r="Q11" s="2">
        <f t="shared" si="6"/>
        <v>26.057643057720565</v>
      </c>
      <c r="R11" s="2">
        <f t="shared" si="7"/>
        <v>2.4837848789711394</v>
      </c>
      <c r="S11" s="2">
        <f t="shared" si="8"/>
        <v>17.585196943115669</v>
      </c>
      <c r="T11" s="2">
        <f t="shared" si="9"/>
        <v>8.4724461146048959</v>
      </c>
      <c r="V11" s="34" t="s">
        <v>28</v>
      </c>
      <c r="W11" s="36"/>
      <c r="X11" s="6">
        <v>50</v>
      </c>
    </row>
    <row r="12" spans="1:24" x14ac:dyDescent="0.25">
      <c r="A12" s="14">
        <f t="shared" si="10"/>
        <v>0.60296052631578945</v>
      </c>
      <c r="B12" s="2">
        <f t="shared" si="11"/>
        <v>7</v>
      </c>
      <c r="C12" s="4">
        <f t="shared" si="12"/>
        <v>7.83</v>
      </c>
      <c r="D12" s="23">
        <v>17.5</v>
      </c>
      <c r="E12" s="2">
        <v>50.26548245743669</v>
      </c>
      <c r="F12" s="11">
        <f t="shared" si="0"/>
        <v>3.4815143801352106</v>
      </c>
      <c r="G12" s="2">
        <f t="shared" si="1"/>
        <v>27.2602575964587</v>
      </c>
      <c r="H12" s="2">
        <f t="shared" si="2"/>
        <v>2.3391464391676191</v>
      </c>
      <c r="I12" s="2">
        <f t="shared" si="3"/>
        <v>18.315516618682459</v>
      </c>
      <c r="J12" s="2">
        <f t="shared" si="4"/>
        <v>8.9447409777762417</v>
      </c>
      <c r="K12" s="15">
        <f t="shared" si="13"/>
        <v>0.5807383040935673</v>
      </c>
      <c r="L12" s="2">
        <f t="shared" si="14"/>
        <v>7</v>
      </c>
      <c r="M12" s="2">
        <f t="shared" si="15"/>
        <v>7.58</v>
      </c>
      <c r="N12" s="23">
        <v>19</v>
      </c>
      <c r="O12" s="2">
        <v>50.26548245743669</v>
      </c>
      <c r="P12" s="11">
        <f t="shared" si="5"/>
        <v>3.7799298984325143</v>
      </c>
      <c r="Q12" s="2">
        <f t="shared" si="6"/>
        <v>28.651868630118457</v>
      </c>
      <c r="R12" s="2">
        <f t="shared" si="7"/>
        <v>2.4837848789711394</v>
      </c>
      <c r="S12" s="2">
        <f t="shared" si="8"/>
        <v>18.827089382601237</v>
      </c>
      <c r="T12" s="2">
        <f t="shared" si="9"/>
        <v>9.8247792475172204</v>
      </c>
      <c r="V12" s="34" t="s">
        <v>29</v>
      </c>
      <c r="W12" s="36"/>
      <c r="X12" s="6">
        <v>50</v>
      </c>
    </row>
    <row r="13" spans="1:24" x14ac:dyDescent="0.25">
      <c r="A13" s="14">
        <f t="shared" si="10"/>
        <v>0.60310672514619879</v>
      </c>
      <c r="B13" s="2">
        <f t="shared" si="11"/>
        <v>8</v>
      </c>
      <c r="C13" s="4">
        <f t="shared" si="12"/>
        <v>8.33</v>
      </c>
      <c r="D13" s="2">
        <v>15.5</v>
      </c>
      <c r="E13" s="2">
        <v>50.26548245743669</v>
      </c>
      <c r="F13" s="11">
        <f t="shared" si="0"/>
        <v>3.0836270224054725</v>
      </c>
      <c r="G13" s="2">
        <f t="shared" si="1"/>
        <v>25.686613096637586</v>
      </c>
      <c r="H13" s="2">
        <f t="shared" si="2"/>
        <v>2.3391464391676191</v>
      </c>
      <c r="I13" s="2">
        <f t="shared" si="3"/>
        <v>19.485089838266266</v>
      </c>
      <c r="J13" s="2">
        <f t="shared" si="4"/>
        <v>6.2015232583713207</v>
      </c>
      <c r="K13" s="15">
        <f t="shared" si="13"/>
        <v>0.58088450292397664</v>
      </c>
      <c r="L13" s="2">
        <f t="shared" si="14"/>
        <v>8</v>
      </c>
      <c r="M13" s="2">
        <f t="shared" si="15"/>
        <v>8.08</v>
      </c>
      <c r="N13" s="2">
        <v>17.5</v>
      </c>
      <c r="O13" s="2">
        <v>50.26548245743669</v>
      </c>
      <c r="P13" s="11">
        <f t="shared" si="5"/>
        <v>3.4815143801352106</v>
      </c>
      <c r="Q13" s="2">
        <f t="shared" si="6"/>
        <v>28.130636191492503</v>
      </c>
      <c r="R13" s="2">
        <f t="shared" si="7"/>
        <v>2.4837848789711394</v>
      </c>
      <c r="S13" s="2">
        <f t="shared" si="8"/>
        <v>20.068981822086808</v>
      </c>
      <c r="T13" s="2">
        <f t="shared" si="9"/>
        <v>8.0616543694056944</v>
      </c>
      <c r="V13" s="34" t="s">
        <v>30</v>
      </c>
      <c r="W13" s="36"/>
      <c r="X13" s="16">
        <v>0.62916666666666665</v>
      </c>
    </row>
    <row r="14" spans="1:24" x14ac:dyDescent="0.25">
      <c r="A14" s="14">
        <f t="shared" si="10"/>
        <v>0.60325292397660812</v>
      </c>
      <c r="B14" s="2">
        <f t="shared" si="11"/>
        <v>9</v>
      </c>
      <c r="C14" s="4">
        <f t="shared" si="12"/>
        <v>8.83</v>
      </c>
      <c r="D14" s="2">
        <v>15.5</v>
      </c>
      <c r="E14" s="2">
        <v>50.26548245743669</v>
      </c>
      <c r="F14" s="11">
        <f t="shared" si="0"/>
        <v>3.0836270224054725</v>
      </c>
      <c r="G14" s="2">
        <f t="shared" si="1"/>
        <v>27.228426607840323</v>
      </c>
      <c r="H14" s="2">
        <f t="shared" si="2"/>
        <v>2.3391464391676191</v>
      </c>
      <c r="I14" s="2">
        <f t="shared" si="3"/>
        <v>20.654663057850076</v>
      </c>
      <c r="J14" s="2">
        <f t="shared" si="4"/>
        <v>6.5737635499902467</v>
      </c>
      <c r="K14" s="15">
        <f t="shared" si="13"/>
        <v>0.58103070175438598</v>
      </c>
      <c r="L14" s="2">
        <f t="shared" si="14"/>
        <v>9</v>
      </c>
      <c r="M14" s="2">
        <f t="shared" si="15"/>
        <v>8.58</v>
      </c>
      <c r="N14" s="2">
        <v>17.5</v>
      </c>
      <c r="O14" s="2">
        <v>50.26548245743669</v>
      </c>
      <c r="P14" s="11">
        <f t="shared" si="5"/>
        <v>3.4815143801352106</v>
      </c>
      <c r="Q14" s="2">
        <f t="shared" si="6"/>
        <v>29.871393381560107</v>
      </c>
      <c r="R14" s="2">
        <f t="shared" si="7"/>
        <v>2.4837848789711394</v>
      </c>
      <c r="S14" s="2">
        <f t="shared" si="8"/>
        <v>21.310874261572376</v>
      </c>
      <c r="T14" s="2">
        <f t="shared" si="9"/>
        <v>8.5605191199877311</v>
      </c>
      <c r="V14" s="34" t="s">
        <v>31</v>
      </c>
      <c r="W14" s="36"/>
      <c r="X14" s="6">
        <v>45</v>
      </c>
    </row>
    <row r="15" spans="1:24" x14ac:dyDescent="0.25">
      <c r="A15" s="14">
        <f t="shared" si="10"/>
        <v>0.60339912280701746</v>
      </c>
      <c r="B15" s="2">
        <f t="shared" si="11"/>
        <v>10</v>
      </c>
      <c r="C15" s="4">
        <f t="shared" si="12"/>
        <v>9.33</v>
      </c>
      <c r="D15" s="2">
        <v>18</v>
      </c>
      <c r="E15" s="2">
        <v>50.26548245743669</v>
      </c>
      <c r="F15" s="11">
        <f t="shared" si="0"/>
        <v>3.5809862195676452</v>
      </c>
      <c r="G15" s="2">
        <f t="shared" si="1"/>
        <v>33.410601428566132</v>
      </c>
      <c r="H15" s="2">
        <f t="shared" si="2"/>
        <v>2.3391464391676191</v>
      </c>
      <c r="I15" s="2">
        <f t="shared" si="3"/>
        <v>21.824236277433886</v>
      </c>
      <c r="J15" s="2">
        <f t="shared" si="4"/>
        <v>11.586365151132245</v>
      </c>
      <c r="K15" s="15">
        <f t="shared" si="13"/>
        <v>0.58117690058479532</v>
      </c>
      <c r="L15" s="2">
        <f t="shared" si="14"/>
        <v>10</v>
      </c>
      <c r="M15" s="2">
        <f t="shared" si="15"/>
        <v>9.08</v>
      </c>
      <c r="N15" s="2">
        <v>19</v>
      </c>
      <c r="O15" s="2">
        <v>50.26548245743669</v>
      </c>
      <c r="P15" s="11">
        <f t="shared" si="5"/>
        <v>3.7799298984325143</v>
      </c>
      <c r="Q15" s="2">
        <f t="shared" si="6"/>
        <v>34.321763477767227</v>
      </c>
      <c r="R15" s="2">
        <f t="shared" si="7"/>
        <v>2.4837848789711394</v>
      </c>
      <c r="S15" s="2">
        <f t="shared" si="8"/>
        <v>22.552766701057948</v>
      </c>
      <c r="T15" s="2">
        <f t="shared" si="9"/>
        <v>11.76899677670928</v>
      </c>
      <c r="V15" s="34" t="s">
        <v>32</v>
      </c>
      <c r="W15" s="36"/>
      <c r="X15" s="6">
        <v>45</v>
      </c>
    </row>
    <row r="16" spans="1:24" x14ac:dyDescent="0.25">
      <c r="A16" s="14">
        <f t="shared" si="10"/>
        <v>0.60354532163742691</v>
      </c>
      <c r="B16" s="2">
        <f t="shared" si="11"/>
        <v>11</v>
      </c>
      <c r="C16" s="4">
        <f t="shared" si="12"/>
        <v>9.83</v>
      </c>
      <c r="D16" s="2">
        <v>18.5</v>
      </c>
      <c r="E16" s="2">
        <v>50.26548245743669</v>
      </c>
      <c r="F16" s="11">
        <f t="shared" si="0"/>
        <v>3.6804580590000797</v>
      </c>
      <c r="G16" s="2">
        <f t="shared" si="1"/>
        <v>36.178902719970786</v>
      </c>
      <c r="H16" s="2">
        <f t="shared" si="2"/>
        <v>2.3391464391676191</v>
      </c>
      <c r="I16" s="2">
        <f t="shared" si="3"/>
        <v>22.993809497017697</v>
      </c>
      <c r="J16" s="2">
        <f t="shared" si="4"/>
        <v>13.185093222953089</v>
      </c>
      <c r="K16" s="15">
        <f t="shared" si="13"/>
        <v>0.58132309941520477</v>
      </c>
      <c r="L16" s="2">
        <f t="shared" si="14"/>
        <v>11</v>
      </c>
      <c r="M16" s="2">
        <f t="shared" si="15"/>
        <v>9.58</v>
      </c>
      <c r="N16" s="2">
        <v>21</v>
      </c>
      <c r="O16" s="2">
        <v>50.26548245743669</v>
      </c>
      <c r="P16" s="11">
        <f t="shared" si="5"/>
        <v>4.1778172561622533</v>
      </c>
      <c r="Q16" s="2">
        <f t="shared" si="6"/>
        <v>40.023489314034386</v>
      </c>
      <c r="R16" s="2">
        <f t="shared" si="7"/>
        <v>2.4837848789711394</v>
      </c>
      <c r="S16" s="2">
        <f t="shared" si="8"/>
        <v>23.794659140543516</v>
      </c>
      <c r="T16" s="2">
        <f t="shared" si="9"/>
        <v>16.22883017349087</v>
      </c>
      <c r="V16" s="34" t="s">
        <v>33</v>
      </c>
      <c r="W16" s="36"/>
      <c r="X16" s="6">
        <v>45</v>
      </c>
    </row>
    <row r="17" spans="1:24" x14ac:dyDescent="0.25">
      <c r="A17" s="14">
        <f t="shared" si="10"/>
        <v>0.60369152046783625</v>
      </c>
      <c r="B17" s="2">
        <f t="shared" si="11"/>
        <v>12</v>
      </c>
      <c r="C17" s="4">
        <f t="shared" si="12"/>
        <v>10.33</v>
      </c>
      <c r="D17" s="2">
        <v>15</v>
      </c>
      <c r="E17" s="2">
        <v>50.26548245743669</v>
      </c>
      <c r="F17" s="11">
        <f t="shared" si="0"/>
        <v>2.9841551829730379</v>
      </c>
      <c r="G17" s="2">
        <f t="shared" si="1"/>
        <v>30.826323040111482</v>
      </c>
      <c r="H17" s="2">
        <f t="shared" si="2"/>
        <v>2.3391464391676191</v>
      </c>
      <c r="I17" s="2">
        <f t="shared" si="3"/>
        <v>24.163382716601504</v>
      </c>
      <c r="J17" s="2">
        <f t="shared" si="4"/>
        <v>6.6629403235099787</v>
      </c>
      <c r="K17" s="15">
        <f t="shared" si="13"/>
        <v>0.58146929824561411</v>
      </c>
      <c r="L17" s="2">
        <f t="shared" si="14"/>
        <v>12</v>
      </c>
      <c r="M17" s="2">
        <f t="shared" si="15"/>
        <v>10.08</v>
      </c>
      <c r="N17" s="2">
        <v>16.5</v>
      </c>
      <c r="O17" s="2">
        <v>50.26548245743669</v>
      </c>
      <c r="P17" s="11">
        <f t="shared" si="5"/>
        <v>3.2825707012703416</v>
      </c>
      <c r="Q17" s="2">
        <f t="shared" si="6"/>
        <v>33.088312668805045</v>
      </c>
      <c r="R17" s="2">
        <f t="shared" si="7"/>
        <v>2.4837848789711394</v>
      </c>
      <c r="S17" s="2">
        <f t="shared" si="8"/>
        <v>25.036551580029087</v>
      </c>
      <c r="T17" s="2">
        <f t="shared" si="9"/>
        <v>8.0517610887759581</v>
      </c>
      <c r="V17" s="38" t="s">
        <v>34</v>
      </c>
      <c r="W17" s="36"/>
      <c r="X17" s="17">
        <f>((X10-X14)+(X11-X15)+(X12-X16))/3</f>
        <v>5</v>
      </c>
    </row>
    <row r="18" spans="1:24" x14ac:dyDescent="0.25">
      <c r="A18" s="14">
        <f t="shared" si="10"/>
        <v>0.60383771929824559</v>
      </c>
      <c r="B18" s="2">
        <f t="shared" si="11"/>
        <v>13</v>
      </c>
      <c r="C18" s="4">
        <f t="shared" si="12"/>
        <v>10.83</v>
      </c>
      <c r="D18" s="2">
        <v>13.5</v>
      </c>
      <c r="E18" s="2">
        <v>50.26548245743669</v>
      </c>
      <c r="F18" s="11">
        <f t="shared" si="0"/>
        <v>2.6857396646757339</v>
      </c>
      <c r="G18" s="2">
        <f t="shared" si="1"/>
        <v>29.086560568438198</v>
      </c>
      <c r="H18" s="2">
        <f t="shared" si="2"/>
        <v>2.3391464391676191</v>
      </c>
      <c r="I18" s="2">
        <f t="shared" si="3"/>
        <v>25.332955936185314</v>
      </c>
      <c r="J18" s="2">
        <f t="shared" si="4"/>
        <v>3.753604632252884</v>
      </c>
      <c r="K18" s="15">
        <f t="shared" si="13"/>
        <v>0.58161549707602345</v>
      </c>
      <c r="L18" s="2">
        <f t="shared" si="14"/>
        <v>13</v>
      </c>
      <c r="M18" s="2">
        <f t="shared" si="15"/>
        <v>10.58</v>
      </c>
      <c r="N18" s="2">
        <v>16.5</v>
      </c>
      <c r="O18" s="2">
        <v>50.26548245743669</v>
      </c>
      <c r="P18" s="11">
        <f t="shared" si="5"/>
        <v>3.2825707012703416</v>
      </c>
      <c r="Q18" s="2">
        <f t="shared" si="6"/>
        <v>34.729598019440211</v>
      </c>
      <c r="R18" s="2">
        <f t="shared" si="7"/>
        <v>2.4837848789711394</v>
      </c>
      <c r="S18" s="2">
        <f t="shared" si="8"/>
        <v>26.278444019514655</v>
      </c>
      <c r="T18" s="2">
        <f t="shared" si="9"/>
        <v>8.4511539999255554</v>
      </c>
      <c r="V18" s="38" t="s">
        <v>35</v>
      </c>
      <c r="W18" s="36"/>
      <c r="X18" s="18" t="s">
        <v>41</v>
      </c>
    </row>
    <row r="19" spans="1:24" x14ac:dyDescent="0.25">
      <c r="A19" s="14">
        <f t="shared" si="10"/>
        <v>0.60398391812865493</v>
      </c>
      <c r="B19" s="2">
        <f t="shared" si="11"/>
        <v>14</v>
      </c>
      <c r="C19" s="4">
        <f t="shared" si="12"/>
        <v>11.33</v>
      </c>
      <c r="D19" s="2">
        <v>15.5</v>
      </c>
      <c r="E19" s="2">
        <v>50.26548245743669</v>
      </c>
      <c r="F19" s="11">
        <f t="shared" si="0"/>
        <v>3.0836270224054725</v>
      </c>
      <c r="G19" s="2">
        <f t="shared" si="1"/>
        <v>34.937494163854005</v>
      </c>
      <c r="H19" s="2">
        <f t="shared" si="2"/>
        <v>2.3391464391676191</v>
      </c>
      <c r="I19" s="2">
        <f t="shared" si="3"/>
        <v>26.502529155769125</v>
      </c>
      <c r="J19" s="2">
        <f t="shared" si="4"/>
        <v>8.4349650080848804</v>
      </c>
      <c r="K19" s="15">
        <f t="shared" si="13"/>
        <v>0.58176169590643279</v>
      </c>
      <c r="L19" s="2">
        <f t="shared" si="14"/>
        <v>14</v>
      </c>
      <c r="M19" s="2">
        <f t="shared" si="15"/>
        <v>11.08</v>
      </c>
      <c r="N19" s="2">
        <v>16</v>
      </c>
      <c r="O19" s="2">
        <v>50.26548245743669</v>
      </c>
      <c r="P19" s="11">
        <f t="shared" si="5"/>
        <v>3.183098861837907</v>
      </c>
      <c r="Q19" s="2">
        <f t="shared" si="6"/>
        <v>35.268735389164007</v>
      </c>
      <c r="R19" s="2">
        <f t="shared" si="7"/>
        <v>2.4837848789711394</v>
      </c>
      <c r="S19" s="2">
        <f t="shared" si="8"/>
        <v>27.520336459000227</v>
      </c>
      <c r="T19" s="2">
        <f t="shared" si="9"/>
        <v>7.7483989301637806</v>
      </c>
      <c r="V19" s="39" t="s">
        <v>37</v>
      </c>
      <c r="W19" s="35"/>
      <c r="X19" s="36"/>
    </row>
    <row r="20" spans="1:24" x14ac:dyDescent="0.25">
      <c r="A20" s="14">
        <f t="shared" si="10"/>
        <v>0.60413011695906427</v>
      </c>
      <c r="B20" s="2">
        <f t="shared" si="11"/>
        <v>15</v>
      </c>
      <c r="C20" s="4">
        <f t="shared" si="12"/>
        <v>11.83</v>
      </c>
      <c r="D20" s="2">
        <v>18</v>
      </c>
      <c r="E20" s="2">
        <v>50.26548245743669</v>
      </c>
      <c r="F20" s="11">
        <f t="shared" si="0"/>
        <v>3.5809862195676452</v>
      </c>
      <c r="G20" s="2">
        <f t="shared" si="1"/>
        <v>42.363066977485239</v>
      </c>
      <c r="H20" s="2">
        <f t="shared" si="2"/>
        <v>2.3391464391676191</v>
      </c>
      <c r="I20" s="2">
        <f t="shared" si="3"/>
        <v>27.672102375352935</v>
      </c>
      <c r="J20" s="2">
        <f t="shared" si="4"/>
        <v>14.690964602132304</v>
      </c>
      <c r="K20" s="15">
        <f t="shared" si="13"/>
        <v>0.58190789473684212</v>
      </c>
      <c r="L20" s="2">
        <f t="shared" si="14"/>
        <v>15</v>
      </c>
      <c r="M20" s="2">
        <f t="shared" si="15"/>
        <v>11.58</v>
      </c>
      <c r="N20" s="2">
        <v>17.5</v>
      </c>
      <c r="O20" s="2">
        <v>50.26548245743669</v>
      </c>
      <c r="P20" s="11">
        <f t="shared" si="5"/>
        <v>3.4815143801352106</v>
      </c>
      <c r="Q20" s="2">
        <f t="shared" si="6"/>
        <v>40.315936521965739</v>
      </c>
      <c r="R20" s="2">
        <f t="shared" si="7"/>
        <v>2.4837848789711394</v>
      </c>
      <c r="S20" s="2">
        <f t="shared" si="8"/>
        <v>28.762228898485795</v>
      </c>
      <c r="T20" s="2">
        <f t="shared" si="9"/>
        <v>11.553707623479944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14">
        <f t="shared" si="10"/>
        <v>0.60427631578947361</v>
      </c>
      <c r="B21" s="2">
        <f t="shared" si="11"/>
        <v>16</v>
      </c>
      <c r="C21" s="4">
        <f t="shared" si="12"/>
        <v>12.33</v>
      </c>
      <c r="D21" s="2">
        <v>14</v>
      </c>
      <c r="E21" s="2">
        <v>50.26548245743669</v>
      </c>
      <c r="F21" s="11">
        <f t="shared" si="0"/>
        <v>2.7852115041081689</v>
      </c>
      <c r="G21" s="2">
        <f t="shared" si="1"/>
        <v>34.341657845653721</v>
      </c>
      <c r="H21" s="2">
        <f t="shared" si="2"/>
        <v>2.3391464391676191</v>
      </c>
      <c r="I21" s="2">
        <f t="shared" si="3"/>
        <v>28.841675594936742</v>
      </c>
      <c r="J21" s="2">
        <f t="shared" si="4"/>
        <v>5.4999822507169789</v>
      </c>
      <c r="K21" s="15">
        <f t="shared" si="13"/>
        <v>0.58205409356725146</v>
      </c>
      <c r="L21" s="2">
        <f t="shared" si="14"/>
        <v>16</v>
      </c>
      <c r="M21" s="2">
        <f t="shared" si="15"/>
        <v>12.08</v>
      </c>
      <c r="N21" s="2">
        <v>13.5</v>
      </c>
      <c r="O21" s="2">
        <v>50.26548245743669</v>
      </c>
      <c r="P21" s="11">
        <f t="shared" si="5"/>
        <v>2.6857396646757339</v>
      </c>
      <c r="Q21" s="2">
        <f t="shared" si="6"/>
        <v>32.443735149282865</v>
      </c>
      <c r="R21" s="2">
        <f t="shared" si="7"/>
        <v>2.4837848789711394</v>
      </c>
      <c r="S21" s="2">
        <f t="shared" si="8"/>
        <v>30.004121337971366</v>
      </c>
      <c r="T21" s="2">
        <f t="shared" si="9"/>
        <v>2.4396138113114993</v>
      </c>
      <c r="V21" s="39" t="s">
        <v>39</v>
      </c>
      <c r="W21" s="36"/>
      <c r="X21" s="20">
        <f>(J2+T2)/2</f>
        <v>85.540941960415523</v>
      </c>
    </row>
    <row r="22" spans="1:24" x14ac:dyDescent="0.25">
      <c r="A22" s="14">
        <f t="shared" si="10"/>
        <v>0.60442251461988306</v>
      </c>
      <c r="B22" s="2">
        <f t="shared" si="11"/>
        <v>17</v>
      </c>
      <c r="C22" s="4">
        <f t="shared" si="12"/>
        <v>12.83</v>
      </c>
      <c r="D22" s="2">
        <v>13</v>
      </c>
      <c r="E22" s="2">
        <v>50.26548245743669</v>
      </c>
      <c r="F22" s="11">
        <f t="shared" si="0"/>
        <v>2.5862678252432989</v>
      </c>
      <c r="G22" s="2">
        <f t="shared" si="1"/>
        <v>33.181816197871527</v>
      </c>
      <c r="H22" s="2">
        <f t="shared" si="2"/>
        <v>2.3391464391676191</v>
      </c>
      <c r="I22" s="2">
        <f t="shared" si="3"/>
        <v>30.011248814520552</v>
      </c>
      <c r="J22" s="2">
        <f t="shared" si="4"/>
        <v>3.1705673833509742</v>
      </c>
      <c r="K22" s="15">
        <f t="shared" si="13"/>
        <v>0.58220029239766091</v>
      </c>
      <c r="L22" s="2">
        <f t="shared" si="14"/>
        <v>17</v>
      </c>
      <c r="M22" s="2">
        <f t="shared" si="15"/>
        <v>12.58</v>
      </c>
      <c r="N22" s="2">
        <v>13.5</v>
      </c>
      <c r="O22" s="2">
        <v>50.26548245743669</v>
      </c>
      <c r="P22" s="11">
        <f t="shared" si="5"/>
        <v>2.6857396646757339</v>
      </c>
      <c r="Q22" s="2">
        <f t="shared" si="6"/>
        <v>33.786604981620734</v>
      </c>
      <c r="R22" s="2">
        <f t="shared" si="7"/>
        <v>2.4837848789711394</v>
      </c>
      <c r="S22" s="2">
        <f t="shared" si="8"/>
        <v>31.246013777456934</v>
      </c>
      <c r="T22" s="2">
        <f t="shared" si="9"/>
        <v>2.5405912041637997</v>
      </c>
      <c r="V22" s="27"/>
      <c r="W22" s="27"/>
      <c r="X22" s="28"/>
    </row>
    <row r="23" spans="1:24" x14ac:dyDescent="0.25">
      <c r="A23" s="14">
        <f t="shared" si="10"/>
        <v>0.60456871345029239</v>
      </c>
      <c r="B23" s="2">
        <f t="shared" si="11"/>
        <v>18</v>
      </c>
      <c r="C23" s="4">
        <f t="shared" si="12"/>
        <v>13.33</v>
      </c>
      <c r="D23" s="2">
        <v>12</v>
      </c>
      <c r="E23" s="2">
        <v>50.26548245743669</v>
      </c>
      <c r="F23" s="11">
        <f t="shared" si="0"/>
        <v>2.3873241463784298</v>
      </c>
      <c r="G23" s="2">
        <f t="shared" si="1"/>
        <v>31.823030871224471</v>
      </c>
      <c r="H23" s="2">
        <f t="shared" si="2"/>
        <v>2.3391464391676191</v>
      </c>
      <c r="I23" s="2">
        <f t="shared" si="3"/>
        <v>31.180822034104363</v>
      </c>
      <c r="J23" s="2">
        <f t="shared" si="4"/>
        <v>0.64220883712010846</v>
      </c>
      <c r="K23" s="15">
        <f t="shared" si="13"/>
        <v>0.58234649122807025</v>
      </c>
      <c r="L23" s="2">
        <f t="shared" si="14"/>
        <v>18</v>
      </c>
      <c r="M23" s="2">
        <f t="shared" si="15"/>
        <v>13.08</v>
      </c>
      <c r="N23" s="2">
        <v>13.5</v>
      </c>
      <c r="O23" s="2">
        <v>50.26548245743669</v>
      </c>
      <c r="P23" s="11">
        <f t="shared" si="5"/>
        <v>2.6857396646757339</v>
      </c>
      <c r="Q23" s="2">
        <f t="shared" si="6"/>
        <v>35.129474813958602</v>
      </c>
      <c r="R23" s="2">
        <f t="shared" si="7"/>
        <v>2.4837848789711394</v>
      </c>
      <c r="S23" s="2">
        <f t="shared" si="8"/>
        <v>32.487906216942505</v>
      </c>
      <c r="T23" s="2">
        <f t="shared" si="9"/>
        <v>2.6415685970160965</v>
      </c>
      <c r="V23" s="34" t="s">
        <v>45</v>
      </c>
      <c r="W23" s="35"/>
      <c r="X23" s="36"/>
    </row>
    <row r="24" spans="1:24" x14ac:dyDescent="0.25">
      <c r="A24" s="14">
        <f t="shared" si="10"/>
        <v>0.60471491228070173</v>
      </c>
      <c r="B24" s="2">
        <f t="shared" si="11"/>
        <v>19</v>
      </c>
      <c r="C24" s="4">
        <f t="shared" si="12"/>
        <v>13.83</v>
      </c>
      <c r="D24" s="2">
        <v>11</v>
      </c>
      <c r="E24" s="2">
        <v>50.26548245743669</v>
      </c>
      <c r="F24" s="11">
        <f t="shared" si="0"/>
        <v>2.1883804675135607</v>
      </c>
      <c r="G24" s="2">
        <f t="shared" si="1"/>
        <v>30.265301865712544</v>
      </c>
      <c r="H24" s="2">
        <f t="shared" si="2"/>
        <v>2.3391464391676191</v>
      </c>
      <c r="I24" s="2">
        <f t="shared" si="3"/>
        <v>32.35039525368817</v>
      </c>
      <c r="J24" s="2">
        <f t="shared" si="4"/>
        <v>2.0850933879756255</v>
      </c>
      <c r="K24" s="15">
        <f t="shared" si="13"/>
        <v>0.58249269005847959</v>
      </c>
      <c r="L24" s="2">
        <f t="shared" si="14"/>
        <v>19</v>
      </c>
      <c r="M24" s="2">
        <f t="shared" si="15"/>
        <v>13.58</v>
      </c>
      <c r="N24" s="2">
        <v>14</v>
      </c>
      <c r="O24" s="2">
        <v>50.26548245743669</v>
      </c>
      <c r="P24" s="11">
        <f t="shared" si="5"/>
        <v>2.7852115041081689</v>
      </c>
      <c r="Q24" s="2">
        <f t="shared" si="6"/>
        <v>37.82317222578893</v>
      </c>
      <c r="R24" s="2">
        <f t="shared" si="7"/>
        <v>2.4837848789711394</v>
      </c>
      <c r="S24" s="2">
        <f t="shared" si="8"/>
        <v>33.729798656428073</v>
      </c>
      <c r="T24" s="2">
        <f t="shared" si="9"/>
        <v>4.0933735693608568</v>
      </c>
      <c r="V24" s="49" t="s">
        <v>46</v>
      </c>
      <c r="W24" s="35"/>
      <c r="X24" s="36"/>
    </row>
    <row r="25" spans="1:24" x14ac:dyDescent="0.25">
      <c r="A25" s="14">
        <f t="shared" si="10"/>
        <v>0.60486111111111107</v>
      </c>
      <c r="B25" s="2">
        <f t="shared" si="11"/>
        <v>20</v>
      </c>
      <c r="C25" s="4">
        <f t="shared" si="12"/>
        <v>14.33</v>
      </c>
      <c r="D25" s="2">
        <v>10.5</v>
      </c>
      <c r="E25" s="2">
        <v>50.26548245743669</v>
      </c>
      <c r="F25" s="11">
        <f t="shared" si="0"/>
        <v>2.0889086280811267</v>
      </c>
      <c r="G25" s="2">
        <f t="shared" si="1"/>
        <v>29.934060640402546</v>
      </c>
      <c r="H25" s="2">
        <f t="shared" si="2"/>
        <v>2.3391464391676191</v>
      </c>
      <c r="I25" s="2">
        <f t="shared" si="3"/>
        <v>33.51996847327198</v>
      </c>
      <c r="J25" s="2">
        <f t="shared" si="4"/>
        <v>3.5859078328694345</v>
      </c>
      <c r="K25" s="15">
        <f t="shared" si="13"/>
        <v>0.58263888888888893</v>
      </c>
      <c r="L25" s="2">
        <f t="shared" si="14"/>
        <v>20</v>
      </c>
      <c r="M25" s="2">
        <f t="shared" si="15"/>
        <v>14.08</v>
      </c>
      <c r="N25" s="2">
        <v>12</v>
      </c>
      <c r="O25" s="2">
        <v>50.26548245743669</v>
      </c>
      <c r="P25" s="11">
        <f t="shared" si="5"/>
        <v>2.3873241463784298</v>
      </c>
      <c r="Q25" s="2">
        <f t="shared" si="6"/>
        <v>33.613523981008292</v>
      </c>
      <c r="R25" s="2">
        <f t="shared" si="7"/>
        <v>2.4837848789711394</v>
      </c>
      <c r="S25" s="2">
        <f t="shared" si="8"/>
        <v>34.971691095913641</v>
      </c>
      <c r="T25" s="2">
        <f t="shared" si="9"/>
        <v>1.3581671149053491</v>
      </c>
      <c r="V25" s="34" t="s">
        <v>47</v>
      </c>
      <c r="W25" s="35"/>
      <c r="X25" s="36"/>
    </row>
    <row r="26" spans="1:24" x14ac:dyDescent="0.25">
      <c r="A26" s="14">
        <f t="shared" si="10"/>
        <v>0.60500730994152041</v>
      </c>
      <c r="B26" s="2">
        <f t="shared" si="11"/>
        <v>21</v>
      </c>
      <c r="C26" s="4">
        <f t="shared" si="12"/>
        <v>14.83</v>
      </c>
      <c r="D26" s="2">
        <v>11.5</v>
      </c>
      <c r="E26" s="2">
        <v>50.26548245743669</v>
      </c>
      <c r="F26" s="11">
        <f t="shared" si="0"/>
        <v>2.2878523069459957</v>
      </c>
      <c r="G26" s="2">
        <f t="shared" si="1"/>
        <v>33.928849712009118</v>
      </c>
      <c r="H26" s="2">
        <f t="shared" si="2"/>
        <v>2.3391464391676191</v>
      </c>
      <c r="I26" s="2">
        <f t="shared" si="3"/>
        <v>34.689541692855791</v>
      </c>
      <c r="J26" s="2">
        <f t="shared" si="4"/>
        <v>0.76069198084667278</v>
      </c>
      <c r="K26" s="15">
        <f t="shared" si="13"/>
        <v>0.58278508771929827</v>
      </c>
      <c r="L26" s="2">
        <f t="shared" si="14"/>
        <v>21</v>
      </c>
      <c r="M26" s="2">
        <f t="shared" si="15"/>
        <v>14.58</v>
      </c>
      <c r="N26" s="2">
        <v>12.5</v>
      </c>
      <c r="O26" s="2">
        <v>50.26548245743669</v>
      </c>
      <c r="P26" s="11">
        <f t="shared" si="5"/>
        <v>2.4867959858108648</v>
      </c>
      <c r="Q26" s="2">
        <f t="shared" si="6"/>
        <v>36.257485473122408</v>
      </c>
      <c r="R26" s="2">
        <f t="shared" si="7"/>
        <v>2.4837848789711394</v>
      </c>
      <c r="S26" s="2">
        <f t="shared" si="8"/>
        <v>36.213583535399216</v>
      </c>
      <c r="T26" s="2">
        <f t="shared" si="9"/>
        <v>4.3901937723191509E-2</v>
      </c>
      <c r="V26" s="49" t="s">
        <v>48</v>
      </c>
      <c r="W26" s="35"/>
      <c r="X26" s="36"/>
    </row>
    <row r="27" spans="1:24" x14ac:dyDescent="0.25">
      <c r="A27" s="14">
        <f t="shared" si="10"/>
        <v>0.60515350877192975</v>
      </c>
      <c r="B27" s="2">
        <f t="shared" si="11"/>
        <v>22</v>
      </c>
      <c r="C27" s="4">
        <f t="shared" si="12"/>
        <v>15.33</v>
      </c>
      <c r="D27" s="2">
        <v>13</v>
      </c>
      <c r="E27" s="2">
        <v>50.26548245743669</v>
      </c>
      <c r="F27" s="11">
        <f t="shared" si="0"/>
        <v>2.5862678252432989</v>
      </c>
      <c r="G27" s="2">
        <f t="shared" si="1"/>
        <v>39.64748576097977</v>
      </c>
      <c r="H27" s="2">
        <f t="shared" si="2"/>
        <v>2.3391464391676191</v>
      </c>
      <c r="I27" s="2">
        <f t="shared" si="3"/>
        <v>35.859114912439601</v>
      </c>
      <c r="J27" s="2">
        <f t="shared" si="4"/>
        <v>3.7883708485401684</v>
      </c>
      <c r="K27" s="15">
        <f t="shared" si="13"/>
        <v>0.58293128654970761</v>
      </c>
      <c r="L27" s="2">
        <f t="shared" si="14"/>
        <v>22</v>
      </c>
      <c r="M27" s="2">
        <f t="shared" si="15"/>
        <v>15.08</v>
      </c>
      <c r="N27" s="2">
        <v>12</v>
      </c>
      <c r="O27" s="2">
        <v>50.26548245743669</v>
      </c>
      <c r="P27" s="11">
        <f t="shared" si="5"/>
        <v>2.3873241463784298</v>
      </c>
      <c r="Q27" s="2">
        <f t="shared" si="6"/>
        <v>36.000848127386725</v>
      </c>
      <c r="R27" s="2">
        <f t="shared" si="7"/>
        <v>2.4837848789711394</v>
      </c>
      <c r="S27" s="2">
        <f t="shared" si="8"/>
        <v>37.455475974884784</v>
      </c>
      <c r="T27" s="2">
        <f t="shared" si="9"/>
        <v>1.4546278474980596</v>
      </c>
      <c r="V27" s="29"/>
      <c r="W27" s="29"/>
      <c r="X27" s="29"/>
    </row>
    <row r="28" spans="1:24" x14ac:dyDescent="0.25">
      <c r="A28" s="14">
        <f t="shared" si="10"/>
        <v>0.60529970760233909</v>
      </c>
      <c r="B28" s="2">
        <f t="shared" si="11"/>
        <v>23</v>
      </c>
      <c r="C28" s="4">
        <f t="shared" si="12"/>
        <v>15.83</v>
      </c>
      <c r="D28" s="2">
        <v>13.5</v>
      </c>
      <c r="E28" s="2">
        <v>50.26548245743669</v>
      </c>
      <c r="F28" s="11">
        <f t="shared" si="0"/>
        <v>2.6857396646757339</v>
      </c>
      <c r="G28" s="2">
        <f t="shared" si="1"/>
        <v>42.51525889181687</v>
      </c>
      <c r="H28" s="2">
        <f t="shared" si="2"/>
        <v>2.3391464391676191</v>
      </c>
      <c r="I28" s="2">
        <f t="shared" si="3"/>
        <v>37.028688132023412</v>
      </c>
      <c r="J28" s="2">
        <f t="shared" si="4"/>
        <v>5.4865707597934588</v>
      </c>
      <c r="K28" s="15">
        <f t="shared" si="13"/>
        <v>0.58307748538011694</v>
      </c>
      <c r="L28" s="2">
        <f t="shared" si="14"/>
        <v>23</v>
      </c>
      <c r="M28" s="2">
        <f t="shared" si="15"/>
        <v>15.58</v>
      </c>
      <c r="N28" s="2">
        <v>14</v>
      </c>
      <c r="O28" s="2">
        <v>50.26548245743669</v>
      </c>
      <c r="P28" s="11">
        <f t="shared" si="5"/>
        <v>2.7852115041081689</v>
      </c>
      <c r="Q28" s="2">
        <f t="shared" si="6"/>
        <v>43.393595234005268</v>
      </c>
      <c r="R28" s="2">
        <f t="shared" si="7"/>
        <v>2.4837848789711394</v>
      </c>
      <c r="S28" s="2">
        <f t="shared" si="8"/>
        <v>38.697368414370352</v>
      </c>
      <c r="T28" s="2">
        <f t="shared" si="9"/>
        <v>4.6962268196349157</v>
      </c>
      <c r="V28" s="24" t="s">
        <v>49</v>
      </c>
      <c r="W28" s="24" t="s">
        <v>50</v>
      </c>
      <c r="X28" s="29"/>
    </row>
    <row r="29" spans="1:24" x14ac:dyDescent="0.25">
      <c r="A29" s="14">
        <f t="shared" si="10"/>
        <v>0.60544590643274854</v>
      </c>
      <c r="B29" s="2">
        <f t="shared" si="11"/>
        <v>24</v>
      </c>
      <c r="C29" s="4">
        <f t="shared" si="12"/>
        <v>16.329999999999998</v>
      </c>
      <c r="D29" s="2">
        <v>12.5</v>
      </c>
      <c r="E29" s="2">
        <v>50.26548245743669</v>
      </c>
      <c r="F29" s="11">
        <f t="shared" si="0"/>
        <v>2.4867959858108648</v>
      </c>
      <c r="G29" s="2">
        <f t="shared" si="1"/>
        <v>40.609378448291416</v>
      </c>
      <c r="H29" s="2">
        <f t="shared" si="2"/>
        <v>2.3391464391676191</v>
      </c>
      <c r="I29" s="2">
        <f t="shared" si="3"/>
        <v>38.198261351607215</v>
      </c>
      <c r="J29" s="2">
        <f t="shared" si="4"/>
        <v>2.411117096684201</v>
      </c>
      <c r="K29" s="15">
        <f t="shared" si="13"/>
        <v>0.58322368421052639</v>
      </c>
      <c r="L29" s="2">
        <f t="shared" si="14"/>
        <v>24</v>
      </c>
      <c r="M29" s="2">
        <f t="shared" si="15"/>
        <v>16.079999999999998</v>
      </c>
      <c r="N29" s="2">
        <v>16.5</v>
      </c>
      <c r="O29" s="2">
        <v>50.26548245743669</v>
      </c>
      <c r="P29" s="11">
        <f t="shared" si="5"/>
        <v>3.2825707012703416</v>
      </c>
      <c r="Q29" s="2">
        <f t="shared" si="6"/>
        <v>52.783736876427085</v>
      </c>
      <c r="R29" s="2">
        <f t="shared" si="7"/>
        <v>2.4837848789711394</v>
      </c>
      <c r="S29" s="2">
        <f t="shared" si="8"/>
        <v>39.93926085385592</v>
      </c>
      <c r="T29" s="2">
        <f t="shared" si="9"/>
        <v>12.844476022571165</v>
      </c>
      <c r="V29" s="24">
        <f>MAX(D4:D160)</f>
        <v>23</v>
      </c>
      <c r="W29" s="24">
        <f>MAX(N4:N160)</f>
        <v>21</v>
      </c>
      <c r="X29" s="29"/>
    </row>
    <row r="30" spans="1:24" x14ac:dyDescent="0.25">
      <c r="A30" s="14">
        <f t="shared" si="10"/>
        <v>0.60559210526315788</v>
      </c>
      <c r="B30" s="2">
        <f t="shared" si="11"/>
        <v>25</v>
      </c>
      <c r="C30" s="4">
        <f t="shared" si="12"/>
        <v>16.829999999999998</v>
      </c>
      <c r="D30" s="2">
        <v>13</v>
      </c>
      <c r="E30" s="2">
        <v>50.26548245743669</v>
      </c>
      <c r="F30" s="11">
        <f t="shared" si="0"/>
        <v>2.5862678252432989</v>
      </c>
      <c r="G30" s="2">
        <f t="shared" si="1"/>
        <v>43.526887498844715</v>
      </c>
      <c r="H30" s="2">
        <f t="shared" si="2"/>
        <v>2.3391464391676191</v>
      </c>
      <c r="I30" s="2">
        <f t="shared" si="3"/>
        <v>39.367834571191025</v>
      </c>
      <c r="J30" s="2">
        <f t="shared" si="4"/>
        <v>4.1590529276536898</v>
      </c>
      <c r="K30" s="15">
        <f t="shared" si="13"/>
        <v>0.58336988304093573</v>
      </c>
      <c r="L30" s="2">
        <f t="shared" si="14"/>
        <v>25</v>
      </c>
      <c r="M30" s="2">
        <f t="shared" si="15"/>
        <v>16.579999999999998</v>
      </c>
      <c r="N30" s="2">
        <v>13</v>
      </c>
      <c r="O30" s="2">
        <v>50.26548245743669</v>
      </c>
      <c r="P30" s="11">
        <f t="shared" si="5"/>
        <v>2.5862678252432989</v>
      </c>
      <c r="Q30" s="2">
        <f t="shared" si="6"/>
        <v>42.880320542533894</v>
      </c>
      <c r="R30" s="2">
        <f t="shared" si="7"/>
        <v>2.4837848789711394</v>
      </c>
      <c r="S30" s="2">
        <f t="shared" si="8"/>
        <v>41.181153293341488</v>
      </c>
      <c r="T30" s="2">
        <f t="shared" si="9"/>
        <v>1.6991672491924064</v>
      </c>
      <c r="V30" s="24" t="s">
        <v>14</v>
      </c>
      <c r="W30" s="24" t="s">
        <v>14</v>
      </c>
      <c r="X30" s="29"/>
    </row>
    <row r="31" spans="1:24" x14ac:dyDescent="0.25">
      <c r="A31" s="14">
        <f t="shared" si="10"/>
        <v>0.60573830409356721</v>
      </c>
      <c r="B31" s="2">
        <f t="shared" si="11"/>
        <v>26</v>
      </c>
      <c r="C31" s="4">
        <f t="shared" si="12"/>
        <v>17.329999999999998</v>
      </c>
      <c r="D31" s="2">
        <v>12</v>
      </c>
      <c r="E31" s="2">
        <v>50.26548245743669</v>
      </c>
      <c r="F31" s="11">
        <f t="shared" si="0"/>
        <v>2.3873241463784298</v>
      </c>
      <c r="G31" s="2">
        <f t="shared" si="1"/>
        <v>41.372327456738184</v>
      </c>
      <c r="H31" s="2">
        <f t="shared" si="2"/>
        <v>2.3391464391676191</v>
      </c>
      <c r="I31" s="2">
        <f t="shared" si="3"/>
        <v>40.537407790774836</v>
      </c>
      <c r="J31" s="2">
        <f t="shared" si="4"/>
        <v>0.83491966596334777</v>
      </c>
      <c r="K31" s="15">
        <f t="shared" si="13"/>
        <v>0.58351608187134507</v>
      </c>
      <c r="L31" s="2">
        <f t="shared" si="14"/>
        <v>26</v>
      </c>
      <c r="M31" s="2">
        <f t="shared" si="15"/>
        <v>17.079999999999998</v>
      </c>
      <c r="N31" s="2">
        <v>13</v>
      </c>
      <c r="O31" s="2">
        <v>50.26548245743669</v>
      </c>
      <c r="P31" s="11">
        <f t="shared" si="5"/>
        <v>2.5862678252432989</v>
      </c>
      <c r="Q31" s="2">
        <f t="shared" si="6"/>
        <v>44.173454455155543</v>
      </c>
      <c r="R31" s="2">
        <f t="shared" si="7"/>
        <v>2.4837848789711394</v>
      </c>
      <c r="S31" s="2">
        <f t="shared" si="8"/>
        <v>42.423045732827056</v>
      </c>
      <c r="T31" s="2">
        <f t="shared" si="9"/>
        <v>1.750408722328487</v>
      </c>
      <c r="V31" s="24">
        <f t="array" ref="V31">INDEX(B4:B160, MATCH(MAX(D4:D160), D4:D160, 0))</f>
        <v>6</v>
      </c>
      <c r="W31" s="24">
        <f t="array" ref="W31">INDEX(L4:L160, MATCH(MAX(N4:N160), N4:N160, 0))</f>
        <v>11</v>
      </c>
      <c r="X31" s="29"/>
    </row>
    <row r="32" spans="1:24" x14ac:dyDescent="0.25">
      <c r="A32" s="14">
        <f t="shared" si="10"/>
        <v>0.60588450292397655</v>
      </c>
      <c r="B32" s="2">
        <f t="shared" si="11"/>
        <v>27</v>
      </c>
      <c r="C32" s="4">
        <f t="shared" si="12"/>
        <v>17.829999999999998</v>
      </c>
      <c r="D32" s="2">
        <v>13.5</v>
      </c>
      <c r="E32" s="2">
        <v>50.26548245743669</v>
      </c>
      <c r="F32" s="11">
        <f t="shared" si="0"/>
        <v>2.6857396646757339</v>
      </c>
      <c r="G32" s="2">
        <f t="shared" si="1"/>
        <v>47.886738221168329</v>
      </c>
      <c r="H32" s="2">
        <f t="shared" si="2"/>
        <v>2.3391464391676191</v>
      </c>
      <c r="I32" s="2">
        <f t="shared" si="3"/>
        <v>41.706981010358646</v>
      </c>
      <c r="J32" s="2">
        <f t="shared" si="4"/>
        <v>6.179757210809683</v>
      </c>
      <c r="K32" s="15">
        <f t="shared" si="13"/>
        <v>0.58366228070175441</v>
      </c>
      <c r="L32" s="2">
        <f t="shared" si="14"/>
        <v>27</v>
      </c>
      <c r="M32" s="2">
        <f t="shared" si="15"/>
        <v>17.579999999999998</v>
      </c>
      <c r="N32" s="2">
        <v>15</v>
      </c>
      <c r="O32" s="2">
        <v>50.26548245743669</v>
      </c>
      <c r="P32" s="11">
        <f t="shared" si="5"/>
        <v>2.9841551829730379</v>
      </c>
      <c r="Q32" s="2">
        <f t="shared" si="6"/>
        <v>52.461448116665998</v>
      </c>
      <c r="R32" s="2">
        <f t="shared" si="7"/>
        <v>2.4837848789711394</v>
      </c>
      <c r="S32" s="2">
        <f t="shared" si="8"/>
        <v>43.664938172312624</v>
      </c>
      <c r="T32" s="2">
        <f t="shared" si="9"/>
        <v>8.7965099443533745</v>
      </c>
    </row>
    <row r="33" spans="1:20" x14ac:dyDescent="0.25">
      <c r="A33" s="14">
        <f t="shared" si="10"/>
        <v>0.60603070175438589</v>
      </c>
      <c r="B33" s="2">
        <f t="shared" si="11"/>
        <v>28</v>
      </c>
      <c r="C33" s="4">
        <f t="shared" si="12"/>
        <v>18.329999999999998</v>
      </c>
      <c r="D33" s="2">
        <v>13.5</v>
      </c>
      <c r="E33" s="2">
        <v>50.26548245743669</v>
      </c>
      <c r="F33" s="11">
        <f t="shared" si="0"/>
        <v>2.6857396646757339</v>
      </c>
      <c r="G33" s="2">
        <f t="shared" si="1"/>
        <v>49.229608053506198</v>
      </c>
      <c r="H33" s="2">
        <f t="shared" si="2"/>
        <v>2.3391464391676191</v>
      </c>
      <c r="I33" s="2">
        <f t="shared" si="3"/>
        <v>42.876554229942457</v>
      </c>
      <c r="J33" s="2">
        <f t="shared" si="4"/>
        <v>6.3530538235637408</v>
      </c>
      <c r="K33" s="15">
        <f t="shared" si="13"/>
        <v>0.58380847953216375</v>
      </c>
      <c r="L33" s="2">
        <f t="shared" si="14"/>
        <v>28</v>
      </c>
      <c r="M33" s="2">
        <f t="shared" si="15"/>
        <v>18.079999999999998</v>
      </c>
      <c r="N33" s="2">
        <v>16</v>
      </c>
      <c r="O33" s="2">
        <v>50.26548245743669</v>
      </c>
      <c r="P33" s="11">
        <f t="shared" si="5"/>
        <v>3.183098861837907</v>
      </c>
      <c r="Q33" s="2">
        <f t="shared" si="6"/>
        <v>57.550427422029351</v>
      </c>
      <c r="R33" s="2">
        <f t="shared" si="7"/>
        <v>2.4837848789711394</v>
      </c>
      <c r="S33" s="2">
        <f t="shared" si="8"/>
        <v>44.906830611798199</v>
      </c>
      <c r="T33" s="2">
        <f t="shared" si="9"/>
        <v>12.643596810231152</v>
      </c>
    </row>
    <row r="34" spans="1:20" x14ac:dyDescent="0.25">
      <c r="A34" s="14">
        <f t="shared" si="10"/>
        <v>0.60617690058479523</v>
      </c>
      <c r="B34" s="2">
        <f t="shared" si="11"/>
        <v>29</v>
      </c>
      <c r="C34" s="4">
        <f t="shared" si="12"/>
        <v>18.829999999999998</v>
      </c>
      <c r="D34" s="2">
        <v>13</v>
      </c>
      <c r="E34" s="2">
        <v>50.26548245743669</v>
      </c>
      <c r="F34" s="11">
        <f t="shared" si="0"/>
        <v>2.5862678252432989</v>
      </c>
      <c r="G34" s="2">
        <f t="shared" si="1"/>
        <v>48.699423149331317</v>
      </c>
      <c r="H34" s="2">
        <f t="shared" si="2"/>
        <v>2.3391464391676191</v>
      </c>
      <c r="I34" s="2">
        <f t="shared" si="3"/>
        <v>44.046127449526267</v>
      </c>
      <c r="J34" s="2">
        <f t="shared" si="4"/>
        <v>4.6532956998050494</v>
      </c>
      <c r="K34" s="15">
        <f t="shared" si="13"/>
        <v>0.58395467836257309</v>
      </c>
      <c r="L34" s="2">
        <f t="shared" si="14"/>
        <v>29</v>
      </c>
      <c r="M34" s="2">
        <f t="shared" si="15"/>
        <v>18.579999999999998</v>
      </c>
      <c r="N34" s="2">
        <v>14.5</v>
      </c>
      <c r="O34" s="2">
        <v>50.26548245743669</v>
      </c>
      <c r="P34" s="11">
        <f t="shared" si="5"/>
        <v>2.8846833435406034</v>
      </c>
      <c r="Q34" s="2">
        <f t="shared" si="6"/>
        <v>53.597416522984403</v>
      </c>
      <c r="R34" s="2">
        <f t="shared" si="7"/>
        <v>2.4837848789711394</v>
      </c>
      <c r="S34" s="2">
        <f t="shared" si="8"/>
        <v>46.148723051283767</v>
      </c>
      <c r="T34" s="2">
        <f t="shared" si="9"/>
        <v>7.4486934717006363</v>
      </c>
    </row>
    <row r="35" spans="1:20" x14ac:dyDescent="0.25">
      <c r="A35" s="14">
        <f t="shared" si="10"/>
        <v>0.60632309941520468</v>
      </c>
      <c r="B35" s="2">
        <f t="shared" si="11"/>
        <v>30</v>
      </c>
      <c r="C35" s="4">
        <f t="shared" si="12"/>
        <v>19.329999999999998</v>
      </c>
      <c r="D35" s="2">
        <v>13.5</v>
      </c>
      <c r="E35" s="2">
        <v>50.26548245743669</v>
      </c>
      <c r="F35" s="11">
        <f t="shared" si="0"/>
        <v>2.6857396646757339</v>
      </c>
      <c r="G35" s="2">
        <f t="shared" si="1"/>
        <v>51.915347718181934</v>
      </c>
      <c r="H35" s="2">
        <f t="shared" si="2"/>
        <v>2.3391464391676191</v>
      </c>
      <c r="I35" s="2">
        <f t="shared" si="3"/>
        <v>45.21570066911007</v>
      </c>
      <c r="J35" s="2">
        <f t="shared" si="4"/>
        <v>6.6996470490718636</v>
      </c>
      <c r="K35" s="15">
        <f t="shared" si="13"/>
        <v>0.58410087719298254</v>
      </c>
      <c r="L35" s="2">
        <f t="shared" si="14"/>
        <v>30</v>
      </c>
      <c r="M35" s="2">
        <f t="shared" si="15"/>
        <v>19.079999999999998</v>
      </c>
      <c r="N35" s="2">
        <v>15</v>
      </c>
      <c r="O35" s="2">
        <v>50.26548245743669</v>
      </c>
      <c r="P35" s="11">
        <f t="shared" si="5"/>
        <v>2.9841551829730379</v>
      </c>
      <c r="Q35" s="2">
        <f t="shared" si="6"/>
        <v>56.937680891125559</v>
      </c>
      <c r="R35" s="2">
        <f t="shared" si="7"/>
        <v>2.4837848789711394</v>
      </c>
      <c r="S35" s="2">
        <f t="shared" si="8"/>
        <v>47.390615490769335</v>
      </c>
      <c r="T35" s="2">
        <f t="shared" si="9"/>
        <v>9.5470654003562245</v>
      </c>
    </row>
    <row r="36" spans="1:20" x14ac:dyDescent="0.25">
      <c r="A36" s="14">
        <f t="shared" si="10"/>
        <v>0.60646929824561402</v>
      </c>
      <c r="B36" s="2">
        <f t="shared" si="11"/>
        <v>31</v>
      </c>
      <c r="C36" s="4">
        <f t="shared" si="12"/>
        <v>19.829999999999998</v>
      </c>
      <c r="D36" s="2">
        <v>12.5</v>
      </c>
      <c r="E36" s="2">
        <v>50.26548245743669</v>
      </c>
      <c r="F36" s="11">
        <f t="shared" si="0"/>
        <v>2.4867959858108648</v>
      </c>
      <c r="G36" s="2">
        <f t="shared" si="1"/>
        <v>49.313164398629446</v>
      </c>
      <c r="H36" s="2">
        <f t="shared" si="2"/>
        <v>2.3391464391676191</v>
      </c>
      <c r="I36" s="2">
        <f t="shared" si="3"/>
        <v>46.385273888693881</v>
      </c>
      <c r="J36" s="2">
        <f t="shared" si="4"/>
        <v>2.9278905099355654</v>
      </c>
      <c r="K36" s="15">
        <f t="shared" si="13"/>
        <v>0.58424707602339188</v>
      </c>
      <c r="L36" s="2">
        <f t="shared" si="14"/>
        <v>31</v>
      </c>
      <c r="M36" s="2">
        <f t="shared" si="15"/>
        <v>19.579999999999998</v>
      </c>
      <c r="N36" s="2">
        <v>15.5</v>
      </c>
      <c r="O36" s="2">
        <v>50.26548245743669</v>
      </c>
      <c r="P36" s="11">
        <f t="shared" si="5"/>
        <v>3.0836270224054725</v>
      </c>
      <c r="Q36" s="2">
        <f t="shared" si="6"/>
        <v>60.377417098699148</v>
      </c>
      <c r="R36" s="2">
        <f t="shared" si="7"/>
        <v>2.4837848789711394</v>
      </c>
      <c r="S36" s="2">
        <f t="shared" si="8"/>
        <v>48.632507930254903</v>
      </c>
      <c r="T36" s="2">
        <f t="shared" si="9"/>
        <v>11.744909168444245</v>
      </c>
    </row>
    <row r="37" spans="1:20" x14ac:dyDescent="0.25">
      <c r="A37" s="14">
        <f t="shared" si="10"/>
        <v>0.60661549707602336</v>
      </c>
      <c r="B37" s="2">
        <f t="shared" si="11"/>
        <v>32</v>
      </c>
      <c r="C37" s="4">
        <f t="shared" si="12"/>
        <v>20.329999999999998</v>
      </c>
      <c r="D37" s="23">
        <v>15</v>
      </c>
      <c r="E37" s="2">
        <v>50.26548245743669</v>
      </c>
      <c r="F37" s="11">
        <f t="shared" si="0"/>
        <v>2.9841551829730379</v>
      </c>
      <c r="G37" s="2">
        <f t="shared" si="1"/>
        <v>60.667874869841853</v>
      </c>
      <c r="H37" s="2">
        <f t="shared" si="2"/>
        <v>2.3391464391676191</v>
      </c>
      <c r="I37" s="2">
        <f t="shared" si="3"/>
        <v>47.554847108277691</v>
      </c>
      <c r="J37" s="2">
        <f t="shared" si="4"/>
        <v>13.113027761564162</v>
      </c>
      <c r="K37" s="15">
        <f t="shared" si="13"/>
        <v>0.58439327485380121</v>
      </c>
      <c r="L37" s="23">
        <f t="shared" si="14"/>
        <v>32</v>
      </c>
      <c r="M37" s="23">
        <f t="shared" si="15"/>
        <v>20.079999999999998</v>
      </c>
      <c r="N37" s="23">
        <v>16</v>
      </c>
      <c r="O37" s="2">
        <v>50.26548245743669</v>
      </c>
      <c r="P37" s="11">
        <f t="shared" si="5"/>
        <v>3.183098861837907</v>
      </c>
      <c r="Q37" s="2">
        <f t="shared" si="6"/>
        <v>63.916625145705169</v>
      </c>
      <c r="R37" s="2">
        <f t="shared" si="7"/>
        <v>2.4837848789711394</v>
      </c>
      <c r="S37" s="2">
        <f t="shared" si="8"/>
        <v>49.874400369740478</v>
      </c>
      <c r="T37" s="2">
        <f t="shared" si="9"/>
        <v>14.042224775964691</v>
      </c>
    </row>
    <row r="38" spans="1:20" x14ac:dyDescent="0.25">
      <c r="A38" s="14">
        <f t="shared" si="10"/>
        <v>0.6067616959064327</v>
      </c>
      <c r="B38" s="2">
        <f t="shared" si="11"/>
        <v>33</v>
      </c>
      <c r="C38" s="4">
        <f t="shared" si="12"/>
        <v>20.83</v>
      </c>
      <c r="D38" s="2">
        <v>12.5</v>
      </c>
      <c r="E38" s="2">
        <v>50.26548245743669</v>
      </c>
      <c r="F38" s="11">
        <f t="shared" si="0"/>
        <v>2.4867959858108648</v>
      </c>
      <c r="G38" s="2">
        <f t="shared" si="1"/>
        <v>51.799960384440311</v>
      </c>
      <c r="H38" s="2">
        <f t="shared" si="2"/>
        <v>2.3391464391676191</v>
      </c>
      <c r="I38" s="2">
        <f t="shared" si="3"/>
        <v>48.724420327861502</v>
      </c>
      <c r="J38" s="2">
        <f t="shared" si="4"/>
        <v>3.0755400565788094</v>
      </c>
      <c r="K38" s="15">
        <f t="shared" si="13"/>
        <v>0.58453947368421055</v>
      </c>
      <c r="L38" s="2">
        <f t="shared" si="14"/>
        <v>33</v>
      </c>
      <c r="M38" s="2">
        <f t="shared" si="15"/>
        <v>20.58</v>
      </c>
      <c r="N38" s="2">
        <v>13.5</v>
      </c>
      <c r="O38" s="2">
        <v>50.26548245743669</v>
      </c>
      <c r="P38" s="11">
        <f t="shared" si="5"/>
        <v>2.6857396646757339</v>
      </c>
      <c r="Q38" s="2">
        <f t="shared" si="6"/>
        <v>55.272522299026598</v>
      </c>
      <c r="R38" s="2">
        <f t="shared" si="7"/>
        <v>2.4837848789711394</v>
      </c>
      <c r="S38" s="2">
        <f t="shared" si="8"/>
        <v>51.116292809226046</v>
      </c>
      <c r="T38" s="2">
        <f t="shared" si="9"/>
        <v>4.1562294898005518</v>
      </c>
    </row>
    <row r="39" spans="1:20" x14ac:dyDescent="0.25">
      <c r="A39" s="14">
        <f t="shared" si="10"/>
        <v>0.60690789473684204</v>
      </c>
      <c r="B39" s="2">
        <f t="shared" si="11"/>
        <v>34</v>
      </c>
      <c r="C39" s="4">
        <f t="shared" si="12"/>
        <v>21.33</v>
      </c>
      <c r="D39" s="2">
        <v>12.5</v>
      </c>
      <c r="E39" s="2">
        <v>50.26548245743669</v>
      </c>
      <c r="F39" s="11">
        <f t="shared" si="0"/>
        <v>2.4867959858108648</v>
      </c>
      <c r="G39" s="2">
        <f t="shared" si="1"/>
        <v>53.04335837734574</v>
      </c>
      <c r="H39" s="2">
        <f t="shared" si="2"/>
        <v>2.3391464391676191</v>
      </c>
      <c r="I39" s="2">
        <f t="shared" si="3"/>
        <v>49.893993547445312</v>
      </c>
      <c r="J39" s="2">
        <f t="shared" si="4"/>
        <v>3.1493648299004278</v>
      </c>
      <c r="K39" s="15">
        <f t="shared" si="13"/>
        <v>0.58468567251461989</v>
      </c>
      <c r="L39" s="2">
        <f t="shared" si="14"/>
        <v>34</v>
      </c>
      <c r="M39" s="2">
        <f t="shared" si="15"/>
        <v>21.08</v>
      </c>
      <c r="N39" s="2">
        <v>12</v>
      </c>
      <c r="O39" s="2">
        <v>50.26548245743669</v>
      </c>
      <c r="P39" s="11">
        <f t="shared" si="5"/>
        <v>2.3873241463784298</v>
      </c>
      <c r="Q39" s="2">
        <f t="shared" si="6"/>
        <v>50.324793005657298</v>
      </c>
      <c r="R39" s="2">
        <f t="shared" si="7"/>
        <v>2.4837848789711394</v>
      </c>
      <c r="S39" s="2">
        <f t="shared" si="8"/>
        <v>52.358185248711614</v>
      </c>
      <c r="T39" s="2">
        <f t="shared" si="9"/>
        <v>2.0333922430543154</v>
      </c>
    </row>
    <row r="40" spans="1:20" x14ac:dyDescent="0.25">
      <c r="A40" s="14">
        <f t="shared" si="10"/>
        <v>0.60705409356725137</v>
      </c>
      <c r="B40" s="2">
        <f t="shared" si="11"/>
        <v>35</v>
      </c>
      <c r="C40" s="4">
        <f t="shared" si="12"/>
        <v>21.83</v>
      </c>
      <c r="D40" s="2">
        <v>13</v>
      </c>
      <c r="E40" s="2">
        <v>50.26548245743669</v>
      </c>
      <c r="F40" s="11">
        <f t="shared" si="0"/>
        <v>2.5862678252432989</v>
      </c>
      <c r="G40" s="2">
        <f t="shared" si="1"/>
        <v>56.458226625061208</v>
      </c>
      <c r="H40" s="2">
        <f t="shared" si="2"/>
        <v>2.3391464391676191</v>
      </c>
      <c r="I40" s="2">
        <f t="shared" si="3"/>
        <v>51.063566767029123</v>
      </c>
      <c r="J40" s="2">
        <f t="shared" si="4"/>
        <v>5.3946598580320853</v>
      </c>
      <c r="K40" s="15">
        <f t="shared" si="13"/>
        <v>0.58483187134502923</v>
      </c>
      <c r="L40" s="2">
        <f t="shared" si="14"/>
        <v>35</v>
      </c>
      <c r="M40" s="2">
        <f t="shared" si="15"/>
        <v>21.58</v>
      </c>
      <c r="N40" s="2">
        <v>14.5</v>
      </c>
      <c r="O40" s="2">
        <v>50.26548245743669</v>
      </c>
      <c r="P40" s="11">
        <f t="shared" si="5"/>
        <v>2.8846833435406034</v>
      </c>
      <c r="Q40" s="2">
        <f t="shared" si="6"/>
        <v>62.251466553606214</v>
      </c>
      <c r="R40" s="2">
        <f t="shared" si="7"/>
        <v>2.4837848789711394</v>
      </c>
      <c r="S40" s="2">
        <f t="shared" si="8"/>
        <v>53.600077688197182</v>
      </c>
      <c r="T40" s="2">
        <f t="shared" si="9"/>
        <v>8.6513888654090323</v>
      </c>
    </row>
    <row r="41" spans="1:20" x14ac:dyDescent="0.25">
      <c r="A41" s="14">
        <f t="shared" si="10"/>
        <v>0.60720029239766082</v>
      </c>
      <c r="B41" s="2">
        <f t="shared" si="11"/>
        <v>36</v>
      </c>
      <c r="C41" s="4">
        <f t="shared" si="12"/>
        <v>22.33</v>
      </c>
      <c r="D41" s="2">
        <v>13.5</v>
      </c>
      <c r="E41" s="2">
        <v>50.26548245743669</v>
      </c>
      <c r="F41" s="11">
        <f t="shared" si="0"/>
        <v>2.6857396646757339</v>
      </c>
      <c r="G41" s="2">
        <f t="shared" si="1"/>
        <v>59.972566712209137</v>
      </c>
      <c r="H41" s="2">
        <f t="shared" si="2"/>
        <v>2.3391464391676191</v>
      </c>
      <c r="I41" s="2">
        <f t="shared" si="3"/>
        <v>52.233139986612933</v>
      </c>
      <c r="J41" s="2">
        <f t="shared" si="4"/>
        <v>7.7394267255962035</v>
      </c>
      <c r="K41" s="15">
        <f t="shared" si="13"/>
        <v>0.58497807017543868</v>
      </c>
      <c r="L41" s="2">
        <f t="shared" si="14"/>
        <v>36</v>
      </c>
      <c r="M41" s="2">
        <f t="shared" si="15"/>
        <v>22.08</v>
      </c>
      <c r="N41" s="2">
        <v>17</v>
      </c>
      <c r="O41" s="2">
        <v>50.26548245743669</v>
      </c>
      <c r="P41" s="11">
        <f t="shared" si="5"/>
        <v>3.3820425407027761</v>
      </c>
      <c r="Q41" s="2">
        <f t="shared" si="6"/>
        <v>74.675499298717284</v>
      </c>
      <c r="R41" s="2">
        <f t="shared" si="7"/>
        <v>2.4837848789711394</v>
      </c>
      <c r="S41" s="2">
        <f t="shared" si="8"/>
        <v>54.841970127682757</v>
      </c>
      <c r="T41" s="2">
        <f t="shared" si="9"/>
        <v>19.833529171034527</v>
      </c>
    </row>
    <row r="42" spans="1:20" x14ac:dyDescent="0.25">
      <c r="A42" s="14">
        <f t="shared" si="10"/>
        <v>0.60734649122807016</v>
      </c>
      <c r="B42" s="2">
        <f t="shared" si="11"/>
        <v>37</v>
      </c>
      <c r="C42" s="4">
        <f t="shared" si="12"/>
        <v>22.83</v>
      </c>
      <c r="D42" s="2">
        <v>12.5</v>
      </c>
      <c r="E42" s="2">
        <v>50.26548245743669</v>
      </c>
      <c r="F42" s="11">
        <f t="shared" si="0"/>
        <v>2.4867959858108648</v>
      </c>
      <c r="G42" s="2">
        <f t="shared" si="1"/>
        <v>56.773552356062041</v>
      </c>
      <c r="H42" s="2">
        <f t="shared" si="2"/>
        <v>2.3391464391676191</v>
      </c>
      <c r="I42" s="2">
        <f t="shared" si="3"/>
        <v>53.402713206196744</v>
      </c>
      <c r="J42" s="2">
        <f t="shared" si="4"/>
        <v>3.3708391498652972</v>
      </c>
      <c r="K42" s="15">
        <f t="shared" si="13"/>
        <v>0.58512426900584802</v>
      </c>
      <c r="L42" s="2">
        <f t="shared" si="14"/>
        <v>37</v>
      </c>
      <c r="M42" s="2">
        <f t="shared" si="15"/>
        <v>22.58</v>
      </c>
      <c r="N42" s="2">
        <v>14.5</v>
      </c>
      <c r="O42" s="2">
        <v>50.26548245743669</v>
      </c>
      <c r="P42" s="11">
        <f t="shared" si="5"/>
        <v>2.8846833435406034</v>
      </c>
      <c r="Q42" s="2">
        <f t="shared" si="6"/>
        <v>65.136149897146822</v>
      </c>
      <c r="R42" s="2">
        <f t="shared" si="7"/>
        <v>2.4837848789711394</v>
      </c>
      <c r="S42" s="2">
        <f t="shared" si="8"/>
        <v>56.083862567168325</v>
      </c>
      <c r="T42" s="2">
        <f t="shared" si="9"/>
        <v>9.0522873299784976</v>
      </c>
    </row>
    <row r="43" spans="1:20" x14ac:dyDescent="0.25">
      <c r="A43" s="14">
        <f t="shared" si="10"/>
        <v>0.6074926900584795</v>
      </c>
      <c r="B43" s="2">
        <f t="shared" si="11"/>
        <v>38</v>
      </c>
      <c r="C43" s="4">
        <f t="shared" si="12"/>
        <v>23.33</v>
      </c>
      <c r="D43" s="2">
        <v>12.5</v>
      </c>
      <c r="E43" s="2">
        <v>50.26548245743669</v>
      </c>
      <c r="F43" s="11">
        <f t="shared" si="0"/>
        <v>2.4867959858108648</v>
      </c>
      <c r="G43" s="2">
        <f t="shared" si="1"/>
        <v>58.01695034896747</v>
      </c>
      <c r="H43" s="2">
        <f t="shared" si="2"/>
        <v>2.3391464391676191</v>
      </c>
      <c r="I43" s="2">
        <f t="shared" si="3"/>
        <v>54.572286425780547</v>
      </c>
      <c r="J43" s="2">
        <f t="shared" si="4"/>
        <v>3.4446639231869227</v>
      </c>
      <c r="K43" s="15">
        <f t="shared" si="13"/>
        <v>0.58527046783625736</v>
      </c>
      <c r="L43" s="2">
        <f t="shared" si="14"/>
        <v>38</v>
      </c>
      <c r="M43" s="2">
        <f t="shared" si="15"/>
        <v>23.08</v>
      </c>
      <c r="N43" s="2">
        <v>14</v>
      </c>
      <c r="O43" s="2">
        <v>50.26548245743669</v>
      </c>
      <c r="P43" s="11">
        <f t="shared" si="5"/>
        <v>2.7852115041081689</v>
      </c>
      <c r="Q43" s="2">
        <f t="shared" si="6"/>
        <v>64.282681514816531</v>
      </c>
      <c r="R43" s="2">
        <f t="shared" si="7"/>
        <v>2.4837848789711394</v>
      </c>
      <c r="S43" s="2">
        <f t="shared" si="8"/>
        <v>57.325755006653893</v>
      </c>
      <c r="T43" s="2">
        <f t="shared" si="9"/>
        <v>6.9569265081626384</v>
      </c>
    </row>
    <row r="44" spans="1:20" x14ac:dyDescent="0.25">
      <c r="A44" s="10">
        <v>0.60763888888888884</v>
      </c>
      <c r="B44" s="2">
        <f t="shared" si="11"/>
        <v>39</v>
      </c>
      <c r="C44" s="4">
        <f t="shared" si="12"/>
        <v>23.83</v>
      </c>
      <c r="D44" s="2">
        <v>12</v>
      </c>
      <c r="E44" s="2">
        <v>50.26548245743669</v>
      </c>
      <c r="F44" s="11">
        <f t="shared" si="0"/>
        <v>2.3873241463784298</v>
      </c>
      <c r="G44" s="2">
        <f t="shared" si="1"/>
        <v>56.889934408197981</v>
      </c>
      <c r="H44" s="2">
        <f t="shared" si="2"/>
        <v>2.3391464391676191</v>
      </c>
      <c r="I44" s="2">
        <f t="shared" si="3"/>
        <v>55.741859645364357</v>
      </c>
      <c r="J44" s="2">
        <f t="shared" si="4"/>
        <v>1.1480747628336232</v>
      </c>
      <c r="K44" s="12">
        <v>0.5854166666666667</v>
      </c>
      <c r="L44" s="2">
        <f t="shared" si="14"/>
        <v>39</v>
      </c>
      <c r="M44" s="2">
        <f t="shared" si="15"/>
        <v>23.58</v>
      </c>
      <c r="N44" s="2">
        <v>15.5</v>
      </c>
      <c r="O44" s="2">
        <v>50.26548245743669</v>
      </c>
      <c r="P44" s="11">
        <f t="shared" si="5"/>
        <v>3.0836270224054725</v>
      </c>
      <c r="Q44" s="2">
        <f t="shared" si="6"/>
        <v>72.711925188321032</v>
      </c>
      <c r="R44" s="2">
        <f t="shared" si="7"/>
        <v>2.4837848789711394</v>
      </c>
      <c r="S44" s="2">
        <f t="shared" si="8"/>
        <v>58.56764744613946</v>
      </c>
      <c r="T44" s="2">
        <f t="shared" si="9"/>
        <v>14.144277742181572</v>
      </c>
    </row>
    <row r="45" spans="1:20" x14ac:dyDescent="0.25">
      <c r="A45" s="14">
        <f t="shared" ref="A45:A82" si="16">IF(AND($A$44&lt;&gt;"",$A$83&lt;&gt;""), $A$44 + (B45 - $B$44) * (($A$83 - $A$44) / ($B$83 - $B$44)), "")</f>
        <v>0.60778133903133902</v>
      </c>
      <c r="B45" s="2">
        <f t="shared" si="11"/>
        <v>40</v>
      </c>
      <c r="C45" s="4">
        <f t="shared" si="12"/>
        <v>24.33</v>
      </c>
      <c r="D45" s="2">
        <v>13</v>
      </c>
      <c r="E45" s="2">
        <v>50.26548245743669</v>
      </c>
      <c r="F45" s="11">
        <f t="shared" si="0"/>
        <v>2.5862678252432989</v>
      </c>
      <c r="G45" s="2">
        <f t="shared" si="1"/>
        <v>62.923896188169458</v>
      </c>
      <c r="H45" s="2">
        <f t="shared" si="2"/>
        <v>2.3391464391676191</v>
      </c>
      <c r="I45" s="2">
        <f t="shared" si="3"/>
        <v>56.911432864948168</v>
      </c>
      <c r="J45" s="2">
        <f t="shared" si="4"/>
        <v>6.0124633232212901</v>
      </c>
      <c r="K45" s="15">
        <f t="shared" ref="K45:K82" si="17">IF(AND($K$44&lt;&gt;"",$K$83&lt;&gt;""), $K$44 + (L45 - $L$44) * (($K$83 - $K$44) / ($L$83 - $L$44)), "")</f>
        <v>0.5855235042735043</v>
      </c>
      <c r="L45" s="2">
        <f t="shared" si="14"/>
        <v>40</v>
      </c>
      <c r="M45" s="2">
        <f t="shared" si="15"/>
        <v>24.08</v>
      </c>
      <c r="N45" s="2">
        <v>15</v>
      </c>
      <c r="O45" s="2">
        <v>50.26548245743669</v>
      </c>
      <c r="P45" s="11">
        <f t="shared" si="5"/>
        <v>2.9841551829730379</v>
      </c>
      <c r="Q45" s="2">
        <f t="shared" si="6"/>
        <v>71.858456805990755</v>
      </c>
      <c r="R45" s="2">
        <f t="shared" si="7"/>
        <v>2.4837848789711394</v>
      </c>
      <c r="S45" s="2">
        <f t="shared" si="8"/>
        <v>59.809539885625036</v>
      </c>
      <c r="T45" s="2">
        <f t="shared" si="9"/>
        <v>12.04891692036572</v>
      </c>
    </row>
    <row r="46" spans="1:20" x14ac:dyDescent="0.25">
      <c r="A46" s="14">
        <f t="shared" si="16"/>
        <v>0.60792378917378909</v>
      </c>
      <c r="B46" s="2">
        <f t="shared" si="11"/>
        <v>41</v>
      </c>
      <c r="C46" s="4">
        <f t="shared" si="12"/>
        <v>24.83</v>
      </c>
      <c r="D46" s="2">
        <v>12</v>
      </c>
      <c r="E46" s="2">
        <v>50.26548245743669</v>
      </c>
      <c r="F46" s="11">
        <f t="shared" si="0"/>
        <v>2.3873241463784298</v>
      </c>
      <c r="G46" s="2">
        <f t="shared" si="1"/>
        <v>59.277258554576406</v>
      </c>
      <c r="H46" s="2">
        <f t="shared" si="2"/>
        <v>2.3391464391676191</v>
      </c>
      <c r="I46" s="2">
        <f t="shared" si="3"/>
        <v>58.081006084531978</v>
      </c>
      <c r="J46" s="2">
        <f t="shared" si="4"/>
        <v>1.1962524700444277</v>
      </c>
      <c r="K46" s="15">
        <f t="shared" si="17"/>
        <v>0.58563034188034191</v>
      </c>
      <c r="L46" s="2">
        <f t="shared" si="14"/>
        <v>41</v>
      </c>
      <c r="M46" s="2">
        <f t="shared" si="15"/>
        <v>24.58</v>
      </c>
      <c r="N46" s="2">
        <v>14.5</v>
      </c>
      <c r="O46" s="2">
        <v>50.26548245743669</v>
      </c>
      <c r="P46" s="11">
        <f t="shared" si="5"/>
        <v>2.8846833435406034</v>
      </c>
      <c r="Q46" s="2">
        <f t="shared" si="6"/>
        <v>70.905516584228025</v>
      </c>
      <c r="R46" s="2">
        <f t="shared" si="7"/>
        <v>2.4837848789711394</v>
      </c>
      <c r="S46" s="2">
        <f t="shared" si="8"/>
        <v>61.051432325110603</v>
      </c>
      <c r="T46" s="2">
        <f t="shared" si="9"/>
        <v>9.8540842591174211</v>
      </c>
    </row>
    <row r="47" spans="1:20" x14ac:dyDescent="0.25">
      <c r="A47" s="14">
        <f t="shared" si="16"/>
        <v>0.60806623931623927</v>
      </c>
      <c r="B47" s="2">
        <f t="shared" si="11"/>
        <v>42</v>
      </c>
      <c r="C47" s="4">
        <f t="shared" si="12"/>
        <v>25.33</v>
      </c>
      <c r="D47" s="2">
        <v>11.5</v>
      </c>
      <c r="E47" s="2">
        <v>50.26548245743669</v>
      </c>
      <c r="F47" s="11">
        <f t="shared" si="0"/>
        <v>2.2878523069459957</v>
      </c>
      <c r="G47" s="2">
        <f t="shared" si="1"/>
        <v>57.951298934942066</v>
      </c>
      <c r="H47" s="2">
        <f t="shared" si="2"/>
        <v>2.3391464391676191</v>
      </c>
      <c r="I47" s="2">
        <f t="shared" si="3"/>
        <v>59.250579304115789</v>
      </c>
      <c r="J47" s="2">
        <f t="shared" si="4"/>
        <v>1.2992803691737222</v>
      </c>
      <c r="K47" s="15">
        <f t="shared" si="17"/>
        <v>0.58573717948717952</v>
      </c>
      <c r="L47" s="2">
        <f t="shared" si="14"/>
        <v>42</v>
      </c>
      <c r="M47" s="2">
        <f t="shared" si="15"/>
        <v>25.08</v>
      </c>
      <c r="N47" s="2">
        <v>12.5</v>
      </c>
      <c r="O47" s="2">
        <v>50.26548245743669</v>
      </c>
      <c r="P47" s="11">
        <f t="shared" si="5"/>
        <v>2.4867959858108648</v>
      </c>
      <c r="Q47" s="2">
        <f t="shared" si="6"/>
        <v>62.368843324136485</v>
      </c>
      <c r="R47" s="2">
        <f t="shared" si="7"/>
        <v>2.4837848789711394</v>
      </c>
      <c r="S47" s="2">
        <f t="shared" si="8"/>
        <v>62.293324764596171</v>
      </c>
      <c r="T47" s="2">
        <f t="shared" si="9"/>
        <v>7.551855954031339E-2</v>
      </c>
    </row>
    <row r="48" spans="1:20" x14ac:dyDescent="0.25">
      <c r="A48" s="14">
        <f t="shared" si="16"/>
        <v>0.60820868945868944</v>
      </c>
      <c r="B48" s="2">
        <f t="shared" si="11"/>
        <v>43</v>
      </c>
      <c r="C48" s="4">
        <f t="shared" si="12"/>
        <v>25.83</v>
      </c>
      <c r="D48" s="2">
        <v>10.5</v>
      </c>
      <c r="E48" s="2">
        <v>50.26548245743669</v>
      </c>
      <c r="F48" s="11">
        <f t="shared" si="0"/>
        <v>2.0889086280811267</v>
      </c>
      <c r="G48" s="2">
        <f t="shared" si="1"/>
        <v>53.956509863335498</v>
      </c>
      <c r="H48" s="2">
        <f t="shared" si="2"/>
        <v>2.3391464391676191</v>
      </c>
      <c r="I48" s="2">
        <f t="shared" si="3"/>
        <v>60.420152523699599</v>
      </c>
      <c r="J48" s="2">
        <f t="shared" si="4"/>
        <v>6.4636426603641013</v>
      </c>
      <c r="K48" s="15">
        <f t="shared" si="17"/>
        <v>0.58584401709401712</v>
      </c>
      <c r="L48" s="2">
        <f t="shared" si="14"/>
        <v>43</v>
      </c>
      <c r="M48" s="2">
        <f t="shared" si="15"/>
        <v>25.58</v>
      </c>
      <c r="N48" s="2">
        <v>13</v>
      </c>
      <c r="O48" s="2">
        <v>50.26548245743669</v>
      </c>
      <c r="P48" s="11">
        <f t="shared" si="5"/>
        <v>2.5862678252432989</v>
      </c>
      <c r="Q48" s="2">
        <f t="shared" si="6"/>
        <v>66.156730969723583</v>
      </c>
      <c r="R48" s="2">
        <f t="shared" si="7"/>
        <v>2.4837848789711394</v>
      </c>
      <c r="S48" s="2">
        <f t="shared" si="8"/>
        <v>63.535217204081739</v>
      </c>
      <c r="T48" s="2">
        <f t="shared" si="9"/>
        <v>2.6215137656418435</v>
      </c>
    </row>
    <row r="49" spans="1:20" x14ac:dyDescent="0.25">
      <c r="A49" s="14">
        <f t="shared" si="16"/>
        <v>0.60835113960113951</v>
      </c>
      <c r="B49" s="2">
        <f t="shared" si="11"/>
        <v>44</v>
      </c>
      <c r="C49" s="4">
        <f t="shared" si="12"/>
        <v>26.33</v>
      </c>
      <c r="D49" s="2">
        <v>10.5</v>
      </c>
      <c r="E49" s="2">
        <v>50.26548245743669</v>
      </c>
      <c r="F49" s="11">
        <f t="shared" si="0"/>
        <v>2.0889086280811267</v>
      </c>
      <c r="G49" s="2">
        <f t="shared" si="1"/>
        <v>55.000964177376062</v>
      </c>
      <c r="H49" s="2">
        <f t="shared" si="2"/>
        <v>2.3391464391676191</v>
      </c>
      <c r="I49" s="2">
        <f t="shared" si="3"/>
        <v>61.58972574328341</v>
      </c>
      <c r="J49" s="2">
        <f t="shared" si="4"/>
        <v>6.5887615659073475</v>
      </c>
      <c r="K49" s="15">
        <f t="shared" si="17"/>
        <v>0.58595085470085473</v>
      </c>
      <c r="L49" s="2">
        <f t="shared" si="14"/>
        <v>44</v>
      </c>
      <c r="M49" s="2">
        <f t="shared" si="15"/>
        <v>26.08</v>
      </c>
      <c r="N49" s="2">
        <v>13.5</v>
      </c>
      <c r="O49" s="2">
        <v>50.26548245743669</v>
      </c>
      <c r="P49" s="11">
        <f t="shared" si="5"/>
        <v>2.6857396646757339</v>
      </c>
      <c r="Q49" s="2">
        <f t="shared" si="6"/>
        <v>70.044090454743142</v>
      </c>
      <c r="R49" s="2">
        <f t="shared" si="7"/>
        <v>2.4837848789711394</v>
      </c>
      <c r="S49" s="2">
        <f t="shared" si="8"/>
        <v>64.777109643567314</v>
      </c>
      <c r="T49" s="2">
        <f t="shared" si="9"/>
        <v>5.2669808111758272</v>
      </c>
    </row>
    <row r="50" spans="1:20" x14ac:dyDescent="0.25">
      <c r="A50" s="14">
        <f t="shared" si="16"/>
        <v>0.60849358974358969</v>
      </c>
      <c r="B50" s="2">
        <f t="shared" si="11"/>
        <v>45</v>
      </c>
      <c r="C50" s="4">
        <f t="shared" si="12"/>
        <v>26.83</v>
      </c>
      <c r="D50" s="2">
        <v>9.5</v>
      </c>
      <c r="E50" s="2">
        <v>50.26548245743669</v>
      </c>
      <c r="F50" s="11">
        <f t="shared" si="0"/>
        <v>1.8899649492162571</v>
      </c>
      <c r="G50" s="2">
        <f t="shared" si="1"/>
        <v>50.707759587472175</v>
      </c>
      <c r="H50" s="2">
        <f t="shared" si="2"/>
        <v>2.3391464391676191</v>
      </c>
      <c r="I50" s="2">
        <f t="shared" si="3"/>
        <v>62.75929896286722</v>
      </c>
      <c r="J50" s="2">
        <f t="shared" si="4"/>
        <v>12.051539375395045</v>
      </c>
      <c r="K50" s="15">
        <f t="shared" si="17"/>
        <v>0.58605769230769234</v>
      </c>
      <c r="L50" s="2">
        <f t="shared" si="14"/>
        <v>45</v>
      </c>
      <c r="M50" s="2">
        <f t="shared" si="15"/>
        <v>26.58</v>
      </c>
      <c r="N50" s="2">
        <v>13.5</v>
      </c>
      <c r="O50" s="2">
        <v>50.26548245743669</v>
      </c>
      <c r="P50" s="11">
        <f t="shared" si="5"/>
        <v>2.6857396646757339</v>
      </c>
      <c r="Q50" s="2">
        <f t="shared" si="6"/>
        <v>71.386960287080996</v>
      </c>
      <c r="R50" s="2">
        <f t="shared" si="7"/>
        <v>2.4837848789711394</v>
      </c>
      <c r="S50" s="2">
        <f t="shared" si="8"/>
        <v>66.019002083052882</v>
      </c>
      <c r="T50" s="2">
        <f t="shared" si="9"/>
        <v>5.3679582040281133</v>
      </c>
    </row>
    <row r="51" spans="1:20" x14ac:dyDescent="0.25">
      <c r="A51" s="14">
        <f t="shared" si="16"/>
        <v>0.60863603988603987</v>
      </c>
      <c r="B51" s="2">
        <f t="shared" si="11"/>
        <v>46</v>
      </c>
      <c r="C51" s="4">
        <f t="shared" si="12"/>
        <v>27.33</v>
      </c>
      <c r="D51" s="2">
        <v>9.5</v>
      </c>
      <c r="E51" s="2">
        <v>50.26548245743669</v>
      </c>
      <c r="F51" s="11">
        <f t="shared" si="0"/>
        <v>1.8899649492162571</v>
      </c>
      <c r="G51" s="2">
        <f t="shared" si="1"/>
        <v>51.652742062080307</v>
      </c>
      <c r="H51" s="2">
        <f t="shared" si="2"/>
        <v>2.3391464391676191</v>
      </c>
      <c r="I51" s="2">
        <f t="shared" si="3"/>
        <v>63.928872182451023</v>
      </c>
      <c r="J51" s="2">
        <f t="shared" si="4"/>
        <v>12.276130120370716</v>
      </c>
      <c r="K51" s="15">
        <f t="shared" si="17"/>
        <v>0.58616452991452994</v>
      </c>
      <c r="L51" s="2">
        <f t="shared" si="14"/>
        <v>46</v>
      </c>
      <c r="M51" s="2">
        <f t="shared" si="15"/>
        <v>27.08</v>
      </c>
      <c r="N51" s="2">
        <v>11</v>
      </c>
      <c r="O51" s="2">
        <v>50.26548245743669</v>
      </c>
      <c r="P51" s="11">
        <f t="shared" si="5"/>
        <v>2.1883804675135607</v>
      </c>
      <c r="Q51" s="2">
        <f t="shared" si="6"/>
        <v>59.261343060267222</v>
      </c>
      <c r="R51" s="2">
        <f t="shared" si="7"/>
        <v>2.4837848789711394</v>
      </c>
      <c r="S51" s="2">
        <f t="shared" si="8"/>
        <v>67.26089452253845</v>
      </c>
      <c r="T51" s="2">
        <f t="shared" si="9"/>
        <v>7.9995514622712278</v>
      </c>
    </row>
    <row r="52" spans="1:20" x14ac:dyDescent="0.25">
      <c r="A52" s="14">
        <f t="shared" si="16"/>
        <v>0.60877849002849005</v>
      </c>
      <c r="B52" s="2">
        <f t="shared" si="11"/>
        <v>47</v>
      </c>
      <c r="C52" s="4">
        <f t="shared" si="12"/>
        <v>27.83</v>
      </c>
      <c r="D52" s="2">
        <v>8.5</v>
      </c>
      <c r="E52" s="2">
        <v>50.26548245743669</v>
      </c>
      <c r="F52" s="11">
        <f t="shared" si="0"/>
        <v>1.6910212703513881</v>
      </c>
      <c r="G52" s="2">
        <f t="shared" si="1"/>
        <v>47.061121953879123</v>
      </c>
      <c r="H52" s="2">
        <f t="shared" si="2"/>
        <v>2.3391464391676191</v>
      </c>
      <c r="I52" s="2">
        <f t="shared" si="3"/>
        <v>65.098445402034841</v>
      </c>
      <c r="J52" s="2">
        <f t="shared" si="4"/>
        <v>18.037323448155718</v>
      </c>
      <c r="K52" s="15">
        <f t="shared" si="17"/>
        <v>0.58627136752136755</v>
      </c>
      <c r="L52" s="2">
        <f t="shared" si="14"/>
        <v>47</v>
      </c>
      <c r="M52" s="2">
        <f t="shared" si="15"/>
        <v>27.58</v>
      </c>
      <c r="N52" s="2">
        <v>11</v>
      </c>
      <c r="O52" s="2">
        <v>50.26548245743669</v>
      </c>
      <c r="P52" s="11">
        <f t="shared" si="5"/>
        <v>2.1883804675135607</v>
      </c>
      <c r="Q52" s="2">
        <f t="shared" si="6"/>
        <v>60.355533294023999</v>
      </c>
      <c r="R52" s="2">
        <f t="shared" si="7"/>
        <v>2.4837848789711394</v>
      </c>
      <c r="S52" s="2">
        <f t="shared" si="8"/>
        <v>68.502786962024018</v>
      </c>
      <c r="T52" s="2">
        <f t="shared" si="9"/>
        <v>8.1472536680000189</v>
      </c>
    </row>
    <row r="53" spans="1:20" x14ac:dyDescent="0.25">
      <c r="A53" s="14">
        <f t="shared" si="16"/>
        <v>0.60892094017094012</v>
      </c>
      <c r="B53" s="2">
        <f t="shared" si="11"/>
        <v>48</v>
      </c>
      <c r="C53" s="4">
        <f t="shared" si="12"/>
        <v>28.33</v>
      </c>
      <c r="D53" s="2">
        <v>10</v>
      </c>
      <c r="E53" s="2">
        <v>50.26548245743669</v>
      </c>
      <c r="F53" s="11">
        <f t="shared" si="0"/>
        <v>1.9894367886486919</v>
      </c>
      <c r="G53" s="2">
        <f t="shared" si="1"/>
        <v>56.360744222417438</v>
      </c>
      <c r="H53" s="2">
        <f t="shared" si="2"/>
        <v>2.3391464391676191</v>
      </c>
      <c r="I53" s="2">
        <f t="shared" si="3"/>
        <v>66.268018621618651</v>
      </c>
      <c r="J53" s="2">
        <f t="shared" si="4"/>
        <v>9.9072743992012136</v>
      </c>
      <c r="K53" s="15">
        <f t="shared" si="17"/>
        <v>0.58637820512820515</v>
      </c>
      <c r="L53" s="2">
        <f t="shared" si="14"/>
        <v>48</v>
      </c>
      <c r="M53" s="2">
        <f t="shared" si="15"/>
        <v>28.08</v>
      </c>
      <c r="N53" s="2">
        <v>11.5</v>
      </c>
      <c r="O53" s="2">
        <v>50.26548245743669</v>
      </c>
      <c r="P53" s="11">
        <f t="shared" si="5"/>
        <v>2.2878523069459957</v>
      </c>
      <c r="Q53" s="2">
        <f t="shared" si="6"/>
        <v>64.242892779043558</v>
      </c>
      <c r="R53" s="2">
        <f t="shared" si="7"/>
        <v>2.4837848789711394</v>
      </c>
      <c r="S53" s="2">
        <f t="shared" si="8"/>
        <v>69.744679401509586</v>
      </c>
      <c r="T53" s="2">
        <f t="shared" si="9"/>
        <v>5.5017866224660281</v>
      </c>
    </row>
    <row r="54" spans="1:20" x14ac:dyDescent="0.25">
      <c r="A54" s="14">
        <f t="shared" si="16"/>
        <v>0.6090633903133903</v>
      </c>
      <c r="B54" s="2">
        <f t="shared" si="11"/>
        <v>49</v>
      </c>
      <c r="C54" s="4">
        <f t="shared" si="12"/>
        <v>28.83</v>
      </c>
      <c r="D54" s="2">
        <v>11</v>
      </c>
      <c r="E54" s="2">
        <v>50.26548245743669</v>
      </c>
      <c r="F54" s="11">
        <f t="shared" si="0"/>
        <v>2.1883804675135607</v>
      </c>
      <c r="G54" s="2">
        <f t="shared" si="1"/>
        <v>63.091008878415956</v>
      </c>
      <c r="H54" s="2">
        <f t="shared" si="2"/>
        <v>2.3391464391676191</v>
      </c>
      <c r="I54" s="2">
        <f t="shared" si="3"/>
        <v>67.437591841202462</v>
      </c>
      <c r="J54" s="2">
        <f t="shared" si="4"/>
        <v>4.3465829627865062</v>
      </c>
      <c r="K54" s="15">
        <f t="shared" si="17"/>
        <v>0.58648504273504276</v>
      </c>
      <c r="L54" s="2">
        <f t="shared" si="14"/>
        <v>49</v>
      </c>
      <c r="M54" s="2">
        <f t="shared" si="15"/>
        <v>28.58</v>
      </c>
      <c r="N54" s="2">
        <v>11.5</v>
      </c>
      <c r="O54" s="2">
        <v>50.26548245743669</v>
      </c>
      <c r="P54" s="11">
        <f t="shared" si="5"/>
        <v>2.2878523069459957</v>
      </c>
      <c r="Q54" s="2">
        <f t="shared" si="6"/>
        <v>65.386818932516547</v>
      </c>
      <c r="R54" s="2">
        <f t="shared" si="7"/>
        <v>2.4837848789711394</v>
      </c>
      <c r="S54" s="2">
        <f t="shared" si="8"/>
        <v>70.986571840995154</v>
      </c>
      <c r="T54" s="2">
        <f t="shared" si="9"/>
        <v>5.5997529084786066</v>
      </c>
    </row>
    <row r="55" spans="1:20" x14ac:dyDescent="0.25">
      <c r="A55" s="14">
        <f t="shared" si="16"/>
        <v>0.60920584045584047</v>
      </c>
      <c r="B55" s="2">
        <f t="shared" si="11"/>
        <v>50</v>
      </c>
      <c r="C55" s="4">
        <f t="shared" si="12"/>
        <v>29.33</v>
      </c>
      <c r="D55" s="2">
        <v>9</v>
      </c>
      <c r="E55" s="2">
        <v>50.26548245743669</v>
      </c>
      <c r="F55" s="11">
        <f t="shared" si="0"/>
        <v>1.7904931097838226</v>
      </c>
      <c r="G55" s="2">
        <f t="shared" si="1"/>
        <v>52.515162909959514</v>
      </c>
      <c r="H55" s="2">
        <f t="shared" si="2"/>
        <v>2.3391464391676191</v>
      </c>
      <c r="I55" s="2">
        <f t="shared" si="3"/>
        <v>68.607165060786258</v>
      </c>
      <c r="J55" s="2">
        <f t="shared" si="4"/>
        <v>16.092002150826744</v>
      </c>
      <c r="K55" s="15">
        <f t="shared" si="17"/>
        <v>0.58659188034188037</v>
      </c>
      <c r="L55" s="2">
        <f t="shared" si="14"/>
        <v>50</v>
      </c>
      <c r="M55" s="2">
        <f t="shared" si="15"/>
        <v>29.08</v>
      </c>
      <c r="N55" s="2">
        <v>10</v>
      </c>
      <c r="O55" s="2">
        <v>50.26548245743669</v>
      </c>
      <c r="P55" s="11">
        <f t="shared" si="5"/>
        <v>1.9894367886486919</v>
      </c>
      <c r="Q55" s="2">
        <f t="shared" si="6"/>
        <v>57.852821813903958</v>
      </c>
      <c r="R55" s="2">
        <f t="shared" si="7"/>
        <v>2.4837848789711394</v>
      </c>
      <c r="S55" s="2">
        <f t="shared" si="8"/>
        <v>72.228464280480736</v>
      </c>
      <c r="T55" s="2">
        <f t="shared" si="9"/>
        <v>14.375642466576778</v>
      </c>
    </row>
    <row r="56" spans="1:20" x14ac:dyDescent="0.25">
      <c r="A56" s="14">
        <f t="shared" si="16"/>
        <v>0.60934829059829054</v>
      </c>
      <c r="B56" s="2">
        <f t="shared" si="11"/>
        <v>51</v>
      </c>
      <c r="C56" s="4">
        <f t="shared" si="12"/>
        <v>29.83</v>
      </c>
      <c r="D56" s="2">
        <v>9</v>
      </c>
      <c r="E56" s="2">
        <v>50.26548245743669</v>
      </c>
      <c r="F56" s="11">
        <f t="shared" si="0"/>
        <v>1.7904931097838226</v>
      </c>
      <c r="G56" s="2">
        <f t="shared" si="1"/>
        <v>53.410409464851426</v>
      </c>
      <c r="H56" s="2">
        <f t="shared" si="2"/>
        <v>2.3391464391676191</v>
      </c>
      <c r="I56" s="2">
        <f t="shared" si="3"/>
        <v>69.776738280370068</v>
      </c>
      <c r="J56" s="2">
        <f t="shared" si="4"/>
        <v>16.366328815518642</v>
      </c>
      <c r="K56" s="15">
        <f t="shared" si="17"/>
        <v>0.58669871794871797</v>
      </c>
      <c r="L56" s="2">
        <f t="shared" si="14"/>
        <v>51</v>
      </c>
      <c r="M56" s="2">
        <f t="shared" si="15"/>
        <v>29.58</v>
      </c>
      <c r="N56" s="2">
        <v>9</v>
      </c>
      <c r="O56" s="2">
        <v>50.26548245743669</v>
      </c>
      <c r="P56" s="11">
        <f t="shared" si="5"/>
        <v>1.7904931097838226</v>
      </c>
      <c r="Q56" s="2">
        <f t="shared" si="6"/>
        <v>52.96278618740547</v>
      </c>
      <c r="R56" s="2">
        <f t="shared" si="7"/>
        <v>2.4837848789711394</v>
      </c>
      <c r="S56" s="2">
        <f t="shared" si="8"/>
        <v>73.470356719966304</v>
      </c>
      <c r="T56" s="2">
        <f t="shared" si="9"/>
        <v>20.507570532560834</v>
      </c>
    </row>
    <row r="57" spans="1:20" x14ac:dyDescent="0.25">
      <c r="A57" s="14">
        <f t="shared" si="16"/>
        <v>0.60949074074074072</v>
      </c>
      <c r="B57" s="2">
        <f t="shared" si="11"/>
        <v>52</v>
      </c>
      <c r="C57" s="4">
        <f t="shared" si="12"/>
        <v>30.33</v>
      </c>
      <c r="D57" s="2">
        <v>8</v>
      </c>
      <c r="E57" s="2">
        <v>50.26548245743669</v>
      </c>
      <c r="F57" s="11">
        <f t="shared" si="0"/>
        <v>1.5915494309189535</v>
      </c>
      <c r="G57" s="2">
        <f t="shared" si="1"/>
        <v>48.271694239771854</v>
      </c>
      <c r="H57" s="2">
        <f t="shared" si="2"/>
        <v>2.3391464391676191</v>
      </c>
      <c r="I57" s="2">
        <f t="shared" si="3"/>
        <v>70.946311499953879</v>
      </c>
      <c r="J57" s="2">
        <f t="shared" si="4"/>
        <v>22.674617260182025</v>
      </c>
      <c r="K57" s="15">
        <f t="shared" si="17"/>
        <v>0.58680555555555558</v>
      </c>
      <c r="L57" s="2">
        <f t="shared" si="14"/>
        <v>52</v>
      </c>
      <c r="M57" s="2">
        <f t="shared" si="15"/>
        <v>30.08</v>
      </c>
      <c r="N57" s="2">
        <v>10</v>
      </c>
      <c r="O57" s="2">
        <v>50.26548245743669</v>
      </c>
      <c r="P57" s="11">
        <f t="shared" si="5"/>
        <v>1.9894367886486919</v>
      </c>
      <c r="Q57" s="2">
        <f t="shared" si="6"/>
        <v>59.842258602552647</v>
      </c>
      <c r="R57" s="2">
        <f t="shared" si="7"/>
        <v>2.4837848789711394</v>
      </c>
      <c r="S57" s="2">
        <f t="shared" si="8"/>
        <v>74.712249159451872</v>
      </c>
      <c r="T57" s="2">
        <f t="shared" si="9"/>
        <v>14.869990556899225</v>
      </c>
    </row>
    <row r="58" spans="1:20" x14ac:dyDescent="0.25">
      <c r="A58" s="14">
        <f t="shared" si="16"/>
        <v>0.6096331908831909</v>
      </c>
      <c r="B58" s="2">
        <f t="shared" si="11"/>
        <v>53</v>
      </c>
      <c r="C58" s="4">
        <f t="shared" si="12"/>
        <v>30.83</v>
      </c>
      <c r="D58" s="2">
        <v>9</v>
      </c>
      <c r="E58" s="2">
        <v>50.26548245743669</v>
      </c>
      <c r="F58" s="11">
        <f t="shared" si="0"/>
        <v>1.7904931097838226</v>
      </c>
      <c r="G58" s="2">
        <f t="shared" si="1"/>
        <v>55.200902574635251</v>
      </c>
      <c r="H58" s="2">
        <f t="shared" si="2"/>
        <v>2.3391464391676191</v>
      </c>
      <c r="I58" s="2">
        <f t="shared" si="3"/>
        <v>72.115884719537689</v>
      </c>
      <c r="J58" s="2">
        <f t="shared" si="4"/>
        <v>16.914982144902439</v>
      </c>
      <c r="K58" s="15">
        <f t="shared" si="17"/>
        <v>0.58691239316239319</v>
      </c>
      <c r="L58" s="2">
        <f t="shared" si="14"/>
        <v>53</v>
      </c>
      <c r="M58" s="2">
        <f t="shared" si="15"/>
        <v>30.58</v>
      </c>
      <c r="N58" s="2">
        <v>10.5</v>
      </c>
      <c r="O58" s="2">
        <v>50.26548245743669</v>
      </c>
      <c r="P58" s="11">
        <f t="shared" si="5"/>
        <v>2.0889086280811267</v>
      </c>
      <c r="Q58" s="2">
        <f t="shared" si="6"/>
        <v>63.878825846720851</v>
      </c>
      <c r="R58" s="2">
        <f t="shared" si="7"/>
        <v>2.4837848789711394</v>
      </c>
      <c r="S58" s="2">
        <f t="shared" si="8"/>
        <v>75.95414159893744</v>
      </c>
      <c r="T58" s="2">
        <f t="shared" si="9"/>
        <v>12.075315752216589</v>
      </c>
    </row>
    <row r="59" spans="1:20" x14ac:dyDescent="0.25">
      <c r="A59" s="14">
        <f t="shared" si="16"/>
        <v>0.60977564102564097</v>
      </c>
      <c r="B59" s="2">
        <f t="shared" si="11"/>
        <v>54</v>
      </c>
      <c r="C59" s="4">
        <f t="shared" si="12"/>
        <v>31.33</v>
      </c>
      <c r="D59" s="2">
        <v>8.5</v>
      </c>
      <c r="E59" s="2">
        <v>50.26548245743669</v>
      </c>
      <c r="F59" s="11">
        <f t="shared" si="0"/>
        <v>1.6910212703513881</v>
      </c>
      <c r="G59" s="2">
        <f t="shared" si="1"/>
        <v>52.979696400108985</v>
      </c>
      <c r="H59" s="2">
        <f t="shared" si="2"/>
        <v>2.3391464391676191</v>
      </c>
      <c r="I59" s="2">
        <f t="shared" si="3"/>
        <v>73.2854579391215</v>
      </c>
      <c r="J59" s="2">
        <f t="shared" si="4"/>
        <v>20.305761539012515</v>
      </c>
      <c r="K59" s="15">
        <f t="shared" si="17"/>
        <v>0.58701923076923079</v>
      </c>
      <c r="L59" s="2">
        <f t="shared" si="14"/>
        <v>54</v>
      </c>
      <c r="M59" s="2">
        <f t="shared" si="15"/>
        <v>31.08</v>
      </c>
      <c r="N59" s="2">
        <v>10</v>
      </c>
      <c r="O59" s="2">
        <v>50.26548245743669</v>
      </c>
      <c r="P59" s="11">
        <f t="shared" si="5"/>
        <v>1.9894367886486919</v>
      </c>
      <c r="Q59" s="2">
        <f t="shared" si="6"/>
        <v>61.831695391201343</v>
      </c>
      <c r="R59" s="2">
        <f t="shared" si="7"/>
        <v>2.4837848789711394</v>
      </c>
      <c r="S59" s="2">
        <f t="shared" si="8"/>
        <v>77.196034038423008</v>
      </c>
      <c r="T59" s="2">
        <f t="shared" si="9"/>
        <v>15.364338647221665</v>
      </c>
    </row>
    <row r="60" spans="1:20" x14ac:dyDescent="0.25">
      <c r="A60" s="14">
        <f t="shared" si="16"/>
        <v>0.60991809116809115</v>
      </c>
      <c r="B60" s="2">
        <f t="shared" si="11"/>
        <v>55</v>
      </c>
      <c r="C60" s="4">
        <f t="shared" si="12"/>
        <v>31.83</v>
      </c>
      <c r="D60" s="2">
        <v>10</v>
      </c>
      <c r="E60" s="2">
        <v>50.26548245743669</v>
      </c>
      <c r="F60" s="11">
        <f t="shared" si="0"/>
        <v>1.9894367886486919</v>
      </c>
      <c r="G60" s="2">
        <f t="shared" si="1"/>
        <v>63.323772982687856</v>
      </c>
      <c r="H60" s="2">
        <f t="shared" si="2"/>
        <v>2.3391464391676191</v>
      </c>
      <c r="I60" s="2">
        <f t="shared" si="3"/>
        <v>74.45503115870531</v>
      </c>
      <c r="J60" s="2">
        <f t="shared" si="4"/>
        <v>11.131258176017454</v>
      </c>
      <c r="K60" s="15">
        <f t="shared" si="17"/>
        <v>0.5871260683760684</v>
      </c>
      <c r="L60" s="2">
        <f t="shared" si="14"/>
        <v>55</v>
      </c>
      <c r="M60" s="2">
        <f t="shared" si="15"/>
        <v>31.58</v>
      </c>
      <c r="N60" s="2">
        <v>12</v>
      </c>
      <c r="O60" s="2">
        <v>50.26548245743669</v>
      </c>
      <c r="P60" s="11">
        <f t="shared" si="5"/>
        <v>2.3873241463784298</v>
      </c>
      <c r="Q60" s="2">
        <f t="shared" si="6"/>
        <v>75.391696542630811</v>
      </c>
      <c r="R60" s="2">
        <f t="shared" si="7"/>
        <v>2.4837848789711394</v>
      </c>
      <c r="S60" s="2">
        <f t="shared" si="8"/>
        <v>78.437926477908576</v>
      </c>
      <c r="T60" s="2">
        <f t="shared" si="9"/>
        <v>3.0462299352777649</v>
      </c>
    </row>
    <row r="61" spans="1:20" x14ac:dyDescent="0.25">
      <c r="A61" s="14">
        <f t="shared" si="16"/>
        <v>0.61006054131054133</v>
      </c>
      <c r="B61" s="2">
        <f t="shared" si="11"/>
        <v>56</v>
      </c>
      <c r="C61" s="4">
        <f t="shared" si="12"/>
        <v>32.33</v>
      </c>
      <c r="D61" s="2">
        <v>9.5</v>
      </c>
      <c r="E61" s="2">
        <v>50.26548245743669</v>
      </c>
      <c r="F61" s="11">
        <f t="shared" si="0"/>
        <v>1.8899649492162571</v>
      </c>
      <c r="G61" s="2">
        <f t="shared" si="1"/>
        <v>61.10256680816159</v>
      </c>
      <c r="H61" s="2">
        <f t="shared" si="2"/>
        <v>2.3391464391676191</v>
      </c>
      <c r="I61" s="2">
        <f t="shared" si="3"/>
        <v>75.624604378289121</v>
      </c>
      <c r="J61" s="2">
        <f t="shared" si="4"/>
        <v>14.52203757012753</v>
      </c>
      <c r="K61" s="15">
        <f t="shared" si="17"/>
        <v>0.58723290598290601</v>
      </c>
      <c r="L61" s="2">
        <f t="shared" si="14"/>
        <v>56</v>
      </c>
      <c r="M61" s="2">
        <f t="shared" si="15"/>
        <v>32.08</v>
      </c>
      <c r="N61" s="2">
        <v>11</v>
      </c>
      <c r="O61" s="2">
        <v>50.26548245743669</v>
      </c>
      <c r="P61" s="11">
        <f t="shared" si="5"/>
        <v>2.1883804675135607</v>
      </c>
      <c r="Q61" s="2">
        <f t="shared" si="6"/>
        <v>70.203245397835019</v>
      </c>
      <c r="R61" s="2">
        <f t="shared" si="7"/>
        <v>2.4837848789711394</v>
      </c>
      <c r="S61" s="2">
        <f t="shared" si="8"/>
        <v>79.679818917394144</v>
      </c>
      <c r="T61" s="2">
        <f t="shared" si="9"/>
        <v>9.4765735195591247</v>
      </c>
    </row>
    <row r="62" spans="1:20" x14ac:dyDescent="0.25">
      <c r="A62" s="14">
        <f t="shared" si="16"/>
        <v>0.61020299145299139</v>
      </c>
      <c r="B62" s="2">
        <f t="shared" si="11"/>
        <v>57</v>
      </c>
      <c r="C62" s="4">
        <f t="shared" si="12"/>
        <v>32.83</v>
      </c>
      <c r="D62" s="2">
        <v>12</v>
      </c>
      <c r="E62" s="2">
        <v>50.26548245743669</v>
      </c>
      <c r="F62" s="11">
        <f t="shared" si="0"/>
        <v>2.3873241463784298</v>
      </c>
      <c r="G62" s="2">
        <f t="shared" si="1"/>
        <v>78.375851725603852</v>
      </c>
      <c r="H62" s="2">
        <f t="shared" si="2"/>
        <v>2.3391464391676191</v>
      </c>
      <c r="I62" s="2">
        <f t="shared" si="3"/>
        <v>76.794177597872931</v>
      </c>
      <c r="J62" s="2">
        <f t="shared" si="4"/>
        <v>1.5816741277309205</v>
      </c>
      <c r="K62" s="15">
        <f t="shared" si="17"/>
        <v>0.58733974358974361</v>
      </c>
      <c r="L62" s="2">
        <f t="shared" si="14"/>
        <v>57</v>
      </c>
      <c r="M62" s="2">
        <f t="shared" si="15"/>
        <v>32.58</v>
      </c>
      <c r="N62" s="2">
        <v>12</v>
      </c>
      <c r="O62" s="2">
        <v>50.26548245743669</v>
      </c>
      <c r="P62" s="11">
        <f t="shared" si="5"/>
        <v>2.3873241463784298</v>
      </c>
      <c r="Q62" s="2">
        <f t="shared" si="6"/>
        <v>77.779020689009243</v>
      </c>
      <c r="R62" s="2">
        <f t="shared" si="7"/>
        <v>2.4837848789711394</v>
      </c>
      <c r="S62" s="2">
        <f t="shared" si="8"/>
        <v>80.921711356879712</v>
      </c>
      <c r="T62" s="2">
        <f t="shared" si="9"/>
        <v>3.1426906678704682</v>
      </c>
    </row>
    <row r="63" spans="1:20" x14ac:dyDescent="0.25">
      <c r="A63" s="14">
        <f t="shared" si="16"/>
        <v>0.61034544159544157</v>
      </c>
      <c r="B63" s="2">
        <f t="shared" si="11"/>
        <v>58</v>
      </c>
      <c r="C63" s="4">
        <f t="shared" si="12"/>
        <v>33.33</v>
      </c>
      <c r="D63" s="2">
        <v>11</v>
      </c>
      <c r="E63" s="2">
        <v>50.26548245743669</v>
      </c>
      <c r="F63" s="11">
        <f t="shared" si="0"/>
        <v>2.1883804675135607</v>
      </c>
      <c r="G63" s="2">
        <f t="shared" si="1"/>
        <v>72.938720982226982</v>
      </c>
      <c r="H63" s="2">
        <f t="shared" si="2"/>
        <v>2.3391464391676191</v>
      </c>
      <c r="I63" s="2">
        <f t="shared" si="3"/>
        <v>77.963750817456742</v>
      </c>
      <c r="J63" s="2">
        <f t="shared" si="4"/>
        <v>5.0250298352297591</v>
      </c>
      <c r="K63" s="15">
        <f t="shared" si="17"/>
        <v>0.58744658119658122</v>
      </c>
      <c r="L63" s="2">
        <f t="shared" si="14"/>
        <v>58</v>
      </c>
      <c r="M63" s="2">
        <f t="shared" si="15"/>
        <v>33.08</v>
      </c>
      <c r="N63" s="2">
        <v>12.5</v>
      </c>
      <c r="O63" s="2">
        <v>50.26548245743669</v>
      </c>
      <c r="P63" s="11">
        <f t="shared" si="5"/>
        <v>2.4867959858108648</v>
      </c>
      <c r="Q63" s="2">
        <f t="shared" si="6"/>
        <v>82.26321121062341</v>
      </c>
      <c r="R63" s="2">
        <f t="shared" si="7"/>
        <v>2.4837848789711394</v>
      </c>
      <c r="S63" s="2">
        <f t="shared" si="8"/>
        <v>82.163603796365294</v>
      </c>
      <c r="T63" s="2">
        <f t="shared" si="9"/>
        <v>9.9607414258116478E-2</v>
      </c>
    </row>
    <row r="64" spans="1:20" x14ac:dyDescent="0.25">
      <c r="A64" s="14">
        <f t="shared" si="16"/>
        <v>0.61048789173789175</v>
      </c>
      <c r="B64" s="2">
        <f t="shared" si="11"/>
        <v>59</v>
      </c>
      <c r="C64" s="4">
        <f t="shared" si="12"/>
        <v>33.83</v>
      </c>
      <c r="D64" s="2">
        <v>12</v>
      </c>
      <c r="E64" s="2">
        <v>50.26548245743669</v>
      </c>
      <c r="F64" s="11">
        <f t="shared" si="0"/>
        <v>2.3873241463784298</v>
      </c>
      <c r="G64" s="2">
        <f t="shared" si="1"/>
        <v>80.76317587198227</v>
      </c>
      <c r="H64" s="2">
        <f t="shared" si="2"/>
        <v>2.3391464391676191</v>
      </c>
      <c r="I64" s="2">
        <f t="shared" si="3"/>
        <v>79.133324037040552</v>
      </c>
      <c r="J64" s="2">
        <f t="shared" si="4"/>
        <v>1.6298518349417179</v>
      </c>
      <c r="K64" s="15">
        <f t="shared" si="17"/>
        <v>0.58755341880341883</v>
      </c>
      <c r="L64" s="2">
        <f t="shared" si="14"/>
        <v>59</v>
      </c>
      <c r="M64" s="2">
        <f t="shared" si="15"/>
        <v>33.58</v>
      </c>
      <c r="N64" s="2">
        <v>12</v>
      </c>
      <c r="O64" s="2">
        <v>50.26548245743669</v>
      </c>
      <c r="P64" s="11">
        <f t="shared" si="5"/>
        <v>2.3873241463784298</v>
      </c>
      <c r="Q64" s="2">
        <f t="shared" si="6"/>
        <v>80.166344835387676</v>
      </c>
      <c r="R64" s="2">
        <f t="shared" si="7"/>
        <v>2.4837848789711394</v>
      </c>
      <c r="S64" s="2">
        <f t="shared" si="8"/>
        <v>83.405496235850862</v>
      </c>
      <c r="T64" s="2">
        <f t="shared" si="9"/>
        <v>3.2391514004631858</v>
      </c>
    </row>
    <row r="65" spans="1:20" x14ac:dyDescent="0.25">
      <c r="A65" s="14">
        <f t="shared" si="16"/>
        <v>0.61063034188034193</v>
      </c>
      <c r="B65" s="2">
        <f t="shared" si="11"/>
        <v>60</v>
      </c>
      <c r="C65" s="4">
        <f t="shared" si="12"/>
        <v>34.33</v>
      </c>
      <c r="D65" s="2">
        <v>13</v>
      </c>
      <c r="E65" s="2">
        <v>50.26548245743669</v>
      </c>
      <c r="F65" s="11">
        <f t="shared" si="0"/>
        <v>2.5862678252432989</v>
      </c>
      <c r="G65" s="2">
        <f t="shared" si="1"/>
        <v>88.78657444060245</v>
      </c>
      <c r="H65" s="2">
        <f t="shared" si="2"/>
        <v>2.3391464391676191</v>
      </c>
      <c r="I65" s="2">
        <f t="shared" si="3"/>
        <v>80.302897256624362</v>
      </c>
      <c r="J65" s="2">
        <f t="shared" si="4"/>
        <v>8.483677183978088</v>
      </c>
      <c r="K65" s="15">
        <f t="shared" si="17"/>
        <v>0.58766025641025643</v>
      </c>
      <c r="L65" s="2">
        <f t="shared" si="14"/>
        <v>60</v>
      </c>
      <c r="M65" s="2">
        <f t="shared" si="15"/>
        <v>34.08</v>
      </c>
      <c r="N65" s="2">
        <v>13</v>
      </c>
      <c r="O65" s="2">
        <v>50.26548245743669</v>
      </c>
      <c r="P65" s="11">
        <f t="shared" si="5"/>
        <v>2.5862678252432989</v>
      </c>
      <c r="Q65" s="2">
        <f t="shared" si="6"/>
        <v>88.140007484291615</v>
      </c>
      <c r="R65" s="2">
        <f t="shared" si="7"/>
        <v>2.4837848789711394</v>
      </c>
      <c r="S65" s="2">
        <f t="shared" si="8"/>
        <v>84.64738867533643</v>
      </c>
      <c r="T65" s="2">
        <f t="shared" si="9"/>
        <v>3.4926188089551857</v>
      </c>
    </row>
    <row r="66" spans="1:20" x14ac:dyDescent="0.25">
      <c r="A66" s="14">
        <f t="shared" si="16"/>
        <v>0.610772792022792</v>
      </c>
      <c r="B66" s="2">
        <f t="shared" si="11"/>
        <v>61</v>
      </c>
      <c r="C66" s="4">
        <f t="shared" si="12"/>
        <v>34.83</v>
      </c>
      <c r="D66" s="2">
        <v>12.5</v>
      </c>
      <c r="E66" s="2">
        <v>50.26548245743669</v>
      </c>
      <c r="F66" s="11">
        <f t="shared" si="0"/>
        <v>2.4867959858108648</v>
      </c>
      <c r="G66" s="2">
        <f t="shared" si="1"/>
        <v>86.615104185792418</v>
      </c>
      <c r="H66" s="2">
        <f t="shared" si="2"/>
        <v>2.3391464391676191</v>
      </c>
      <c r="I66" s="2">
        <f t="shared" si="3"/>
        <v>81.472470476208173</v>
      </c>
      <c r="J66" s="2">
        <f t="shared" si="4"/>
        <v>5.1426337095842456</v>
      </c>
      <c r="K66" s="15">
        <f t="shared" si="17"/>
        <v>0.58776709401709404</v>
      </c>
      <c r="L66" s="2">
        <f t="shared" si="14"/>
        <v>61</v>
      </c>
      <c r="M66" s="2">
        <f t="shared" si="15"/>
        <v>34.58</v>
      </c>
      <c r="N66" s="2">
        <v>14</v>
      </c>
      <c r="O66" s="2">
        <v>50.26548245743669</v>
      </c>
      <c r="P66" s="11">
        <f t="shared" si="5"/>
        <v>2.7852115041081689</v>
      </c>
      <c r="Q66" s="2">
        <f t="shared" si="6"/>
        <v>96.312613812060476</v>
      </c>
      <c r="R66" s="2">
        <f t="shared" si="7"/>
        <v>2.4837848789711394</v>
      </c>
      <c r="S66" s="2">
        <f t="shared" si="8"/>
        <v>85.889281114821998</v>
      </c>
      <c r="T66" s="2">
        <f t="shared" si="9"/>
        <v>10.423332697238479</v>
      </c>
    </row>
    <row r="67" spans="1:20" x14ac:dyDescent="0.25">
      <c r="A67" s="14">
        <f t="shared" si="16"/>
        <v>0.61091524216524218</v>
      </c>
      <c r="B67" s="2">
        <f t="shared" si="11"/>
        <v>62</v>
      </c>
      <c r="C67" s="4">
        <f t="shared" si="12"/>
        <v>35.33</v>
      </c>
      <c r="D67" s="2">
        <v>13.5</v>
      </c>
      <c r="E67" s="2">
        <v>50.26548245743669</v>
      </c>
      <c r="F67" s="11">
        <f t="shared" si="0"/>
        <v>2.6857396646757339</v>
      </c>
      <c r="G67" s="2">
        <f t="shared" si="1"/>
        <v>94.887182352993676</v>
      </c>
      <c r="H67" s="2">
        <f t="shared" si="2"/>
        <v>2.3391464391676191</v>
      </c>
      <c r="I67" s="2">
        <f t="shared" si="3"/>
        <v>82.642043695791983</v>
      </c>
      <c r="J67" s="2">
        <f t="shared" si="4"/>
        <v>12.245138657201693</v>
      </c>
      <c r="K67" s="15">
        <f t="shared" si="17"/>
        <v>0.58787393162393164</v>
      </c>
      <c r="L67" s="2">
        <f t="shared" si="14"/>
        <v>62</v>
      </c>
      <c r="M67" s="2">
        <f t="shared" si="15"/>
        <v>35.08</v>
      </c>
      <c r="N67" s="2">
        <v>16.5</v>
      </c>
      <c r="O67" s="2">
        <v>50.26548245743669</v>
      </c>
      <c r="P67" s="11">
        <f t="shared" si="5"/>
        <v>3.2825707012703416</v>
      </c>
      <c r="Q67" s="2">
        <f t="shared" si="6"/>
        <v>115.15258020056358</v>
      </c>
      <c r="R67" s="2">
        <f t="shared" si="7"/>
        <v>2.4837848789711394</v>
      </c>
      <c r="S67" s="2">
        <f t="shared" si="8"/>
        <v>87.131173554307566</v>
      </c>
      <c r="T67" s="2">
        <f t="shared" si="9"/>
        <v>28.021406646256011</v>
      </c>
    </row>
    <row r="68" spans="1:20" x14ac:dyDescent="0.25">
      <c r="A68" s="14">
        <f t="shared" si="16"/>
        <v>0.61105769230769236</v>
      </c>
      <c r="B68" s="2">
        <f t="shared" si="11"/>
        <v>63</v>
      </c>
      <c r="C68" s="4">
        <f t="shared" si="12"/>
        <v>35.83</v>
      </c>
      <c r="D68" s="2">
        <v>14</v>
      </c>
      <c r="E68" s="2">
        <v>50.26548245743669</v>
      </c>
      <c r="F68" s="11">
        <f t="shared" si="0"/>
        <v>2.7852115041081689</v>
      </c>
      <c r="G68" s="2">
        <f t="shared" si="1"/>
        <v>99.794128192195686</v>
      </c>
      <c r="H68" s="2">
        <f t="shared" si="2"/>
        <v>2.3391464391676191</v>
      </c>
      <c r="I68" s="2">
        <f t="shared" si="3"/>
        <v>83.811616915375794</v>
      </c>
      <c r="J68" s="2">
        <f t="shared" si="4"/>
        <v>15.982511276819892</v>
      </c>
      <c r="K68" s="15">
        <f t="shared" si="17"/>
        <v>0.58798076923076925</v>
      </c>
      <c r="L68" s="2">
        <f t="shared" si="14"/>
        <v>63</v>
      </c>
      <c r="M68" s="2">
        <f t="shared" si="15"/>
        <v>35.58</v>
      </c>
      <c r="N68" s="2">
        <v>12.5</v>
      </c>
      <c r="O68" s="2">
        <v>50.26548245743669</v>
      </c>
      <c r="P68" s="11">
        <f t="shared" si="5"/>
        <v>2.4867959858108648</v>
      </c>
      <c r="Q68" s="2">
        <f t="shared" si="6"/>
        <v>88.480201175150569</v>
      </c>
      <c r="R68" s="2">
        <f t="shared" si="7"/>
        <v>2.4837848789711394</v>
      </c>
      <c r="S68" s="2">
        <f t="shared" si="8"/>
        <v>88.373065993793134</v>
      </c>
      <c r="T68" s="2">
        <f t="shared" si="9"/>
        <v>0.10713518135743527</v>
      </c>
    </row>
    <row r="69" spans="1:20" x14ac:dyDescent="0.25">
      <c r="A69" s="14">
        <f t="shared" si="16"/>
        <v>0.61120014245014243</v>
      </c>
      <c r="B69" s="2">
        <f t="shared" si="11"/>
        <v>64</v>
      </c>
      <c r="C69" s="4">
        <f t="shared" si="12"/>
        <v>36.33</v>
      </c>
      <c r="D69" s="2">
        <v>13</v>
      </c>
      <c r="E69" s="2">
        <v>50.26548245743669</v>
      </c>
      <c r="F69" s="11">
        <f t="shared" si="0"/>
        <v>2.5862678252432989</v>
      </c>
      <c r="G69" s="2">
        <f t="shared" si="1"/>
        <v>93.959110091089045</v>
      </c>
      <c r="H69" s="2">
        <f t="shared" si="2"/>
        <v>2.3391464391676191</v>
      </c>
      <c r="I69" s="2">
        <f t="shared" si="3"/>
        <v>84.981190134959604</v>
      </c>
      <c r="J69" s="2">
        <f t="shared" si="4"/>
        <v>8.9779199561294405</v>
      </c>
      <c r="K69" s="15">
        <f t="shared" si="17"/>
        <v>0.58808760683760686</v>
      </c>
      <c r="L69" s="2">
        <f t="shared" si="14"/>
        <v>64</v>
      </c>
      <c r="M69" s="2">
        <f t="shared" si="15"/>
        <v>36.08</v>
      </c>
      <c r="N69" s="2">
        <v>11.5</v>
      </c>
      <c r="O69" s="2">
        <v>50.26548245743669</v>
      </c>
      <c r="P69" s="11">
        <f t="shared" si="5"/>
        <v>2.2878523069459957</v>
      </c>
      <c r="Q69" s="2">
        <f t="shared" si="6"/>
        <v>82.545711234611517</v>
      </c>
      <c r="R69" s="2">
        <f t="shared" si="7"/>
        <v>2.4837848789711394</v>
      </c>
      <c r="S69" s="2">
        <f t="shared" si="8"/>
        <v>89.614958433278701</v>
      </c>
      <c r="T69" s="2">
        <f t="shared" si="9"/>
        <v>7.0692471986671848</v>
      </c>
    </row>
    <row r="70" spans="1:20" x14ac:dyDescent="0.25">
      <c r="A70" s="14">
        <f t="shared" si="16"/>
        <v>0.6113425925925926</v>
      </c>
      <c r="B70" s="2">
        <f t="shared" si="11"/>
        <v>65</v>
      </c>
      <c r="C70" s="4">
        <f t="shared" si="12"/>
        <v>36.83</v>
      </c>
      <c r="D70" s="2">
        <v>13.5</v>
      </c>
      <c r="E70" s="2">
        <v>50.26548245743669</v>
      </c>
      <c r="F70" s="11">
        <f t="shared" si="0"/>
        <v>2.6857396646757339</v>
      </c>
      <c r="G70" s="2">
        <f t="shared" si="1"/>
        <v>98.915791850007281</v>
      </c>
      <c r="H70" s="2">
        <f t="shared" si="2"/>
        <v>2.3391464391676191</v>
      </c>
      <c r="I70" s="2">
        <f t="shared" si="3"/>
        <v>86.150763354543415</v>
      </c>
      <c r="J70" s="2">
        <f t="shared" si="4"/>
        <v>12.765028495463866</v>
      </c>
      <c r="K70" s="15">
        <f t="shared" si="17"/>
        <v>0.58819444444444446</v>
      </c>
      <c r="L70" s="2">
        <f t="shared" si="14"/>
        <v>65</v>
      </c>
      <c r="M70" s="2">
        <f t="shared" si="15"/>
        <v>36.58</v>
      </c>
      <c r="N70" s="2">
        <v>13.5</v>
      </c>
      <c r="O70" s="2">
        <v>50.26548245743669</v>
      </c>
      <c r="P70" s="11">
        <f t="shared" si="5"/>
        <v>2.6857396646757339</v>
      </c>
      <c r="Q70" s="2">
        <f t="shared" si="6"/>
        <v>98.244356933838347</v>
      </c>
      <c r="R70" s="2">
        <f t="shared" si="7"/>
        <v>2.4837848789711394</v>
      </c>
      <c r="S70" s="2">
        <f t="shared" si="8"/>
        <v>90.856850872764269</v>
      </c>
      <c r="T70" s="2">
        <f t="shared" si="9"/>
        <v>7.3875060610740775</v>
      </c>
    </row>
    <row r="71" spans="1:20" x14ac:dyDescent="0.25">
      <c r="A71" s="14">
        <f t="shared" si="16"/>
        <v>0.61148504273504278</v>
      </c>
      <c r="B71" s="2">
        <f t="shared" si="11"/>
        <v>66</v>
      </c>
      <c r="C71" s="4">
        <f t="shared" si="12"/>
        <v>37.33</v>
      </c>
      <c r="D71" s="2">
        <v>15.5</v>
      </c>
      <c r="E71" s="2">
        <v>50.26548245743669</v>
      </c>
      <c r="F71" s="11">
        <f t="shared" si="0"/>
        <v>3.0836270224054725</v>
      </c>
      <c r="G71" s="2">
        <f t="shared" si="1"/>
        <v>115.11179674639628</v>
      </c>
      <c r="H71" s="2">
        <f t="shared" si="2"/>
        <v>2.3391464391676191</v>
      </c>
      <c r="I71" s="2">
        <f t="shared" si="3"/>
        <v>87.320336574127211</v>
      </c>
      <c r="J71" s="2">
        <f t="shared" si="4"/>
        <v>27.791460172269069</v>
      </c>
      <c r="K71" s="15">
        <f t="shared" si="17"/>
        <v>0.58830128205128207</v>
      </c>
      <c r="L71" s="2">
        <f t="shared" si="14"/>
        <v>66</v>
      </c>
      <c r="M71" s="2">
        <f t="shared" si="15"/>
        <v>37.08</v>
      </c>
      <c r="N71" s="2">
        <v>15.5</v>
      </c>
      <c r="O71" s="2">
        <v>50.26548245743669</v>
      </c>
      <c r="P71" s="11">
        <f t="shared" si="5"/>
        <v>3.0836270224054725</v>
      </c>
      <c r="Q71" s="2">
        <f t="shared" si="6"/>
        <v>114.34088999079492</v>
      </c>
      <c r="R71" s="2">
        <f t="shared" si="7"/>
        <v>2.4837848789711394</v>
      </c>
      <c r="S71" s="2">
        <f t="shared" si="8"/>
        <v>92.098743312249852</v>
      </c>
      <c r="T71" s="2">
        <f t="shared" si="9"/>
        <v>22.242146678545069</v>
      </c>
    </row>
    <row r="72" spans="1:20" x14ac:dyDescent="0.25">
      <c r="A72" s="14">
        <f t="shared" si="16"/>
        <v>0.61162749287749285</v>
      </c>
      <c r="B72" s="2">
        <f t="shared" si="11"/>
        <v>67</v>
      </c>
      <c r="C72" s="4">
        <f t="shared" si="12"/>
        <v>37.83</v>
      </c>
      <c r="D72" s="2">
        <v>12</v>
      </c>
      <c r="E72" s="2">
        <v>50.26548245743669</v>
      </c>
      <c r="F72" s="11">
        <f t="shared" si="0"/>
        <v>2.3873241463784298</v>
      </c>
      <c r="G72" s="2">
        <f t="shared" si="1"/>
        <v>90.312472457496</v>
      </c>
      <c r="H72" s="2">
        <f t="shared" si="2"/>
        <v>2.3391464391676191</v>
      </c>
      <c r="I72" s="2">
        <f t="shared" si="3"/>
        <v>88.489909793711021</v>
      </c>
      <c r="J72" s="2">
        <f t="shared" si="4"/>
        <v>1.8225626637849786</v>
      </c>
      <c r="K72" s="15">
        <f t="shared" si="17"/>
        <v>0.58840811965811968</v>
      </c>
      <c r="L72" s="2">
        <f t="shared" si="14"/>
        <v>67</v>
      </c>
      <c r="M72" s="2">
        <f t="shared" si="15"/>
        <v>37.58</v>
      </c>
      <c r="N72" s="2">
        <v>14</v>
      </c>
      <c r="O72" s="2">
        <v>50.26548245743669</v>
      </c>
      <c r="P72" s="11">
        <f t="shared" si="5"/>
        <v>2.7852115041081689</v>
      </c>
      <c r="Q72" s="2">
        <f t="shared" si="6"/>
        <v>104.66824832438498</v>
      </c>
      <c r="R72" s="2">
        <f t="shared" si="7"/>
        <v>2.4837848789711394</v>
      </c>
      <c r="S72" s="2">
        <f t="shared" si="8"/>
        <v>93.340635751735419</v>
      </c>
      <c r="T72" s="2">
        <f t="shared" si="9"/>
        <v>11.327612572649556</v>
      </c>
    </row>
    <row r="73" spans="1:20" x14ac:dyDescent="0.25">
      <c r="A73" s="14">
        <f t="shared" si="16"/>
        <v>0.61176994301994303</v>
      </c>
      <c r="B73" s="2">
        <f t="shared" si="11"/>
        <v>68</v>
      </c>
      <c r="C73" s="4">
        <f t="shared" si="12"/>
        <v>38.33</v>
      </c>
      <c r="D73" s="2">
        <v>13.5</v>
      </c>
      <c r="E73" s="2">
        <v>50.26548245743669</v>
      </c>
      <c r="F73" s="11">
        <f t="shared" si="0"/>
        <v>2.6857396646757339</v>
      </c>
      <c r="G73" s="2">
        <f t="shared" si="1"/>
        <v>102.94440134702087</v>
      </c>
      <c r="H73" s="2">
        <f t="shared" si="2"/>
        <v>2.3391464391676191</v>
      </c>
      <c r="I73" s="2">
        <f t="shared" si="3"/>
        <v>89.659483013294832</v>
      </c>
      <c r="J73" s="2">
        <f t="shared" si="4"/>
        <v>13.28491833372604</v>
      </c>
      <c r="K73" s="15">
        <f t="shared" si="17"/>
        <v>0.58851495726495728</v>
      </c>
      <c r="L73" s="2">
        <f t="shared" si="14"/>
        <v>68</v>
      </c>
      <c r="M73" s="2">
        <f t="shared" si="15"/>
        <v>38.08</v>
      </c>
      <c r="N73" s="2">
        <v>13.5</v>
      </c>
      <c r="O73" s="2">
        <v>50.26548245743669</v>
      </c>
      <c r="P73" s="11">
        <f t="shared" si="5"/>
        <v>2.6857396646757339</v>
      </c>
      <c r="Q73" s="2">
        <f t="shared" si="6"/>
        <v>102.27296643085194</v>
      </c>
      <c r="R73" s="2">
        <f t="shared" si="7"/>
        <v>2.4837848789711394</v>
      </c>
      <c r="S73" s="2">
        <f t="shared" si="8"/>
        <v>94.582528191220987</v>
      </c>
      <c r="T73" s="2">
        <f t="shared" si="9"/>
        <v>7.6904382396309501</v>
      </c>
    </row>
    <row r="74" spans="1:20" x14ac:dyDescent="0.25">
      <c r="A74" s="14">
        <f t="shared" si="16"/>
        <v>0.61191239316239321</v>
      </c>
      <c r="B74" s="2">
        <f t="shared" si="11"/>
        <v>69</v>
      </c>
      <c r="C74" s="4">
        <f t="shared" si="12"/>
        <v>38.83</v>
      </c>
      <c r="D74" s="2">
        <v>13</v>
      </c>
      <c r="E74" s="2">
        <v>50.26548245743669</v>
      </c>
      <c r="F74" s="11">
        <f t="shared" si="0"/>
        <v>2.5862678252432989</v>
      </c>
      <c r="G74" s="2">
        <f t="shared" si="1"/>
        <v>100.42477965419729</v>
      </c>
      <c r="H74" s="2">
        <f t="shared" si="2"/>
        <v>2.3391464391676191</v>
      </c>
      <c r="I74" s="2">
        <f t="shared" si="3"/>
        <v>90.829056232878642</v>
      </c>
      <c r="J74" s="2">
        <f t="shared" si="4"/>
        <v>9.5957234213186524</v>
      </c>
      <c r="K74" s="15">
        <f t="shared" si="17"/>
        <v>0.58862179487179489</v>
      </c>
      <c r="L74" s="2">
        <f t="shared" si="14"/>
        <v>69</v>
      </c>
      <c r="M74" s="2">
        <f t="shared" si="15"/>
        <v>38.58</v>
      </c>
      <c r="N74" s="2">
        <v>13.5</v>
      </c>
      <c r="O74" s="2">
        <v>50.26548245743669</v>
      </c>
      <c r="P74" s="11">
        <f t="shared" si="5"/>
        <v>2.6857396646757339</v>
      </c>
      <c r="Q74" s="2">
        <f t="shared" si="6"/>
        <v>103.61583626318981</v>
      </c>
      <c r="R74" s="2">
        <f t="shared" si="7"/>
        <v>2.4837848789711394</v>
      </c>
      <c r="S74" s="2">
        <f t="shared" si="8"/>
        <v>95.824420630706555</v>
      </c>
      <c r="T74" s="2">
        <f t="shared" si="9"/>
        <v>7.7914156324832504</v>
      </c>
    </row>
    <row r="75" spans="1:20" x14ac:dyDescent="0.25">
      <c r="A75" s="14">
        <f t="shared" si="16"/>
        <v>0.61205484330484328</v>
      </c>
      <c r="B75" s="2">
        <f t="shared" si="11"/>
        <v>70</v>
      </c>
      <c r="C75" s="4">
        <f t="shared" si="12"/>
        <v>39.33</v>
      </c>
      <c r="D75" s="2">
        <v>14</v>
      </c>
      <c r="E75" s="2">
        <v>50.26548245743669</v>
      </c>
      <c r="F75" s="11">
        <f t="shared" si="0"/>
        <v>2.7852115041081689</v>
      </c>
      <c r="G75" s="2">
        <f t="shared" si="1"/>
        <v>109.54236845657428</v>
      </c>
      <c r="H75" s="2">
        <f t="shared" si="2"/>
        <v>2.3391464391676191</v>
      </c>
      <c r="I75" s="2">
        <f t="shared" si="3"/>
        <v>91.998629452462453</v>
      </c>
      <c r="J75" s="2">
        <f t="shared" si="4"/>
        <v>17.543739004111828</v>
      </c>
      <c r="K75" s="15">
        <f t="shared" si="17"/>
        <v>0.5887286324786325</v>
      </c>
      <c r="L75" s="2">
        <f t="shared" si="14"/>
        <v>70</v>
      </c>
      <c r="M75" s="2">
        <f t="shared" si="15"/>
        <v>39.08</v>
      </c>
      <c r="N75" s="2">
        <v>13</v>
      </c>
      <c r="O75" s="2">
        <v>50.26548245743669</v>
      </c>
      <c r="P75" s="11">
        <f t="shared" si="5"/>
        <v>2.5862678252432989</v>
      </c>
      <c r="Q75" s="2">
        <f t="shared" si="6"/>
        <v>101.07134661050812</v>
      </c>
      <c r="R75" s="2">
        <f t="shared" si="7"/>
        <v>2.4837848789711394</v>
      </c>
      <c r="S75" s="2">
        <f t="shared" si="8"/>
        <v>97.066313070192123</v>
      </c>
      <c r="T75" s="2">
        <f t="shared" si="9"/>
        <v>4.005033540315992</v>
      </c>
    </row>
    <row r="76" spans="1:20" x14ac:dyDescent="0.25">
      <c r="A76" s="14">
        <f t="shared" si="16"/>
        <v>0.61219729344729346</v>
      </c>
      <c r="B76" s="2">
        <f t="shared" si="11"/>
        <v>71</v>
      </c>
      <c r="C76" s="4">
        <f t="shared" si="12"/>
        <v>39.83</v>
      </c>
      <c r="D76" s="2">
        <v>13</v>
      </c>
      <c r="E76" s="2">
        <v>50.26548245743669</v>
      </c>
      <c r="F76" s="11">
        <f t="shared" si="0"/>
        <v>2.5862678252432989</v>
      </c>
      <c r="G76" s="2">
        <f t="shared" si="1"/>
        <v>103.01104747944059</v>
      </c>
      <c r="H76" s="2">
        <f t="shared" si="2"/>
        <v>2.3391464391676191</v>
      </c>
      <c r="I76" s="2">
        <f t="shared" si="3"/>
        <v>93.168202672046263</v>
      </c>
      <c r="J76" s="2">
        <f t="shared" si="4"/>
        <v>9.8428448073943287</v>
      </c>
      <c r="K76" s="15">
        <f t="shared" si="17"/>
        <v>0.5888354700854701</v>
      </c>
      <c r="L76" s="2">
        <f t="shared" si="14"/>
        <v>71</v>
      </c>
      <c r="M76" s="2">
        <f t="shared" si="15"/>
        <v>39.58</v>
      </c>
      <c r="N76" s="2">
        <v>13.5</v>
      </c>
      <c r="O76" s="2">
        <v>50.26548245743669</v>
      </c>
      <c r="P76" s="11">
        <f t="shared" si="5"/>
        <v>2.6857396646757339</v>
      </c>
      <c r="Q76" s="2">
        <f t="shared" si="6"/>
        <v>106.30157592786554</v>
      </c>
      <c r="R76" s="2">
        <f t="shared" si="7"/>
        <v>2.4837848789711394</v>
      </c>
      <c r="S76" s="2">
        <f t="shared" si="8"/>
        <v>98.308205509677691</v>
      </c>
      <c r="T76" s="2">
        <f t="shared" si="9"/>
        <v>7.9933704181878511</v>
      </c>
    </row>
    <row r="77" spans="1:20" x14ac:dyDescent="0.25">
      <c r="A77" s="14">
        <f t="shared" si="16"/>
        <v>0.61233974358974363</v>
      </c>
      <c r="B77" s="2">
        <f t="shared" si="11"/>
        <v>72</v>
      </c>
      <c r="C77" s="4">
        <f t="shared" si="12"/>
        <v>40.33</v>
      </c>
      <c r="D77" s="2">
        <v>12</v>
      </c>
      <c r="E77" s="2">
        <v>50.26548245743669</v>
      </c>
      <c r="F77" s="11">
        <f t="shared" si="0"/>
        <v>2.3873241463784298</v>
      </c>
      <c r="G77" s="2">
        <f t="shared" si="1"/>
        <v>96.280782823442067</v>
      </c>
      <c r="H77" s="2">
        <f t="shared" si="2"/>
        <v>2.3391464391676191</v>
      </c>
      <c r="I77" s="2">
        <f t="shared" si="3"/>
        <v>94.337775891630073</v>
      </c>
      <c r="J77" s="2">
        <f t="shared" si="4"/>
        <v>1.9430069318119934</v>
      </c>
      <c r="K77" s="15">
        <f t="shared" si="17"/>
        <v>0.58894230769230771</v>
      </c>
      <c r="L77" s="2">
        <f t="shared" si="14"/>
        <v>72</v>
      </c>
      <c r="M77" s="2">
        <f t="shared" si="15"/>
        <v>40.08</v>
      </c>
      <c r="N77" s="2">
        <v>13.5</v>
      </c>
      <c r="O77" s="2">
        <v>50.26548245743669</v>
      </c>
      <c r="P77" s="11">
        <f t="shared" si="5"/>
        <v>2.6857396646757339</v>
      </c>
      <c r="Q77" s="2">
        <f t="shared" si="6"/>
        <v>107.64444576020341</v>
      </c>
      <c r="R77" s="2">
        <f t="shared" si="7"/>
        <v>2.4837848789711394</v>
      </c>
      <c r="S77" s="2">
        <f t="shared" si="8"/>
        <v>99.550097949163259</v>
      </c>
      <c r="T77" s="2">
        <f t="shared" si="9"/>
        <v>8.0943478110401514</v>
      </c>
    </row>
    <row r="78" spans="1:20" x14ac:dyDescent="0.25">
      <c r="A78" s="14">
        <f t="shared" si="16"/>
        <v>0.61248219373219381</v>
      </c>
      <c r="B78" s="2">
        <f t="shared" si="11"/>
        <v>73</v>
      </c>
      <c r="C78" s="4">
        <f t="shared" si="12"/>
        <v>40.83</v>
      </c>
      <c r="D78" s="2">
        <v>12.5</v>
      </c>
      <c r="E78" s="2">
        <v>50.26548245743669</v>
      </c>
      <c r="F78" s="11">
        <f t="shared" si="0"/>
        <v>2.4867959858108648</v>
      </c>
      <c r="G78" s="2">
        <f t="shared" si="1"/>
        <v>101.53588010065761</v>
      </c>
      <c r="H78" s="2">
        <f t="shared" si="2"/>
        <v>2.3391464391676191</v>
      </c>
      <c r="I78" s="2">
        <f t="shared" si="3"/>
        <v>95.507349111213884</v>
      </c>
      <c r="J78" s="2">
        <f t="shared" si="4"/>
        <v>6.0285309894437233</v>
      </c>
      <c r="K78" s="15">
        <f t="shared" si="17"/>
        <v>0.58904914529914532</v>
      </c>
      <c r="L78" s="2">
        <f t="shared" si="14"/>
        <v>73</v>
      </c>
      <c r="M78" s="2">
        <f t="shared" si="15"/>
        <v>40.58</v>
      </c>
      <c r="N78" s="2">
        <v>14</v>
      </c>
      <c r="O78" s="2">
        <v>50.26548245743669</v>
      </c>
      <c r="P78" s="11">
        <f t="shared" si="5"/>
        <v>2.7852115041081689</v>
      </c>
      <c r="Q78" s="2">
        <f t="shared" si="6"/>
        <v>113.02388283670949</v>
      </c>
      <c r="R78" s="2">
        <f t="shared" si="7"/>
        <v>2.4837848789711394</v>
      </c>
      <c r="S78" s="2">
        <f t="shared" si="8"/>
        <v>100.79199038864883</v>
      </c>
      <c r="T78" s="2">
        <f t="shared" si="9"/>
        <v>12.231892448060663</v>
      </c>
    </row>
    <row r="79" spans="1:20" x14ac:dyDescent="0.25">
      <c r="A79" s="14">
        <f t="shared" si="16"/>
        <v>0.61262464387464388</v>
      </c>
      <c r="B79" s="2">
        <f t="shared" si="11"/>
        <v>74</v>
      </c>
      <c r="C79" s="4">
        <f t="shared" si="12"/>
        <v>41.33</v>
      </c>
      <c r="D79" s="2">
        <v>14</v>
      </c>
      <c r="E79" s="2">
        <v>50.26548245743669</v>
      </c>
      <c r="F79" s="11">
        <f t="shared" si="0"/>
        <v>2.7852115041081689</v>
      </c>
      <c r="G79" s="2">
        <f t="shared" si="1"/>
        <v>115.11279146479062</v>
      </c>
      <c r="H79" s="2">
        <f t="shared" si="2"/>
        <v>2.3391464391676191</v>
      </c>
      <c r="I79" s="2">
        <f t="shared" si="3"/>
        <v>96.676922330797694</v>
      </c>
      <c r="J79" s="2">
        <f t="shared" si="4"/>
        <v>18.435869133992924</v>
      </c>
      <c r="K79" s="15">
        <f t="shared" si="17"/>
        <v>0.58915598290598292</v>
      </c>
      <c r="L79" s="2">
        <f t="shared" si="14"/>
        <v>74</v>
      </c>
      <c r="M79" s="2">
        <f t="shared" si="15"/>
        <v>41.08</v>
      </c>
      <c r="N79" s="2">
        <v>13.5</v>
      </c>
      <c r="O79" s="2">
        <v>50.26548245743669</v>
      </c>
      <c r="P79" s="11">
        <f t="shared" si="5"/>
        <v>2.6857396646757339</v>
      </c>
      <c r="Q79" s="2">
        <f t="shared" si="6"/>
        <v>110.33018542487915</v>
      </c>
      <c r="R79" s="2">
        <f t="shared" si="7"/>
        <v>2.4837848789711394</v>
      </c>
      <c r="S79" s="2">
        <f t="shared" si="8"/>
        <v>102.03388282813441</v>
      </c>
      <c r="T79" s="2">
        <f t="shared" si="9"/>
        <v>8.2963025967447379</v>
      </c>
    </row>
    <row r="80" spans="1:20" x14ac:dyDescent="0.25">
      <c r="A80" s="14">
        <f t="shared" si="16"/>
        <v>0.61276709401709406</v>
      </c>
      <c r="B80" s="2">
        <f t="shared" si="11"/>
        <v>75</v>
      </c>
      <c r="C80" s="4">
        <f t="shared" si="12"/>
        <v>41.83</v>
      </c>
      <c r="D80" s="2">
        <v>12.5</v>
      </c>
      <c r="E80" s="2">
        <v>50.26548245743669</v>
      </c>
      <c r="F80" s="11">
        <f t="shared" si="0"/>
        <v>2.4867959858108648</v>
      </c>
      <c r="G80" s="2">
        <f t="shared" si="1"/>
        <v>104.02267608646846</v>
      </c>
      <c r="H80" s="2">
        <f t="shared" si="2"/>
        <v>2.3391464391676191</v>
      </c>
      <c r="I80" s="2">
        <f t="shared" si="3"/>
        <v>97.846495550381505</v>
      </c>
      <c r="J80" s="2">
        <f t="shared" si="4"/>
        <v>6.1761805360869602</v>
      </c>
      <c r="K80" s="15">
        <f t="shared" si="17"/>
        <v>0.58926282051282053</v>
      </c>
      <c r="L80" s="2">
        <f t="shared" si="14"/>
        <v>75</v>
      </c>
      <c r="M80" s="2">
        <f t="shared" si="15"/>
        <v>41.58</v>
      </c>
      <c r="N80" s="2">
        <v>14</v>
      </c>
      <c r="O80" s="2">
        <v>50.26548245743669</v>
      </c>
      <c r="P80" s="11">
        <f t="shared" si="5"/>
        <v>2.7852115041081689</v>
      </c>
      <c r="Q80" s="2">
        <f t="shared" si="6"/>
        <v>115.80909434081765</v>
      </c>
      <c r="R80" s="2">
        <f t="shared" si="7"/>
        <v>2.4837848789711394</v>
      </c>
      <c r="S80" s="2">
        <f t="shared" si="8"/>
        <v>103.27577526761998</v>
      </c>
      <c r="T80" s="2">
        <f t="shared" si="9"/>
        <v>12.533319073197674</v>
      </c>
    </row>
    <row r="81" spans="1:20" x14ac:dyDescent="0.25">
      <c r="A81" s="14">
        <f t="shared" si="16"/>
        <v>0.61290954415954424</v>
      </c>
      <c r="B81" s="2">
        <f t="shared" si="11"/>
        <v>76</v>
      </c>
      <c r="C81" s="4">
        <f t="shared" si="12"/>
        <v>42.33</v>
      </c>
      <c r="D81" s="2">
        <v>12</v>
      </c>
      <c r="E81" s="2">
        <v>50.26548245743669</v>
      </c>
      <c r="F81" s="11">
        <f t="shared" si="0"/>
        <v>2.3873241463784298</v>
      </c>
      <c r="G81" s="2">
        <f t="shared" si="1"/>
        <v>101.05543111619893</v>
      </c>
      <c r="H81" s="2">
        <f t="shared" si="2"/>
        <v>2.3391464391676191</v>
      </c>
      <c r="I81" s="2">
        <f t="shared" si="3"/>
        <v>99.016068769965315</v>
      </c>
      <c r="J81" s="2">
        <f t="shared" si="4"/>
        <v>2.0393623462336166</v>
      </c>
      <c r="K81" s="15">
        <f t="shared" si="17"/>
        <v>0.58936965811965814</v>
      </c>
      <c r="L81" s="2">
        <f t="shared" si="14"/>
        <v>76</v>
      </c>
      <c r="M81" s="2">
        <f t="shared" si="15"/>
        <v>42.08</v>
      </c>
      <c r="N81" s="2">
        <v>14</v>
      </c>
      <c r="O81" s="2">
        <v>50.26548245743669</v>
      </c>
      <c r="P81" s="11">
        <f t="shared" si="5"/>
        <v>2.7852115041081689</v>
      </c>
      <c r="Q81" s="2">
        <f t="shared" si="6"/>
        <v>117.20170009287175</v>
      </c>
      <c r="R81" s="2">
        <f t="shared" si="7"/>
        <v>2.4837848789711394</v>
      </c>
      <c r="S81" s="2">
        <f t="shared" si="8"/>
        <v>104.51766770710555</v>
      </c>
      <c r="T81" s="2">
        <f t="shared" si="9"/>
        <v>12.684032385766201</v>
      </c>
    </row>
    <row r="82" spans="1:20" x14ac:dyDescent="0.25">
      <c r="A82" s="14">
        <f t="shared" si="16"/>
        <v>0.61305199430199431</v>
      </c>
      <c r="B82" s="2">
        <f t="shared" si="11"/>
        <v>77</v>
      </c>
      <c r="C82" s="4">
        <f t="shared" si="12"/>
        <v>42.83</v>
      </c>
      <c r="D82" s="2">
        <v>12.5</v>
      </c>
      <c r="E82" s="2">
        <v>50.26548245743669</v>
      </c>
      <c r="F82" s="11">
        <f t="shared" si="0"/>
        <v>2.4867959858108648</v>
      </c>
      <c r="G82" s="2">
        <f t="shared" si="1"/>
        <v>106.50947207227934</v>
      </c>
      <c r="H82" s="2">
        <f t="shared" si="2"/>
        <v>2.3391464391676191</v>
      </c>
      <c r="I82" s="2">
        <f t="shared" si="3"/>
        <v>100.18564198954913</v>
      </c>
      <c r="J82" s="2">
        <f t="shared" si="4"/>
        <v>6.3238300827302112</v>
      </c>
      <c r="K82" s="15">
        <f t="shared" si="17"/>
        <v>0.58947649572649574</v>
      </c>
      <c r="L82" s="2">
        <f t="shared" si="14"/>
        <v>77</v>
      </c>
      <c r="M82" s="2">
        <f t="shared" si="15"/>
        <v>42.58</v>
      </c>
      <c r="N82" s="2">
        <v>13</v>
      </c>
      <c r="O82" s="2">
        <v>50.26548245743669</v>
      </c>
      <c r="P82" s="11">
        <f t="shared" si="5"/>
        <v>2.5862678252432989</v>
      </c>
      <c r="Q82" s="2">
        <f t="shared" si="6"/>
        <v>110.12328399885966</v>
      </c>
      <c r="R82" s="2">
        <f t="shared" si="7"/>
        <v>2.4837848789711394</v>
      </c>
      <c r="S82" s="2">
        <f t="shared" si="8"/>
        <v>105.75956014659111</v>
      </c>
      <c r="T82" s="2">
        <f t="shared" si="9"/>
        <v>4.3637238522685493</v>
      </c>
    </row>
    <row r="83" spans="1:20" x14ac:dyDescent="0.25">
      <c r="A83" s="10">
        <v>0.61319444444444449</v>
      </c>
      <c r="B83" s="2">
        <f t="shared" si="11"/>
        <v>78</v>
      </c>
      <c r="C83" s="4">
        <f t="shared" si="12"/>
        <v>43.33</v>
      </c>
      <c r="D83" s="2">
        <v>14</v>
      </c>
      <c r="E83" s="2">
        <v>50.26548245743669</v>
      </c>
      <c r="F83" s="11">
        <f t="shared" si="0"/>
        <v>2.7852115041081689</v>
      </c>
      <c r="G83" s="2">
        <f t="shared" si="1"/>
        <v>120.68321447300696</v>
      </c>
      <c r="H83" s="2">
        <f t="shared" si="2"/>
        <v>2.3391464391676191</v>
      </c>
      <c r="I83" s="2">
        <f t="shared" si="3"/>
        <v>101.35521520913294</v>
      </c>
      <c r="J83" s="2">
        <f t="shared" si="4"/>
        <v>19.32799926387402</v>
      </c>
      <c r="K83" s="12">
        <v>0.58958333333333335</v>
      </c>
      <c r="L83" s="2">
        <f t="shared" si="14"/>
        <v>78</v>
      </c>
      <c r="M83" s="2">
        <f t="shared" si="15"/>
        <v>43.08</v>
      </c>
      <c r="N83" s="2">
        <v>14</v>
      </c>
      <c r="O83" s="2">
        <v>50.26548245743669</v>
      </c>
      <c r="P83" s="11">
        <f t="shared" si="5"/>
        <v>2.7852115041081689</v>
      </c>
      <c r="Q83" s="2">
        <f t="shared" si="6"/>
        <v>119.98691159697991</v>
      </c>
      <c r="R83" s="2">
        <f t="shared" si="7"/>
        <v>2.4837848789711394</v>
      </c>
      <c r="S83" s="2">
        <f t="shared" si="8"/>
        <v>107.00145258607668</v>
      </c>
      <c r="T83" s="2">
        <f t="shared" si="9"/>
        <v>12.985459010903227</v>
      </c>
    </row>
    <row r="84" spans="1:20" x14ac:dyDescent="0.25">
      <c r="A84" s="14">
        <f t="shared" ref="A84:A121" si="18">IF(AND($A$83&lt;&gt;"",$A$122&lt;&gt;""), $A$83 + (B84 - $B$83) * (($A$122 - $A$83) / ($B$122 - $B$83)), "")</f>
        <v>0.61331908831908832</v>
      </c>
      <c r="B84" s="2">
        <f t="shared" si="11"/>
        <v>79</v>
      </c>
      <c r="C84" s="4">
        <f t="shared" si="12"/>
        <v>43.83</v>
      </c>
      <c r="D84" s="2">
        <v>15</v>
      </c>
      <c r="E84" s="2">
        <v>50.26548245743669</v>
      </c>
      <c r="F84" s="11">
        <f t="shared" si="0"/>
        <v>2.9841551829730379</v>
      </c>
      <c r="G84" s="2">
        <f t="shared" si="1"/>
        <v>130.79552166970825</v>
      </c>
      <c r="H84" s="2">
        <f t="shared" si="2"/>
        <v>2.3391464391676191</v>
      </c>
      <c r="I84" s="2">
        <f t="shared" si="3"/>
        <v>102.52478842871675</v>
      </c>
      <c r="J84" s="2">
        <f t="shared" si="4"/>
        <v>28.270733240991504</v>
      </c>
      <c r="K84" s="15">
        <f t="shared" ref="K84:K121" si="19">IF(AND($K$83&lt;&gt;"",$K$122&lt;&gt;""), $K$83 + (L84 - $L$83) * (($K$122 - $K$83) / ($L$122 - $L$83)), "")</f>
        <v>0.58972578347578353</v>
      </c>
      <c r="L84" s="2">
        <f t="shared" si="14"/>
        <v>79</v>
      </c>
      <c r="M84" s="2">
        <f t="shared" si="15"/>
        <v>43.58</v>
      </c>
      <c r="N84" s="2">
        <v>12.5</v>
      </c>
      <c r="O84" s="2">
        <v>50.26548245743669</v>
      </c>
      <c r="P84" s="11">
        <f t="shared" si="5"/>
        <v>2.4867959858108648</v>
      </c>
      <c r="Q84" s="2">
        <f t="shared" si="6"/>
        <v>108.37456906163749</v>
      </c>
      <c r="R84" s="2">
        <f t="shared" si="7"/>
        <v>2.4837848789711394</v>
      </c>
      <c r="S84" s="2">
        <f t="shared" si="8"/>
        <v>108.24334502556225</v>
      </c>
      <c r="T84" s="2">
        <f t="shared" si="9"/>
        <v>0.13122403607523836</v>
      </c>
    </row>
    <row r="85" spans="1:20" x14ac:dyDescent="0.25">
      <c r="A85" s="14">
        <f t="shared" si="18"/>
        <v>0.61344373219373227</v>
      </c>
      <c r="B85" s="2">
        <f t="shared" si="11"/>
        <v>80</v>
      </c>
      <c r="C85" s="4">
        <f t="shared" si="12"/>
        <v>44.33</v>
      </c>
      <c r="D85" s="2">
        <v>12</v>
      </c>
      <c r="E85" s="2">
        <v>50.26548245743669</v>
      </c>
      <c r="F85" s="11">
        <f t="shared" si="0"/>
        <v>2.3873241463784298</v>
      </c>
      <c r="G85" s="2">
        <f t="shared" si="1"/>
        <v>105.8300794089558</v>
      </c>
      <c r="H85" s="2">
        <f t="shared" si="2"/>
        <v>2.3391464391676191</v>
      </c>
      <c r="I85" s="2">
        <f t="shared" si="3"/>
        <v>103.69436164830056</v>
      </c>
      <c r="J85" s="2">
        <f t="shared" si="4"/>
        <v>2.1357177606552398</v>
      </c>
      <c r="K85" s="15">
        <f t="shared" si="19"/>
        <v>0.5898682336182336</v>
      </c>
      <c r="L85" s="2">
        <f t="shared" si="14"/>
        <v>80</v>
      </c>
      <c r="M85" s="2">
        <f t="shared" si="15"/>
        <v>44.08</v>
      </c>
      <c r="N85" s="2">
        <v>12.5</v>
      </c>
      <c r="O85" s="2">
        <v>50.26548245743669</v>
      </c>
      <c r="P85" s="11">
        <f t="shared" si="5"/>
        <v>2.4867959858108648</v>
      </c>
      <c r="Q85" s="2">
        <f t="shared" si="6"/>
        <v>109.61796705454292</v>
      </c>
      <c r="R85" s="2">
        <f t="shared" si="7"/>
        <v>2.4837848789711394</v>
      </c>
      <c r="S85" s="2">
        <f t="shared" si="8"/>
        <v>109.48523746504782</v>
      </c>
      <c r="T85" s="2">
        <f t="shared" si="9"/>
        <v>0.13272958949509928</v>
      </c>
    </row>
    <row r="86" spans="1:20" x14ac:dyDescent="0.25">
      <c r="A86" s="14">
        <f t="shared" si="18"/>
        <v>0.61356837606837611</v>
      </c>
      <c r="B86" s="2">
        <f t="shared" si="11"/>
        <v>81</v>
      </c>
      <c r="C86" s="4">
        <f t="shared" si="12"/>
        <v>44.83</v>
      </c>
      <c r="D86" s="2">
        <v>12</v>
      </c>
      <c r="E86" s="2">
        <v>50.26548245743669</v>
      </c>
      <c r="F86" s="11">
        <f t="shared" si="0"/>
        <v>2.3873241463784298</v>
      </c>
      <c r="G86" s="2">
        <f t="shared" si="1"/>
        <v>107.023741482145</v>
      </c>
      <c r="H86" s="2">
        <f t="shared" si="2"/>
        <v>2.3391464391676191</v>
      </c>
      <c r="I86" s="2">
        <f t="shared" si="3"/>
        <v>104.86393486788437</v>
      </c>
      <c r="J86" s="2">
        <f t="shared" si="4"/>
        <v>2.1598066142606314</v>
      </c>
      <c r="K86" s="15">
        <f t="shared" si="19"/>
        <v>0.59001068376068377</v>
      </c>
      <c r="L86" s="2">
        <f t="shared" si="14"/>
        <v>81</v>
      </c>
      <c r="M86" s="2">
        <f t="shared" si="15"/>
        <v>44.58</v>
      </c>
      <c r="N86" s="2">
        <v>14.5</v>
      </c>
      <c r="O86" s="2">
        <v>50.26548245743669</v>
      </c>
      <c r="P86" s="11">
        <f t="shared" si="5"/>
        <v>2.8846833435406034</v>
      </c>
      <c r="Q86" s="2">
        <f t="shared" si="6"/>
        <v>128.59918345504011</v>
      </c>
      <c r="R86" s="2">
        <f t="shared" si="7"/>
        <v>2.4837848789711394</v>
      </c>
      <c r="S86" s="2">
        <f t="shared" si="8"/>
        <v>110.72712990453338</v>
      </c>
      <c r="T86" s="2">
        <f t="shared" si="9"/>
        <v>17.87205355050672</v>
      </c>
    </row>
    <row r="87" spans="1:20" x14ac:dyDescent="0.25">
      <c r="A87" s="14">
        <f t="shared" si="18"/>
        <v>0.61369301994301995</v>
      </c>
      <c r="B87" s="2">
        <f t="shared" si="11"/>
        <v>82</v>
      </c>
      <c r="C87" s="4">
        <f t="shared" si="12"/>
        <v>45.33</v>
      </c>
      <c r="D87" s="2">
        <v>12</v>
      </c>
      <c r="E87" s="2">
        <v>50.26548245743669</v>
      </c>
      <c r="F87" s="11">
        <f t="shared" si="0"/>
        <v>2.3873241463784298</v>
      </c>
      <c r="G87" s="2">
        <f t="shared" si="1"/>
        <v>108.21740355533422</v>
      </c>
      <c r="H87" s="2">
        <f t="shared" si="2"/>
        <v>2.3391464391676191</v>
      </c>
      <c r="I87" s="2">
        <f t="shared" si="3"/>
        <v>106.03350808746816</v>
      </c>
      <c r="J87" s="2">
        <f t="shared" si="4"/>
        <v>2.1838954678660514</v>
      </c>
      <c r="K87" s="15">
        <f t="shared" si="19"/>
        <v>0.59015313390313395</v>
      </c>
      <c r="L87" s="2">
        <f t="shared" si="14"/>
        <v>82</v>
      </c>
      <c r="M87" s="2">
        <f t="shared" si="15"/>
        <v>45.08</v>
      </c>
      <c r="N87" s="2">
        <v>16.5</v>
      </c>
      <c r="O87" s="2">
        <v>50.26548245743669</v>
      </c>
      <c r="P87" s="11">
        <f t="shared" si="5"/>
        <v>3.2825707012703416</v>
      </c>
      <c r="Q87" s="2">
        <f t="shared" si="6"/>
        <v>147.97828721326698</v>
      </c>
      <c r="R87" s="2">
        <f t="shared" si="7"/>
        <v>2.4837848789711394</v>
      </c>
      <c r="S87" s="2">
        <f t="shared" si="8"/>
        <v>111.96902234401897</v>
      </c>
      <c r="T87" s="2">
        <f t="shared" si="9"/>
        <v>36.009264869248014</v>
      </c>
    </row>
    <row r="88" spans="1:20" x14ac:dyDescent="0.25">
      <c r="A88" s="14">
        <f t="shared" si="18"/>
        <v>0.61381766381766389</v>
      </c>
      <c r="B88" s="2">
        <f t="shared" si="11"/>
        <v>83</v>
      </c>
      <c r="C88" s="4">
        <f t="shared" si="12"/>
        <v>45.83</v>
      </c>
      <c r="D88" s="2">
        <v>14</v>
      </c>
      <c r="E88" s="2">
        <v>50.26548245743669</v>
      </c>
      <c r="F88" s="11">
        <f t="shared" si="0"/>
        <v>2.7852115041081689</v>
      </c>
      <c r="G88" s="2">
        <f t="shared" si="1"/>
        <v>127.64624323327737</v>
      </c>
      <c r="H88" s="2">
        <f t="shared" si="2"/>
        <v>2.3391464391676191</v>
      </c>
      <c r="I88" s="2">
        <f t="shared" si="3"/>
        <v>107.20308130705197</v>
      </c>
      <c r="J88" s="2">
        <f t="shared" si="4"/>
        <v>20.4431619262254</v>
      </c>
      <c r="K88" s="15">
        <f t="shared" si="19"/>
        <v>0.59029558404558402</v>
      </c>
      <c r="L88" s="2">
        <f t="shared" si="14"/>
        <v>83</v>
      </c>
      <c r="M88" s="2">
        <f t="shared" si="15"/>
        <v>45.58</v>
      </c>
      <c r="N88" s="2">
        <v>15.5</v>
      </c>
      <c r="O88" s="2">
        <v>50.26548245743669</v>
      </c>
      <c r="P88" s="11">
        <f t="shared" si="5"/>
        <v>3.0836270224054725</v>
      </c>
      <c r="Q88" s="2">
        <f t="shared" si="6"/>
        <v>140.55171968124142</v>
      </c>
      <c r="R88" s="2">
        <f t="shared" si="7"/>
        <v>2.4837848789711394</v>
      </c>
      <c r="S88" s="2">
        <f t="shared" si="8"/>
        <v>113.21091478350453</v>
      </c>
      <c r="T88" s="2">
        <f t="shared" si="9"/>
        <v>27.340804897736888</v>
      </c>
    </row>
    <row r="89" spans="1:20" x14ac:dyDescent="0.25">
      <c r="A89" s="14">
        <f t="shared" si="18"/>
        <v>0.61394230769230773</v>
      </c>
      <c r="B89" s="2">
        <f t="shared" si="11"/>
        <v>84</v>
      </c>
      <c r="C89" s="4">
        <f t="shared" si="12"/>
        <v>46.33</v>
      </c>
      <c r="D89" s="2">
        <v>11.5</v>
      </c>
      <c r="E89" s="2">
        <v>50.26548245743669</v>
      </c>
      <c r="F89" s="11">
        <f t="shared" si="0"/>
        <v>2.2878523069459957</v>
      </c>
      <c r="G89" s="2">
        <f t="shared" si="1"/>
        <v>105.99619738080798</v>
      </c>
      <c r="H89" s="2">
        <f t="shared" si="2"/>
        <v>2.3391464391676191</v>
      </c>
      <c r="I89" s="2">
        <f t="shared" si="3"/>
        <v>108.37265452663578</v>
      </c>
      <c r="J89" s="2">
        <f t="shared" si="4"/>
        <v>2.3764571458277999</v>
      </c>
      <c r="K89" s="15">
        <f t="shared" si="19"/>
        <v>0.5904380341880342</v>
      </c>
      <c r="L89" s="2">
        <f t="shared" si="14"/>
        <v>84</v>
      </c>
      <c r="M89" s="2">
        <f t="shared" si="15"/>
        <v>46.08</v>
      </c>
      <c r="N89" s="2">
        <v>14</v>
      </c>
      <c r="O89" s="2">
        <v>50.26548245743669</v>
      </c>
      <c r="P89" s="11">
        <f t="shared" si="5"/>
        <v>2.7852115041081689</v>
      </c>
      <c r="Q89" s="2">
        <f t="shared" si="6"/>
        <v>128.34254610930441</v>
      </c>
      <c r="R89" s="2">
        <f t="shared" si="7"/>
        <v>2.4837848789711394</v>
      </c>
      <c r="S89" s="2">
        <f t="shared" si="8"/>
        <v>114.4528072229901</v>
      </c>
      <c r="T89" s="2">
        <f t="shared" si="9"/>
        <v>13.889738886314305</v>
      </c>
    </row>
    <row r="90" spans="1:20" x14ac:dyDescent="0.25">
      <c r="A90" s="14">
        <f t="shared" si="18"/>
        <v>0.61406695156695157</v>
      </c>
      <c r="B90" s="2">
        <f t="shared" si="11"/>
        <v>85</v>
      </c>
      <c r="C90" s="4">
        <f t="shared" si="12"/>
        <v>46.83</v>
      </c>
      <c r="D90" s="2">
        <v>13.5</v>
      </c>
      <c r="E90" s="2">
        <v>50.26548245743669</v>
      </c>
      <c r="F90" s="11">
        <f t="shared" si="0"/>
        <v>2.6857396646757339</v>
      </c>
      <c r="G90" s="2">
        <f t="shared" si="1"/>
        <v>125.77318849676462</v>
      </c>
      <c r="H90" s="2">
        <f t="shared" si="2"/>
        <v>2.3391464391676191</v>
      </c>
      <c r="I90" s="2">
        <f t="shared" si="3"/>
        <v>109.5422277462196</v>
      </c>
      <c r="J90" s="2">
        <f t="shared" si="4"/>
        <v>16.230960750545023</v>
      </c>
      <c r="K90" s="15">
        <f t="shared" si="19"/>
        <v>0.59058048433048438</v>
      </c>
      <c r="L90" s="2">
        <f t="shared" si="14"/>
        <v>85</v>
      </c>
      <c r="M90" s="2">
        <f t="shared" si="15"/>
        <v>46.58</v>
      </c>
      <c r="N90" s="2">
        <v>12.5</v>
      </c>
      <c r="O90" s="2">
        <v>50.26548245743669</v>
      </c>
      <c r="P90" s="11">
        <f t="shared" si="5"/>
        <v>2.4867959858108648</v>
      </c>
      <c r="Q90" s="2">
        <f t="shared" si="6"/>
        <v>115.83495701907007</v>
      </c>
      <c r="R90" s="2">
        <f t="shared" si="7"/>
        <v>2.4837848789711394</v>
      </c>
      <c r="S90" s="2">
        <f t="shared" si="8"/>
        <v>115.69469966247567</v>
      </c>
      <c r="T90" s="2">
        <f t="shared" si="9"/>
        <v>0.14025735659440386</v>
      </c>
    </row>
    <row r="91" spans="1:20" x14ac:dyDescent="0.25">
      <c r="A91" s="14">
        <f t="shared" si="18"/>
        <v>0.61419159544159552</v>
      </c>
      <c r="B91" s="2">
        <f t="shared" si="11"/>
        <v>86</v>
      </c>
      <c r="C91" s="4">
        <f t="shared" si="12"/>
        <v>47.33</v>
      </c>
      <c r="D91" s="2">
        <v>13</v>
      </c>
      <c r="E91" s="2">
        <v>50.26548245743669</v>
      </c>
      <c r="F91" s="11">
        <f t="shared" si="0"/>
        <v>2.5862678252432989</v>
      </c>
      <c r="G91" s="2">
        <f t="shared" si="1"/>
        <v>122.40805616876533</v>
      </c>
      <c r="H91" s="2">
        <f t="shared" si="2"/>
        <v>2.3391464391676191</v>
      </c>
      <c r="I91" s="2">
        <f t="shared" si="3"/>
        <v>110.71180096580341</v>
      </c>
      <c r="J91" s="2">
        <f t="shared" si="4"/>
        <v>11.696255202961922</v>
      </c>
      <c r="K91" s="15">
        <f t="shared" si="19"/>
        <v>0.59072293447293445</v>
      </c>
      <c r="L91" s="2">
        <f t="shared" si="14"/>
        <v>86</v>
      </c>
      <c r="M91" s="2">
        <f t="shared" si="15"/>
        <v>47.08</v>
      </c>
      <c r="N91" s="2">
        <v>12</v>
      </c>
      <c r="O91" s="2">
        <v>50.26548245743669</v>
      </c>
      <c r="P91" s="11">
        <f t="shared" si="5"/>
        <v>2.3873241463784298</v>
      </c>
      <c r="Q91" s="2">
        <f t="shared" si="6"/>
        <v>112.39522081149647</v>
      </c>
      <c r="R91" s="2">
        <f t="shared" si="7"/>
        <v>2.4837848789711394</v>
      </c>
      <c r="S91" s="2">
        <f t="shared" si="8"/>
        <v>116.93659210196124</v>
      </c>
      <c r="T91" s="2">
        <f t="shared" si="9"/>
        <v>4.5413712904647667</v>
      </c>
    </row>
    <row r="92" spans="1:20" x14ac:dyDescent="0.25">
      <c r="A92" s="14">
        <f t="shared" si="18"/>
        <v>0.61431623931623935</v>
      </c>
      <c r="B92" s="2">
        <f t="shared" si="11"/>
        <v>87</v>
      </c>
      <c r="C92" s="4">
        <f t="shared" si="12"/>
        <v>47.83</v>
      </c>
      <c r="D92" s="2">
        <v>13.5</v>
      </c>
      <c r="E92" s="2">
        <v>50.26548245743669</v>
      </c>
      <c r="F92" s="11">
        <f t="shared" si="0"/>
        <v>2.6857396646757339</v>
      </c>
      <c r="G92" s="2">
        <f t="shared" si="1"/>
        <v>128.45892816144035</v>
      </c>
      <c r="H92" s="2">
        <f t="shared" si="2"/>
        <v>2.3391464391676191</v>
      </c>
      <c r="I92" s="2">
        <f t="shared" si="3"/>
        <v>111.88137418538722</v>
      </c>
      <c r="J92" s="2">
        <f t="shared" si="4"/>
        <v>16.577553976053139</v>
      </c>
      <c r="K92" s="15">
        <f t="shared" si="19"/>
        <v>0.59086538461538463</v>
      </c>
      <c r="L92" s="2">
        <f t="shared" si="14"/>
        <v>87</v>
      </c>
      <c r="M92" s="2">
        <f t="shared" si="15"/>
        <v>47.58</v>
      </c>
      <c r="N92" s="2">
        <v>13.5</v>
      </c>
      <c r="O92" s="2">
        <v>50.26548245743669</v>
      </c>
      <c r="P92" s="11">
        <f t="shared" si="5"/>
        <v>2.6857396646757339</v>
      </c>
      <c r="Q92" s="2">
        <f t="shared" si="6"/>
        <v>127.78749324527142</v>
      </c>
      <c r="R92" s="2">
        <f t="shared" si="7"/>
        <v>2.4837848789711394</v>
      </c>
      <c r="S92" s="2">
        <f t="shared" si="8"/>
        <v>118.17848454144681</v>
      </c>
      <c r="T92" s="2">
        <f t="shared" si="9"/>
        <v>9.6090087038246139</v>
      </c>
    </row>
    <row r="93" spans="1:20" x14ac:dyDescent="0.25">
      <c r="A93" s="14">
        <f t="shared" si="18"/>
        <v>0.61444088319088319</v>
      </c>
      <c r="B93" s="2">
        <f t="shared" si="11"/>
        <v>88</v>
      </c>
      <c r="C93" s="4">
        <f t="shared" si="12"/>
        <v>48.33</v>
      </c>
      <c r="D93" s="2">
        <v>12.5</v>
      </c>
      <c r="E93" s="2">
        <v>50.26548245743669</v>
      </c>
      <c r="F93" s="11">
        <f t="shared" si="0"/>
        <v>2.4867959858108648</v>
      </c>
      <c r="G93" s="2">
        <f t="shared" si="1"/>
        <v>120.1868499942391</v>
      </c>
      <c r="H93" s="2">
        <f t="shared" si="2"/>
        <v>2.3391464391676191</v>
      </c>
      <c r="I93" s="2">
        <f t="shared" si="3"/>
        <v>113.05094740497103</v>
      </c>
      <c r="J93" s="2">
        <f t="shared" si="4"/>
        <v>7.1359025892680705</v>
      </c>
      <c r="K93" s="15">
        <f t="shared" si="19"/>
        <v>0.5910078347578348</v>
      </c>
      <c r="L93" s="2">
        <f t="shared" si="14"/>
        <v>88</v>
      </c>
      <c r="M93" s="2">
        <f t="shared" si="15"/>
        <v>48.08</v>
      </c>
      <c r="N93" s="2">
        <v>14</v>
      </c>
      <c r="O93" s="2">
        <v>50.26548245743669</v>
      </c>
      <c r="P93" s="11">
        <f t="shared" si="5"/>
        <v>2.7852115041081689</v>
      </c>
      <c r="Q93" s="2">
        <f t="shared" si="6"/>
        <v>133.91296911752076</v>
      </c>
      <c r="R93" s="2">
        <f t="shared" si="7"/>
        <v>2.4837848789711394</v>
      </c>
      <c r="S93" s="2">
        <f t="shared" si="8"/>
        <v>119.42037698093237</v>
      </c>
      <c r="T93" s="2">
        <f t="shared" si="9"/>
        <v>14.492592136588385</v>
      </c>
    </row>
    <row r="94" spans="1:20" x14ac:dyDescent="0.25">
      <c r="A94" s="14">
        <f t="shared" si="18"/>
        <v>0.61456552706552714</v>
      </c>
      <c r="B94" s="2">
        <f t="shared" si="11"/>
        <v>89</v>
      </c>
      <c r="C94" s="4">
        <f t="shared" si="12"/>
        <v>48.83</v>
      </c>
      <c r="D94" s="2">
        <v>13.5</v>
      </c>
      <c r="E94" s="2">
        <v>50.26548245743669</v>
      </c>
      <c r="F94" s="11">
        <f t="shared" si="0"/>
        <v>2.6857396646757339</v>
      </c>
      <c r="G94" s="2">
        <f t="shared" si="1"/>
        <v>131.14466782611609</v>
      </c>
      <c r="H94" s="2">
        <f t="shared" si="2"/>
        <v>2.3391464391676191</v>
      </c>
      <c r="I94" s="2">
        <f t="shared" si="3"/>
        <v>114.22052062455484</v>
      </c>
      <c r="J94" s="2">
        <f t="shared" si="4"/>
        <v>16.924147201561254</v>
      </c>
      <c r="K94" s="15">
        <f t="shared" si="19"/>
        <v>0.59115028490028487</v>
      </c>
      <c r="L94" s="2">
        <f t="shared" si="14"/>
        <v>89</v>
      </c>
      <c r="M94" s="2">
        <f t="shared" si="15"/>
        <v>48.58</v>
      </c>
      <c r="N94" s="2">
        <v>14</v>
      </c>
      <c r="O94" s="2">
        <v>50.26548245743669</v>
      </c>
      <c r="P94" s="11">
        <f t="shared" si="5"/>
        <v>2.7852115041081689</v>
      </c>
      <c r="Q94" s="2">
        <f t="shared" si="6"/>
        <v>135.30557486957483</v>
      </c>
      <c r="R94" s="2">
        <f t="shared" si="7"/>
        <v>2.4837848789711394</v>
      </c>
      <c r="S94" s="2">
        <f t="shared" si="8"/>
        <v>120.66226942041794</v>
      </c>
      <c r="T94" s="2">
        <f t="shared" si="9"/>
        <v>14.643305449156884</v>
      </c>
    </row>
    <row r="95" spans="1:20" x14ac:dyDescent="0.25">
      <c r="A95" s="14">
        <f t="shared" si="18"/>
        <v>0.61469017094017098</v>
      </c>
      <c r="B95" s="2">
        <f t="shared" si="11"/>
        <v>90</v>
      </c>
      <c r="C95" s="4">
        <f t="shared" si="12"/>
        <v>49.33</v>
      </c>
      <c r="D95" s="2">
        <v>13</v>
      </c>
      <c r="E95" s="2">
        <v>50.26548245743669</v>
      </c>
      <c r="F95" s="11">
        <f t="shared" si="0"/>
        <v>2.5862678252432989</v>
      </c>
      <c r="G95" s="2">
        <f t="shared" si="1"/>
        <v>127.58059181925194</v>
      </c>
      <c r="H95" s="2">
        <f t="shared" si="2"/>
        <v>2.3391464391676191</v>
      </c>
      <c r="I95" s="2">
        <f t="shared" si="3"/>
        <v>115.39009384413865</v>
      </c>
      <c r="J95" s="2">
        <f t="shared" si="4"/>
        <v>12.190497975113288</v>
      </c>
      <c r="K95" s="15">
        <f t="shared" si="19"/>
        <v>0.59129273504273505</v>
      </c>
      <c r="L95" s="2">
        <f t="shared" si="14"/>
        <v>90</v>
      </c>
      <c r="M95" s="2">
        <f t="shared" si="15"/>
        <v>49.08</v>
      </c>
      <c r="N95" s="2">
        <v>13.5</v>
      </c>
      <c r="O95" s="2">
        <v>50.26548245743669</v>
      </c>
      <c r="P95" s="11">
        <f t="shared" si="5"/>
        <v>2.6857396646757339</v>
      </c>
      <c r="Q95" s="2">
        <f t="shared" si="6"/>
        <v>131.81610274228501</v>
      </c>
      <c r="R95" s="2">
        <f t="shared" si="7"/>
        <v>2.4837848789711394</v>
      </c>
      <c r="S95" s="2">
        <f t="shared" si="8"/>
        <v>121.90416185990352</v>
      </c>
      <c r="T95" s="2">
        <f t="shared" si="9"/>
        <v>9.9119408823814865</v>
      </c>
    </row>
    <row r="96" spans="1:20" x14ac:dyDescent="0.25">
      <c r="A96" s="14">
        <f t="shared" si="18"/>
        <v>0.61481481481481481</v>
      </c>
      <c r="B96" s="2">
        <f t="shared" si="11"/>
        <v>91</v>
      </c>
      <c r="C96" s="4">
        <f t="shared" si="12"/>
        <v>49.83</v>
      </c>
      <c r="D96" s="2">
        <v>12</v>
      </c>
      <c r="E96" s="2">
        <v>50.26548245743669</v>
      </c>
      <c r="F96" s="11">
        <f t="shared" si="0"/>
        <v>2.3873241463784298</v>
      </c>
      <c r="G96" s="2">
        <f t="shared" si="1"/>
        <v>118.96036221403715</v>
      </c>
      <c r="H96" s="2">
        <f t="shared" si="2"/>
        <v>2.3391464391676191</v>
      </c>
      <c r="I96" s="2">
        <f t="shared" si="3"/>
        <v>116.55966706372246</v>
      </c>
      <c r="J96" s="2">
        <f t="shared" si="4"/>
        <v>2.4006951503146894</v>
      </c>
      <c r="K96" s="15">
        <f t="shared" si="19"/>
        <v>0.59143518518518523</v>
      </c>
      <c r="L96" s="2">
        <f t="shared" si="14"/>
        <v>91</v>
      </c>
      <c r="M96" s="2">
        <f t="shared" si="15"/>
        <v>49.58</v>
      </c>
      <c r="N96" s="2">
        <v>14</v>
      </c>
      <c r="O96" s="2">
        <v>50.26548245743669</v>
      </c>
      <c r="P96" s="11">
        <f t="shared" si="5"/>
        <v>2.7852115041081689</v>
      </c>
      <c r="Q96" s="2">
        <f t="shared" si="6"/>
        <v>138.09078637368302</v>
      </c>
      <c r="R96" s="2">
        <f t="shared" si="7"/>
        <v>2.4837848789711394</v>
      </c>
      <c r="S96" s="2">
        <f t="shared" si="8"/>
        <v>123.14605429938909</v>
      </c>
      <c r="T96" s="2">
        <f t="shared" si="9"/>
        <v>14.944732074293924</v>
      </c>
    </row>
    <row r="97" spans="1:20" x14ac:dyDescent="0.25">
      <c r="A97" s="14">
        <f t="shared" si="18"/>
        <v>0.61493945868945876</v>
      </c>
      <c r="B97" s="2">
        <f t="shared" si="11"/>
        <v>92</v>
      </c>
      <c r="C97" s="4">
        <f t="shared" si="12"/>
        <v>50.33</v>
      </c>
      <c r="D97" s="2">
        <v>11</v>
      </c>
      <c r="E97" s="2">
        <v>50.26548245743669</v>
      </c>
      <c r="F97" s="11">
        <f t="shared" si="0"/>
        <v>2.1883804675135607</v>
      </c>
      <c r="G97" s="2">
        <f t="shared" si="1"/>
        <v>110.14118892995751</v>
      </c>
      <c r="H97" s="2">
        <f t="shared" si="2"/>
        <v>2.3391464391676191</v>
      </c>
      <c r="I97" s="2">
        <f t="shared" si="3"/>
        <v>117.72924028330627</v>
      </c>
      <c r="J97" s="2">
        <f t="shared" si="4"/>
        <v>7.5880513533487601</v>
      </c>
      <c r="K97" s="15">
        <f t="shared" si="19"/>
        <v>0.5915776353276353</v>
      </c>
      <c r="L97" s="2">
        <f t="shared" si="14"/>
        <v>92</v>
      </c>
      <c r="M97" s="2">
        <f t="shared" si="15"/>
        <v>50.08</v>
      </c>
      <c r="N97" s="2">
        <v>13</v>
      </c>
      <c r="O97" s="2">
        <v>50.26548245743669</v>
      </c>
      <c r="P97" s="11">
        <f t="shared" si="5"/>
        <v>2.5862678252432989</v>
      </c>
      <c r="Q97" s="2">
        <f t="shared" si="6"/>
        <v>129.52029268818441</v>
      </c>
      <c r="R97" s="2">
        <f t="shared" si="7"/>
        <v>2.4837848789711394</v>
      </c>
      <c r="S97" s="2">
        <f t="shared" si="8"/>
        <v>124.38794673887466</v>
      </c>
      <c r="T97" s="2">
        <f t="shared" si="9"/>
        <v>5.1323459493097516</v>
      </c>
    </row>
    <row r="98" spans="1:20" x14ac:dyDescent="0.25">
      <c r="A98" s="14">
        <f t="shared" si="18"/>
        <v>0.6150641025641026</v>
      </c>
      <c r="B98" s="2">
        <f t="shared" si="11"/>
        <v>93</v>
      </c>
      <c r="C98" s="4">
        <f t="shared" si="12"/>
        <v>50.83</v>
      </c>
      <c r="D98" s="2">
        <v>10.5</v>
      </c>
      <c r="E98" s="2">
        <v>50.26548245743669</v>
      </c>
      <c r="F98" s="11">
        <f t="shared" si="0"/>
        <v>2.0889086280811267</v>
      </c>
      <c r="G98" s="2">
        <f t="shared" si="1"/>
        <v>106.17922556536367</v>
      </c>
      <c r="H98" s="2">
        <f t="shared" si="2"/>
        <v>2.3391464391676191</v>
      </c>
      <c r="I98" s="2">
        <f t="shared" si="3"/>
        <v>118.89881350289008</v>
      </c>
      <c r="J98" s="2">
        <f t="shared" si="4"/>
        <v>12.719587937526413</v>
      </c>
      <c r="K98" s="15">
        <f t="shared" si="19"/>
        <v>0.59172008547008548</v>
      </c>
      <c r="L98" s="2">
        <f t="shared" si="14"/>
        <v>93</v>
      </c>
      <c r="M98" s="2">
        <f t="shared" si="15"/>
        <v>50.58</v>
      </c>
      <c r="N98" s="2">
        <v>13</v>
      </c>
      <c r="O98" s="2">
        <v>50.26548245743669</v>
      </c>
      <c r="P98" s="11">
        <f t="shared" si="5"/>
        <v>2.5862678252432989</v>
      </c>
      <c r="Q98" s="2">
        <f t="shared" si="6"/>
        <v>130.81342660080605</v>
      </c>
      <c r="R98" s="2">
        <f t="shared" si="7"/>
        <v>2.4837848789711394</v>
      </c>
      <c r="S98" s="2">
        <f t="shared" si="8"/>
        <v>125.62983917836023</v>
      </c>
      <c r="T98" s="2">
        <f t="shared" si="9"/>
        <v>5.1835874224458252</v>
      </c>
    </row>
    <row r="99" spans="1:20" x14ac:dyDescent="0.25">
      <c r="A99" s="14">
        <f t="shared" si="18"/>
        <v>0.61518874643874644</v>
      </c>
      <c r="B99" s="2">
        <f t="shared" si="11"/>
        <v>94</v>
      </c>
      <c r="C99" s="4">
        <f t="shared" si="12"/>
        <v>51.33</v>
      </c>
      <c r="D99" s="2">
        <v>9.5</v>
      </c>
      <c r="E99" s="2">
        <v>50.26548245743669</v>
      </c>
      <c r="F99" s="11">
        <f t="shared" si="0"/>
        <v>1.8899649492162571</v>
      </c>
      <c r="G99" s="2">
        <f t="shared" si="1"/>
        <v>97.011900843270482</v>
      </c>
      <c r="H99" s="2">
        <f t="shared" si="2"/>
        <v>2.3391464391676191</v>
      </c>
      <c r="I99" s="2">
        <f t="shared" si="3"/>
        <v>120.06838672247389</v>
      </c>
      <c r="J99" s="2">
        <f t="shared" si="4"/>
        <v>23.056485879203407</v>
      </c>
      <c r="K99" s="15">
        <f t="shared" si="19"/>
        <v>0.59186253561253566</v>
      </c>
      <c r="L99" s="2">
        <f t="shared" si="14"/>
        <v>94</v>
      </c>
      <c r="M99" s="2">
        <f t="shared" si="15"/>
        <v>51.08</v>
      </c>
      <c r="N99" s="2">
        <v>10.5</v>
      </c>
      <c r="O99" s="2">
        <v>50.26548245743669</v>
      </c>
      <c r="P99" s="11">
        <f t="shared" si="5"/>
        <v>2.0889086280811267</v>
      </c>
      <c r="Q99" s="2">
        <f t="shared" si="6"/>
        <v>106.70145272238395</v>
      </c>
      <c r="R99" s="2">
        <f t="shared" si="7"/>
        <v>2.4837848789711394</v>
      </c>
      <c r="S99" s="2">
        <f t="shared" si="8"/>
        <v>126.8717316178458</v>
      </c>
      <c r="T99" s="2">
        <f t="shared" si="9"/>
        <v>20.170278895461848</v>
      </c>
    </row>
    <row r="100" spans="1:20" x14ac:dyDescent="0.25">
      <c r="A100" s="14">
        <f t="shared" si="18"/>
        <v>0.61531339031339038</v>
      </c>
      <c r="B100" s="2">
        <f t="shared" si="11"/>
        <v>95</v>
      </c>
      <c r="C100" s="4">
        <f t="shared" si="12"/>
        <v>51.83</v>
      </c>
      <c r="D100" s="2">
        <v>8.5</v>
      </c>
      <c r="E100" s="2">
        <v>50.26548245743669</v>
      </c>
      <c r="F100" s="11">
        <f t="shared" si="0"/>
        <v>1.6910212703513881</v>
      </c>
      <c r="G100" s="2">
        <f t="shared" si="1"/>
        <v>87.645632442312433</v>
      </c>
      <c r="H100" s="2">
        <f t="shared" si="2"/>
        <v>2.3391464391676191</v>
      </c>
      <c r="I100" s="2">
        <f t="shared" si="3"/>
        <v>121.2379599420577</v>
      </c>
      <c r="J100" s="2">
        <f t="shared" si="4"/>
        <v>33.592327499745267</v>
      </c>
      <c r="K100" s="15">
        <f t="shared" si="19"/>
        <v>0.59200498575498572</v>
      </c>
      <c r="L100" s="2">
        <f t="shared" si="14"/>
        <v>95</v>
      </c>
      <c r="M100" s="2">
        <f t="shared" si="15"/>
        <v>51.58</v>
      </c>
      <c r="N100" s="2">
        <v>10.5</v>
      </c>
      <c r="O100" s="2">
        <v>50.26548245743669</v>
      </c>
      <c r="P100" s="11">
        <f t="shared" si="5"/>
        <v>2.0889086280811267</v>
      </c>
      <c r="Q100" s="2">
        <f t="shared" si="6"/>
        <v>107.74590703642451</v>
      </c>
      <c r="R100" s="2">
        <f t="shared" si="7"/>
        <v>2.4837848789711394</v>
      </c>
      <c r="S100" s="2">
        <f t="shared" si="8"/>
        <v>128.11362405733138</v>
      </c>
      <c r="T100" s="2">
        <f t="shared" si="9"/>
        <v>20.367717020906866</v>
      </c>
    </row>
    <row r="101" spans="1:20" x14ac:dyDescent="0.25">
      <c r="A101" s="14">
        <f t="shared" si="18"/>
        <v>0.61543803418803422</v>
      </c>
      <c r="B101" s="2">
        <f t="shared" si="11"/>
        <v>96</v>
      </c>
      <c r="C101" s="4">
        <f t="shared" si="12"/>
        <v>52.33</v>
      </c>
      <c r="D101" s="2">
        <v>11.5</v>
      </c>
      <c r="E101" s="2">
        <v>50.26548245743669</v>
      </c>
      <c r="F101" s="11">
        <f t="shared" si="0"/>
        <v>2.2878523069459957</v>
      </c>
      <c r="G101" s="2">
        <f t="shared" si="1"/>
        <v>119.72331122248396</v>
      </c>
      <c r="H101" s="2">
        <f t="shared" si="2"/>
        <v>2.3391464391676191</v>
      </c>
      <c r="I101" s="2">
        <f t="shared" si="3"/>
        <v>122.40753316164151</v>
      </c>
      <c r="J101" s="2">
        <f t="shared" si="4"/>
        <v>2.6842219391575526</v>
      </c>
      <c r="K101" s="15">
        <f t="shared" si="19"/>
        <v>0.5921474358974359</v>
      </c>
      <c r="L101" s="2">
        <f t="shared" si="14"/>
        <v>96</v>
      </c>
      <c r="M101" s="2">
        <f t="shared" si="15"/>
        <v>52.08</v>
      </c>
      <c r="N101" s="2">
        <v>11</v>
      </c>
      <c r="O101" s="2">
        <v>50.26548245743669</v>
      </c>
      <c r="P101" s="11">
        <f t="shared" si="5"/>
        <v>2.1883804675135607</v>
      </c>
      <c r="Q101" s="2">
        <f t="shared" si="6"/>
        <v>113.97085474810623</v>
      </c>
      <c r="R101" s="2">
        <f t="shared" si="7"/>
        <v>2.4837848789711394</v>
      </c>
      <c r="S101" s="2">
        <f t="shared" si="8"/>
        <v>129.35551649681693</v>
      </c>
      <c r="T101" s="2">
        <f t="shared" si="9"/>
        <v>15.384661748710698</v>
      </c>
    </row>
    <row r="102" spans="1:20" x14ac:dyDescent="0.25">
      <c r="A102" s="14">
        <f t="shared" si="18"/>
        <v>0.61556267806267806</v>
      </c>
      <c r="B102" s="2">
        <f t="shared" si="11"/>
        <v>97</v>
      </c>
      <c r="C102" s="4">
        <f t="shared" si="12"/>
        <v>52.83</v>
      </c>
      <c r="D102" s="2">
        <v>9.5</v>
      </c>
      <c r="E102" s="2">
        <v>50.26548245743669</v>
      </c>
      <c r="F102" s="11">
        <f t="shared" si="0"/>
        <v>1.8899649492162571</v>
      </c>
      <c r="G102" s="2">
        <f t="shared" si="1"/>
        <v>99.846848267094856</v>
      </c>
      <c r="H102" s="2">
        <f t="shared" si="2"/>
        <v>2.3391464391676191</v>
      </c>
      <c r="I102" s="2">
        <f t="shared" si="3"/>
        <v>123.57710638122532</v>
      </c>
      <c r="J102" s="2">
        <f t="shared" si="4"/>
        <v>23.730258114130464</v>
      </c>
      <c r="K102" s="15">
        <f t="shared" si="19"/>
        <v>0.59228988603988608</v>
      </c>
      <c r="L102" s="2">
        <f t="shared" si="14"/>
        <v>97</v>
      </c>
      <c r="M102" s="2">
        <f t="shared" si="15"/>
        <v>52.58</v>
      </c>
      <c r="N102" s="2">
        <v>11</v>
      </c>
      <c r="O102" s="2">
        <v>50.26548245743669</v>
      </c>
      <c r="P102" s="11">
        <f t="shared" si="5"/>
        <v>2.1883804675135607</v>
      </c>
      <c r="Q102" s="2">
        <f t="shared" si="6"/>
        <v>115.06504498186302</v>
      </c>
      <c r="R102" s="2">
        <f t="shared" si="7"/>
        <v>2.4837848789711394</v>
      </c>
      <c r="S102" s="2">
        <f t="shared" si="8"/>
        <v>130.59740893630251</v>
      </c>
      <c r="T102" s="2">
        <f t="shared" si="9"/>
        <v>15.532363954439489</v>
      </c>
    </row>
    <row r="103" spans="1:20" x14ac:dyDescent="0.25">
      <c r="A103" s="14">
        <f t="shared" si="18"/>
        <v>0.61568732193732201</v>
      </c>
      <c r="B103" s="2">
        <f t="shared" si="11"/>
        <v>98</v>
      </c>
      <c r="C103" s="4">
        <f t="shared" si="12"/>
        <v>53.33</v>
      </c>
      <c r="D103" s="2">
        <v>9.5</v>
      </c>
      <c r="E103" s="2">
        <v>50.26548245743669</v>
      </c>
      <c r="F103" s="11">
        <f t="shared" si="0"/>
        <v>1.8899649492162571</v>
      </c>
      <c r="G103" s="2">
        <f t="shared" si="1"/>
        <v>100.791830741703</v>
      </c>
      <c r="H103" s="2">
        <f t="shared" si="2"/>
        <v>2.3391464391676191</v>
      </c>
      <c r="I103" s="2">
        <f t="shared" si="3"/>
        <v>124.74667960080912</v>
      </c>
      <c r="J103" s="2">
        <f t="shared" si="4"/>
        <v>23.954848859106121</v>
      </c>
      <c r="K103" s="15">
        <f t="shared" si="19"/>
        <v>0.59243233618233615</v>
      </c>
      <c r="L103" s="2">
        <f t="shared" si="14"/>
        <v>98</v>
      </c>
      <c r="M103" s="2">
        <f t="shared" si="15"/>
        <v>53.08</v>
      </c>
      <c r="N103" s="2">
        <v>10.5</v>
      </c>
      <c r="O103" s="2">
        <v>50.26548245743669</v>
      </c>
      <c r="P103" s="11">
        <f t="shared" si="5"/>
        <v>2.0889086280811267</v>
      </c>
      <c r="Q103" s="2">
        <f t="shared" si="6"/>
        <v>110.8792699785462</v>
      </c>
      <c r="R103" s="2">
        <f t="shared" si="7"/>
        <v>2.4837848789711394</v>
      </c>
      <c r="S103" s="2">
        <f t="shared" si="8"/>
        <v>131.83930137578807</v>
      </c>
      <c r="T103" s="2">
        <f t="shared" si="9"/>
        <v>20.960031397241863</v>
      </c>
    </row>
    <row r="104" spans="1:20" x14ac:dyDescent="0.25">
      <c r="A104" s="14">
        <f t="shared" si="18"/>
        <v>0.61581196581196584</v>
      </c>
      <c r="B104" s="2">
        <f t="shared" si="11"/>
        <v>99</v>
      </c>
      <c r="C104" s="4">
        <f t="shared" si="12"/>
        <v>53.83</v>
      </c>
      <c r="D104" s="2">
        <v>10</v>
      </c>
      <c r="E104" s="2">
        <v>50.26548245743669</v>
      </c>
      <c r="F104" s="11">
        <f t="shared" si="0"/>
        <v>1.9894367886486919</v>
      </c>
      <c r="G104" s="2">
        <f t="shared" si="1"/>
        <v>107.09138233295909</v>
      </c>
      <c r="H104" s="2">
        <f t="shared" si="2"/>
        <v>2.3391464391676191</v>
      </c>
      <c r="I104" s="2">
        <f t="shared" si="3"/>
        <v>125.91625282039293</v>
      </c>
      <c r="J104" s="2">
        <f t="shared" si="4"/>
        <v>18.824870487433842</v>
      </c>
      <c r="K104" s="15">
        <f t="shared" si="19"/>
        <v>0.59257478632478633</v>
      </c>
      <c r="L104" s="2">
        <f t="shared" si="14"/>
        <v>99</v>
      </c>
      <c r="M104" s="2">
        <f t="shared" si="15"/>
        <v>53.58</v>
      </c>
      <c r="N104" s="2">
        <v>12</v>
      </c>
      <c r="O104" s="2">
        <v>50.26548245743669</v>
      </c>
      <c r="P104" s="11">
        <f t="shared" si="5"/>
        <v>2.3873241463784298</v>
      </c>
      <c r="Q104" s="2">
        <f t="shared" si="6"/>
        <v>127.91282776295627</v>
      </c>
      <c r="R104" s="2">
        <f t="shared" si="7"/>
        <v>2.4837848789711394</v>
      </c>
      <c r="S104" s="2">
        <f t="shared" si="8"/>
        <v>133.08119381527365</v>
      </c>
      <c r="T104" s="2">
        <f t="shared" si="9"/>
        <v>5.1683660523173813</v>
      </c>
    </row>
    <row r="105" spans="1:20" x14ac:dyDescent="0.25">
      <c r="A105" s="14">
        <f t="shared" si="18"/>
        <v>0.61593660968660968</v>
      </c>
      <c r="B105" s="2">
        <f t="shared" si="11"/>
        <v>100</v>
      </c>
      <c r="C105" s="4">
        <f t="shared" si="12"/>
        <v>54.33</v>
      </c>
      <c r="D105" s="2">
        <v>11.5</v>
      </c>
      <c r="E105" s="2">
        <v>50.26548245743669</v>
      </c>
      <c r="F105" s="11">
        <f t="shared" si="0"/>
        <v>2.2878523069459957</v>
      </c>
      <c r="G105" s="2">
        <f t="shared" si="1"/>
        <v>124.29901583637594</v>
      </c>
      <c r="H105" s="2">
        <f t="shared" si="2"/>
        <v>2.3391464391676191</v>
      </c>
      <c r="I105" s="2">
        <f t="shared" si="3"/>
        <v>127.08582603997674</v>
      </c>
      <c r="J105" s="2">
        <f t="shared" si="4"/>
        <v>2.786810203600794</v>
      </c>
      <c r="K105" s="15">
        <f t="shared" si="19"/>
        <v>0.59271723646723651</v>
      </c>
      <c r="L105" s="2">
        <f t="shared" si="14"/>
        <v>100</v>
      </c>
      <c r="M105" s="2">
        <f t="shared" si="15"/>
        <v>54.08</v>
      </c>
      <c r="N105" s="2">
        <v>11.5</v>
      </c>
      <c r="O105" s="2">
        <v>50.26548245743669</v>
      </c>
      <c r="P105" s="11">
        <f t="shared" si="5"/>
        <v>2.2878523069459957</v>
      </c>
      <c r="Q105" s="2">
        <f t="shared" si="6"/>
        <v>123.72705275963945</v>
      </c>
      <c r="R105" s="2">
        <f t="shared" si="7"/>
        <v>2.4837848789711394</v>
      </c>
      <c r="S105" s="2">
        <f t="shared" si="8"/>
        <v>134.3230862547592</v>
      </c>
      <c r="T105" s="2">
        <f t="shared" si="9"/>
        <v>10.596033495119755</v>
      </c>
    </row>
    <row r="106" spans="1:20" x14ac:dyDescent="0.25">
      <c r="A106" s="14">
        <f t="shared" si="18"/>
        <v>0.61606125356125363</v>
      </c>
      <c r="B106" s="2">
        <f t="shared" si="11"/>
        <v>101</v>
      </c>
      <c r="C106" s="4">
        <f t="shared" si="12"/>
        <v>54.83</v>
      </c>
      <c r="D106" s="2">
        <v>10.5</v>
      </c>
      <c r="E106" s="2">
        <v>50.26548245743669</v>
      </c>
      <c r="F106" s="11">
        <f t="shared" si="0"/>
        <v>2.0889086280811267</v>
      </c>
      <c r="G106" s="2">
        <f t="shared" si="1"/>
        <v>114.53486007768817</v>
      </c>
      <c r="H106" s="2">
        <f t="shared" si="2"/>
        <v>2.3391464391676191</v>
      </c>
      <c r="I106" s="2">
        <f t="shared" si="3"/>
        <v>128.25539925956056</v>
      </c>
      <c r="J106" s="2">
        <f t="shared" si="4"/>
        <v>13.720539181872397</v>
      </c>
      <c r="K106" s="15">
        <f t="shared" si="19"/>
        <v>0.59285968660968658</v>
      </c>
      <c r="L106" s="2">
        <f t="shared" si="14"/>
        <v>101</v>
      </c>
      <c r="M106" s="2">
        <f t="shared" si="15"/>
        <v>54.58</v>
      </c>
      <c r="N106" s="2">
        <v>11.5</v>
      </c>
      <c r="O106" s="2">
        <v>50.26548245743669</v>
      </c>
      <c r="P106" s="11">
        <f t="shared" si="5"/>
        <v>2.2878523069459957</v>
      </c>
      <c r="Q106" s="2">
        <f t="shared" si="6"/>
        <v>124.87097891311244</v>
      </c>
      <c r="R106" s="2">
        <f t="shared" si="7"/>
        <v>2.4837848789711394</v>
      </c>
      <c r="S106" s="2">
        <f t="shared" si="8"/>
        <v>135.56497869424479</v>
      </c>
      <c r="T106" s="2">
        <f t="shared" si="9"/>
        <v>10.693999781132348</v>
      </c>
    </row>
    <row r="107" spans="1:20" x14ac:dyDescent="0.25">
      <c r="A107" s="14">
        <f t="shared" si="18"/>
        <v>0.61618589743589747</v>
      </c>
      <c r="B107" s="2">
        <f t="shared" si="11"/>
        <v>102</v>
      </c>
      <c r="C107" s="4">
        <f t="shared" si="12"/>
        <v>55.33</v>
      </c>
      <c r="D107" s="2">
        <v>9.5</v>
      </c>
      <c r="E107" s="2">
        <v>50.26548245743669</v>
      </c>
      <c r="F107" s="11">
        <f t="shared" si="0"/>
        <v>1.8899649492162571</v>
      </c>
      <c r="G107" s="2">
        <f t="shared" si="1"/>
        <v>104.57176064013551</v>
      </c>
      <c r="H107" s="2">
        <f t="shared" si="2"/>
        <v>2.3391464391676191</v>
      </c>
      <c r="I107" s="2">
        <f t="shared" si="3"/>
        <v>129.42497247914437</v>
      </c>
      <c r="J107" s="2">
        <f t="shared" si="4"/>
        <v>24.853211839008864</v>
      </c>
      <c r="K107" s="15">
        <f t="shared" si="19"/>
        <v>0.59300213675213675</v>
      </c>
      <c r="L107" s="2">
        <f t="shared" si="14"/>
        <v>102</v>
      </c>
      <c r="M107" s="2">
        <f t="shared" si="15"/>
        <v>55.08</v>
      </c>
      <c r="N107" s="2">
        <v>12</v>
      </c>
      <c r="O107" s="2">
        <v>50.26548245743669</v>
      </c>
      <c r="P107" s="11">
        <f t="shared" si="5"/>
        <v>2.3873241463784298</v>
      </c>
      <c r="Q107" s="2">
        <f t="shared" si="6"/>
        <v>131.4938139825239</v>
      </c>
      <c r="R107" s="2">
        <f t="shared" si="7"/>
        <v>2.4837848789711394</v>
      </c>
      <c r="S107" s="2">
        <f t="shared" si="8"/>
        <v>136.80687113373037</v>
      </c>
      <c r="T107" s="2">
        <f t="shared" si="9"/>
        <v>5.3130571512064648</v>
      </c>
    </row>
    <row r="108" spans="1:20" x14ac:dyDescent="0.25">
      <c r="A108" s="14">
        <f t="shared" si="18"/>
        <v>0.6163105413105413</v>
      </c>
      <c r="B108" s="2">
        <f t="shared" si="11"/>
        <v>103</v>
      </c>
      <c r="C108" s="4">
        <f t="shared" si="12"/>
        <v>55.83</v>
      </c>
      <c r="D108" s="2">
        <v>10</v>
      </c>
      <c r="E108" s="2">
        <v>50.26548245743669</v>
      </c>
      <c r="F108" s="11">
        <f t="shared" si="0"/>
        <v>1.9894367886486919</v>
      </c>
      <c r="G108" s="2">
        <f t="shared" si="1"/>
        <v>111.07025591025646</v>
      </c>
      <c r="H108" s="2">
        <f t="shared" si="2"/>
        <v>2.3391464391676191</v>
      </c>
      <c r="I108" s="2">
        <f t="shared" si="3"/>
        <v>130.59454569872818</v>
      </c>
      <c r="J108" s="2">
        <f t="shared" si="4"/>
        <v>19.524289788471719</v>
      </c>
      <c r="K108" s="15">
        <f t="shared" si="19"/>
        <v>0.59314458689458693</v>
      </c>
      <c r="L108" s="2">
        <f t="shared" si="14"/>
        <v>103</v>
      </c>
      <c r="M108" s="2">
        <f t="shared" si="15"/>
        <v>55.58</v>
      </c>
      <c r="N108" s="2">
        <v>10.5</v>
      </c>
      <c r="O108" s="2">
        <v>50.26548245743669</v>
      </c>
      <c r="P108" s="11">
        <f t="shared" si="5"/>
        <v>2.0889086280811267</v>
      </c>
      <c r="Q108" s="2">
        <f t="shared" si="6"/>
        <v>116.10154154874901</v>
      </c>
      <c r="R108" s="2">
        <f t="shared" si="7"/>
        <v>2.4837848789711394</v>
      </c>
      <c r="S108" s="2">
        <f t="shared" si="8"/>
        <v>138.04876357321592</v>
      </c>
      <c r="T108" s="2">
        <f t="shared" si="9"/>
        <v>21.94722202446691</v>
      </c>
    </row>
    <row r="109" spans="1:20" x14ac:dyDescent="0.25">
      <c r="A109" s="14">
        <f t="shared" si="18"/>
        <v>0.61643518518518525</v>
      </c>
      <c r="B109" s="21">
        <f t="shared" si="11"/>
        <v>104</v>
      </c>
      <c r="C109" s="22">
        <f t="shared" si="12"/>
        <v>56.33</v>
      </c>
      <c r="D109" s="21">
        <v>9.5</v>
      </c>
      <c r="E109" s="2">
        <v>50.26548245743669</v>
      </c>
      <c r="F109" s="11">
        <f t="shared" si="0"/>
        <v>1.8899649492162571</v>
      </c>
      <c r="G109" s="2">
        <f t="shared" si="1"/>
        <v>106.46172558935176</v>
      </c>
      <c r="H109" s="2">
        <f t="shared" si="2"/>
        <v>2.3391464391676191</v>
      </c>
      <c r="I109" s="2">
        <f t="shared" si="3"/>
        <v>131.76411891831199</v>
      </c>
      <c r="J109" s="2">
        <f t="shared" si="4"/>
        <v>25.302393328960235</v>
      </c>
      <c r="K109" s="15">
        <f t="shared" si="19"/>
        <v>0.593287037037037</v>
      </c>
      <c r="L109" s="21">
        <f t="shared" si="14"/>
        <v>104</v>
      </c>
      <c r="M109" s="21">
        <f t="shared" si="15"/>
        <v>56.08</v>
      </c>
      <c r="N109" s="21">
        <v>10.5</v>
      </c>
      <c r="O109" s="2">
        <v>50.26548245743669</v>
      </c>
      <c r="P109" s="11">
        <f t="shared" si="5"/>
        <v>2.0889086280811267</v>
      </c>
      <c r="Q109" s="2">
        <f t="shared" si="6"/>
        <v>117.14599586278958</v>
      </c>
      <c r="R109" s="2">
        <f t="shared" si="7"/>
        <v>2.4837848789711394</v>
      </c>
      <c r="S109" s="2">
        <f t="shared" si="8"/>
        <v>139.2906560127015</v>
      </c>
      <c r="T109" s="2">
        <f t="shared" si="9"/>
        <v>22.144660149911928</v>
      </c>
    </row>
    <row r="110" spans="1:20" x14ac:dyDescent="0.25">
      <c r="A110" s="14">
        <f t="shared" si="18"/>
        <v>0.61655982905982909</v>
      </c>
      <c r="B110" s="21">
        <f t="shared" si="11"/>
        <v>105</v>
      </c>
      <c r="C110" s="22">
        <f>C109+1.5</f>
        <v>57.83</v>
      </c>
      <c r="D110" s="21">
        <v>10</v>
      </c>
      <c r="E110" s="2">
        <v>50.26548245743669</v>
      </c>
      <c r="F110" s="11">
        <f t="shared" si="0"/>
        <v>1.9894367886486919</v>
      </c>
      <c r="G110" s="2">
        <f t="shared" si="1"/>
        <v>115.04912948755384</v>
      </c>
      <c r="H110" s="2">
        <f t="shared" si="2"/>
        <v>2.3391464391676191</v>
      </c>
      <c r="I110" s="2">
        <f t="shared" si="3"/>
        <v>135.2728385770634</v>
      </c>
      <c r="J110" s="2">
        <f t="shared" si="4"/>
        <v>20.223709089509555</v>
      </c>
      <c r="K110" s="15">
        <f t="shared" si="19"/>
        <v>0.59342948717948718</v>
      </c>
      <c r="L110" s="21">
        <f t="shared" si="14"/>
        <v>105</v>
      </c>
      <c r="M110" s="21">
        <f>M109+1.5</f>
        <v>57.58</v>
      </c>
      <c r="N110" s="21">
        <v>10.5</v>
      </c>
      <c r="O110" s="2">
        <v>50.26548245743669</v>
      </c>
      <c r="P110" s="11">
        <f t="shared" si="5"/>
        <v>2.0889086280811267</v>
      </c>
      <c r="Q110" s="2">
        <f t="shared" si="6"/>
        <v>120.27935880491127</v>
      </c>
      <c r="R110" s="2">
        <f t="shared" si="7"/>
        <v>2.4837848789711394</v>
      </c>
      <c r="S110" s="2">
        <f t="shared" si="8"/>
        <v>143.01633333115819</v>
      </c>
      <c r="T110" s="2">
        <f t="shared" si="9"/>
        <v>22.736974526246925</v>
      </c>
    </row>
    <row r="111" spans="1:20" x14ac:dyDescent="0.25">
      <c r="A111" s="14">
        <f t="shared" si="18"/>
        <v>0.61668447293447293</v>
      </c>
      <c r="B111" s="21">
        <f t="shared" si="11"/>
        <v>106</v>
      </c>
      <c r="C111" s="22">
        <f t="shared" ref="C111:C162" si="20">C110+0.5</f>
        <v>58.33</v>
      </c>
      <c r="D111" s="21">
        <v>10</v>
      </c>
      <c r="E111" s="2">
        <v>50.26548245743669</v>
      </c>
      <c r="F111" s="11">
        <f t="shared" si="0"/>
        <v>1.9894367886486919</v>
      </c>
      <c r="G111" s="2">
        <f t="shared" si="1"/>
        <v>116.04384788187819</v>
      </c>
      <c r="H111" s="2">
        <f t="shared" si="2"/>
        <v>2.3391464391676191</v>
      </c>
      <c r="I111" s="2">
        <f t="shared" si="3"/>
        <v>136.44241179664721</v>
      </c>
      <c r="J111" s="2">
        <f t="shared" si="4"/>
        <v>20.398563914769014</v>
      </c>
      <c r="K111" s="15">
        <f t="shared" si="19"/>
        <v>0.59357193732193736</v>
      </c>
      <c r="L111" s="21">
        <f t="shared" si="14"/>
        <v>106</v>
      </c>
      <c r="M111" s="21">
        <f t="shared" ref="M111:M162" si="21">M110+0.5</f>
        <v>58.08</v>
      </c>
      <c r="N111" s="21">
        <v>12</v>
      </c>
      <c r="O111" s="2">
        <v>50.26548245743669</v>
      </c>
      <c r="P111" s="11">
        <f t="shared" si="5"/>
        <v>2.3873241463784298</v>
      </c>
      <c r="Q111" s="2">
        <f t="shared" si="6"/>
        <v>138.6557864216592</v>
      </c>
      <c r="R111" s="2">
        <f t="shared" si="7"/>
        <v>2.4837848789711394</v>
      </c>
      <c r="S111" s="2">
        <f t="shared" si="8"/>
        <v>144.25822577064378</v>
      </c>
      <c r="T111" s="2">
        <f t="shared" si="9"/>
        <v>5.602439348984575</v>
      </c>
    </row>
    <row r="112" spans="1:20" x14ac:dyDescent="0.25">
      <c r="A112" s="14">
        <f t="shared" si="18"/>
        <v>0.61680911680911688</v>
      </c>
      <c r="B112" s="2">
        <f t="shared" si="11"/>
        <v>107</v>
      </c>
      <c r="C112" s="4">
        <f t="shared" si="20"/>
        <v>58.83</v>
      </c>
      <c r="D112" s="2">
        <v>9.5</v>
      </c>
      <c r="E112" s="2">
        <v>50.26548245743669</v>
      </c>
      <c r="F112" s="11">
        <f t="shared" si="0"/>
        <v>1.8899649492162571</v>
      </c>
      <c r="G112" s="2">
        <f t="shared" si="1"/>
        <v>111.18663796239241</v>
      </c>
      <c r="H112" s="2">
        <f t="shared" si="2"/>
        <v>2.3391464391676191</v>
      </c>
      <c r="I112" s="2">
        <f t="shared" si="3"/>
        <v>137.61198501623102</v>
      </c>
      <c r="J112" s="2">
        <f t="shared" si="4"/>
        <v>26.425347053838607</v>
      </c>
      <c r="K112" s="15">
        <f t="shared" si="19"/>
        <v>0.59371438746438743</v>
      </c>
      <c r="L112" s="2">
        <f t="shared" si="14"/>
        <v>107</v>
      </c>
      <c r="M112" s="2">
        <f t="shared" si="21"/>
        <v>58.58</v>
      </c>
      <c r="N112" s="2">
        <v>11.5</v>
      </c>
      <c r="O112" s="2">
        <v>50.26548245743669</v>
      </c>
      <c r="P112" s="11">
        <f t="shared" si="5"/>
        <v>2.2878523069459957</v>
      </c>
      <c r="Q112" s="2">
        <f t="shared" si="6"/>
        <v>134.02238814089642</v>
      </c>
      <c r="R112" s="2">
        <f t="shared" si="7"/>
        <v>2.4837848789711394</v>
      </c>
      <c r="S112" s="2">
        <f t="shared" si="8"/>
        <v>145.50011821012933</v>
      </c>
      <c r="T112" s="2">
        <f t="shared" si="9"/>
        <v>11.477730069232905</v>
      </c>
    </row>
    <row r="113" spans="1:20" x14ac:dyDescent="0.25">
      <c r="A113" s="14">
        <f t="shared" si="18"/>
        <v>0.61693376068376071</v>
      </c>
      <c r="B113" s="2">
        <f t="shared" si="11"/>
        <v>108</v>
      </c>
      <c r="C113" s="4">
        <f t="shared" si="20"/>
        <v>59.33</v>
      </c>
      <c r="D113" s="2">
        <v>11</v>
      </c>
      <c r="E113" s="2">
        <v>50.26548245743669</v>
      </c>
      <c r="F113" s="11">
        <f t="shared" si="0"/>
        <v>2.1883804675135607</v>
      </c>
      <c r="G113" s="2">
        <f t="shared" si="1"/>
        <v>129.83661313757955</v>
      </c>
      <c r="H113" s="2">
        <f t="shared" si="2"/>
        <v>2.3391464391676191</v>
      </c>
      <c r="I113" s="2">
        <f t="shared" si="3"/>
        <v>138.78155823581483</v>
      </c>
      <c r="J113" s="2">
        <f t="shared" si="4"/>
        <v>8.9449450982352801</v>
      </c>
      <c r="K113" s="15">
        <f t="shared" si="19"/>
        <v>0.59385683760683761</v>
      </c>
      <c r="L113" s="2">
        <f t="shared" si="14"/>
        <v>108</v>
      </c>
      <c r="M113" s="2">
        <f t="shared" si="21"/>
        <v>59.08</v>
      </c>
      <c r="N113" s="2">
        <v>10.5</v>
      </c>
      <c r="O113" s="2">
        <v>50.26548245743669</v>
      </c>
      <c r="P113" s="11">
        <f t="shared" si="5"/>
        <v>2.0889086280811267</v>
      </c>
      <c r="Q113" s="2">
        <f t="shared" si="6"/>
        <v>123.41272174703296</v>
      </c>
      <c r="R113" s="2">
        <f t="shared" si="7"/>
        <v>2.4837848789711394</v>
      </c>
      <c r="S113" s="2">
        <f t="shared" si="8"/>
        <v>146.74201064961491</v>
      </c>
      <c r="T113" s="2">
        <f t="shared" si="9"/>
        <v>23.329288902581951</v>
      </c>
    </row>
    <row r="114" spans="1:20" x14ac:dyDescent="0.25">
      <c r="A114" s="14">
        <f t="shared" si="18"/>
        <v>0.61705840455840455</v>
      </c>
      <c r="B114" s="2">
        <f t="shared" si="11"/>
        <v>109</v>
      </c>
      <c r="C114" s="4">
        <f t="shared" si="20"/>
        <v>59.83</v>
      </c>
      <c r="D114" s="2">
        <v>11</v>
      </c>
      <c r="E114" s="2">
        <v>50.26548245743669</v>
      </c>
      <c r="F114" s="11">
        <f t="shared" si="0"/>
        <v>2.1883804675135607</v>
      </c>
      <c r="G114" s="2">
        <f t="shared" si="1"/>
        <v>130.93080337133634</v>
      </c>
      <c r="H114" s="2">
        <f t="shared" si="2"/>
        <v>2.3391464391676191</v>
      </c>
      <c r="I114" s="2">
        <f t="shared" si="3"/>
        <v>139.95113145539864</v>
      </c>
      <c r="J114" s="2">
        <f t="shared" si="4"/>
        <v>9.0203280840622995</v>
      </c>
      <c r="K114" s="15">
        <f t="shared" si="19"/>
        <v>0.59399928774928779</v>
      </c>
      <c r="L114" s="2">
        <f t="shared" si="14"/>
        <v>109</v>
      </c>
      <c r="M114" s="2">
        <f t="shared" si="21"/>
        <v>59.58</v>
      </c>
      <c r="N114" s="2">
        <v>10</v>
      </c>
      <c r="O114" s="2">
        <v>50.26548245743669</v>
      </c>
      <c r="P114" s="11">
        <f t="shared" si="5"/>
        <v>1.9894367886486919</v>
      </c>
      <c r="Q114" s="2">
        <f t="shared" si="6"/>
        <v>118.53064386768907</v>
      </c>
      <c r="R114" s="2">
        <f t="shared" si="7"/>
        <v>2.4837848789711394</v>
      </c>
      <c r="S114" s="2">
        <f t="shared" si="8"/>
        <v>147.98390308910049</v>
      </c>
      <c r="T114" s="2">
        <f t="shared" si="9"/>
        <v>29.453259221411429</v>
      </c>
    </row>
    <row r="115" spans="1:20" x14ac:dyDescent="0.25">
      <c r="A115" s="14">
        <f t="shared" si="18"/>
        <v>0.6171830484330485</v>
      </c>
      <c r="B115" s="2">
        <f t="shared" si="11"/>
        <v>110</v>
      </c>
      <c r="C115" s="4">
        <f t="shared" si="20"/>
        <v>60.33</v>
      </c>
      <c r="D115" s="2">
        <v>12</v>
      </c>
      <c r="E115" s="2">
        <v>50.26548245743669</v>
      </c>
      <c r="F115" s="11">
        <f t="shared" si="0"/>
        <v>2.3873241463784298</v>
      </c>
      <c r="G115" s="2">
        <f t="shared" si="1"/>
        <v>144.02726575101067</v>
      </c>
      <c r="H115" s="2">
        <f t="shared" si="2"/>
        <v>2.3391464391676191</v>
      </c>
      <c r="I115" s="2">
        <f t="shared" si="3"/>
        <v>141.12070467498245</v>
      </c>
      <c r="J115" s="2">
        <f t="shared" si="4"/>
        <v>2.9065610760282254</v>
      </c>
      <c r="K115" s="15">
        <f t="shared" si="19"/>
        <v>0.59414173789173785</v>
      </c>
      <c r="L115" s="2">
        <f t="shared" si="14"/>
        <v>110</v>
      </c>
      <c r="M115" s="2">
        <f t="shared" si="21"/>
        <v>60.08</v>
      </c>
      <c r="N115" s="2">
        <v>12.5</v>
      </c>
      <c r="O115" s="2">
        <v>50.26548245743669</v>
      </c>
      <c r="P115" s="11">
        <f t="shared" si="5"/>
        <v>2.4867959858108648</v>
      </c>
      <c r="Q115" s="2">
        <f t="shared" si="6"/>
        <v>149.40670282751677</v>
      </c>
      <c r="R115" s="2">
        <f t="shared" si="7"/>
        <v>2.4837848789711394</v>
      </c>
      <c r="S115" s="2">
        <f t="shared" si="8"/>
        <v>149.22579552858605</v>
      </c>
      <c r="T115" s="2">
        <f t="shared" si="9"/>
        <v>0.18090729893071966</v>
      </c>
    </row>
    <row r="116" spans="1:20" x14ac:dyDescent="0.25">
      <c r="A116" s="14">
        <f t="shared" si="18"/>
        <v>0.61730769230769234</v>
      </c>
      <c r="B116" s="2">
        <f t="shared" si="11"/>
        <v>111</v>
      </c>
      <c r="C116" s="4">
        <f t="shared" si="20"/>
        <v>60.83</v>
      </c>
      <c r="D116" s="2">
        <v>14.5</v>
      </c>
      <c r="E116" s="2">
        <v>50.26548245743669</v>
      </c>
      <c r="F116" s="11">
        <f t="shared" si="0"/>
        <v>2.8846833435406034</v>
      </c>
      <c r="G116" s="2">
        <f t="shared" si="1"/>
        <v>175.4752877875749</v>
      </c>
      <c r="H116" s="2">
        <f t="shared" si="2"/>
        <v>2.3391464391676191</v>
      </c>
      <c r="I116" s="2">
        <f t="shared" si="3"/>
        <v>142.29027789456626</v>
      </c>
      <c r="J116" s="2">
        <f t="shared" si="4"/>
        <v>33.18500989300864</v>
      </c>
      <c r="K116" s="15">
        <f t="shared" si="19"/>
        <v>0.59428418803418803</v>
      </c>
      <c r="L116" s="2">
        <f t="shared" si="14"/>
        <v>111</v>
      </c>
      <c r="M116" s="2">
        <f t="shared" si="21"/>
        <v>60.58</v>
      </c>
      <c r="N116" s="2">
        <v>14</v>
      </c>
      <c r="O116" s="2">
        <v>50.26548245743669</v>
      </c>
      <c r="P116" s="11">
        <f t="shared" si="5"/>
        <v>2.7852115041081689</v>
      </c>
      <c r="Q116" s="2">
        <f t="shared" si="6"/>
        <v>168.72811291887285</v>
      </c>
      <c r="R116" s="2">
        <f t="shared" si="7"/>
        <v>2.4837848789711394</v>
      </c>
      <c r="S116" s="2">
        <f t="shared" si="8"/>
        <v>150.46768796807163</v>
      </c>
      <c r="T116" s="2">
        <f t="shared" si="9"/>
        <v>18.260424950801223</v>
      </c>
    </row>
    <row r="117" spans="1:20" x14ac:dyDescent="0.25">
      <c r="A117" s="14">
        <f t="shared" si="18"/>
        <v>0.61743233618233617</v>
      </c>
      <c r="B117" s="2">
        <f t="shared" si="11"/>
        <v>112</v>
      </c>
      <c r="C117" s="4">
        <f t="shared" si="20"/>
        <v>61.33</v>
      </c>
      <c r="D117" s="2">
        <v>13</v>
      </c>
      <c r="E117" s="2">
        <v>50.26548245743669</v>
      </c>
      <c r="F117" s="11">
        <f t="shared" si="0"/>
        <v>2.5862678252432989</v>
      </c>
      <c r="G117" s="2">
        <f t="shared" si="1"/>
        <v>158.61580572217153</v>
      </c>
      <c r="H117" s="2">
        <f t="shared" si="2"/>
        <v>2.3391464391676191</v>
      </c>
      <c r="I117" s="2">
        <f t="shared" si="3"/>
        <v>143.45985111415007</v>
      </c>
      <c r="J117" s="2">
        <f t="shared" si="4"/>
        <v>15.15595460802146</v>
      </c>
      <c r="K117" s="15">
        <f t="shared" si="19"/>
        <v>0.59442663817663821</v>
      </c>
      <c r="L117" s="2">
        <f t="shared" si="14"/>
        <v>112</v>
      </c>
      <c r="M117" s="2">
        <f t="shared" si="21"/>
        <v>61.08</v>
      </c>
      <c r="N117" s="2">
        <v>13.5</v>
      </c>
      <c r="O117" s="2">
        <v>50.26548245743669</v>
      </c>
      <c r="P117" s="11">
        <f t="shared" si="5"/>
        <v>2.6857396646757339</v>
      </c>
      <c r="Q117" s="2">
        <f t="shared" si="6"/>
        <v>164.04497871839382</v>
      </c>
      <c r="R117" s="2">
        <f t="shared" si="7"/>
        <v>2.4837848789711394</v>
      </c>
      <c r="S117" s="2">
        <f t="shared" si="8"/>
        <v>151.70958040755718</v>
      </c>
      <c r="T117" s="2">
        <f t="shared" si="9"/>
        <v>12.335398310836638</v>
      </c>
    </row>
    <row r="118" spans="1:20" x14ac:dyDescent="0.25">
      <c r="A118" s="14">
        <f t="shared" si="18"/>
        <v>0.61755698005698012</v>
      </c>
      <c r="B118" s="2">
        <f t="shared" si="11"/>
        <v>113</v>
      </c>
      <c r="C118" s="4">
        <f t="shared" si="20"/>
        <v>61.83</v>
      </c>
      <c r="D118" s="2">
        <v>13</v>
      </c>
      <c r="E118" s="2">
        <v>50.26548245743669</v>
      </c>
      <c r="F118" s="11">
        <f t="shared" si="0"/>
        <v>2.5862678252432989</v>
      </c>
      <c r="G118" s="2">
        <f t="shared" si="1"/>
        <v>159.90893963479317</v>
      </c>
      <c r="H118" s="2">
        <f t="shared" si="2"/>
        <v>2.3391464391676191</v>
      </c>
      <c r="I118" s="2">
        <f t="shared" si="3"/>
        <v>144.62942433373388</v>
      </c>
      <c r="J118" s="2">
        <f t="shared" si="4"/>
        <v>15.279515301059291</v>
      </c>
      <c r="K118" s="15">
        <f t="shared" si="19"/>
        <v>0.59456908831908828</v>
      </c>
      <c r="L118" s="2">
        <f t="shared" si="14"/>
        <v>113</v>
      </c>
      <c r="M118" s="2">
        <f t="shared" si="21"/>
        <v>61.58</v>
      </c>
      <c r="N118" s="2">
        <v>14.5</v>
      </c>
      <c r="O118" s="2">
        <v>50.26548245743669</v>
      </c>
      <c r="P118" s="11">
        <f t="shared" si="5"/>
        <v>2.8846833435406034</v>
      </c>
      <c r="Q118" s="2">
        <f t="shared" si="6"/>
        <v>177.63880029523034</v>
      </c>
      <c r="R118" s="2">
        <f t="shared" si="7"/>
        <v>2.4837848789711394</v>
      </c>
      <c r="S118" s="2">
        <f t="shared" si="8"/>
        <v>152.95147284704277</v>
      </c>
      <c r="T118" s="2">
        <f t="shared" si="9"/>
        <v>24.687327448187574</v>
      </c>
    </row>
    <row r="119" spans="1:20" x14ac:dyDescent="0.25">
      <c r="A119" s="14">
        <f t="shared" si="18"/>
        <v>0.61768162393162396</v>
      </c>
      <c r="B119" s="2">
        <f t="shared" si="11"/>
        <v>114</v>
      </c>
      <c r="C119" s="4">
        <f t="shared" si="20"/>
        <v>62.33</v>
      </c>
      <c r="D119" s="2">
        <v>2.5</v>
      </c>
      <c r="E119" s="2">
        <v>50.26548245743669</v>
      </c>
      <c r="F119" s="11">
        <f t="shared" si="0"/>
        <v>0.49735919716217297</v>
      </c>
      <c r="G119" s="2">
        <f t="shared" si="1"/>
        <v>31.000398759118241</v>
      </c>
      <c r="H119" s="2">
        <f t="shared" si="2"/>
        <v>2.3391464391676191</v>
      </c>
      <c r="I119" s="2">
        <f t="shared" si="3"/>
        <v>145.79899755331769</v>
      </c>
      <c r="J119" s="2">
        <f t="shared" si="4"/>
        <v>114.79859879419945</v>
      </c>
      <c r="K119" s="15">
        <f t="shared" si="19"/>
        <v>0.59471153846153846</v>
      </c>
      <c r="L119" s="2">
        <f t="shared" si="14"/>
        <v>114</v>
      </c>
      <c r="M119" s="2">
        <f t="shared" si="21"/>
        <v>62.08</v>
      </c>
      <c r="N119" s="2">
        <v>14.5</v>
      </c>
      <c r="O119" s="2">
        <v>50.26548245743669</v>
      </c>
      <c r="P119" s="11">
        <f t="shared" si="5"/>
        <v>2.8846833435406034</v>
      </c>
      <c r="Q119" s="2">
        <f t="shared" si="6"/>
        <v>179.08114196700066</v>
      </c>
      <c r="R119" s="2">
        <f t="shared" si="7"/>
        <v>2.4837848789711394</v>
      </c>
      <c r="S119" s="2">
        <f t="shared" si="8"/>
        <v>154.19336528652832</v>
      </c>
      <c r="T119" s="2">
        <f t="shared" si="9"/>
        <v>24.887776680472342</v>
      </c>
    </row>
    <row r="120" spans="1:20" x14ac:dyDescent="0.25">
      <c r="A120" s="14">
        <f t="shared" si="18"/>
        <v>0.61780626780626779</v>
      </c>
      <c r="B120" s="2">
        <f t="shared" si="11"/>
        <v>115</v>
      </c>
      <c r="C120" s="4">
        <f t="shared" si="20"/>
        <v>62.83</v>
      </c>
      <c r="D120" s="2">
        <v>14</v>
      </c>
      <c r="E120" s="2">
        <v>50.26548245743669</v>
      </c>
      <c r="F120" s="11">
        <f t="shared" si="0"/>
        <v>2.7852115041081689</v>
      </c>
      <c r="G120" s="2">
        <f t="shared" si="1"/>
        <v>174.99483880311624</v>
      </c>
      <c r="H120" s="2">
        <f t="shared" si="2"/>
        <v>2.3391464391676191</v>
      </c>
      <c r="I120" s="2">
        <f t="shared" si="3"/>
        <v>146.9685707729015</v>
      </c>
      <c r="J120" s="2">
        <f t="shared" si="4"/>
        <v>28.026268030214737</v>
      </c>
      <c r="K120" s="15">
        <f t="shared" si="19"/>
        <v>0.59485398860398864</v>
      </c>
      <c r="L120" s="2">
        <f t="shared" si="14"/>
        <v>115</v>
      </c>
      <c r="M120" s="2">
        <f t="shared" si="21"/>
        <v>62.58</v>
      </c>
      <c r="N120" s="2">
        <v>13.5</v>
      </c>
      <c r="O120" s="2">
        <v>50.26548245743669</v>
      </c>
      <c r="P120" s="11">
        <f t="shared" si="5"/>
        <v>2.6857396646757339</v>
      </c>
      <c r="Q120" s="2">
        <f t="shared" si="6"/>
        <v>168.07358821540743</v>
      </c>
      <c r="R120" s="2">
        <f t="shared" si="7"/>
        <v>2.4837848789711394</v>
      </c>
      <c r="S120" s="2">
        <f t="shared" si="8"/>
        <v>155.4352577260139</v>
      </c>
      <c r="T120" s="2">
        <f t="shared" si="9"/>
        <v>12.638330489393525</v>
      </c>
    </row>
    <row r="121" spans="1:20" x14ac:dyDescent="0.25">
      <c r="A121" s="14">
        <f t="shared" si="18"/>
        <v>0.61793091168091174</v>
      </c>
      <c r="B121" s="2">
        <f t="shared" si="11"/>
        <v>116</v>
      </c>
      <c r="C121" s="4">
        <f t="shared" si="20"/>
        <v>63.33</v>
      </c>
      <c r="D121" s="2">
        <v>14</v>
      </c>
      <c r="E121" s="2">
        <v>50.26548245743669</v>
      </c>
      <c r="F121" s="11">
        <f t="shared" si="0"/>
        <v>2.7852115041081689</v>
      </c>
      <c r="G121" s="2">
        <f t="shared" si="1"/>
        <v>176.38744455517033</v>
      </c>
      <c r="H121" s="2">
        <f t="shared" si="2"/>
        <v>2.3391464391676191</v>
      </c>
      <c r="I121" s="2">
        <f t="shared" si="3"/>
        <v>148.13814399248531</v>
      </c>
      <c r="J121" s="2">
        <f t="shared" si="4"/>
        <v>28.249300562685022</v>
      </c>
      <c r="K121" s="15">
        <f t="shared" si="19"/>
        <v>0.59499643874643871</v>
      </c>
      <c r="L121" s="2">
        <f t="shared" si="14"/>
        <v>116</v>
      </c>
      <c r="M121" s="2">
        <f t="shared" si="21"/>
        <v>63.08</v>
      </c>
      <c r="N121" s="2">
        <v>13</v>
      </c>
      <c r="O121" s="2">
        <v>50.26548245743669</v>
      </c>
      <c r="P121" s="11">
        <f t="shared" si="5"/>
        <v>2.5862678252432989</v>
      </c>
      <c r="Q121" s="2">
        <f t="shared" si="6"/>
        <v>163.14177441634729</v>
      </c>
      <c r="R121" s="2">
        <f t="shared" si="7"/>
        <v>2.4837848789711394</v>
      </c>
      <c r="S121" s="2">
        <f t="shared" si="8"/>
        <v>156.67715016549948</v>
      </c>
      <c r="T121" s="2">
        <f t="shared" si="9"/>
        <v>6.4646242508478053</v>
      </c>
    </row>
    <row r="122" spans="1:20" x14ac:dyDescent="0.25">
      <c r="A122" s="10">
        <v>0.61805555555555558</v>
      </c>
      <c r="B122" s="2">
        <f t="shared" si="11"/>
        <v>117</v>
      </c>
      <c r="C122" s="4">
        <f t="shared" si="20"/>
        <v>63.83</v>
      </c>
      <c r="D122" s="2">
        <v>12.5</v>
      </c>
      <c r="E122" s="2">
        <v>50.26548245743669</v>
      </c>
      <c r="F122" s="11">
        <f t="shared" si="0"/>
        <v>2.4867959858108648</v>
      </c>
      <c r="G122" s="2">
        <f t="shared" si="1"/>
        <v>158.7321877743075</v>
      </c>
      <c r="H122" s="2">
        <f t="shared" si="2"/>
        <v>2.3391464391676191</v>
      </c>
      <c r="I122" s="2">
        <f t="shared" si="3"/>
        <v>149.30771721206912</v>
      </c>
      <c r="J122" s="2">
        <f t="shared" si="4"/>
        <v>9.4244705622383833</v>
      </c>
      <c r="K122" s="12">
        <v>0.59513888888888888</v>
      </c>
      <c r="L122" s="2">
        <f t="shared" si="14"/>
        <v>117</v>
      </c>
      <c r="M122" s="2">
        <f t="shared" si="21"/>
        <v>63.58</v>
      </c>
      <c r="N122" s="2">
        <v>13.5</v>
      </c>
      <c r="O122" s="2">
        <v>50.26548245743669</v>
      </c>
      <c r="P122" s="11">
        <f t="shared" si="5"/>
        <v>2.6857396646757339</v>
      </c>
      <c r="Q122" s="2">
        <f t="shared" si="6"/>
        <v>170.75932788008316</v>
      </c>
      <c r="R122" s="2">
        <f t="shared" si="7"/>
        <v>2.4837848789711394</v>
      </c>
      <c r="S122" s="2">
        <f t="shared" si="8"/>
        <v>157.91904260498504</v>
      </c>
      <c r="T122" s="2">
        <f t="shared" si="9"/>
        <v>12.840285275098125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0.61825142450142456</v>
      </c>
      <c r="B123" s="2">
        <f t="shared" si="11"/>
        <v>118</v>
      </c>
      <c r="C123" s="4">
        <f t="shared" si="20"/>
        <v>64.33</v>
      </c>
      <c r="D123" s="2">
        <v>12.5</v>
      </c>
      <c r="E123" s="2">
        <v>50.26548245743669</v>
      </c>
      <c r="F123" s="11">
        <f t="shared" si="0"/>
        <v>2.4867959858108648</v>
      </c>
      <c r="G123" s="2">
        <f t="shared" si="1"/>
        <v>159.97558576721292</v>
      </c>
      <c r="H123" s="2">
        <f t="shared" si="2"/>
        <v>2.3391464391676191</v>
      </c>
      <c r="I123" s="2">
        <f t="shared" si="3"/>
        <v>150.47729043165293</v>
      </c>
      <c r="J123" s="2">
        <f t="shared" si="4"/>
        <v>9.4982953355599875</v>
      </c>
      <c r="K123" s="15">
        <f t="shared" ref="K123:K160" si="23">IF(AND($K$122&lt;&gt;"",$K$161&lt;&gt;""), $K$122 + (L123 - $L$122) * (($K$161 - $K$122) / ($L$161 - $L$122)), "")</f>
        <v>0.59526353276353272</v>
      </c>
      <c r="L123" s="2">
        <f t="shared" si="14"/>
        <v>118</v>
      </c>
      <c r="M123" s="2">
        <f t="shared" si="21"/>
        <v>64.08</v>
      </c>
      <c r="N123" s="2">
        <v>14.5</v>
      </c>
      <c r="O123" s="2">
        <v>50.26548245743669</v>
      </c>
      <c r="P123" s="11">
        <f t="shared" si="5"/>
        <v>2.8846833435406034</v>
      </c>
      <c r="Q123" s="2">
        <f t="shared" si="6"/>
        <v>184.85050865408186</v>
      </c>
      <c r="R123" s="2">
        <f t="shared" si="7"/>
        <v>2.4837848789711394</v>
      </c>
      <c r="S123" s="2">
        <f t="shared" si="8"/>
        <v>159.16093504447062</v>
      </c>
      <c r="T123" s="2">
        <f t="shared" si="9"/>
        <v>25.689573609611244</v>
      </c>
    </row>
    <row r="124" spans="1:20" x14ac:dyDescent="0.25">
      <c r="A124" s="14">
        <f t="shared" si="22"/>
        <v>0.61844729344729343</v>
      </c>
      <c r="B124" s="2">
        <f t="shared" si="11"/>
        <v>119</v>
      </c>
      <c r="C124" s="4">
        <f t="shared" si="20"/>
        <v>64.83</v>
      </c>
      <c r="D124" s="2">
        <v>13.5</v>
      </c>
      <c r="E124" s="2">
        <v>50.26548245743669</v>
      </c>
      <c r="F124" s="11">
        <f t="shared" si="0"/>
        <v>2.6857396646757339</v>
      </c>
      <c r="G124" s="2">
        <f t="shared" si="1"/>
        <v>174.11650246092782</v>
      </c>
      <c r="H124" s="2">
        <f t="shared" si="2"/>
        <v>2.3391464391676191</v>
      </c>
      <c r="I124" s="2">
        <f t="shared" si="3"/>
        <v>151.64686365123674</v>
      </c>
      <c r="J124" s="2">
        <f t="shared" si="4"/>
        <v>22.469638809691077</v>
      </c>
      <c r="K124" s="15">
        <f t="shared" si="23"/>
        <v>0.59538817663817667</v>
      </c>
      <c r="L124" s="2">
        <f t="shared" si="14"/>
        <v>119</v>
      </c>
      <c r="M124" s="2">
        <f t="shared" si="21"/>
        <v>64.58</v>
      </c>
      <c r="N124" s="2">
        <v>12.5</v>
      </c>
      <c r="O124" s="2">
        <v>50.26548245743669</v>
      </c>
      <c r="P124" s="11">
        <f t="shared" si="5"/>
        <v>2.4867959858108648</v>
      </c>
      <c r="Q124" s="2">
        <f t="shared" si="6"/>
        <v>160.59728476366564</v>
      </c>
      <c r="R124" s="2">
        <f t="shared" si="7"/>
        <v>2.4837848789711394</v>
      </c>
      <c r="S124" s="2">
        <f t="shared" si="8"/>
        <v>160.40282748395617</v>
      </c>
      <c r="T124" s="2">
        <f t="shared" si="9"/>
        <v>0.19445727970946791</v>
      </c>
    </row>
    <row r="125" spans="1:20" x14ac:dyDescent="0.25">
      <c r="A125" s="14">
        <f t="shared" si="22"/>
        <v>0.61864316239316242</v>
      </c>
      <c r="B125" s="2">
        <f t="shared" si="11"/>
        <v>120</v>
      </c>
      <c r="C125" s="4">
        <f t="shared" si="20"/>
        <v>65.33</v>
      </c>
      <c r="D125" s="2">
        <v>13</v>
      </c>
      <c r="E125" s="2">
        <v>50.26548245743669</v>
      </c>
      <c r="F125" s="11">
        <f t="shared" si="0"/>
        <v>2.5862678252432989</v>
      </c>
      <c r="G125" s="2">
        <f t="shared" si="1"/>
        <v>168.96087702314472</v>
      </c>
      <c r="H125" s="2">
        <f t="shared" si="2"/>
        <v>2.3391464391676191</v>
      </c>
      <c r="I125" s="2">
        <f t="shared" si="3"/>
        <v>152.81643687082055</v>
      </c>
      <c r="J125" s="2">
        <f t="shared" si="4"/>
        <v>16.144440152324165</v>
      </c>
      <c r="K125" s="15">
        <f t="shared" si="23"/>
        <v>0.59551282051282051</v>
      </c>
      <c r="L125" s="2">
        <f t="shared" si="14"/>
        <v>120</v>
      </c>
      <c r="M125" s="2">
        <f t="shared" si="21"/>
        <v>65.08</v>
      </c>
      <c r="N125" s="2">
        <v>14</v>
      </c>
      <c r="O125" s="2">
        <v>50.26548245743669</v>
      </c>
      <c r="P125" s="11">
        <f t="shared" si="5"/>
        <v>2.7852115041081689</v>
      </c>
      <c r="Q125" s="2">
        <f t="shared" si="6"/>
        <v>181.26156468735962</v>
      </c>
      <c r="R125" s="2">
        <f t="shared" si="7"/>
        <v>2.4837848789711394</v>
      </c>
      <c r="S125" s="2">
        <f t="shared" si="8"/>
        <v>161.64471992344176</v>
      </c>
      <c r="T125" s="2">
        <f t="shared" si="9"/>
        <v>19.616844763917868</v>
      </c>
    </row>
    <row r="126" spans="1:20" x14ac:dyDescent="0.25">
      <c r="A126" s="14">
        <f t="shared" si="22"/>
        <v>0.6188390313390314</v>
      </c>
      <c r="B126" s="2">
        <f t="shared" si="11"/>
        <v>121</v>
      </c>
      <c r="C126" s="4">
        <f t="shared" si="20"/>
        <v>65.83</v>
      </c>
      <c r="D126" s="2">
        <v>14</v>
      </c>
      <c r="E126" s="2">
        <v>50.26548245743669</v>
      </c>
      <c r="F126" s="11">
        <f t="shared" si="0"/>
        <v>2.7852115041081689</v>
      </c>
      <c r="G126" s="2">
        <f t="shared" si="1"/>
        <v>183.35047331544075</v>
      </c>
      <c r="H126" s="2">
        <f t="shared" si="2"/>
        <v>2.3391464391676191</v>
      </c>
      <c r="I126" s="2">
        <f t="shared" si="3"/>
        <v>153.98601009040436</v>
      </c>
      <c r="J126" s="2">
        <f t="shared" si="4"/>
        <v>29.364463225036388</v>
      </c>
      <c r="K126" s="15">
        <f t="shared" si="23"/>
        <v>0.59563746438746434</v>
      </c>
      <c r="L126" s="2">
        <f t="shared" si="14"/>
        <v>121</v>
      </c>
      <c r="M126" s="2">
        <f t="shared" si="21"/>
        <v>65.58</v>
      </c>
      <c r="N126" s="2">
        <v>14.5</v>
      </c>
      <c r="O126" s="2">
        <v>50.26548245743669</v>
      </c>
      <c r="P126" s="11">
        <f t="shared" si="5"/>
        <v>2.8846833435406034</v>
      </c>
      <c r="Q126" s="2">
        <f t="shared" si="6"/>
        <v>189.17753366939277</v>
      </c>
      <c r="R126" s="2">
        <f t="shared" si="7"/>
        <v>2.4837848789711394</v>
      </c>
      <c r="S126" s="2">
        <f t="shared" si="8"/>
        <v>162.88661236292731</v>
      </c>
      <c r="T126" s="2">
        <f t="shared" si="9"/>
        <v>26.290921306465464</v>
      </c>
    </row>
    <row r="127" spans="1:20" x14ac:dyDescent="0.25">
      <c r="A127" s="14">
        <f t="shared" si="22"/>
        <v>0.61903490028490027</v>
      </c>
      <c r="B127" s="2">
        <f t="shared" si="11"/>
        <v>122</v>
      </c>
      <c r="C127" s="4">
        <f t="shared" si="20"/>
        <v>66.33</v>
      </c>
      <c r="D127" s="2">
        <v>12.5</v>
      </c>
      <c r="E127" s="2">
        <v>50.26548245743669</v>
      </c>
      <c r="F127" s="11">
        <f t="shared" si="0"/>
        <v>2.4867959858108648</v>
      </c>
      <c r="G127" s="2">
        <f t="shared" si="1"/>
        <v>164.94917773883466</v>
      </c>
      <c r="H127" s="2">
        <f t="shared" si="2"/>
        <v>2.3391464391676191</v>
      </c>
      <c r="I127" s="2">
        <f t="shared" si="3"/>
        <v>155.15558330998817</v>
      </c>
      <c r="J127" s="2">
        <f t="shared" si="4"/>
        <v>9.7935944288464896</v>
      </c>
      <c r="K127" s="15">
        <f t="shared" si="23"/>
        <v>0.59576210826210829</v>
      </c>
      <c r="L127" s="2">
        <f t="shared" si="14"/>
        <v>122</v>
      </c>
      <c r="M127" s="2">
        <f t="shared" si="21"/>
        <v>66.08</v>
      </c>
      <c r="N127" s="2">
        <v>12.5</v>
      </c>
      <c r="O127" s="2">
        <v>50.26548245743669</v>
      </c>
      <c r="P127" s="11">
        <f t="shared" si="5"/>
        <v>2.4867959858108648</v>
      </c>
      <c r="Q127" s="2">
        <f t="shared" si="6"/>
        <v>164.32747874238194</v>
      </c>
      <c r="R127" s="2">
        <f t="shared" si="7"/>
        <v>2.4837848789711394</v>
      </c>
      <c r="S127" s="2">
        <f t="shared" si="8"/>
        <v>164.12850480241289</v>
      </c>
      <c r="T127" s="2">
        <f t="shared" si="9"/>
        <v>0.19897393996905066</v>
      </c>
    </row>
    <row r="128" spans="1:20" x14ac:dyDescent="0.25">
      <c r="A128" s="14">
        <f t="shared" si="22"/>
        <v>0.61923076923076925</v>
      </c>
      <c r="B128" s="2">
        <f t="shared" si="11"/>
        <v>123</v>
      </c>
      <c r="C128" s="4">
        <f t="shared" si="20"/>
        <v>66.83</v>
      </c>
      <c r="D128" s="2">
        <v>13.5</v>
      </c>
      <c r="E128" s="2">
        <v>50.26548245743669</v>
      </c>
      <c r="F128" s="11">
        <f t="shared" si="0"/>
        <v>2.6857396646757339</v>
      </c>
      <c r="G128" s="2">
        <f t="shared" si="1"/>
        <v>179.48798179027929</v>
      </c>
      <c r="H128" s="2">
        <f t="shared" si="2"/>
        <v>2.3391464391676191</v>
      </c>
      <c r="I128" s="2">
        <f t="shared" si="3"/>
        <v>156.32515652957198</v>
      </c>
      <c r="J128" s="2">
        <f t="shared" si="4"/>
        <v>23.162825260707308</v>
      </c>
      <c r="K128" s="15">
        <f t="shared" si="23"/>
        <v>0.59588675213675213</v>
      </c>
      <c r="L128" s="2">
        <f t="shared" si="14"/>
        <v>123</v>
      </c>
      <c r="M128" s="2">
        <f t="shared" si="21"/>
        <v>66.58</v>
      </c>
      <c r="N128" s="2">
        <v>13</v>
      </c>
      <c r="O128" s="2">
        <v>50.26548245743669</v>
      </c>
      <c r="P128" s="11">
        <f t="shared" si="5"/>
        <v>2.5862678252432989</v>
      </c>
      <c r="Q128" s="2">
        <f t="shared" si="6"/>
        <v>172.19371180469884</v>
      </c>
      <c r="R128" s="2">
        <f t="shared" si="7"/>
        <v>2.4837848789711394</v>
      </c>
      <c r="S128" s="2">
        <f t="shared" si="8"/>
        <v>165.37039724189844</v>
      </c>
      <c r="T128" s="2">
        <f t="shared" si="9"/>
        <v>6.8233145628003911</v>
      </c>
    </row>
    <row r="129" spans="1:20" x14ac:dyDescent="0.25">
      <c r="A129" s="14">
        <f t="shared" si="22"/>
        <v>0.61942663817663823</v>
      </c>
      <c r="B129" s="2">
        <f t="shared" si="11"/>
        <v>124</v>
      </c>
      <c r="C129" s="4">
        <f t="shared" si="20"/>
        <v>67.33</v>
      </c>
      <c r="D129" s="2">
        <v>11.5</v>
      </c>
      <c r="E129" s="2">
        <v>50.26548245743669</v>
      </c>
      <c r="F129" s="11">
        <f t="shared" si="0"/>
        <v>2.2878523069459957</v>
      </c>
      <c r="G129" s="2">
        <f t="shared" si="1"/>
        <v>154.04109582667388</v>
      </c>
      <c r="H129" s="2">
        <f t="shared" si="2"/>
        <v>2.3391464391676191</v>
      </c>
      <c r="I129" s="2">
        <f t="shared" si="3"/>
        <v>157.49472974915579</v>
      </c>
      <c r="J129" s="2">
        <f t="shared" si="4"/>
        <v>3.453633922481913</v>
      </c>
      <c r="K129" s="15">
        <f t="shared" si="23"/>
        <v>0.59601139601139597</v>
      </c>
      <c r="L129" s="2">
        <f t="shared" si="14"/>
        <v>124</v>
      </c>
      <c r="M129" s="2">
        <f t="shared" si="21"/>
        <v>67.08</v>
      </c>
      <c r="N129" s="2">
        <v>13.5</v>
      </c>
      <c r="O129" s="2">
        <v>50.26548245743669</v>
      </c>
      <c r="P129" s="11">
        <f t="shared" si="5"/>
        <v>2.6857396646757339</v>
      </c>
      <c r="Q129" s="2">
        <f t="shared" si="6"/>
        <v>180.15941670644821</v>
      </c>
      <c r="R129" s="2">
        <f t="shared" si="7"/>
        <v>2.4837848789711394</v>
      </c>
      <c r="S129" s="2">
        <f t="shared" si="8"/>
        <v>166.61228968138403</v>
      </c>
      <c r="T129" s="2">
        <f t="shared" si="9"/>
        <v>13.547127025064185</v>
      </c>
    </row>
    <row r="130" spans="1:20" x14ac:dyDescent="0.25">
      <c r="A130" s="14">
        <f t="shared" si="22"/>
        <v>0.6196225071225071</v>
      </c>
      <c r="B130" s="2">
        <f t="shared" si="11"/>
        <v>125</v>
      </c>
      <c r="C130" s="4">
        <f t="shared" si="20"/>
        <v>67.83</v>
      </c>
      <c r="D130" s="2">
        <v>13</v>
      </c>
      <c r="E130" s="2">
        <v>50.26548245743669</v>
      </c>
      <c r="F130" s="11">
        <f t="shared" si="0"/>
        <v>2.5862678252432989</v>
      </c>
      <c r="G130" s="2">
        <f t="shared" si="1"/>
        <v>175.42654658625295</v>
      </c>
      <c r="H130" s="2">
        <f t="shared" si="2"/>
        <v>2.3391464391676191</v>
      </c>
      <c r="I130" s="2">
        <f t="shared" si="3"/>
        <v>158.66430296873961</v>
      </c>
      <c r="J130" s="2">
        <f t="shared" si="4"/>
        <v>16.762243617513349</v>
      </c>
      <c r="K130" s="15">
        <f t="shared" si="23"/>
        <v>0.59613603988603991</v>
      </c>
      <c r="L130" s="2">
        <f t="shared" si="14"/>
        <v>125</v>
      </c>
      <c r="M130" s="2">
        <f t="shared" si="21"/>
        <v>67.58</v>
      </c>
      <c r="N130" s="2">
        <v>11.5</v>
      </c>
      <c r="O130" s="2">
        <v>50.26548245743669</v>
      </c>
      <c r="P130" s="11">
        <f t="shared" si="5"/>
        <v>2.2878523069459957</v>
      </c>
      <c r="Q130" s="2">
        <f t="shared" si="6"/>
        <v>154.61305890341038</v>
      </c>
      <c r="R130" s="2">
        <f t="shared" si="7"/>
        <v>2.4837848789711394</v>
      </c>
      <c r="S130" s="2">
        <f t="shared" si="8"/>
        <v>167.85418212086961</v>
      </c>
      <c r="T130" s="2">
        <f t="shared" si="9"/>
        <v>13.241123217459233</v>
      </c>
    </row>
    <row r="131" spans="1:20" x14ac:dyDescent="0.25">
      <c r="A131" s="14">
        <f t="shared" si="22"/>
        <v>0.61981837606837609</v>
      </c>
      <c r="B131" s="2">
        <f t="shared" si="11"/>
        <v>126</v>
      </c>
      <c r="C131" s="4">
        <f t="shared" si="20"/>
        <v>68.33</v>
      </c>
      <c r="D131" s="2">
        <v>11.5</v>
      </c>
      <c r="E131" s="2">
        <v>50.26548245743669</v>
      </c>
      <c r="F131" s="11">
        <f t="shared" si="0"/>
        <v>2.2878523069459957</v>
      </c>
      <c r="G131" s="2">
        <f t="shared" si="1"/>
        <v>156.32894813361989</v>
      </c>
      <c r="H131" s="2">
        <f t="shared" si="2"/>
        <v>2.3391464391676191</v>
      </c>
      <c r="I131" s="2">
        <f t="shared" si="3"/>
        <v>159.83387618832342</v>
      </c>
      <c r="J131" s="2">
        <f t="shared" si="4"/>
        <v>3.5049280547035266</v>
      </c>
      <c r="K131" s="15">
        <f t="shared" si="23"/>
        <v>0.59626068376068375</v>
      </c>
      <c r="L131" s="2">
        <f t="shared" si="14"/>
        <v>126</v>
      </c>
      <c r="M131" s="2">
        <f t="shared" si="21"/>
        <v>68.08</v>
      </c>
      <c r="N131" s="2">
        <v>13</v>
      </c>
      <c r="O131" s="2">
        <v>50.26548245743669</v>
      </c>
      <c r="P131" s="11">
        <f t="shared" si="5"/>
        <v>2.5862678252432989</v>
      </c>
      <c r="Q131" s="2">
        <f t="shared" si="6"/>
        <v>176.07311354256379</v>
      </c>
      <c r="R131" s="2">
        <f t="shared" si="7"/>
        <v>2.4837848789711394</v>
      </c>
      <c r="S131" s="2">
        <f t="shared" si="8"/>
        <v>169.09607456035516</v>
      </c>
      <c r="T131" s="2">
        <f t="shared" si="9"/>
        <v>6.9770389822086258</v>
      </c>
    </row>
    <row r="132" spans="1:20" x14ac:dyDescent="0.25">
      <c r="A132" s="14">
        <f t="shared" si="22"/>
        <v>0.62001424501424507</v>
      </c>
      <c r="B132" s="2">
        <f t="shared" si="11"/>
        <v>127</v>
      </c>
      <c r="C132" s="4">
        <f t="shared" si="20"/>
        <v>68.83</v>
      </c>
      <c r="D132" s="2">
        <v>14</v>
      </c>
      <c r="E132" s="2">
        <v>50.26548245743669</v>
      </c>
      <c r="F132" s="11">
        <f t="shared" si="0"/>
        <v>2.7852115041081689</v>
      </c>
      <c r="G132" s="2">
        <f t="shared" si="1"/>
        <v>191.70610782776527</v>
      </c>
      <c r="H132" s="2">
        <f t="shared" si="2"/>
        <v>2.3391464391676191</v>
      </c>
      <c r="I132" s="2">
        <f t="shared" si="3"/>
        <v>161.00344940790723</v>
      </c>
      <c r="J132" s="2">
        <f t="shared" si="4"/>
        <v>30.702658419858039</v>
      </c>
      <c r="K132" s="15">
        <f t="shared" si="23"/>
        <v>0.59638532763532759</v>
      </c>
      <c r="L132" s="2">
        <f t="shared" si="14"/>
        <v>127</v>
      </c>
      <c r="M132" s="2">
        <f t="shared" si="21"/>
        <v>68.58</v>
      </c>
      <c r="N132" s="2">
        <v>13</v>
      </c>
      <c r="O132" s="2">
        <v>50.26548245743669</v>
      </c>
      <c r="P132" s="11">
        <f t="shared" si="5"/>
        <v>2.5862678252432989</v>
      </c>
      <c r="Q132" s="2">
        <f t="shared" si="6"/>
        <v>177.36624745518543</v>
      </c>
      <c r="R132" s="2">
        <f t="shared" si="7"/>
        <v>2.4837848789711394</v>
      </c>
      <c r="S132" s="2">
        <f t="shared" si="8"/>
        <v>170.33796699984075</v>
      </c>
      <c r="T132" s="2">
        <f t="shared" si="9"/>
        <v>7.0282804553446852</v>
      </c>
    </row>
    <row r="133" spans="1:20" x14ac:dyDescent="0.25">
      <c r="A133" s="14">
        <f t="shared" si="22"/>
        <v>0.62021011396011394</v>
      </c>
      <c r="B133" s="2">
        <f t="shared" si="11"/>
        <v>128</v>
      </c>
      <c r="C133" s="4">
        <f t="shared" si="20"/>
        <v>69.33</v>
      </c>
      <c r="D133" s="2">
        <v>11.5</v>
      </c>
      <c r="E133" s="2">
        <v>50.26548245743669</v>
      </c>
      <c r="F133" s="11">
        <f t="shared" si="0"/>
        <v>2.2878523069459957</v>
      </c>
      <c r="G133" s="2">
        <f t="shared" si="1"/>
        <v>158.61680044056587</v>
      </c>
      <c r="H133" s="2">
        <f t="shared" si="2"/>
        <v>2.3391464391676191</v>
      </c>
      <c r="I133" s="2">
        <f t="shared" si="3"/>
        <v>162.17302262749104</v>
      </c>
      <c r="J133" s="2">
        <f t="shared" si="4"/>
        <v>3.5562221869251687</v>
      </c>
      <c r="K133" s="15">
        <f t="shared" si="23"/>
        <v>0.59650997150997154</v>
      </c>
      <c r="L133" s="2">
        <f t="shared" si="14"/>
        <v>128</v>
      </c>
      <c r="M133" s="2">
        <f t="shared" si="21"/>
        <v>69.08</v>
      </c>
      <c r="N133" s="2">
        <v>12</v>
      </c>
      <c r="O133" s="2">
        <v>50.26548245743669</v>
      </c>
      <c r="P133" s="11">
        <f t="shared" si="5"/>
        <v>2.3873241463784298</v>
      </c>
      <c r="Q133" s="2">
        <f t="shared" si="6"/>
        <v>164.91635203182193</v>
      </c>
      <c r="R133" s="2">
        <f t="shared" si="7"/>
        <v>2.4837848789711394</v>
      </c>
      <c r="S133" s="2">
        <f t="shared" si="8"/>
        <v>171.5798594393263</v>
      </c>
      <c r="T133" s="2">
        <f t="shared" si="9"/>
        <v>6.663507407504369</v>
      </c>
    </row>
    <row r="134" spans="1:20" x14ac:dyDescent="0.25">
      <c r="A134" s="14">
        <f t="shared" si="22"/>
        <v>0.62040598290598292</v>
      </c>
      <c r="B134" s="2">
        <f t="shared" si="11"/>
        <v>129</v>
      </c>
      <c r="C134" s="4">
        <f t="shared" si="20"/>
        <v>69.83</v>
      </c>
      <c r="D134" s="2">
        <v>13</v>
      </c>
      <c r="E134" s="2">
        <v>50.26548245743669</v>
      </c>
      <c r="F134" s="11">
        <f t="shared" si="0"/>
        <v>2.5862678252432989</v>
      </c>
      <c r="G134" s="2">
        <f t="shared" si="1"/>
        <v>180.59908223673955</v>
      </c>
      <c r="H134" s="2">
        <f t="shared" si="2"/>
        <v>2.3391464391676191</v>
      </c>
      <c r="I134" s="2">
        <f t="shared" si="3"/>
        <v>163.34259584707485</v>
      </c>
      <c r="J134" s="2">
        <f t="shared" si="4"/>
        <v>17.256486389664701</v>
      </c>
      <c r="K134" s="15">
        <f t="shared" si="23"/>
        <v>0.59663461538461537</v>
      </c>
      <c r="L134" s="2">
        <f t="shared" si="14"/>
        <v>129</v>
      </c>
      <c r="M134" s="2">
        <f t="shared" si="21"/>
        <v>69.58</v>
      </c>
      <c r="N134" s="2">
        <v>13</v>
      </c>
      <c r="O134" s="2">
        <v>50.26548245743669</v>
      </c>
      <c r="P134" s="11">
        <f t="shared" si="5"/>
        <v>2.5862678252432989</v>
      </c>
      <c r="Q134" s="2">
        <f t="shared" si="6"/>
        <v>179.95251528042874</v>
      </c>
      <c r="R134" s="2">
        <f t="shared" si="7"/>
        <v>2.4837848789711394</v>
      </c>
      <c r="S134" s="2">
        <f t="shared" si="8"/>
        <v>172.82175187881188</v>
      </c>
      <c r="T134" s="2">
        <f t="shared" si="9"/>
        <v>7.1307634016168606</v>
      </c>
    </row>
    <row r="135" spans="1:20" x14ac:dyDescent="0.25">
      <c r="A135" s="14">
        <f t="shared" si="22"/>
        <v>0.6206018518518519</v>
      </c>
      <c r="B135" s="2">
        <f t="shared" si="11"/>
        <v>130</v>
      </c>
      <c r="C135" s="4">
        <f t="shared" si="20"/>
        <v>70.33</v>
      </c>
      <c r="D135" s="2">
        <v>14</v>
      </c>
      <c r="E135" s="2">
        <v>50.26548245743669</v>
      </c>
      <c r="F135" s="11">
        <f t="shared" si="0"/>
        <v>2.7852115041081689</v>
      </c>
      <c r="G135" s="2">
        <f t="shared" si="1"/>
        <v>195.88392508392752</v>
      </c>
      <c r="H135" s="2">
        <f t="shared" si="2"/>
        <v>2.3391464391676191</v>
      </c>
      <c r="I135" s="2">
        <f t="shared" si="3"/>
        <v>164.51216906665866</v>
      </c>
      <c r="J135" s="2">
        <f t="shared" si="4"/>
        <v>31.371756017268865</v>
      </c>
      <c r="K135" s="15">
        <f t="shared" si="23"/>
        <v>0.59675925925925921</v>
      </c>
      <c r="L135" s="2">
        <f t="shared" si="14"/>
        <v>130</v>
      </c>
      <c r="M135" s="2">
        <f t="shared" si="21"/>
        <v>70.08</v>
      </c>
      <c r="N135" s="2">
        <v>13</v>
      </c>
      <c r="O135" s="2">
        <v>50.26548245743669</v>
      </c>
      <c r="P135" s="11">
        <f t="shared" si="5"/>
        <v>2.5862678252432989</v>
      </c>
      <c r="Q135" s="2">
        <f t="shared" si="6"/>
        <v>181.24564919305038</v>
      </c>
      <c r="R135" s="2">
        <f t="shared" si="7"/>
        <v>2.4837848789711394</v>
      </c>
      <c r="S135" s="2">
        <f t="shared" si="8"/>
        <v>174.06364431829743</v>
      </c>
      <c r="T135" s="2">
        <f t="shared" si="9"/>
        <v>7.1820048747529484</v>
      </c>
    </row>
    <row r="136" spans="1:20" x14ac:dyDescent="0.25">
      <c r="A136" s="14">
        <f t="shared" si="22"/>
        <v>0.62079772079772078</v>
      </c>
      <c r="B136" s="2">
        <f t="shared" si="11"/>
        <v>131</v>
      </c>
      <c r="C136" s="4">
        <f t="shared" si="20"/>
        <v>70.83</v>
      </c>
      <c r="D136" s="2">
        <v>13.5</v>
      </c>
      <c r="E136" s="2">
        <v>50.26548245743669</v>
      </c>
      <c r="F136" s="11">
        <f t="shared" si="0"/>
        <v>2.6857396646757339</v>
      </c>
      <c r="G136" s="2">
        <f t="shared" si="1"/>
        <v>190.23094044898224</v>
      </c>
      <c r="H136" s="2">
        <f t="shared" si="2"/>
        <v>2.3391464391676191</v>
      </c>
      <c r="I136" s="2">
        <f t="shared" si="3"/>
        <v>165.68174228624247</v>
      </c>
      <c r="J136" s="2">
        <f t="shared" si="4"/>
        <v>24.549198162739771</v>
      </c>
      <c r="K136" s="15">
        <f t="shared" si="23"/>
        <v>0.59688390313390316</v>
      </c>
      <c r="L136" s="2">
        <f t="shared" si="14"/>
        <v>131</v>
      </c>
      <c r="M136" s="2">
        <f t="shared" si="21"/>
        <v>70.58</v>
      </c>
      <c r="N136" s="2">
        <v>13.5</v>
      </c>
      <c r="O136" s="2">
        <v>50.26548245743669</v>
      </c>
      <c r="P136" s="11">
        <f t="shared" si="5"/>
        <v>2.6857396646757339</v>
      </c>
      <c r="Q136" s="2">
        <f t="shared" si="6"/>
        <v>189.55950553281329</v>
      </c>
      <c r="R136" s="2">
        <f t="shared" si="7"/>
        <v>2.4837848789711394</v>
      </c>
      <c r="S136" s="2">
        <f t="shared" si="8"/>
        <v>175.30553675778302</v>
      </c>
      <c r="T136" s="2">
        <f t="shared" si="9"/>
        <v>14.253968775030273</v>
      </c>
    </row>
    <row r="137" spans="1:20" x14ac:dyDescent="0.25">
      <c r="A137" s="14">
        <f t="shared" si="22"/>
        <v>0.62099358974358976</v>
      </c>
      <c r="B137" s="2">
        <f t="shared" si="11"/>
        <v>132</v>
      </c>
      <c r="C137" s="4">
        <f t="shared" si="20"/>
        <v>71.33</v>
      </c>
      <c r="D137" s="2">
        <v>15</v>
      </c>
      <c r="E137" s="2">
        <v>50.26548245743669</v>
      </c>
      <c r="F137" s="11">
        <f t="shared" si="0"/>
        <v>2.9841551829730379</v>
      </c>
      <c r="G137" s="2">
        <f t="shared" si="1"/>
        <v>212.85978920146678</v>
      </c>
      <c r="H137" s="2">
        <f t="shared" si="2"/>
        <v>2.3391464391676191</v>
      </c>
      <c r="I137" s="2">
        <f t="shared" si="3"/>
        <v>166.85131550582628</v>
      </c>
      <c r="J137" s="2">
        <f t="shared" si="4"/>
        <v>46.008473695640504</v>
      </c>
      <c r="K137" s="15">
        <f t="shared" si="23"/>
        <v>0.597008547008547</v>
      </c>
      <c r="L137" s="2">
        <f t="shared" si="14"/>
        <v>132</v>
      </c>
      <c r="M137" s="2">
        <f t="shared" si="21"/>
        <v>71.08</v>
      </c>
      <c r="N137" s="2">
        <v>14</v>
      </c>
      <c r="O137" s="2">
        <v>50.26548245743669</v>
      </c>
      <c r="P137" s="11">
        <f t="shared" si="5"/>
        <v>2.7852115041081689</v>
      </c>
      <c r="Q137" s="2">
        <f t="shared" si="6"/>
        <v>197.97283371200865</v>
      </c>
      <c r="R137" s="2">
        <f t="shared" si="7"/>
        <v>2.4837848789711394</v>
      </c>
      <c r="S137" s="2">
        <f t="shared" si="8"/>
        <v>176.5474291972686</v>
      </c>
      <c r="T137" s="2">
        <f t="shared" si="9"/>
        <v>21.425404514740052</v>
      </c>
    </row>
    <row r="138" spans="1:20" x14ac:dyDescent="0.25">
      <c r="A138" s="14">
        <f t="shared" si="22"/>
        <v>0.62118945868945874</v>
      </c>
      <c r="B138" s="2">
        <f t="shared" si="11"/>
        <v>133</v>
      </c>
      <c r="C138" s="4">
        <f t="shared" si="20"/>
        <v>71.83</v>
      </c>
      <c r="D138" s="2">
        <v>12</v>
      </c>
      <c r="E138" s="2">
        <v>50.26548245743669</v>
      </c>
      <c r="F138" s="11">
        <f t="shared" si="0"/>
        <v>2.3873241463784298</v>
      </c>
      <c r="G138" s="2">
        <f t="shared" si="1"/>
        <v>171.48149343436262</v>
      </c>
      <c r="H138" s="2">
        <f t="shared" si="2"/>
        <v>2.3391464391676191</v>
      </c>
      <c r="I138" s="2">
        <f t="shared" si="3"/>
        <v>168.02088872541009</v>
      </c>
      <c r="J138" s="2">
        <f t="shared" si="4"/>
        <v>3.4606047089525305</v>
      </c>
      <c r="K138" s="15">
        <f t="shared" si="23"/>
        <v>0.59713319088319083</v>
      </c>
      <c r="L138" s="2">
        <f t="shared" si="14"/>
        <v>133</v>
      </c>
      <c r="M138" s="2">
        <f t="shared" si="21"/>
        <v>71.58</v>
      </c>
      <c r="N138" s="2">
        <v>13.5</v>
      </c>
      <c r="O138" s="2">
        <v>50.26548245743669</v>
      </c>
      <c r="P138" s="11">
        <f t="shared" si="5"/>
        <v>2.6857396646757339</v>
      </c>
      <c r="Q138" s="2">
        <f t="shared" si="6"/>
        <v>192.24524519748903</v>
      </c>
      <c r="R138" s="2">
        <f t="shared" si="7"/>
        <v>2.4837848789711394</v>
      </c>
      <c r="S138" s="2">
        <f t="shared" si="8"/>
        <v>177.78932163675415</v>
      </c>
      <c r="T138" s="2">
        <f t="shared" si="9"/>
        <v>14.455923560734874</v>
      </c>
    </row>
    <row r="139" spans="1:20" x14ac:dyDescent="0.25">
      <c r="A139" s="14">
        <f t="shared" si="22"/>
        <v>0.62138532763532761</v>
      </c>
      <c r="B139" s="2">
        <f t="shared" si="11"/>
        <v>134</v>
      </c>
      <c r="C139" s="4">
        <f t="shared" si="20"/>
        <v>72.33</v>
      </c>
      <c r="D139" s="2">
        <v>14.5</v>
      </c>
      <c r="E139" s="2">
        <v>50.26548245743669</v>
      </c>
      <c r="F139" s="11">
        <f t="shared" si="0"/>
        <v>2.8846833435406034</v>
      </c>
      <c r="G139" s="2">
        <f t="shared" si="1"/>
        <v>208.64914623829185</v>
      </c>
      <c r="H139" s="2">
        <f t="shared" si="2"/>
        <v>2.3391464391676191</v>
      </c>
      <c r="I139" s="2">
        <f t="shared" si="3"/>
        <v>169.1904619449939</v>
      </c>
      <c r="J139" s="2">
        <f t="shared" si="4"/>
        <v>39.458684293297949</v>
      </c>
      <c r="K139" s="15">
        <f t="shared" si="23"/>
        <v>0.59725783475783478</v>
      </c>
      <c r="L139" s="2">
        <f t="shared" si="14"/>
        <v>134</v>
      </c>
      <c r="M139" s="2">
        <f t="shared" si="21"/>
        <v>72.08</v>
      </c>
      <c r="N139" s="2">
        <v>15</v>
      </c>
      <c r="O139" s="2">
        <v>50.26548245743669</v>
      </c>
      <c r="P139" s="11">
        <f t="shared" si="5"/>
        <v>2.9841551829730379</v>
      </c>
      <c r="Q139" s="2">
        <f t="shared" si="6"/>
        <v>215.09790558869656</v>
      </c>
      <c r="R139" s="2">
        <f t="shared" si="7"/>
        <v>2.4837848789711394</v>
      </c>
      <c r="S139" s="2">
        <f t="shared" si="8"/>
        <v>179.03121407623973</v>
      </c>
      <c r="T139" s="2">
        <f t="shared" si="9"/>
        <v>36.066691512456828</v>
      </c>
    </row>
    <row r="140" spans="1:20" x14ac:dyDescent="0.25">
      <c r="A140" s="14">
        <f t="shared" si="22"/>
        <v>0.62158119658119659</v>
      </c>
      <c r="B140" s="2">
        <f t="shared" si="11"/>
        <v>135</v>
      </c>
      <c r="C140" s="4">
        <f t="shared" si="20"/>
        <v>72.83</v>
      </c>
      <c r="D140" s="2">
        <v>13</v>
      </c>
      <c r="E140" s="2">
        <v>50.26548245743669</v>
      </c>
      <c r="F140" s="11">
        <f t="shared" si="0"/>
        <v>2.5862678252432989</v>
      </c>
      <c r="G140" s="2">
        <f t="shared" si="1"/>
        <v>188.35788571246945</v>
      </c>
      <c r="H140" s="2">
        <f t="shared" si="2"/>
        <v>2.3391464391676191</v>
      </c>
      <c r="I140" s="2">
        <f t="shared" si="3"/>
        <v>170.36003516457771</v>
      </c>
      <c r="J140" s="2">
        <f t="shared" si="4"/>
        <v>17.997850547891744</v>
      </c>
      <c r="K140" s="15">
        <f t="shared" si="23"/>
        <v>0.59738247863247862</v>
      </c>
      <c r="L140" s="2">
        <f t="shared" si="14"/>
        <v>135</v>
      </c>
      <c r="M140" s="2">
        <f t="shared" si="21"/>
        <v>72.58</v>
      </c>
      <c r="N140" s="2">
        <v>14</v>
      </c>
      <c r="O140" s="2">
        <v>50.26548245743669</v>
      </c>
      <c r="P140" s="11">
        <f t="shared" si="5"/>
        <v>2.7852115041081689</v>
      </c>
      <c r="Q140" s="2">
        <f t="shared" si="6"/>
        <v>202.15065096817088</v>
      </c>
      <c r="R140" s="2">
        <f t="shared" si="7"/>
        <v>2.4837848789711394</v>
      </c>
      <c r="S140" s="2">
        <f t="shared" si="8"/>
        <v>180.27310651572529</v>
      </c>
      <c r="T140" s="2">
        <f t="shared" si="9"/>
        <v>21.877544452445591</v>
      </c>
    </row>
    <row r="141" spans="1:20" x14ac:dyDescent="0.25">
      <c r="A141" s="14">
        <f t="shared" si="22"/>
        <v>0.62177706552706558</v>
      </c>
      <c r="B141" s="2">
        <f t="shared" si="11"/>
        <v>136</v>
      </c>
      <c r="C141" s="4">
        <f t="shared" si="20"/>
        <v>73.33</v>
      </c>
      <c r="D141" s="2">
        <v>14.5</v>
      </c>
      <c r="E141" s="2">
        <v>50.26548245743669</v>
      </c>
      <c r="F141" s="11">
        <f t="shared" si="0"/>
        <v>2.8846833435406034</v>
      </c>
      <c r="G141" s="2">
        <f t="shared" si="1"/>
        <v>211.53382958183244</v>
      </c>
      <c r="H141" s="2">
        <f t="shared" si="2"/>
        <v>2.3391464391676191</v>
      </c>
      <c r="I141" s="2">
        <f t="shared" si="3"/>
        <v>171.52960838416149</v>
      </c>
      <c r="J141" s="2">
        <f t="shared" si="4"/>
        <v>40.004221197670944</v>
      </c>
      <c r="K141" s="15">
        <f t="shared" si="23"/>
        <v>0.59750712250712246</v>
      </c>
      <c r="L141" s="2">
        <f t="shared" si="14"/>
        <v>136</v>
      </c>
      <c r="M141" s="2">
        <f t="shared" si="21"/>
        <v>73.08</v>
      </c>
      <c r="N141" s="2">
        <v>14</v>
      </c>
      <c r="O141" s="2">
        <v>50.26548245743669</v>
      </c>
      <c r="P141" s="11">
        <f t="shared" si="5"/>
        <v>2.7852115041081689</v>
      </c>
      <c r="Q141" s="2">
        <f t="shared" si="6"/>
        <v>203.54325672022497</v>
      </c>
      <c r="R141" s="2">
        <f t="shared" si="7"/>
        <v>2.4837848789711394</v>
      </c>
      <c r="S141" s="2">
        <f t="shared" si="8"/>
        <v>181.51499895521087</v>
      </c>
      <c r="T141" s="2">
        <f t="shared" si="9"/>
        <v>22.028257765014104</v>
      </c>
    </row>
    <row r="142" spans="1:20" x14ac:dyDescent="0.25">
      <c r="A142" s="14">
        <f t="shared" si="22"/>
        <v>0.62197293447293445</v>
      </c>
      <c r="B142" s="2">
        <f t="shared" si="11"/>
        <v>137</v>
      </c>
      <c r="C142" s="4">
        <f t="shared" si="20"/>
        <v>73.83</v>
      </c>
      <c r="D142" s="2">
        <v>13.5</v>
      </c>
      <c r="E142" s="2">
        <v>50.26548245743669</v>
      </c>
      <c r="F142" s="11">
        <f t="shared" si="0"/>
        <v>2.6857396646757339</v>
      </c>
      <c r="G142" s="2">
        <f t="shared" si="1"/>
        <v>198.28815944300942</v>
      </c>
      <c r="H142" s="2">
        <f t="shared" si="2"/>
        <v>2.3391464391676191</v>
      </c>
      <c r="I142" s="2">
        <f t="shared" si="3"/>
        <v>172.6991816037453</v>
      </c>
      <c r="J142" s="2">
        <f t="shared" si="4"/>
        <v>25.588977839264118</v>
      </c>
      <c r="K142" s="15">
        <f t="shared" si="23"/>
        <v>0.5976317663817664</v>
      </c>
      <c r="L142" s="2">
        <f t="shared" si="14"/>
        <v>137</v>
      </c>
      <c r="M142" s="2">
        <f t="shared" si="21"/>
        <v>73.58</v>
      </c>
      <c r="N142" s="2">
        <v>14.5</v>
      </c>
      <c r="O142" s="2">
        <v>50.26548245743669</v>
      </c>
      <c r="P142" s="11">
        <f t="shared" si="5"/>
        <v>2.8846833435406034</v>
      </c>
      <c r="Q142" s="2">
        <f t="shared" si="6"/>
        <v>212.25500041771758</v>
      </c>
      <c r="R142" s="2">
        <f t="shared" si="7"/>
        <v>2.4837848789711394</v>
      </c>
      <c r="S142" s="2">
        <f t="shared" si="8"/>
        <v>182.75689139469642</v>
      </c>
      <c r="T142" s="2">
        <f t="shared" si="9"/>
        <v>29.498109023021158</v>
      </c>
    </row>
    <row r="143" spans="1:20" x14ac:dyDescent="0.25">
      <c r="A143" s="14">
        <f t="shared" si="22"/>
        <v>0.62216880341880343</v>
      </c>
      <c r="B143" s="2">
        <f t="shared" si="11"/>
        <v>138</v>
      </c>
      <c r="C143" s="4">
        <f t="shared" si="20"/>
        <v>74.33</v>
      </c>
      <c r="D143" s="2">
        <v>12.5</v>
      </c>
      <c r="E143" s="2">
        <v>50.26548245743669</v>
      </c>
      <c r="F143" s="11">
        <f t="shared" si="0"/>
        <v>2.4867959858108648</v>
      </c>
      <c r="G143" s="2">
        <f t="shared" si="1"/>
        <v>184.84354562532158</v>
      </c>
      <c r="H143" s="2">
        <f t="shared" si="2"/>
        <v>2.3391464391676191</v>
      </c>
      <c r="I143" s="2">
        <f t="shared" si="3"/>
        <v>173.86875482332911</v>
      </c>
      <c r="J143" s="2">
        <f t="shared" si="4"/>
        <v>10.974790801992469</v>
      </c>
      <c r="K143" s="15">
        <f t="shared" si="23"/>
        <v>0.59775641025641024</v>
      </c>
      <c r="L143" s="2">
        <f t="shared" si="14"/>
        <v>138</v>
      </c>
      <c r="M143" s="2">
        <f t="shared" si="21"/>
        <v>74.08</v>
      </c>
      <c r="N143" s="2">
        <v>14</v>
      </c>
      <c r="O143" s="2">
        <v>50.26548245743669</v>
      </c>
      <c r="P143" s="11">
        <f t="shared" si="5"/>
        <v>2.7852115041081689</v>
      </c>
      <c r="Q143" s="2">
        <f t="shared" si="6"/>
        <v>206.32846822433314</v>
      </c>
      <c r="R143" s="2">
        <f t="shared" si="7"/>
        <v>2.4837848789711394</v>
      </c>
      <c r="S143" s="2">
        <f t="shared" si="8"/>
        <v>183.99878383418201</v>
      </c>
      <c r="T143" s="2">
        <f t="shared" si="9"/>
        <v>22.329684390151129</v>
      </c>
    </row>
    <row r="144" spans="1:20" x14ac:dyDescent="0.25">
      <c r="A144" s="14">
        <f t="shared" si="22"/>
        <v>0.62236467236467241</v>
      </c>
      <c r="B144" s="2">
        <f t="shared" si="11"/>
        <v>139</v>
      </c>
      <c r="C144" s="4">
        <f t="shared" si="20"/>
        <v>74.83</v>
      </c>
      <c r="D144" s="2">
        <v>13</v>
      </c>
      <c r="E144" s="2">
        <v>50.26548245743669</v>
      </c>
      <c r="F144" s="11">
        <f t="shared" si="0"/>
        <v>2.5862678252432989</v>
      </c>
      <c r="G144" s="2">
        <f t="shared" si="1"/>
        <v>193.53042136295605</v>
      </c>
      <c r="H144" s="2">
        <f t="shared" si="2"/>
        <v>2.3391464391676191</v>
      </c>
      <c r="I144" s="2">
        <f t="shared" si="3"/>
        <v>175.03832804291292</v>
      </c>
      <c r="J144" s="2">
        <f t="shared" si="4"/>
        <v>18.492093320043125</v>
      </c>
      <c r="K144" s="15">
        <f t="shared" si="23"/>
        <v>0.59788105413105408</v>
      </c>
      <c r="L144" s="2">
        <f t="shared" si="14"/>
        <v>139</v>
      </c>
      <c r="M144" s="2">
        <f t="shared" si="21"/>
        <v>74.58</v>
      </c>
      <c r="N144" s="2">
        <v>13</v>
      </c>
      <c r="O144" s="2">
        <v>50.26548245743669</v>
      </c>
      <c r="P144" s="11">
        <f t="shared" si="5"/>
        <v>2.5862678252432989</v>
      </c>
      <c r="Q144" s="2">
        <f t="shared" si="6"/>
        <v>192.88385440664524</v>
      </c>
      <c r="R144" s="2">
        <f t="shared" si="7"/>
        <v>2.4837848789711394</v>
      </c>
      <c r="S144" s="2">
        <f t="shared" si="8"/>
        <v>185.24067627366756</v>
      </c>
      <c r="T144" s="2">
        <f t="shared" si="9"/>
        <v>7.6431781329776811</v>
      </c>
    </row>
    <row r="145" spans="1:20" x14ac:dyDescent="0.25">
      <c r="A145" s="14">
        <f t="shared" si="22"/>
        <v>0.62256054131054128</v>
      </c>
      <c r="B145" s="2">
        <f t="shared" si="11"/>
        <v>140</v>
      </c>
      <c r="C145" s="4">
        <f t="shared" si="20"/>
        <v>75.33</v>
      </c>
      <c r="D145" s="2">
        <v>12.5</v>
      </c>
      <c r="E145" s="2">
        <v>50.26548245743669</v>
      </c>
      <c r="F145" s="11">
        <f t="shared" si="0"/>
        <v>2.4867959858108648</v>
      </c>
      <c r="G145" s="2">
        <f t="shared" si="1"/>
        <v>187.33034161113244</v>
      </c>
      <c r="H145" s="2">
        <f t="shared" si="2"/>
        <v>2.3391464391676191</v>
      </c>
      <c r="I145" s="2">
        <f t="shared" si="3"/>
        <v>176.20790126249673</v>
      </c>
      <c r="J145" s="2">
        <f t="shared" si="4"/>
        <v>11.122440348635706</v>
      </c>
      <c r="K145" s="15">
        <f t="shared" si="23"/>
        <v>0.59800569800569803</v>
      </c>
      <c r="L145" s="2">
        <f t="shared" si="14"/>
        <v>140</v>
      </c>
      <c r="M145" s="2">
        <f t="shared" si="21"/>
        <v>75.08</v>
      </c>
      <c r="N145" s="2">
        <v>13</v>
      </c>
      <c r="O145" s="2">
        <v>50.26548245743669</v>
      </c>
      <c r="P145" s="11">
        <f t="shared" si="5"/>
        <v>2.5862678252432989</v>
      </c>
      <c r="Q145" s="2">
        <f t="shared" si="6"/>
        <v>194.17698831926688</v>
      </c>
      <c r="R145" s="2">
        <f t="shared" si="7"/>
        <v>2.4837848789711394</v>
      </c>
      <c r="S145" s="2">
        <f t="shared" si="8"/>
        <v>186.48256871315314</v>
      </c>
      <c r="T145" s="2">
        <f t="shared" si="9"/>
        <v>7.6944196061137404</v>
      </c>
    </row>
    <row r="146" spans="1:20" x14ac:dyDescent="0.25">
      <c r="A146" s="14">
        <f t="shared" si="22"/>
        <v>0.62275641025641026</v>
      </c>
      <c r="B146" s="2">
        <f t="shared" si="11"/>
        <v>141</v>
      </c>
      <c r="C146" s="4">
        <f t="shared" si="20"/>
        <v>75.83</v>
      </c>
      <c r="D146" s="2">
        <v>13.5</v>
      </c>
      <c r="E146" s="2">
        <v>50.26548245743669</v>
      </c>
      <c r="F146" s="11">
        <f t="shared" si="0"/>
        <v>2.6857396646757339</v>
      </c>
      <c r="G146" s="2">
        <f t="shared" si="1"/>
        <v>203.65963877236089</v>
      </c>
      <c r="H146" s="2">
        <f t="shared" si="2"/>
        <v>2.3391464391676191</v>
      </c>
      <c r="I146" s="2">
        <f t="shared" si="3"/>
        <v>177.37747448208054</v>
      </c>
      <c r="J146" s="2">
        <f t="shared" si="4"/>
        <v>26.282164290280349</v>
      </c>
      <c r="K146" s="15">
        <f t="shared" si="23"/>
        <v>0.59813034188034186</v>
      </c>
      <c r="L146" s="2">
        <f t="shared" si="14"/>
        <v>141</v>
      </c>
      <c r="M146" s="2">
        <f t="shared" si="21"/>
        <v>75.58</v>
      </c>
      <c r="N146" s="2">
        <v>14</v>
      </c>
      <c r="O146" s="2">
        <v>50.26548245743669</v>
      </c>
      <c r="P146" s="11">
        <f t="shared" si="5"/>
        <v>2.7852115041081689</v>
      </c>
      <c r="Q146" s="2">
        <f t="shared" si="6"/>
        <v>210.50628548049539</v>
      </c>
      <c r="R146" s="2">
        <f t="shared" si="7"/>
        <v>2.4837848789711394</v>
      </c>
      <c r="S146" s="2">
        <f t="shared" si="8"/>
        <v>187.72446115263872</v>
      </c>
      <c r="T146" s="2">
        <f t="shared" si="9"/>
        <v>22.781824327856668</v>
      </c>
    </row>
    <row r="147" spans="1:20" x14ac:dyDescent="0.25">
      <c r="A147" s="14">
        <f t="shared" si="22"/>
        <v>0.62295227920227925</v>
      </c>
      <c r="B147" s="2">
        <f t="shared" si="11"/>
        <v>142</v>
      </c>
      <c r="C147" s="4">
        <f t="shared" si="20"/>
        <v>76.33</v>
      </c>
      <c r="D147" s="2">
        <v>12.5</v>
      </c>
      <c r="E147" s="2">
        <v>50.26548245743669</v>
      </c>
      <c r="F147" s="11">
        <f t="shared" si="0"/>
        <v>2.4867959858108648</v>
      </c>
      <c r="G147" s="2">
        <f t="shared" si="1"/>
        <v>189.8171375969433</v>
      </c>
      <c r="H147" s="2">
        <f t="shared" si="2"/>
        <v>2.3391464391676191</v>
      </c>
      <c r="I147" s="2">
        <f t="shared" si="3"/>
        <v>178.54704770166435</v>
      </c>
      <c r="J147" s="2">
        <f t="shared" si="4"/>
        <v>11.270089895278943</v>
      </c>
      <c r="K147" s="15">
        <f t="shared" si="23"/>
        <v>0.5982549857549857</v>
      </c>
      <c r="L147" s="2">
        <f t="shared" si="14"/>
        <v>142</v>
      </c>
      <c r="M147" s="2">
        <f t="shared" si="21"/>
        <v>76.08</v>
      </c>
      <c r="N147" s="2">
        <v>12.5</v>
      </c>
      <c r="O147" s="2">
        <v>50.26548245743669</v>
      </c>
      <c r="P147" s="11">
        <f t="shared" si="5"/>
        <v>2.4867959858108648</v>
      </c>
      <c r="Q147" s="2">
        <f t="shared" si="6"/>
        <v>189.1954386004906</v>
      </c>
      <c r="R147" s="2">
        <f t="shared" si="7"/>
        <v>2.4837848789711394</v>
      </c>
      <c r="S147" s="2">
        <f t="shared" si="8"/>
        <v>188.96635359212428</v>
      </c>
      <c r="T147" s="2">
        <f t="shared" si="9"/>
        <v>0.22908500836632584</v>
      </c>
    </row>
    <row r="148" spans="1:20" x14ac:dyDescent="0.25">
      <c r="A148" s="14">
        <f t="shared" si="22"/>
        <v>0.62314814814814812</v>
      </c>
      <c r="B148" s="2">
        <f t="shared" si="11"/>
        <v>143</v>
      </c>
      <c r="C148" s="4">
        <f t="shared" si="20"/>
        <v>76.83</v>
      </c>
      <c r="D148" s="2">
        <v>14</v>
      </c>
      <c r="E148" s="2">
        <v>50.26548245743669</v>
      </c>
      <c r="F148" s="11">
        <f t="shared" si="0"/>
        <v>2.7852115041081689</v>
      </c>
      <c r="G148" s="2">
        <f t="shared" si="1"/>
        <v>213.98779986063062</v>
      </c>
      <c r="H148" s="2">
        <f t="shared" si="2"/>
        <v>2.3391464391676191</v>
      </c>
      <c r="I148" s="2">
        <f t="shared" si="3"/>
        <v>179.71662092124816</v>
      </c>
      <c r="J148" s="2">
        <f t="shared" si="4"/>
        <v>34.271178939382452</v>
      </c>
      <c r="K148" s="15">
        <f t="shared" si="23"/>
        <v>0.59837962962962965</v>
      </c>
      <c r="L148" s="2">
        <f t="shared" si="14"/>
        <v>143</v>
      </c>
      <c r="M148" s="2">
        <f t="shared" si="21"/>
        <v>76.58</v>
      </c>
      <c r="N148" s="2">
        <v>13.5</v>
      </c>
      <c r="O148" s="2">
        <v>50.26548245743669</v>
      </c>
      <c r="P148" s="11">
        <f t="shared" si="5"/>
        <v>2.6857396646757339</v>
      </c>
      <c r="Q148" s="2">
        <f t="shared" si="6"/>
        <v>205.67394352086771</v>
      </c>
      <c r="R148" s="2">
        <f t="shared" si="7"/>
        <v>2.4837848789711394</v>
      </c>
      <c r="S148" s="2">
        <f t="shared" si="8"/>
        <v>190.20824603160986</v>
      </c>
      <c r="T148" s="2">
        <f t="shared" si="9"/>
        <v>15.465697489257849</v>
      </c>
    </row>
    <row r="149" spans="1:20" x14ac:dyDescent="0.25">
      <c r="A149" s="14">
        <f t="shared" si="22"/>
        <v>0.6233440170940171</v>
      </c>
      <c r="B149" s="2">
        <f t="shared" si="11"/>
        <v>144</v>
      </c>
      <c r="C149" s="4">
        <f t="shared" si="20"/>
        <v>77.33</v>
      </c>
      <c r="D149" s="2">
        <v>13</v>
      </c>
      <c r="E149" s="2">
        <v>50.26548245743669</v>
      </c>
      <c r="F149" s="11">
        <f t="shared" si="0"/>
        <v>2.5862678252432989</v>
      </c>
      <c r="G149" s="2">
        <f t="shared" si="1"/>
        <v>199.99609092606431</v>
      </c>
      <c r="H149" s="2">
        <f t="shared" si="2"/>
        <v>2.3391464391676191</v>
      </c>
      <c r="I149" s="2">
        <f t="shared" si="3"/>
        <v>180.88619414083198</v>
      </c>
      <c r="J149" s="2">
        <f t="shared" si="4"/>
        <v>19.109896785232337</v>
      </c>
      <c r="K149" s="15">
        <f t="shared" si="23"/>
        <v>0.59850427350427349</v>
      </c>
      <c r="L149" s="2">
        <f t="shared" si="14"/>
        <v>144</v>
      </c>
      <c r="M149" s="2">
        <f t="shared" si="21"/>
        <v>77.08</v>
      </c>
      <c r="N149" s="2">
        <v>12.5</v>
      </c>
      <c r="O149" s="2">
        <v>50.26548245743669</v>
      </c>
      <c r="P149" s="11">
        <f t="shared" si="5"/>
        <v>2.4867959858108648</v>
      </c>
      <c r="Q149" s="2">
        <f t="shared" si="6"/>
        <v>191.68223458630146</v>
      </c>
      <c r="R149" s="2">
        <f t="shared" si="7"/>
        <v>2.4837848789711394</v>
      </c>
      <c r="S149" s="2">
        <f t="shared" si="8"/>
        <v>191.45013847109541</v>
      </c>
      <c r="T149" s="2">
        <f t="shared" si="9"/>
        <v>0.23209611520604767</v>
      </c>
    </row>
    <row r="150" spans="1:20" x14ac:dyDescent="0.25">
      <c r="A150" s="14">
        <f t="shared" si="22"/>
        <v>0.62353988603988608</v>
      </c>
      <c r="B150" s="2">
        <f t="shared" si="11"/>
        <v>145</v>
      </c>
      <c r="C150" s="4">
        <f t="shared" si="20"/>
        <v>77.83</v>
      </c>
      <c r="D150" s="2">
        <v>12</v>
      </c>
      <c r="E150" s="2">
        <v>50.26548245743669</v>
      </c>
      <c r="F150" s="11">
        <f t="shared" si="0"/>
        <v>2.3873241463784298</v>
      </c>
      <c r="G150" s="2">
        <f t="shared" si="1"/>
        <v>185.80543831263319</v>
      </c>
      <c r="H150" s="2">
        <f t="shared" si="2"/>
        <v>2.3391464391676191</v>
      </c>
      <c r="I150" s="2">
        <f t="shared" si="3"/>
        <v>182.05576736041579</v>
      </c>
      <c r="J150" s="2">
        <f t="shared" si="4"/>
        <v>3.7496709522174001</v>
      </c>
      <c r="K150" s="15">
        <f t="shared" si="23"/>
        <v>0.59862891737891732</v>
      </c>
      <c r="L150" s="2">
        <f t="shared" si="14"/>
        <v>145</v>
      </c>
      <c r="M150" s="2">
        <f t="shared" si="21"/>
        <v>77.58</v>
      </c>
      <c r="N150" s="2">
        <v>13</v>
      </c>
      <c r="O150" s="2">
        <v>50.26548245743669</v>
      </c>
      <c r="P150" s="11">
        <f t="shared" si="5"/>
        <v>2.5862678252432989</v>
      </c>
      <c r="Q150" s="2">
        <f t="shared" si="6"/>
        <v>200.64265788237512</v>
      </c>
      <c r="R150" s="2">
        <f t="shared" si="7"/>
        <v>2.4837848789711394</v>
      </c>
      <c r="S150" s="2">
        <f t="shared" si="8"/>
        <v>192.692030910581</v>
      </c>
      <c r="T150" s="2">
        <f t="shared" si="9"/>
        <v>7.9506269717941223</v>
      </c>
    </row>
    <row r="151" spans="1:20" x14ac:dyDescent="0.25">
      <c r="A151" s="14">
        <f t="shared" si="22"/>
        <v>0.62373575498575495</v>
      </c>
      <c r="B151" s="2">
        <f t="shared" si="11"/>
        <v>146</v>
      </c>
      <c r="C151" s="4">
        <f t="shared" si="20"/>
        <v>78.33</v>
      </c>
      <c r="D151" s="2">
        <v>14</v>
      </c>
      <c r="E151" s="2">
        <v>50.26548245743669</v>
      </c>
      <c r="F151" s="11">
        <f t="shared" si="0"/>
        <v>2.7852115041081689</v>
      </c>
      <c r="G151" s="2">
        <f t="shared" si="1"/>
        <v>218.16561711679287</v>
      </c>
      <c r="H151" s="2">
        <f t="shared" si="2"/>
        <v>2.3391464391676191</v>
      </c>
      <c r="I151" s="2">
        <f t="shared" si="3"/>
        <v>183.2253405799996</v>
      </c>
      <c r="J151" s="2">
        <f t="shared" si="4"/>
        <v>34.940276536793277</v>
      </c>
      <c r="K151" s="15">
        <f t="shared" si="23"/>
        <v>0.59875356125356127</v>
      </c>
      <c r="L151" s="2">
        <f t="shared" si="14"/>
        <v>146</v>
      </c>
      <c r="M151" s="2">
        <f t="shared" si="21"/>
        <v>78.08</v>
      </c>
      <c r="N151" s="2">
        <v>12</v>
      </c>
      <c r="O151" s="2">
        <v>50.26548245743669</v>
      </c>
      <c r="P151" s="11">
        <f t="shared" si="5"/>
        <v>2.3873241463784298</v>
      </c>
      <c r="Q151" s="2">
        <f t="shared" si="6"/>
        <v>186.40226934922779</v>
      </c>
      <c r="R151" s="2">
        <f t="shared" si="7"/>
        <v>2.4837848789711394</v>
      </c>
      <c r="S151" s="2">
        <f t="shared" si="8"/>
        <v>193.93392335006655</v>
      </c>
      <c r="T151" s="2">
        <f t="shared" si="9"/>
        <v>7.5316540008387562</v>
      </c>
    </row>
    <row r="152" spans="1:20" x14ac:dyDescent="0.25">
      <c r="A152" s="14">
        <f t="shared" si="22"/>
        <v>0.62393162393162394</v>
      </c>
      <c r="B152" s="2">
        <f t="shared" si="11"/>
        <v>147</v>
      </c>
      <c r="C152" s="4">
        <f t="shared" si="20"/>
        <v>78.83</v>
      </c>
      <c r="D152" s="2">
        <v>12</v>
      </c>
      <c r="E152" s="2">
        <v>50.26548245743669</v>
      </c>
      <c r="F152" s="11">
        <f t="shared" si="0"/>
        <v>2.3873241463784298</v>
      </c>
      <c r="G152" s="2">
        <f t="shared" si="1"/>
        <v>188.19276245901162</v>
      </c>
      <c r="H152" s="2">
        <f t="shared" si="2"/>
        <v>2.3391464391676191</v>
      </c>
      <c r="I152" s="2">
        <f t="shared" si="3"/>
        <v>184.39491379958341</v>
      </c>
      <c r="J152" s="2">
        <f t="shared" si="4"/>
        <v>3.7978486594282117</v>
      </c>
      <c r="K152" s="15">
        <f t="shared" si="23"/>
        <v>0.59887820512820511</v>
      </c>
      <c r="L152" s="2">
        <f t="shared" si="14"/>
        <v>147</v>
      </c>
      <c r="M152" s="2">
        <f t="shared" si="21"/>
        <v>78.58</v>
      </c>
      <c r="N152" s="2">
        <v>13</v>
      </c>
      <c r="O152" s="2">
        <v>50.26548245743669</v>
      </c>
      <c r="P152" s="11">
        <f t="shared" si="5"/>
        <v>2.5862678252432989</v>
      </c>
      <c r="Q152" s="2">
        <f t="shared" si="6"/>
        <v>203.22892570761843</v>
      </c>
      <c r="R152" s="2">
        <f t="shared" si="7"/>
        <v>2.4837848789711394</v>
      </c>
      <c r="S152" s="2">
        <f t="shared" si="8"/>
        <v>195.17581578955213</v>
      </c>
      <c r="T152" s="2">
        <f t="shared" si="9"/>
        <v>8.0531099180662977</v>
      </c>
    </row>
    <row r="153" spans="1:20" x14ac:dyDescent="0.25">
      <c r="A153" s="14">
        <f t="shared" si="22"/>
        <v>0.62412749287749292</v>
      </c>
      <c r="B153" s="2">
        <f t="shared" si="11"/>
        <v>148</v>
      </c>
      <c r="C153" s="4">
        <f t="shared" si="20"/>
        <v>79.33</v>
      </c>
      <c r="D153" s="2">
        <v>11.5</v>
      </c>
      <c r="E153" s="2">
        <v>50.26548245743669</v>
      </c>
      <c r="F153" s="11">
        <f t="shared" si="0"/>
        <v>2.2878523069459957</v>
      </c>
      <c r="G153" s="2">
        <f t="shared" si="1"/>
        <v>181.49532351002583</v>
      </c>
      <c r="H153" s="2">
        <f t="shared" si="2"/>
        <v>2.3391464391676191</v>
      </c>
      <c r="I153" s="2">
        <f t="shared" si="3"/>
        <v>185.56448701916722</v>
      </c>
      <c r="J153" s="2">
        <f t="shared" si="4"/>
        <v>4.06916350914139</v>
      </c>
      <c r="K153" s="15">
        <f t="shared" si="23"/>
        <v>0.59900284900284895</v>
      </c>
      <c r="L153" s="2">
        <f t="shared" si="14"/>
        <v>148</v>
      </c>
      <c r="M153" s="2">
        <f t="shared" si="21"/>
        <v>79.08</v>
      </c>
      <c r="N153" s="2">
        <v>11.5</v>
      </c>
      <c r="O153" s="2">
        <v>50.26548245743669</v>
      </c>
      <c r="P153" s="11">
        <f t="shared" si="5"/>
        <v>2.2878523069459957</v>
      </c>
      <c r="Q153" s="2">
        <f t="shared" si="6"/>
        <v>180.92336043328933</v>
      </c>
      <c r="R153" s="2">
        <f t="shared" si="7"/>
        <v>2.4837848789711394</v>
      </c>
      <c r="S153" s="2">
        <f t="shared" si="8"/>
        <v>196.41770822903771</v>
      </c>
      <c r="T153" s="2">
        <f t="shared" si="9"/>
        <v>15.494347795748382</v>
      </c>
    </row>
    <row r="154" spans="1:20" x14ac:dyDescent="0.25">
      <c r="A154" s="14">
        <f t="shared" si="22"/>
        <v>0.62432336182336179</v>
      </c>
      <c r="B154" s="2">
        <f t="shared" si="11"/>
        <v>149</v>
      </c>
      <c r="C154" s="4">
        <f t="shared" si="20"/>
        <v>79.83</v>
      </c>
      <c r="D154" s="2">
        <v>12</v>
      </c>
      <c r="E154" s="2">
        <v>50.26548245743669</v>
      </c>
      <c r="F154" s="11">
        <f t="shared" si="0"/>
        <v>2.3873241463784298</v>
      </c>
      <c r="G154" s="2">
        <f t="shared" si="1"/>
        <v>190.58008660539005</v>
      </c>
      <c r="H154" s="2">
        <f t="shared" si="2"/>
        <v>2.3391464391676191</v>
      </c>
      <c r="I154" s="2">
        <f t="shared" si="3"/>
        <v>186.73406023875103</v>
      </c>
      <c r="J154" s="2">
        <f t="shared" si="4"/>
        <v>3.8460263666390233</v>
      </c>
      <c r="K154" s="15">
        <f t="shared" si="23"/>
        <v>0.5991274928774929</v>
      </c>
      <c r="L154" s="2">
        <f t="shared" si="14"/>
        <v>149</v>
      </c>
      <c r="M154" s="2">
        <f t="shared" si="21"/>
        <v>79.58</v>
      </c>
      <c r="N154" s="2">
        <v>11.5</v>
      </c>
      <c r="O154" s="2">
        <v>50.26548245743669</v>
      </c>
      <c r="P154" s="11">
        <f t="shared" si="5"/>
        <v>2.2878523069459957</v>
      </c>
      <c r="Q154" s="2">
        <f t="shared" si="6"/>
        <v>182.06728658676235</v>
      </c>
      <c r="R154" s="2">
        <f t="shared" si="7"/>
        <v>2.4837848789711394</v>
      </c>
      <c r="S154" s="2">
        <f t="shared" si="8"/>
        <v>197.65960066852327</v>
      </c>
      <c r="T154" s="2">
        <f t="shared" si="9"/>
        <v>15.592314081760918</v>
      </c>
    </row>
    <row r="155" spans="1:20" x14ac:dyDescent="0.25">
      <c r="A155" s="14">
        <f t="shared" si="22"/>
        <v>0.62451923076923077</v>
      </c>
      <c r="B155" s="2">
        <f t="shared" si="11"/>
        <v>150</v>
      </c>
      <c r="C155" s="4">
        <f t="shared" si="20"/>
        <v>80.33</v>
      </c>
      <c r="D155" s="2">
        <v>9.5</v>
      </c>
      <c r="E155" s="2">
        <v>50.26548245743669</v>
      </c>
      <c r="F155" s="11">
        <f t="shared" si="0"/>
        <v>1.8899649492162571</v>
      </c>
      <c r="G155" s="2">
        <f t="shared" si="1"/>
        <v>151.82088437054193</v>
      </c>
      <c r="H155" s="2">
        <f t="shared" si="2"/>
        <v>2.3391464391676191</v>
      </c>
      <c r="I155" s="2">
        <f t="shared" si="3"/>
        <v>187.90363345833484</v>
      </c>
      <c r="J155" s="2">
        <f t="shared" si="4"/>
        <v>36.082749087792905</v>
      </c>
      <c r="K155" s="15">
        <f t="shared" si="23"/>
        <v>0.59925213675213673</v>
      </c>
      <c r="L155" s="2">
        <f t="shared" si="14"/>
        <v>150</v>
      </c>
      <c r="M155" s="2">
        <f t="shared" si="21"/>
        <v>80.08</v>
      </c>
      <c r="N155" s="2">
        <v>10</v>
      </c>
      <c r="O155" s="2">
        <v>50.26548245743669</v>
      </c>
      <c r="P155" s="11">
        <f t="shared" si="5"/>
        <v>1.9894367886486919</v>
      </c>
      <c r="Q155" s="2">
        <f t="shared" si="6"/>
        <v>159.31409803498724</v>
      </c>
      <c r="R155" s="2">
        <f t="shared" si="7"/>
        <v>2.4837848789711394</v>
      </c>
      <c r="S155" s="2">
        <f t="shared" si="8"/>
        <v>198.90149310800885</v>
      </c>
      <c r="T155" s="2">
        <f t="shared" si="9"/>
        <v>39.587395073021611</v>
      </c>
    </row>
    <row r="156" spans="1:20" x14ac:dyDescent="0.25">
      <c r="A156" s="14">
        <f t="shared" si="22"/>
        <v>0.62471509971509975</v>
      </c>
      <c r="B156" s="2">
        <f t="shared" si="11"/>
        <v>151</v>
      </c>
      <c r="C156" s="4">
        <f t="shared" si="20"/>
        <v>80.83</v>
      </c>
      <c r="D156" s="2">
        <v>10</v>
      </c>
      <c r="E156" s="2">
        <v>50.26548245743669</v>
      </c>
      <c r="F156" s="11">
        <f t="shared" si="0"/>
        <v>1.9894367886486919</v>
      </c>
      <c r="G156" s="2">
        <f t="shared" si="1"/>
        <v>160.80617562647376</v>
      </c>
      <c r="H156" s="2">
        <f t="shared" si="2"/>
        <v>2.3391464391676191</v>
      </c>
      <c r="I156" s="2">
        <f t="shared" si="3"/>
        <v>189.07320667791865</v>
      </c>
      <c r="J156" s="2">
        <f t="shared" si="4"/>
        <v>28.267031051444889</v>
      </c>
      <c r="K156" s="15">
        <f t="shared" si="23"/>
        <v>0.59937678062678057</v>
      </c>
      <c r="L156" s="2">
        <f t="shared" si="14"/>
        <v>151</v>
      </c>
      <c r="M156" s="2">
        <f t="shared" si="21"/>
        <v>80.58</v>
      </c>
      <c r="N156" s="2">
        <v>9</v>
      </c>
      <c r="O156" s="2">
        <v>50.26548245743669</v>
      </c>
      <c r="P156" s="11">
        <f t="shared" si="5"/>
        <v>1.7904931097838226</v>
      </c>
      <c r="Q156" s="2">
        <f t="shared" si="6"/>
        <v>144.27793478638043</v>
      </c>
      <c r="R156" s="2">
        <f t="shared" si="7"/>
        <v>2.4837848789711394</v>
      </c>
      <c r="S156" s="2">
        <f t="shared" si="8"/>
        <v>200.1433855474944</v>
      </c>
      <c r="T156" s="2">
        <f t="shared" si="9"/>
        <v>55.865450761113976</v>
      </c>
    </row>
    <row r="157" spans="1:20" x14ac:dyDescent="0.25">
      <c r="A157" s="14">
        <f t="shared" si="22"/>
        <v>0.62491096866096862</v>
      </c>
      <c r="B157" s="2">
        <f t="shared" si="11"/>
        <v>152</v>
      </c>
      <c r="C157" s="4">
        <f t="shared" si="20"/>
        <v>81.33</v>
      </c>
      <c r="D157" s="2">
        <v>8</v>
      </c>
      <c r="E157" s="2">
        <v>50.26548245743669</v>
      </c>
      <c r="F157" s="11">
        <f t="shared" si="0"/>
        <v>1.5915494309189535</v>
      </c>
      <c r="G157" s="2">
        <f t="shared" si="1"/>
        <v>129.44071521663849</v>
      </c>
      <c r="H157" s="2">
        <f t="shared" si="2"/>
        <v>2.3391464391676191</v>
      </c>
      <c r="I157" s="2">
        <f t="shared" si="3"/>
        <v>190.24277989750246</v>
      </c>
      <c r="J157" s="2">
        <f t="shared" si="4"/>
        <v>60.802064680863964</v>
      </c>
      <c r="K157" s="15">
        <f t="shared" si="23"/>
        <v>0.59950142450142452</v>
      </c>
      <c r="L157" s="2">
        <f t="shared" si="14"/>
        <v>152</v>
      </c>
      <c r="M157" s="2">
        <f t="shared" si="21"/>
        <v>81.08</v>
      </c>
      <c r="N157" s="2">
        <v>8.5</v>
      </c>
      <c r="O157" s="2">
        <v>50.26548245743669</v>
      </c>
      <c r="P157" s="11">
        <f t="shared" si="5"/>
        <v>1.6910212703513881</v>
      </c>
      <c r="Q157" s="2">
        <f t="shared" si="6"/>
        <v>137.10800460009054</v>
      </c>
      <c r="R157" s="2">
        <f t="shared" si="7"/>
        <v>2.4837848789711394</v>
      </c>
      <c r="S157" s="2">
        <f t="shared" si="8"/>
        <v>201.38527798697999</v>
      </c>
      <c r="T157" s="2">
        <f t="shared" si="9"/>
        <v>64.277273386889448</v>
      </c>
    </row>
    <row r="158" spans="1:20" x14ac:dyDescent="0.25">
      <c r="A158" s="14">
        <f t="shared" si="22"/>
        <v>0.62510683760683761</v>
      </c>
      <c r="B158" s="2">
        <f t="shared" si="11"/>
        <v>153</v>
      </c>
      <c r="C158" s="4">
        <f t="shared" si="20"/>
        <v>81.83</v>
      </c>
      <c r="D158" s="2">
        <v>7.5</v>
      </c>
      <c r="E158" s="2">
        <v>50.26548245743669</v>
      </c>
      <c r="F158" s="11">
        <f t="shared" si="0"/>
        <v>1.492077591486519</v>
      </c>
      <c r="G158" s="2">
        <f t="shared" si="1"/>
        <v>122.09670931134184</v>
      </c>
      <c r="H158" s="2">
        <f t="shared" si="2"/>
        <v>2.3391464391676191</v>
      </c>
      <c r="I158" s="2">
        <f t="shared" si="3"/>
        <v>191.41235311708627</v>
      </c>
      <c r="J158" s="2">
        <f t="shared" si="4"/>
        <v>69.315643805744429</v>
      </c>
      <c r="K158" s="15">
        <f t="shared" si="23"/>
        <v>0.59962606837606836</v>
      </c>
      <c r="L158" s="2">
        <f t="shared" si="14"/>
        <v>153</v>
      </c>
      <c r="M158" s="2">
        <f t="shared" si="21"/>
        <v>81.58</v>
      </c>
      <c r="N158" s="2">
        <v>8</v>
      </c>
      <c r="O158" s="2">
        <v>50.26548245743669</v>
      </c>
      <c r="P158" s="11">
        <f t="shared" si="5"/>
        <v>1.5915494309189535</v>
      </c>
      <c r="Q158" s="2">
        <f t="shared" si="6"/>
        <v>129.83860257436822</v>
      </c>
      <c r="R158" s="2">
        <f t="shared" si="7"/>
        <v>2.4837848789711394</v>
      </c>
      <c r="S158" s="2">
        <f t="shared" si="8"/>
        <v>202.62717042646554</v>
      </c>
      <c r="T158" s="2">
        <f t="shared" si="9"/>
        <v>72.788567852097316</v>
      </c>
    </row>
    <row r="159" spans="1:20" x14ac:dyDescent="0.25">
      <c r="A159" s="14">
        <f t="shared" si="22"/>
        <v>0.62530270655270659</v>
      </c>
      <c r="B159" s="2">
        <f t="shared" si="11"/>
        <v>154</v>
      </c>
      <c r="C159" s="4">
        <f t="shared" si="20"/>
        <v>82.33</v>
      </c>
      <c r="D159" s="2">
        <v>6.5</v>
      </c>
      <c r="E159" s="2">
        <v>50.26548245743669</v>
      </c>
      <c r="F159" s="11">
        <f t="shared" si="0"/>
        <v>1.2931339126216495</v>
      </c>
      <c r="G159" s="2">
        <f t="shared" si="1"/>
        <v>106.46371502614039</v>
      </c>
      <c r="H159" s="2">
        <f t="shared" si="2"/>
        <v>2.3391464391676191</v>
      </c>
      <c r="I159" s="2">
        <f t="shared" si="3"/>
        <v>192.58192633667008</v>
      </c>
      <c r="J159" s="2">
        <f t="shared" si="4"/>
        <v>86.118211310529688</v>
      </c>
      <c r="K159" s="15">
        <f t="shared" si="23"/>
        <v>0.59975071225071219</v>
      </c>
      <c r="L159" s="2">
        <f t="shared" si="14"/>
        <v>154</v>
      </c>
      <c r="M159" s="2">
        <f t="shared" si="21"/>
        <v>82.08</v>
      </c>
      <c r="N159" s="2">
        <v>7</v>
      </c>
      <c r="O159" s="2">
        <v>50.26548245743669</v>
      </c>
      <c r="P159" s="11">
        <f t="shared" si="5"/>
        <v>1.3926057520540844</v>
      </c>
      <c r="Q159" s="2">
        <f t="shared" si="6"/>
        <v>114.30508012859924</v>
      </c>
      <c r="R159" s="2">
        <f t="shared" si="7"/>
        <v>2.4837848789711394</v>
      </c>
      <c r="S159" s="2">
        <f t="shared" si="8"/>
        <v>203.86906286595112</v>
      </c>
      <c r="T159" s="2">
        <f t="shared" si="9"/>
        <v>89.563982737351878</v>
      </c>
    </row>
    <row r="160" spans="1:20" x14ac:dyDescent="0.25">
      <c r="A160" s="14">
        <f t="shared" si="22"/>
        <v>0.62549857549857546</v>
      </c>
      <c r="B160" s="2">
        <f t="shared" si="11"/>
        <v>155</v>
      </c>
      <c r="C160" s="4">
        <f t="shared" si="20"/>
        <v>82.83</v>
      </c>
      <c r="D160" s="2">
        <v>6</v>
      </c>
      <c r="E160" s="2">
        <v>50.26548245743669</v>
      </c>
      <c r="F160" s="11">
        <f t="shared" si="0"/>
        <v>1.1936620731892149</v>
      </c>
      <c r="G160" s="2">
        <f t="shared" si="1"/>
        <v>98.871029522262674</v>
      </c>
      <c r="H160" s="2">
        <f t="shared" si="2"/>
        <v>2.3391464391676191</v>
      </c>
      <c r="I160" s="2">
        <f t="shared" si="3"/>
        <v>193.75149955625389</v>
      </c>
      <c r="J160" s="2">
        <f t="shared" si="4"/>
        <v>94.880470033991216</v>
      </c>
      <c r="K160" s="15">
        <f t="shared" si="23"/>
        <v>0.59987535612535614</v>
      </c>
      <c r="L160" s="2">
        <f t="shared" si="14"/>
        <v>155</v>
      </c>
      <c r="M160" s="2">
        <f t="shared" si="21"/>
        <v>82.58</v>
      </c>
      <c r="N160" s="2">
        <v>6</v>
      </c>
      <c r="O160" s="2">
        <v>50.26548245743669</v>
      </c>
      <c r="P160" s="11">
        <f t="shared" si="5"/>
        <v>1.1936620731892149</v>
      </c>
      <c r="Q160" s="2">
        <f t="shared" si="6"/>
        <v>98.57261400396537</v>
      </c>
      <c r="R160" s="2">
        <f t="shared" si="7"/>
        <v>2.4837848789711394</v>
      </c>
      <c r="S160" s="2">
        <f t="shared" si="8"/>
        <v>205.11095530543668</v>
      </c>
      <c r="T160" s="2">
        <f t="shared" si="9"/>
        <v>106.53834130147131</v>
      </c>
    </row>
    <row r="161" spans="1:20" x14ac:dyDescent="0.25">
      <c r="A161" s="10">
        <v>0.62569444444444444</v>
      </c>
      <c r="B161" s="2">
        <f t="shared" si="11"/>
        <v>156</v>
      </c>
      <c r="C161" s="4">
        <f t="shared" si="20"/>
        <v>83.33</v>
      </c>
      <c r="D161" s="2">
        <v>5</v>
      </c>
      <c r="E161" s="2">
        <v>50.26548245743669</v>
      </c>
      <c r="F161" s="11">
        <f t="shared" si="0"/>
        <v>0.99471839432434594</v>
      </c>
      <c r="G161" s="2">
        <f t="shared" si="1"/>
        <v>82.889883799047752</v>
      </c>
      <c r="H161" s="2">
        <f t="shared" si="2"/>
        <v>2.3391464391676191</v>
      </c>
      <c r="I161" s="2">
        <f t="shared" si="3"/>
        <v>194.9210727758377</v>
      </c>
      <c r="J161" s="2">
        <f t="shared" si="4"/>
        <v>112.03118897678995</v>
      </c>
      <c r="K161" s="12">
        <v>0.6</v>
      </c>
      <c r="L161" s="2">
        <f t="shared" si="14"/>
        <v>156</v>
      </c>
      <c r="M161" s="2">
        <f t="shared" si="21"/>
        <v>83.08</v>
      </c>
      <c r="N161" s="2">
        <v>5.5</v>
      </c>
      <c r="O161" s="2">
        <v>50.26548245743669</v>
      </c>
      <c r="P161" s="11">
        <f t="shared" si="5"/>
        <v>1.0941902337567804</v>
      </c>
      <c r="Q161" s="2">
        <f t="shared" si="6"/>
        <v>90.905324620513312</v>
      </c>
      <c r="R161" s="2">
        <f t="shared" si="7"/>
        <v>2.4837848789711394</v>
      </c>
      <c r="S161" s="2">
        <f t="shared" si="8"/>
        <v>206.35284774492226</v>
      </c>
      <c r="T161" s="2">
        <f t="shared" si="9"/>
        <v>115.44752312440895</v>
      </c>
    </row>
    <row r="162" spans="1:20" x14ac:dyDescent="0.25">
      <c r="A162" s="10">
        <v>0.62569444444444444</v>
      </c>
      <c r="B162" s="2">
        <f t="shared" si="11"/>
        <v>157</v>
      </c>
      <c r="C162" s="4">
        <f t="shared" si="20"/>
        <v>83.83</v>
      </c>
      <c r="D162" s="2">
        <v>4</v>
      </c>
      <c r="E162" s="2">
        <v>50.26548245743669</v>
      </c>
      <c r="F162" s="11">
        <f t="shared" si="0"/>
        <v>0.79577471545947676</v>
      </c>
      <c r="G162" s="2">
        <f t="shared" si="1"/>
        <v>66.709794396967936</v>
      </c>
      <c r="H162" s="2">
        <f t="shared" si="2"/>
        <v>2.3391464391676191</v>
      </c>
      <c r="I162" s="2">
        <f t="shared" si="3"/>
        <v>196.09064599542151</v>
      </c>
      <c r="J162" s="2">
        <f t="shared" si="4"/>
        <v>129.38085159845357</v>
      </c>
      <c r="K162" s="12">
        <v>0.6</v>
      </c>
      <c r="L162" s="2">
        <f t="shared" si="14"/>
        <v>157</v>
      </c>
      <c r="M162" s="2">
        <f t="shared" si="21"/>
        <v>83.58</v>
      </c>
      <c r="N162" s="2">
        <v>5</v>
      </c>
      <c r="O162" s="2">
        <v>50.26548245743669</v>
      </c>
      <c r="P162" s="11">
        <f t="shared" si="5"/>
        <v>0.99471839432434594</v>
      </c>
      <c r="Q162" s="2">
        <f t="shared" si="6"/>
        <v>83.138563397628829</v>
      </c>
      <c r="R162" s="2">
        <f t="shared" si="7"/>
        <v>2.4837848789711394</v>
      </c>
      <c r="S162" s="2">
        <f t="shared" si="8"/>
        <v>207.59474018440784</v>
      </c>
      <c r="T162" s="2">
        <f t="shared" si="9"/>
        <v>124.45617678677901</v>
      </c>
    </row>
    <row r="163" spans="1:20" x14ac:dyDescent="0.25">
      <c r="A163" s="10"/>
      <c r="C163" s="4"/>
      <c r="F163" s="11"/>
      <c r="K163" s="12"/>
      <c r="P163" s="11"/>
    </row>
    <row r="164" spans="1:20" x14ac:dyDescent="0.25">
      <c r="C164" s="4"/>
      <c r="F164" s="11"/>
      <c r="K164" s="12"/>
      <c r="P164" s="11"/>
    </row>
    <row r="165" spans="1:20" x14ac:dyDescent="0.25">
      <c r="C165" s="4"/>
      <c r="F165" s="11"/>
      <c r="K165" s="25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29">
    <mergeCell ref="V23:X23"/>
    <mergeCell ref="V24:X24"/>
    <mergeCell ref="V25:X25"/>
    <mergeCell ref="V26:X26"/>
    <mergeCell ref="V11:W11"/>
    <mergeCell ref="V12:W12"/>
    <mergeCell ref="V13:W13"/>
    <mergeCell ref="V14:W14"/>
    <mergeCell ref="V15:W15"/>
    <mergeCell ref="V16:W16"/>
    <mergeCell ref="V17:W17"/>
    <mergeCell ref="V10:W10"/>
    <mergeCell ref="V18:W18"/>
    <mergeCell ref="V19:X19"/>
    <mergeCell ref="W20:X20"/>
    <mergeCell ref="V21:W21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E4:F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X174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16105.813779575608</v>
      </c>
      <c r="G2" s="4">
        <f>SUM(C6:C174)</f>
        <v>6934.3099999999931</v>
      </c>
      <c r="H2" s="2">
        <f>F2/G2</f>
        <v>2.32262673280768</v>
      </c>
      <c r="I2" s="2">
        <f>SUM(J6:J174)</f>
        <v>1994.4071540495795</v>
      </c>
      <c r="J2" s="2">
        <f>(1-(I2/(F2)))*100</f>
        <v>87.616849534304421</v>
      </c>
      <c r="K2" s="1"/>
      <c r="L2" s="1"/>
      <c r="M2" s="1"/>
      <c r="N2" s="1"/>
      <c r="O2" s="1"/>
      <c r="P2" s="2">
        <f>SUM(Q6:Q174)</f>
        <v>15455.998072988919</v>
      </c>
      <c r="Q2" s="2">
        <f>SUM(M6:M174)</f>
        <v>6895.0599999999931</v>
      </c>
      <c r="R2" s="2">
        <f>P2/Q2</f>
        <v>2.2416045796539747</v>
      </c>
      <c r="S2" s="2">
        <f>SUM(T6:T174)</f>
        <v>1996.5519608587836</v>
      </c>
      <c r="T2" s="2">
        <f>(1-(S2/(P2)))*100</f>
        <v>87.082348539186356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48" t="s">
        <v>68</v>
      </c>
      <c r="F4" s="32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48" t="s">
        <v>68</v>
      </c>
      <c r="P4" s="32"/>
      <c r="V4" s="34" t="s">
        <v>12</v>
      </c>
      <c r="W4" s="36"/>
      <c r="X4" s="6" t="s">
        <v>68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45789</v>
      </c>
    </row>
    <row r="6" spans="1:24" x14ac:dyDescent="0.25">
      <c r="A6" s="10">
        <v>0.6069444444444444</v>
      </c>
      <c r="B6" s="2">
        <v>1</v>
      </c>
      <c r="C6" s="4">
        <v>4.83</v>
      </c>
      <c r="D6" s="2">
        <v>3</v>
      </c>
      <c r="E6" s="2">
        <v>50.26548245743669</v>
      </c>
      <c r="F6" s="11">
        <f t="shared" ref="F6:F162" si="0">(D6/E6)*10</f>
        <v>0.59683103659460746</v>
      </c>
      <c r="G6" s="2">
        <f t="shared" ref="G6:G162" si="1">F6*C6</f>
        <v>2.8826939067519541</v>
      </c>
      <c r="H6" s="2">
        <f t="shared" ref="H6:H162" si="2">$H$2</f>
        <v>2.32262673280768</v>
      </c>
      <c r="I6" s="2">
        <f t="shared" ref="I6:I162" si="3">H6*C6</f>
        <v>11.218287119461094</v>
      </c>
      <c r="J6" s="2">
        <f t="shared" ref="J6:J162" si="4">ABS(G6-I6)</f>
        <v>8.3355932127091386</v>
      </c>
      <c r="K6" s="12">
        <v>0.56319444444444444</v>
      </c>
      <c r="L6" s="2">
        <v>1</v>
      </c>
      <c r="M6" s="2">
        <v>4.58</v>
      </c>
      <c r="N6" s="2">
        <v>2</v>
      </c>
      <c r="O6" s="2">
        <v>50.26548245743669</v>
      </c>
      <c r="P6" s="11">
        <f t="shared" ref="P6:P162" si="5">(N6/O6)*10</f>
        <v>0.39788735772973838</v>
      </c>
      <c r="Q6" s="2">
        <f t="shared" ref="Q6:Q162" si="6">P6*M6</f>
        <v>1.8223240984022018</v>
      </c>
      <c r="R6" s="2">
        <f t="shared" ref="R6:R162" si="7">$R$2</f>
        <v>2.2416045796539747</v>
      </c>
      <c r="S6" s="2">
        <f t="shared" ref="S6:S162" si="8">R6*M6</f>
        <v>10.266548974815205</v>
      </c>
      <c r="T6" s="2">
        <f t="shared" ref="T6:T162" si="9">ABS(Q6-S6)</f>
        <v>8.4442248764130028</v>
      </c>
      <c r="V6" s="37" t="s">
        <v>23</v>
      </c>
      <c r="W6" s="36"/>
      <c r="X6" s="13" t="s">
        <v>69</v>
      </c>
    </row>
    <row r="7" spans="1:24" x14ac:dyDescent="0.25">
      <c r="A7" s="30">
        <f t="shared" ref="A7:A43" si="10">IF(AND($A$6&lt;&gt;"",$A$44&lt;&gt;""), $A$6 + (B7 - $B$6) * (($A$44 - $A$6) / ($B$44 - $B$6)), "")</f>
        <v>0.60716374269005846</v>
      </c>
      <c r="B7" s="2">
        <f t="shared" ref="B7:B162" si="11">B6+1</f>
        <v>2</v>
      </c>
      <c r="C7" s="4">
        <f t="shared" ref="C7:C109" si="12">C6+0.5</f>
        <v>5.33</v>
      </c>
      <c r="D7" s="2">
        <v>5</v>
      </c>
      <c r="E7" s="2">
        <v>50.26548245743669</v>
      </c>
      <c r="F7" s="11">
        <f t="shared" si="0"/>
        <v>0.99471839432434594</v>
      </c>
      <c r="G7" s="2">
        <f t="shared" si="1"/>
        <v>5.3018490417487643</v>
      </c>
      <c r="H7" s="2">
        <f t="shared" si="2"/>
        <v>2.32262673280768</v>
      </c>
      <c r="I7" s="2">
        <f t="shared" si="3"/>
        <v>12.379600485864934</v>
      </c>
      <c r="J7" s="2">
        <f t="shared" si="4"/>
        <v>7.0777514441161697</v>
      </c>
      <c r="K7" s="15">
        <f t="shared" ref="K7:K43" si="13">IF(AND($K$6&lt;&gt;"",$K$44&lt;&gt;""), $K$6 + (L7 - $L$6) * (($K$44 - $K$6) / ($L$44 - $L$6)), "")</f>
        <v>0.56348684210526312</v>
      </c>
      <c r="L7" s="2">
        <f t="shared" ref="L7:L162" si="14">L6+1</f>
        <v>2</v>
      </c>
      <c r="M7" s="2">
        <f t="shared" ref="M7:M109" si="15">M6+0.5</f>
        <v>5.08</v>
      </c>
      <c r="N7" s="2">
        <v>4</v>
      </c>
      <c r="O7" s="2">
        <v>50.26548245743669</v>
      </c>
      <c r="P7" s="11">
        <f t="shared" si="5"/>
        <v>0.79577471545947676</v>
      </c>
      <c r="Q7" s="2">
        <f t="shared" si="6"/>
        <v>4.0425355545341422</v>
      </c>
      <c r="R7" s="2">
        <f t="shared" si="7"/>
        <v>2.2416045796539747</v>
      </c>
      <c r="S7" s="2">
        <f t="shared" si="8"/>
        <v>11.387351264642191</v>
      </c>
      <c r="T7" s="2">
        <f t="shared" si="9"/>
        <v>7.3448157101080493</v>
      </c>
      <c r="V7" s="37" t="s">
        <v>24</v>
      </c>
      <c r="W7" s="36"/>
      <c r="X7" s="6" t="s">
        <v>70</v>
      </c>
    </row>
    <row r="8" spans="1:24" x14ac:dyDescent="0.25">
      <c r="A8" s="30">
        <f t="shared" si="10"/>
        <v>0.60738304093567252</v>
      </c>
      <c r="B8" s="2">
        <f t="shared" si="11"/>
        <v>3</v>
      </c>
      <c r="C8" s="4">
        <f t="shared" si="12"/>
        <v>5.83</v>
      </c>
      <c r="D8" s="2">
        <v>6.5</v>
      </c>
      <c r="E8" s="2">
        <v>50.26548245743669</v>
      </c>
      <c r="F8" s="11">
        <f t="shared" si="0"/>
        <v>1.2931339126216495</v>
      </c>
      <c r="G8" s="2">
        <f t="shared" si="1"/>
        <v>7.5389707105842163</v>
      </c>
      <c r="H8" s="2">
        <f t="shared" si="2"/>
        <v>2.32262673280768</v>
      </c>
      <c r="I8" s="2">
        <f t="shared" si="3"/>
        <v>13.540913852268774</v>
      </c>
      <c r="J8" s="2">
        <f t="shared" si="4"/>
        <v>6.0019431416845581</v>
      </c>
      <c r="K8" s="15">
        <f t="shared" si="13"/>
        <v>0.56377923976608191</v>
      </c>
      <c r="L8" s="2">
        <f t="shared" si="14"/>
        <v>3</v>
      </c>
      <c r="M8" s="2">
        <f t="shared" si="15"/>
        <v>5.58</v>
      </c>
      <c r="N8" s="2">
        <v>6</v>
      </c>
      <c r="O8" s="2">
        <v>50.26548245743669</v>
      </c>
      <c r="P8" s="11">
        <f t="shared" si="5"/>
        <v>1.1936620731892149</v>
      </c>
      <c r="Q8" s="2">
        <f t="shared" si="6"/>
        <v>6.6606343683958196</v>
      </c>
      <c r="R8" s="2">
        <f t="shared" si="7"/>
        <v>2.2416045796539747</v>
      </c>
      <c r="S8" s="2">
        <f t="shared" si="8"/>
        <v>12.50815355446918</v>
      </c>
      <c r="T8" s="2">
        <f t="shared" si="9"/>
        <v>5.8475191860733604</v>
      </c>
      <c r="V8" s="34" t="s">
        <v>25</v>
      </c>
      <c r="W8" s="35"/>
      <c r="X8" s="36"/>
    </row>
    <row r="9" spans="1:24" x14ac:dyDescent="0.25">
      <c r="A9" s="30">
        <f t="shared" si="10"/>
        <v>0.60760233918128648</v>
      </c>
      <c r="B9" s="2">
        <f t="shared" si="11"/>
        <v>4</v>
      </c>
      <c r="C9" s="4">
        <f t="shared" si="12"/>
        <v>6.33</v>
      </c>
      <c r="D9" s="2">
        <v>7</v>
      </c>
      <c r="E9" s="2">
        <v>50.26548245743669</v>
      </c>
      <c r="F9" s="11">
        <f t="shared" si="0"/>
        <v>1.3926057520540844</v>
      </c>
      <c r="G9" s="2">
        <f t="shared" si="1"/>
        <v>8.8151944105023539</v>
      </c>
      <c r="H9" s="2">
        <f t="shared" si="2"/>
        <v>2.32262673280768</v>
      </c>
      <c r="I9" s="2">
        <f t="shared" si="3"/>
        <v>14.702227218672615</v>
      </c>
      <c r="J9" s="2">
        <f t="shared" si="4"/>
        <v>5.887032808170261</v>
      </c>
      <c r="K9" s="15">
        <f t="shared" si="13"/>
        <v>0.56407163742690059</v>
      </c>
      <c r="L9" s="2">
        <f t="shared" si="14"/>
        <v>4</v>
      </c>
      <c r="M9" s="2">
        <f t="shared" si="15"/>
        <v>6.08</v>
      </c>
      <c r="N9" s="2">
        <v>6.5</v>
      </c>
      <c r="O9" s="2">
        <v>50.26548245743669</v>
      </c>
      <c r="P9" s="11">
        <f t="shared" si="5"/>
        <v>1.2931339126216495</v>
      </c>
      <c r="Q9" s="2">
        <f t="shared" si="6"/>
        <v>7.8622541887396284</v>
      </c>
      <c r="R9" s="2">
        <f t="shared" si="7"/>
        <v>2.2416045796539747</v>
      </c>
      <c r="S9" s="2">
        <f t="shared" si="8"/>
        <v>13.628955844296167</v>
      </c>
      <c r="T9" s="2">
        <f t="shared" si="9"/>
        <v>5.7667016555565382</v>
      </c>
      <c r="V9" s="34" t="s">
        <v>26</v>
      </c>
      <c r="W9" s="36"/>
      <c r="X9" s="16">
        <v>0.49305555555555558</v>
      </c>
    </row>
    <row r="10" spans="1:24" x14ac:dyDescent="0.25">
      <c r="A10" s="30">
        <f t="shared" si="10"/>
        <v>0.60782163742690054</v>
      </c>
      <c r="B10" s="2">
        <f t="shared" si="11"/>
        <v>5</v>
      </c>
      <c r="C10" s="4">
        <f t="shared" si="12"/>
        <v>6.83</v>
      </c>
      <c r="D10" s="2">
        <v>9</v>
      </c>
      <c r="E10" s="2">
        <v>50.26548245743669</v>
      </c>
      <c r="F10" s="11">
        <f t="shared" si="0"/>
        <v>1.7904931097838226</v>
      </c>
      <c r="G10" s="2">
        <f t="shared" si="1"/>
        <v>12.229067939823508</v>
      </c>
      <c r="H10" s="2">
        <f t="shared" si="2"/>
        <v>2.32262673280768</v>
      </c>
      <c r="I10" s="2">
        <f t="shared" si="3"/>
        <v>15.863540585076453</v>
      </c>
      <c r="J10" s="2">
        <f t="shared" si="4"/>
        <v>3.634472645252945</v>
      </c>
      <c r="K10" s="15">
        <f t="shared" si="13"/>
        <v>0.56436403508771926</v>
      </c>
      <c r="L10" s="2">
        <f t="shared" si="14"/>
        <v>5</v>
      </c>
      <c r="M10" s="2">
        <f t="shared" si="15"/>
        <v>6.58</v>
      </c>
      <c r="N10" s="2">
        <v>8.5</v>
      </c>
      <c r="O10" s="2">
        <v>50.26548245743669</v>
      </c>
      <c r="P10" s="11">
        <f t="shared" si="5"/>
        <v>1.6910212703513881</v>
      </c>
      <c r="Q10" s="2">
        <f t="shared" si="6"/>
        <v>11.126919958912133</v>
      </c>
      <c r="R10" s="2">
        <f t="shared" si="7"/>
        <v>2.2416045796539747</v>
      </c>
      <c r="S10" s="2">
        <f t="shared" si="8"/>
        <v>14.749758134123153</v>
      </c>
      <c r="T10" s="2">
        <f t="shared" si="9"/>
        <v>3.6228381752110206</v>
      </c>
      <c r="V10" s="34" t="s">
        <v>27</v>
      </c>
      <c r="W10" s="36"/>
      <c r="X10" s="6">
        <v>50</v>
      </c>
    </row>
    <row r="11" spans="1:24" x14ac:dyDescent="0.25">
      <c r="A11" s="30">
        <f t="shared" si="10"/>
        <v>0.6080409356725146</v>
      </c>
      <c r="B11" s="2">
        <f t="shared" si="11"/>
        <v>6</v>
      </c>
      <c r="C11" s="4">
        <f t="shared" si="12"/>
        <v>7.33</v>
      </c>
      <c r="D11" s="2">
        <v>12</v>
      </c>
      <c r="E11" s="2">
        <v>50.26548245743669</v>
      </c>
      <c r="F11" s="11">
        <f t="shared" si="0"/>
        <v>2.3873241463784298</v>
      </c>
      <c r="G11" s="2">
        <f t="shared" si="1"/>
        <v>17.499085992953891</v>
      </c>
      <c r="H11" s="2">
        <f t="shared" si="2"/>
        <v>2.32262673280768</v>
      </c>
      <c r="I11" s="2">
        <f t="shared" si="3"/>
        <v>17.024853951480296</v>
      </c>
      <c r="J11" s="2">
        <f t="shared" si="4"/>
        <v>0.47423204147359499</v>
      </c>
      <c r="K11" s="15">
        <f t="shared" si="13"/>
        <v>0.56465643274853805</v>
      </c>
      <c r="L11" s="2">
        <f t="shared" si="14"/>
        <v>6</v>
      </c>
      <c r="M11" s="2">
        <f t="shared" si="15"/>
        <v>7.08</v>
      </c>
      <c r="N11" s="2">
        <v>10</v>
      </c>
      <c r="O11" s="2">
        <v>50.26548245743669</v>
      </c>
      <c r="P11" s="11">
        <f t="shared" si="5"/>
        <v>1.9894367886486919</v>
      </c>
      <c r="Q11" s="2">
        <f t="shared" si="6"/>
        <v>14.08521246363274</v>
      </c>
      <c r="R11" s="2">
        <f t="shared" si="7"/>
        <v>2.2416045796539747</v>
      </c>
      <c r="S11" s="2">
        <f t="shared" si="8"/>
        <v>15.870560423950142</v>
      </c>
      <c r="T11" s="2">
        <f t="shared" si="9"/>
        <v>1.7853479603174023</v>
      </c>
      <c r="V11" s="34" t="s">
        <v>28</v>
      </c>
      <c r="W11" s="36"/>
      <c r="X11" s="6">
        <v>50</v>
      </c>
    </row>
    <row r="12" spans="1:24" x14ac:dyDescent="0.25">
      <c r="A12" s="30">
        <f t="shared" si="10"/>
        <v>0.60826023391812867</v>
      </c>
      <c r="B12" s="2">
        <f t="shared" si="11"/>
        <v>7</v>
      </c>
      <c r="C12" s="4">
        <f t="shared" si="12"/>
        <v>7.83</v>
      </c>
      <c r="D12" s="23">
        <v>20</v>
      </c>
      <c r="E12" s="2">
        <v>50.26548245743669</v>
      </c>
      <c r="F12" s="11">
        <f t="shared" si="0"/>
        <v>3.9788735772973838</v>
      </c>
      <c r="G12" s="2">
        <f t="shared" si="1"/>
        <v>31.154580110238516</v>
      </c>
      <c r="H12" s="2">
        <f t="shared" si="2"/>
        <v>2.32262673280768</v>
      </c>
      <c r="I12" s="2">
        <f t="shared" si="3"/>
        <v>18.186167317884134</v>
      </c>
      <c r="J12" s="2">
        <f t="shared" si="4"/>
        <v>12.968412792354382</v>
      </c>
      <c r="K12" s="15">
        <f t="shared" si="13"/>
        <v>0.56494883040935673</v>
      </c>
      <c r="L12" s="2">
        <f t="shared" si="14"/>
        <v>7</v>
      </c>
      <c r="M12" s="2">
        <f t="shared" si="15"/>
        <v>7.58</v>
      </c>
      <c r="N12" s="23">
        <v>13.5</v>
      </c>
      <c r="O12" s="2">
        <v>50.26548245743669</v>
      </c>
      <c r="P12" s="11">
        <f t="shared" si="5"/>
        <v>2.6857396646757339</v>
      </c>
      <c r="Q12" s="2">
        <f t="shared" si="6"/>
        <v>20.357906658242062</v>
      </c>
      <c r="R12" s="2">
        <f t="shared" si="7"/>
        <v>2.2416045796539747</v>
      </c>
      <c r="S12" s="2">
        <f t="shared" si="8"/>
        <v>16.991362713777129</v>
      </c>
      <c r="T12" s="2">
        <f t="shared" si="9"/>
        <v>3.366543944464933</v>
      </c>
      <c r="V12" s="34" t="s">
        <v>29</v>
      </c>
      <c r="W12" s="36"/>
      <c r="X12" s="6">
        <v>50</v>
      </c>
    </row>
    <row r="13" spans="1:24" x14ac:dyDescent="0.25">
      <c r="A13" s="30">
        <f t="shared" si="10"/>
        <v>0.60847953216374262</v>
      </c>
      <c r="B13" s="2">
        <f t="shared" si="11"/>
        <v>8</v>
      </c>
      <c r="C13" s="4">
        <f t="shared" si="12"/>
        <v>8.33</v>
      </c>
      <c r="D13" s="2">
        <v>15</v>
      </c>
      <c r="E13" s="2">
        <v>50.26548245743669</v>
      </c>
      <c r="F13" s="11">
        <f t="shared" si="0"/>
        <v>2.9841551829730379</v>
      </c>
      <c r="G13" s="2">
        <f t="shared" si="1"/>
        <v>24.858012674165405</v>
      </c>
      <c r="H13" s="2">
        <f t="shared" si="2"/>
        <v>2.32262673280768</v>
      </c>
      <c r="I13" s="2">
        <f t="shared" si="3"/>
        <v>19.347480684287973</v>
      </c>
      <c r="J13" s="2">
        <f t="shared" si="4"/>
        <v>5.5105319898774319</v>
      </c>
      <c r="K13" s="15">
        <f t="shared" si="13"/>
        <v>0.56524122807017541</v>
      </c>
      <c r="L13" s="2">
        <f t="shared" si="14"/>
        <v>8</v>
      </c>
      <c r="M13" s="2">
        <f t="shared" si="15"/>
        <v>8.08</v>
      </c>
      <c r="N13" s="2">
        <v>15</v>
      </c>
      <c r="O13" s="2">
        <v>50.26548245743669</v>
      </c>
      <c r="P13" s="11">
        <f t="shared" si="5"/>
        <v>2.9841551829730379</v>
      </c>
      <c r="Q13" s="2">
        <f t="shared" si="6"/>
        <v>24.111973878422148</v>
      </c>
      <c r="R13" s="2">
        <f t="shared" si="7"/>
        <v>2.2416045796539747</v>
      </c>
      <c r="S13" s="2">
        <f t="shared" si="8"/>
        <v>18.112165003604115</v>
      </c>
      <c r="T13" s="2">
        <f t="shared" si="9"/>
        <v>5.9998088748180329</v>
      </c>
      <c r="V13" s="34" t="s">
        <v>30</v>
      </c>
      <c r="W13" s="36"/>
      <c r="X13" s="16">
        <v>0.64652777777777781</v>
      </c>
    </row>
    <row r="14" spans="1:24" x14ac:dyDescent="0.25">
      <c r="A14" s="30">
        <f t="shared" si="10"/>
        <v>0.60869883040935668</v>
      </c>
      <c r="B14" s="2">
        <f t="shared" si="11"/>
        <v>9</v>
      </c>
      <c r="C14" s="4">
        <f t="shared" si="12"/>
        <v>8.83</v>
      </c>
      <c r="D14" s="2">
        <v>17.5</v>
      </c>
      <c r="E14" s="2">
        <v>50.26548245743669</v>
      </c>
      <c r="F14" s="11">
        <f t="shared" si="0"/>
        <v>3.4815143801352106</v>
      </c>
      <c r="G14" s="2">
        <f t="shared" si="1"/>
        <v>30.74177197659391</v>
      </c>
      <c r="H14" s="2">
        <f t="shared" si="2"/>
        <v>2.32262673280768</v>
      </c>
      <c r="I14" s="2">
        <f t="shared" si="3"/>
        <v>20.508794050691815</v>
      </c>
      <c r="J14" s="2">
        <f t="shared" si="4"/>
        <v>10.232977925902095</v>
      </c>
      <c r="K14" s="15">
        <f t="shared" si="13"/>
        <v>0.56553362573099419</v>
      </c>
      <c r="L14" s="2">
        <f t="shared" si="14"/>
        <v>9</v>
      </c>
      <c r="M14" s="2">
        <f t="shared" si="15"/>
        <v>8.58</v>
      </c>
      <c r="N14" s="2">
        <v>16.5</v>
      </c>
      <c r="O14" s="2">
        <v>50.26548245743669</v>
      </c>
      <c r="P14" s="11">
        <f t="shared" si="5"/>
        <v>3.2825707012703416</v>
      </c>
      <c r="Q14" s="2">
        <f t="shared" si="6"/>
        <v>28.164456616899532</v>
      </c>
      <c r="R14" s="2">
        <f t="shared" si="7"/>
        <v>2.2416045796539747</v>
      </c>
      <c r="S14" s="2">
        <f t="shared" si="8"/>
        <v>19.232967293431102</v>
      </c>
      <c r="T14" s="2">
        <f t="shared" si="9"/>
        <v>8.9314893234684298</v>
      </c>
      <c r="V14" s="34" t="s">
        <v>31</v>
      </c>
      <c r="W14" s="36"/>
      <c r="X14" s="6">
        <v>46</v>
      </c>
    </row>
    <row r="15" spans="1:24" x14ac:dyDescent="0.25">
      <c r="A15" s="30">
        <f t="shared" si="10"/>
        <v>0.60891812865497075</v>
      </c>
      <c r="B15" s="2">
        <f t="shared" si="11"/>
        <v>10</v>
      </c>
      <c r="C15" s="4">
        <f t="shared" si="12"/>
        <v>9.33</v>
      </c>
      <c r="D15" s="2">
        <v>18.5</v>
      </c>
      <c r="E15" s="2">
        <v>50.26548245743669</v>
      </c>
      <c r="F15" s="11">
        <f t="shared" si="0"/>
        <v>3.6804580590000797</v>
      </c>
      <c r="G15" s="2">
        <f t="shared" si="1"/>
        <v>34.338673690470742</v>
      </c>
      <c r="H15" s="2">
        <f t="shared" si="2"/>
        <v>2.32262673280768</v>
      </c>
      <c r="I15" s="2">
        <f t="shared" si="3"/>
        <v>21.670107417095654</v>
      </c>
      <c r="J15" s="2">
        <f t="shared" si="4"/>
        <v>12.668566273375088</v>
      </c>
      <c r="K15" s="15">
        <f t="shared" si="13"/>
        <v>0.56582602339181287</v>
      </c>
      <c r="L15" s="2">
        <f t="shared" si="14"/>
        <v>10</v>
      </c>
      <c r="M15" s="2">
        <f t="shared" si="15"/>
        <v>9.08</v>
      </c>
      <c r="N15" s="2">
        <v>18.5</v>
      </c>
      <c r="O15" s="2">
        <v>50.26548245743669</v>
      </c>
      <c r="P15" s="11">
        <f t="shared" si="5"/>
        <v>3.6804580590000797</v>
      </c>
      <c r="Q15" s="2">
        <f t="shared" si="6"/>
        <v>33.418559175720723</v>
      </c>
      <c r="R15" s="2">
        <f t="shared" si="7"/>
        <v>2.2416045796539747</v>
      </c>
      <c r="S15" s="2">
        <f t="shared" si="8"/>
        <v>20.353769583258092</v>
      </c>
      <c r="T15" s="2">
        <f t="shared" si="9"/>
        <v>13.064789592462631</v>
      </c>
      <c r="V15" s="34" t="s">
        <v>32</v>
      </c>
      <c r="W15" s="36"/>
      <c r="X15" s="6">
        <v>47</v>
      </c>
    </row>
    <row r="16" spans="1:24" x14ac:dyDescent="0.25">
      <c r="A16" s="30">
        <f t="shared" si="10"/>
        <v>0.60913742690058481</v>
      </c>
      <c r="B16" s="2">
        <f t="shared" si="11"/>
        <v>11</v>
      </c>
      <c r="C16" s="4">
        <f t="shared" si="12"/>
        <v>9.83</v>
      </c>
      <c r="D16" s="2">
        <v>21</v>
      </c>
      <c r="E16" s="2">
        <v>50.26548245743669</v>
      </c>
      <c r="F16" s="11">
        <f t="shared" si="0"/>
        <v>4.1778172561622533</v>
      </c>
      <c r="G16" s="2">
        <f t="shared" si="1"/>
        <v>41.06794362807495</v>
      </c>
      <c r="H16" s="2">
        <f t="shared" si="2"/>
        <v>2.32262673280768</v>
      </c>
      <c r="I16" s="2">
        <f t="shared" si="3"/>
        <v>22.831420783499492</v>
      </c>
      <c r="J16" s="2">
        <f t="shared" si="4"/>
        <v>18.236522844575457</v>
      </c>
      <c r="K16" s="15">
        <f t="shared" si="13"/>
        <v>0.56611842105263155</v>
      </c>
      <c r="L16" s="2">
        <f t="shared" si="14"/>
        <v>11</v>
      </c>
      <c r="M16" s="2">
        <f t="shared" si="15"/>
        <v>9.58</v>
      </c>
      <c r="N16" s="2">
        <v>20</v>
      </c>
      <c r="O16" s="2">
        <v>50.26548245743669</v>
      </c>
      <c r="P16" s="11">
        <f t="shared" si="5"/>
        <v>3.9788735772973838</v>
      </c>
      <c r="Q16" s="2">
        <f t="shared" si="6"/>
        <v>38.117608870508938</v>
      </c>
      <c r="R16" s="2">
        <f t="shared" si="7"/>
        <v>2.2416045796539747</v>
      </c>
      <c r="S16" s="2">
        <f t="shared" si="8"/>
        <v>21.474571873085079</v>
      </c>
      <c r="T16" s="2">
        <f t="shared" si="9"/>
        <v>16.643036997423859</v>
      </c>
      <c r="V16" s="34" t="s">
        <v>33</v>
      </c>
      <c r="W16" s="36"/>
      <c r="X16" s="6">
        <v>46</v>
      </c>
    </row>
    <row r="17" spans="1:24" x14ac:dyDescent="0.25">
      <c r="A17" s="30">
        <f t="shared" si="10"/>
        <v>0.60935672514619876</v>
      </c>
      <c r="B17" s="2">
        <f t="shared" si="11"/>
        <v>12</v>
      </c>
      <c r="C17" s="4">
        <f t="shared" si="12"/>
        <v>10.33</v>
      </c>
      <c r="D17" s="2">
        <v>20.5</v>
      </c>
      <c r="E17" s="2">
        <v>50.26548245743669</v>
      </c>
      <c r="F17" s="11">
        <f t="shared" si="0"/>
        <v>4.0783454167298183</v>
      </c>
      <c r="G17" s="2">
        <f t="shared" si="1"/>
        <v>42.129308154819022</v>
      </c>
      <c r="H17" s="2">
        <f t="shared" si="2"/>
        <v>2.32262673280768</v>
      </c>
      <c r="I17" s="2">
        <f t="shared" si="3"/>
        <v>23.992734149903335</v>
      </c>
      <c r="J17" s="2">
        <f t="shared" si="4"/>
        <v>18.136574004915687</v>
      </c>
      <c r="K17" s="15">
        <f t="shared" si="13"/>
        <v>0.56641081871345023</v>
      </c>
      <c r="L17" s="2">
        <f t="shared" si="14"/>
        <v>12</v>
      </c>
      <c r="M17" s="2">
        <f t="shared" si="15"/>
        <v>10.08</v>
      </c>
      <c r="N17" s="2">
        <v>23</v>
      </c>
      <c r="O17" s="2">
        <v>50.26548245743669</v>
      </c>
      <c r="P17" s="11">
        <f t="shared" si="5"/>
        <v>4.5757046138919915</v>
      </c>
      <c r="Q17" s="2">
        <f t="shared" si="6"/>
        <v>46.123102508031273</v>
      </c>
      <c r="R17" s="2">
        <f t="shared" si="7"/>
        <v>2.2416045796539747</v>
      </c>
      <c r="S17" s="2">
        <f t="shared" si="8"/>
        <v>22.595374162912066</v>
      </c>
      <c r="T17" s="2">
        <f t="shared" si="9"/>
        <v>23.527728345119208</v>
      </c>
      <c r="V17" s="38" t="s">
        <v>34</v>
      </c>
      <c r="W17" s="36"/>
      <c r="X17" s="17">
        <f>((X10-X14)+(X11-X15)+(X12-X16))/3</f>
        <v>3.6666666666666665</v>
      </c>
    </row>
    <row r="18" spans="1:24" x14ac:dyDescent="0.25">
      <c r="A18" s="30">
        <f t="shared" si="10"/>
        <v>0.60957602339181283</v>
      </c>
      <c r="B18" s="2">
        <f t="shared" si="11"/>
        <v>13</v>
      </c>
      <c r="C18" s="4">
        <f t="shared" si="12"/>
        <v>10.83</v>
      </c>
      <c r="D18" s="2">
        <v>19</v>
      </c>
      <c r="E18" s="2">
        <v>50.26548245743669</v>
      </c>
      <c r="F18" s="11">
        <f t="shared" si="0"/>
        <v>3.7799298984325143</v>
      </c>
      <c r="G18" s="2">
        <f t="shared" si="1"/>
        <v>40.936640800024129</v>
      </c>
      <c r="H18" s="2">
        <f t="shared" si="2"/>
        <v>2.32262673280768</v>
      </c>
      <c r="I18" s="2">
        <f t="shared" si="3"/>
        <v>25.154047516307173</v>
      </c>
      <c r="J18" s="2">
        <f t="shared" si="4"/>
        <v>15.782593283716956</v>
      </c>
      <c r="K18" s="15">
        <f t="shared" si="13"/>
        <v>0.56670321637426901</v>
      </c>
      <c r="L18" s="2">
        <f t="shared" si="14"/>
        <v>13</v>
      </c>
      <c r="M18" s="2">
        <f t="shared" si="15"/>
        <v>10.58</v>
      </c>
      <c r="N18" s="2">
        <v>20</v>
      </c>
      <c r="O18" s="2">
        <v>50.26548245743669</v>
      </c>
      <c r="P18" s="11">
        <f t="shared" si="5"/>
        <v>3.9788735772973838</v>
      </c>
      <c r="Q18" s="2">
        <f t="shared" si="6"/>
        <v>42.096482447806324</v>
      </c>
      <c r="R18" s="2">
        <f t="shared" si="7"/>
        <v>2.2416045796539747</v>
      </c>
      <c r="S18" s="2">
        <f t="shared" si="8"/>
        <v>23.716176452739052</v>
      </c>
      <c r="T18" s="2">
        <f t="shared" si="9"/>
        <v>18.380305995067271</v>
      </c>
      <c r="V18" s="38" t="s">
        <v>35</v>
      </c>
      <c r="W18" s="36"/>
      <c r="X18" s="18" t="s">
        <v>41</v>
      </c>
    </row>
    <row r="19" spans="1:24" x14ac:dyDescent="0.25">
      <c r="A19" s="30">
        <f t="shared" si="10"/>
        <v>0.60979532163742689</v>
      </c>
      <c r="B19" s="2">
        <f t="shared" si="11"/>
        <v>14</v>
      </c>
      <c r="C19" s="4">
        <f t="shared" si="12"/>
        <v>11.33</v>
      </c>
      <c r="D19" s="2">
        <v>19</v>
      </c>
      <c r="E19" s="2">
        <v>50.26548245743669</v>
      </c>
      <c r="F19" s="11">
        <f t="shared" si="0"/>
        <v>3.7799298984325143</v>
      </c>
      <c r="G19" s="2">
        <f t="shared" si="1"/>
        <v>42.826605749240386</v>
      </c>
      <c r="H19" s="2">
        <f t="shared" si="2"/>
        <v>2.32262673280768</v>
      </c>
      <c r="I19" s="2">
        <f t="shared" si="3"/>
        <v>26.315360882711015</v>
      </c>
      <c r="J19" s="2">
        <f t="shared" si="4"/>
        <v>16.511244866529371</v>
      </c>
      <c r="K19" s="15">
        <f t="shared" si="13"/>
        <v>0.56699561403508769</v>
      </c>
      <c r="L19" s="2">
        <f t="shared" si="14"/>
        <v>14</v>
      </c>
      <c r="M19" s="2">
        <f t="shared" si="15"/>
        <v>11.08</v>
      </c>
      <c r="N19" s="2">
        <v>19.5</v>
      </c>
      <c r="O19" s="2">
        <v>50.26548245743669</v>
      </c>
      <c r="P19" s="11">
        <f t="shared" si="5"/>
        <v>3.8794017378649488</v>
      </c>
      <c r="Q19" s="2">
        <f t="shared" si="6"/>
        <v>42.98377125554363</v>
      </c>
      <c r="R19" s="2">
        <f t="shared" si="7"/>
        <v>2.2416045796539747</v>
      </c>
      <c r="S19" s="2">
        <f t="shared" si="8"/>
        <v>24.836978742566039</v>
      </c>
      <c r="T19" s="2">
        <f t="shared" si="9"/>
        <v>18.146792512977591</v>
      </c>
      <c r="V19" s="39" t="s">
        <v>37</v>
      </c>
      <c r="W19" s="35"/>
      <c r="X19" s="36"/>
    </row>
    <row r="20" spans="1:24" x14ac:dyDescent="0.25">
      <c r="A20" s="30">
        <f t="shared" si="10"/>
        <v>0.61001461988304095</v>
      </c>
      <c r="B20" s="2">
        <f t="shared" si="11"/>
        <v>15</v>
      </c>
      <c r="C20" s="4">
        <f t="shared" si="12"/>
        <v>11.83</v>
      </c>
      <c r="D20" s="2">
        <v>18.5</v>
      </c>
      <c r="E20" s="2">
        <v>50.26548245743669</v>
      </c>
      <c r="F20" s="11">
        <f t="shared" si="0"/>
        <v>3.6804580590000797</v>
      </c>
      <c r="G20" s="2">
        <f t="shared" si="1"/>
        <v>43.539818837970941</v>
      </c>
      <c r="H20" s="2">
        <f t="shared" si="2"/>
        <v>2.32262673280768</v>
      </c>
      <c r="I20" s="2">
        <f t="shared" si="3"/>
        <v>27.476674249114854</v>
      </c>
      <c r="J20" s="2">
        <f t="shared" si="4"/>
        <v>16.063144588856087</v>
      </c>
      <c r="K20" s="15">
        <f t="shared" si="13"/>
        <v>0.56728801169590637</v>
      </c>
      <c r="L20" s="2">
        <f t="shared" si="14"/>
        <v>15</v>
      </c>
      <c r="M20" s="2">
        <f t="shared" si="15"/>
        <v>11.58</v>
      </c>
      <c r="N20" s="2">
        <v>20</v>
      </c>
      <c r="O20" s="2">
        <v>50.26548245743669</v>
      </c>
      <c r="P20" s="11">
        <f t="shared" si="5"/>
        <v>3.9788735772973838</v>
      </c>
      <c r="Q20" s="2">
        <f t="shared" si="6"/>
        <v>46.075356025103702</v>
      </c>
      <c r="R20" s="2">
        <f t="shared" si="7"/>
        <v>2.2416045796539747</v>
      </c>
      <c r="S20" s="2">
        <f t="shared" si="8"/>
        <v>25.957781032393029</v>
      </c>
      <c r="T20" s="2">
        <f t="shared" si="9"/>
        <v>20.117574992710672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30">
        <f t="shared" si="10"/>
        <v>0.61023391812865491</v>
      </c>
      <c r="B21" s="2">
        <f t="shared" si="11"/>
        <v>16</v>
      </c>
      <c r="C21" s="4">
        <f t="shared" si="12"/>
        <v>12.33</v>
      </c>
      <c r="D21" s="2">
        <v>17</v>
      </c>
      <c r="E21" s="2">
        <v>50.26548245743669</v>
      </c>
      <c r="F21" s="11">
        <f t="shared" si="0"/>
        <v>3.3820425407027761</v>
      </c>
      <c r="G21" s="2">
        <f t="shared" si="1"/>
        <v>41.700584526865228</v>
      </c>
      <c r="H21" s="2">
        <f t="shared" si="2"/>
        <v>2.32262673280768</v>
      </c>
      <c r="I21" s="2">
        <f t="shared" si="3"/>
        <v>28.637987615518693</v>
      </c>
      <c r="J21" s="2">
        <f t="shared" si="4"/>
        <v>13.062596911346535</v>
      </c>
      <c r="K21" s="15">
        <f t="shared" si="13"/>
        <v>0.56758040935672516</v>
      </c>
      <c r="L21" s="2">
        <f t="shared" si="14"/>
        <v>16</v>
      </c>
      <c r="M21" s="2">
        <f t="shared" si="15"/>
        <v>12.08</v>
      </c>
      <c r="N21" s="2">
        <v>14.5</v>
      </c>
      <c r="O21" s="2">
        <v>50.26548245743669</v>
      </c>
      <c r="P21" s="11">
        <f t="shared" si="5"/>
        <v>2.8846833435406034</v>
      </c>
      <c r="Q21" s="2">
        <f t="shared" si="6"/>
        <v>34.846974789970488</v>
      </c>
      <c r="R21" s="2">
        <f t="shared" si="7"/>
        <v>2.2416045796539747</v>
      </c>
      <c r="S21" s="2">
        <f t="shared" si="8"/>
        <v>27.078583322220016</v>
      </c>
      <c r="T21" s="2">
        <f t="shared" si="9"/>
        <v>7.7683914677504724</v>
      </c>
      <c r="V21" s="39" t="s">
        <v>39</v>
      </c>
      <c r="W21" s="36"/>
      <c r="X21" s="20">
        <f>(J2+T2)/2</f>
        <v>87.349599036745389</v>
      </c>
    </row>
    <row r="22" spans="1:24" x14ac:dyDescent="0.25">
      <c r="A22" s="30">
        <f t="shared" si="10"/>
        <v>0.61045321637426897</v>
      </c>
      <c r="B22" s="2">
        <f t="shared" si="11"/>
        <v>17</v>
      </c>
      <c r="C22" s="4">
        <f t="shared" si="12"/>
        <v>12.83</v>
      </c>
      <c r="D22" s="2">
        <v>15</v>
      </c>
      <c r="E22" s="2">
        <v>50.26548245743669</v>
      </c>
      <c r="F22" s="11">
        <f t="shared" si="0"/>
        <v>2.9841551829730379</v>
      </c>
      <c r="G22" s="2">
        <f t="shared" si="1"/>
        <v>38.286710997544077</v>
      </c>
      <c r="H22" s="2">
        <f t="shared" si="2"/>
        <v>2.32262673280768</v>
      </c>
      <c r="I22" s="2">
        <f t="shared" si="3"/>
        <v>29.799300981922535</v>
      </c>
      <c r="J22" s="2">
        <f t="shared" si="4"/>
        <v>8.487410015621542</v>
      </c>
      <c r="K22" s="15">
        <f t="shared" si="13"/>
        <v>0.56787280701754383</v>
      </c>
      <c r="L22" s="2">
        <f t="shared" si="14"/>
        <v>17</v>
      </c>
      <c r="M22" s="2">
        <f t="shared" si="15"/>
        <v>12.58</v>
      </c>
      <c r="N22" s="2">
        <v>16</v>
      </c>
      <c r="O22" s="2">
        <v>50.26548245743669</v>
      </c>
      <c r="P22" s="11">
        <f t="shared" si="5"/>
        <v>3.183098861837907</v>
      </c>
      <c r="Q22" s="2">
        <f t="shared" si="6"/>
        <v>40.043383681920872</v>
      </c>
      <c r="R22" s="2">
        <f t="shared" si="7"/>
        <v>2.2416045796539747</v>
      </c>
      <c r="S22" s="2">
        <f t="shared" si="8"/>
        <v>28.199385612047003</v>
      </c>
      <c r="T22" s="2">
        <f t="shared" si="9"/>
        <v>11.843998069873869</v>
      </c>
      <c r="V22" s="27"/>
      <c r="W22" s="27"/>
      <c r="X22" s="28"/>
    </row>
    <row r="23" spans="1:24" x14ac:dyDescent="0.25">
      <c r="A23" s="30">
        <f t="shared" si="10"/>
        <v>0.61067251461988303</v>
      </c>
      <c r="B23" s="2">
        <f t="shared" si="11"/>
        <v>18</v>
      </c>
      <c r="C23" s="4">
        <f t="shared" si="12"/>
        <v>13.33</v>
      </c>
      <c r="D23" s="2">
        <v>15.5</v>
      </c>
      <c r="E23" s="2">
        <v>50.26548245743669</v>
      </c>
      <c r="F23" s="11">
        <f t="shared" si="0"/>
        <v>3.0836270224054725</v>
      </c>
      <c r="G23" s="2">
        <f t="shared" si="1"/>
        <v>41.104748208664951</v>
      </c>
      <c r="H23" s="2">
        <f t="shared" si="2"/>
        <v>2.32262673280768</v>
      </c>
      <c r="I23" s="2">
        <f t="shared" si="3"/>
        <v>30.960614348326374</v>
      </c>
      <c r="J23" s="2">
        <f t="shared" si="4"/>
        <v>10.144133860338577</v>
      </c>
      <c r="K23" s="15">
        <f t="shared" si="13"/>
        <v>0.56816520467836251</v>
      </c>
      <c r="L23" s="2">
        <f t="shared" si="14"/>
        <v>18</v>
      </c>
      <c r="M23" s="2">
        <f t="shared" si="15"/>
        <v>13.08</v>
      </c>
      <c r="N23" s="2">
        <v>14.5</v>
      </c>
      <c r="O23" s="2">
        <v>50.26548245743669</v>
      </c>
      <c r="P23" s="11">
        <f t="shared" si="5"/>
        <v>2.8846833435406034</v>
      </c>
      <c r="Q23" s="2">
        <f t="shared" si="6"/>
        <v>37.73165813351109</v>
      </c>
      <c r="R23" s="2">
        <f t="shared" si="7"/>
        <v>2.2416045796539747</v>
      </c>
      <c r="S23" s="2">
        <f t="shared" si="8"/>
        <v>29.320187901873989</v>
      </c>
      <c r="T23" s="2">
        <f t="shared" si="9"/>
        <v>8.4114702316371002</v>
      </c>
      <c r="V23" s="34" t="s">
        <v>45</v>
      </c>
      <c r="W23" s="35"/>
      <c r="X23" s="36"/>
    </row>
    <row r="24" spans="1:24" x14ac:dyDescent="0.25">
      <c r="A24" s="30">
        <f t="shared" si="10"/>
        <v>0.6108918128654971</v>
      </c>
      <c r="B24" s="2">
        <f t="shared" si="11"/>
        <v>19</v>
      </c>
      <c r="C24" s="4">
        <f t="shared" si="12"/>
        <v>13.83</v>
      </c>
      <c r="D24" s="2">
        <v>15</v>
      </c>
      <c r="E24" s="2">
        <v>50.26548245743669</v>
      </c>
      <c r="F24" s="11">
        <f t="shared" si="0"/>
        <v>2.9841551829730379</v>
      </c>
      <c r="G24" s="2">
        <f t="shared" si="1"/>
        <v>41.270866180517118</v>
      </c>
      <c r="H24" s="2">
        <f t="shared" si="2"/>
        <v>2.32262673280768</v>
      </c>
      <c r="I24" s="2">
        <f t="shared" si="3"/>
        <v>32.121927714730212</v>
      </c>
      <c r="J24" s="2">
        <f t="shared" si="4"/>
        <v>9.1489384657869053</v>
      </c>
      <c r="K24" s="15">
        <f t="shared" si="13"/>
        <v>0.5684576023391813</v>
      </c>
      <c r="L24" s="2">
        <f t="shared" si="14"/>
        <v>19</v>
      </c>
      <c r="M24" s="2">
        <f t="shared" si="15"/>
        <v>13.58</v>
      </c>
      <c r="N24" s="2">
        <v>15</v>
      </c>
      <c r="O24" s="2">
        <v>50.26548245743669</v>
      </c>
      <c r="P24" s="11">
        <f t="shared" si="5"/>
        <v>2.9841551829730379</v>
      </c>
      <c r="Q24" s="2">
        <f t="shared" si="6"/>
        <v>40.524827384773857</v>
      </c>
      <c r="R24" s="2">
        <f t="shared" si="7"/>
        <v>2.2416045796539747</v>
      </c>
      <c r="S24" s="2">
        <f t="shared" si="8"/>
        <v>30.440990191700976</v>
      </c>
      <c r="T24" s="2">
        <f t="shared" si="9"/>
        <v>10.083837193072881</v>
      </c>
      <c r="V24" s="49" t="s">
        <v>46</v>
      </c>
      <c r="W24" s="35"/>
      <c r="X24" s="36"/>
    </row>
    <row r="25" spans="1:24" x14ac:dyDescent="0.25">
      <c r="A25" s="30">
        <f t="shared" si="10"/>
        <v>0.61111111111111116</v>
      </c>
      <c r="B25" s="2">
        <f t="shared" si="11"/>
        <v>20</v>
      </c>
      <c r="C25" s="4">
        <f t="shared" si="12"/>
        <v>14.33</v>
      </c>
      <c r="D25" s="2">
        <v>19</v>
      </c>
      <c r="E25" s="2">
        <v>50.26548245743669</v>
      </c>
      <c r="F25" s="11">
        <f t="shared" si="0"/>
        <v>3.7799298984325143</v>
      </c>
      <c r="G25" s="2">
        <f t="shared" si="1"/>
        <v>54.166395444537926</v>
      </c>
      <c r="H25" s="2">
        <f t="shared" si="2"/>
        <v>2.32262673280768</v>
      </c>
      <c r="I25" s="2">
        <f t="shared" si="3"/>
        <v>33.283241081134051</v>
      </c>
      <c r="J25" s="2">
        <f t="shared" si="4"/>
        <v>20.883154363403875</v>
      </c>
      <c r="K25" s="15">
        <f t="shared" si="13"/>
        <v>0.56874999999999998</v>
      </c>
      <c r="L25" s="2">
        <f t="shared" si="14"/>
        <v>20</v>
      </c>
      <c r="M25" s="2">
        <f t="shared" si="15"/>
        <v>14.08</v>
      </c>
      <c r="N25" s="2">
        <v>14.5</v>
      </c>
      <c r="O25" s="2">
        <v>50.26548245743669</v>
      </c>
      <c r="P25" s="11">
        <f t="shared" si="5"/>
        <v>2.8846833435406034</v>
      </c>
      <c r="Q25" s="2">
        <f t="shared" si="6"/>
        <v>40.616341477051698</v>
      </c>
      <c r="R25" s="2">
        <f t="shared" si="7"/>
        <v>2.2416045796539747</v>
      </c>
      <c r="S25" s="2">
        <f t="shared" si="8"/>
        <v>31.561792481527963</v>
      </c>
      <c r="T25" s="2">
        <f t="shared" si="9"/>
        <v>9.054548995523735</v>
      </c>
      <c r="V25" s="34" t="s">
        <v>47</v>
      </c>
      <c r="W25" s="35"/>
      <c r="X25" s="36"/>
    </row>
    <row r="26" spans="1:24" x14ac:dyDescent="0.25">
      <c r="A26" s="30">
        <f t="shared" si="10"/>
        <v>0.61133040935672511</v>
      </c>
      <c r="B26" s="2">
        <f t="shared" si="11"/>
        <v>21</v>
      </c>
      <c r="C26" s="4">
        <f t="shared" si="12"/>
        <v>14.83</v>
      </c>
      <c r="D26" s="2">
        <v>14</v>
      </c>
      <c r="E26" s="2">
        <v>50.26548245743669</v>
      </c>
      <c r="F26" s="11">
        <f t="shared" si="0"/>
        <v>2.7852115041081689</v>
      </c>
      <c r="G26" s="2">
        <f t="shared" si="1"/>
        <v>41.304686605924147</v>
      </c>
      <c r="H26" s="2">
        <f t="shared" si="2"/>
        <v>2.32262673280768</v>
      </c>
      <c r="I26" s="2">
        <f t="shared" si="3"/>
        <v>34.444554447537897</v>
      </c>
      <c r="J26" s="2">
        <f t="shared" si="4"/>
        <v>6.86013215838625</v>
      </c>
      <c r="K26" s="15">
        <f t="shared" si="13"/>
        <v>0.56904239766081866</v>
      </c>
      <c r="L26" s="2">
        <f t="shared" si="14"/>
        <v>21</v>
      </c>
      <c r="M26" s="2">
        <f t="shared" si="15"/>
        <v>14.58</v>
      </c>
      <c r="N26" s="2">
        <v>14.5</v>
      </c>
      <c r="O26" s="2">
        <v>50.26548245743669</v>
      </c>
      <c r="P26" s="11">
        <f t="shared" si="5"/>
        <v>2.8846833435406034</v>
      </c>
      <c r="Q26" s="2">
        <f t="shared" si="6"/>
        <v>42.058683148821999</v>
      </c>
      <c r="R26" s="2">
        <f t="shared" si="7"/>
        <v>2.2416045796539747</v>
      </c>
      <c r="S26" s="2">
        <f t="shared" si="8"/>
        <v>32.68259477135495</v>
      </c>
      <c r="T26" s="2">
        <f t="shared" si="9"/>
        <v>9.3760883774670489</v>
      </c>
      <c r="V26" s="49" t="s">
        <v>48</v>
      </c>
      <c r="W26" s="35"/>
      <c r="X26" s="36"/>
    </row>
    <row r="27" spans="1:24" x14ac:dyDescent="0.25">
      <c r="A27" s="30">
        <f t="shared" si="10"/>
        <v>0.61154970760233918</v>
      </c>
      <c r="B27" s="2">
        <f t="shared" si="11"/>
        <v>22</v>
      </c>
      <c r="C27" s="4">
        <f t="shared" si="12"/>
        <v>15.33</v>
      </c>
      <c r="D27" s="2">
        <v>12.5</v>
      </c>
      <c r="E27" s="2">
        <v>50.26548245743669</v>
      </c>
      <c r="F27" s="11">
        <f t="shared" si="0"/>
        <v>2.4867959858108648</v>
      </c>
      <c r="G27" s="2">
        <f t="shared" si="1"/>
        <v>38.122582462480558</v>
      </c>
      <c r="H27" s="2">
        <f t="shared" si="2"/>
        <v>2.32262673280768</v>
      </c>
      <c r="I27" s="2">
        <f t="shared" si="3"/>
        <v>35.605867813941735</v>
      </c>
      <c r="J27" s="2">
        <f t="shared" si="4"/>
        <v>2.516714648538823</v>
      </c>
      <c r="K27" s="15">
        <f t="shared" si="13"/>
        <v>0.56933479532163744</v>
      </c>
      <c r="L27" s="2">
        <f t="shared" si="14"/>
        <v>22</v>
      </c>
      <c r="M27" s="2">
        <f t="shared" si="15"/>
        <v>15.08</v>
      </c>
      <c r="N27" s="2">
        <v>13</v>
      </c>
      <c r="O27" s="2">
        <v>50.26548245743669</v>
      </c>
      <c r="P27" s="11">
        <f t="shared" si="5"/>
        <v>2.5862678252432989</v>
      </c>
      <c r="Q27" s="2">
        <f t="shared" si="6"/>
        <v>39.000918804668949</v>
      </c>
      <c r="R27" s="2">
        <f t="shared" si="7"/>
        <v>2.2416045796539747</v>
      </c>
      <c r="S27" s="2">
        <f t="shared" si="8"/>
        <v>33.80339706118194</v>
      </c>
      <c r="T27" s="2">
        <f t="shared" si="9"/>
        <v>5.1975217434870089</v>
      </c>
      <c r="V27" s="29"/>
      <c r="W27" s="29"/>
      <c r="X27" s="29"/>
    </row>
    <row r="28" spans="1:24" x14ac:dyDescent="0.25">
      <c r="A28" s="30">
        <f t="shared" si="10"/>
        <v>0.61176900584795324</v>
      </c>
      <c r="B28" s="2">
        <f t="shared" si="11"/>
        <v>23</v>
      </c>
      <c r="C28" s="4">
        <f t="shared" si="12"/>
        <v>15.83</v>
      </c>
      <c r="D28" s="2">
        <v>13</v>
      </c>
      <c r="E28" s="2">
        <v>50.26548245743669</v>
      </c>
      <c r="F28" s="11">
        <f t="shared" si="0"/>
        <v>2.5862678252432989</v>
      </c>
      <c r="G28" s="2">
        <f t="shared" si="1"/>
        <v>40.940619673601425</v>
      </c>
      <c r="H28" s="2">
        <f t="shared" si="2"/>
        <v>2.32262673280768</v>
      </c>
      <c r="I28" s="2">
        <f t="shared" si="3"/>
        <v>36.767181180345574</v>
      </c>
      <c r="J28" s="2">
        <f t="shared" si="4"/>
        <v>4.1734384932558513</v>
      </c>
      <c r="K28" s="15">
        <f t="shared" si="13"/>
        <v>0.56962719298245612</v>
      </c>
      <c r="L28" s="2">
        <f t="shared" si="14"/>
        <v>23</v>
      </c>
      <c r="M28" s="2">
        <f t="shared" si="15"/>
        <v>15.58</v>
      </c>
      <c r="N28" s="2">
        <v>12.5</v>
      </c>
      <c r="O28" s="2">
        <v>50.26548245743669</v>
      </c>
      <c r="P28" s="11">
        <f t="shared" si="5"/>
        <v>2.4867959858108648</v>
      </c>
      <c r="Q28" s="2">
        <f t="shared" si="6"/>
        <v>38.744281458933273</v>
      </c>
      <c r="R28" s="2">
        <f t="shared" si="7"/>
        <v>2.2416045796539747</v>
      </c>
      <c r="S28" s="2">
        <f t="shared" si="8"/>
        <v>34.92419935100893</v>
      </c>
      <c r="T28" s="2">
        <f t="shared" si="9"/>
        <v>3.8200821079243426</v>
      </c>
      <c r="V28" s="24" t="s">
        <v>49</v>
      </c>
      <c r="W28" s="24" t="s">
        <v>50</v>
      </c>
      <c r="X28" s="29"/>
    </row>
    <row r="29" spans="1:24" x14ac:dyDescent="0.25">
      <c r="A29" s="30">
        <f t="shared" si="10"/>
        <v>0.6119883040935673</v>
      </c>
      <c r="B29" s="2">
        <f t="shared" si="11"/>
        <v>24</v>
      </c>
      <c r="C29" s="4">
        <f t="shared" si="12"/>
        <v>16.329999999999998</v>
      </c>
      <c r="D29" s="2">
        <v>13.5</v>
      </c>
      <c r="E29" s="2">
        <v>50.26548245743669</v>
      </c>
      <c r="F29" s="11">
        <f t="shared" si="0"/>
        <v>2.6857396646757339</v>
      </c>
      <c r="G29" s="2">
        <f t="shared" si="1"/>
        <v>43.858128724154732</v>
      </c>
      <c r="H29" s="2">
        <f t="shared" si="2"/>
        <v>2.32262673280768</v>
      </c>
      <c r="I29" s="2">
        <f t="shared" si="3"/>
        <v>37.928494546749413</v>
      </c>
      <c r="J29" s="2">
        <f t="shared" si="4"/>
        <v>5.929634177405319</v>
      </c>
      <c r="K29" s="15">
        <f t="shared" si="13"/>
        <v>0.5699195906432748</v>
      </c>
      <c r="L29" s="2">
        <f t="shared" si="14"/>
        <v>24</v>
      </c>
      <c r="M29" s="2">
        <f t="shared" si="15"/>
        <v>16.079999999999998</v>
      </c>
      <c r="N29" s="2">
        <v>14</v>
      </c>
      <c r="O29" s="2">
        <v>50.26548245743669</v>
      </c>
      <c r="P29" s="11">
        <f t="shared" si="5"/>
        <v>2.7852115041081689</v>
      </c>
      <c r="Q29" s="2">
        <f t="shared" si="6"/>
        <v>44.786200986059349</v>
      </c>
      <c r="R29" s="2">
        <f t="shared" si="7"/>
        <v>2.2416045796539747</v>
      </c>
      <c r="S29" s="2">
        <f t="shared" si="8"/>
        <v>36.045001640835913</v>
      </c>
      <c r="T29" s="2">
        <f t="shared" si="9"/>
        <v>8.7411993452234356</v>
      </c>
      <c r="V29" s="24">
        <f>MAX(D4:D160)</f>
        <v>21</v>
      </c>
      <c r="W29" s="24">
        <f>MAX(N4:N160)</f>
        <v>23</v>
      </c>
      <c r="X29" s="29"/>
    </row>
    <row r="30" spans="1:24" x14ac:dyDescent="0.25">
      <c r="A30" s="30">
        <f t="shared" si="10"/>
        <v>0.61220760233918126</v>
      </c>
      <c r="B30" s="2">
        <f t="shared" si="11"/>
        <v>25</v>
      </c>
      <c r="C30" s="4">
        <f t="shared" si="12"/>
        <v>16.829999999999998</v>
      </c>
      <c r="D30" s="2">
        <v>13</v>
      </c>
      <c r="E30" s="2">
        <v>50.26548245743669</v>
      </c>
      <c r="F30" s="11">
        <f t="shared" si="0"/>
        <v>2.5862678252432989</v>
      </c>
      <c r="G30" s="2">
        <f t="shared" si="1"/>
        <v>43.526887498844715</v>
      </c>
      <c r="H30" s="2">
        <f t="shared" si="2"/>
        <v>2.32262673280768</v>
      </c>
      <c r="I30" s="2">
        <f t="shared" si="3"/>
        <v>39.089807913153251</v>
      </c>
      <c r="J30" s="2">
        <f t="shared" si="4"/>
        <v>4.437079585691464</v>
      </c>
      <c r="K30" s="15">
        <f t="shared" si="13"/>
        <v>0.57021198830409359</v>
      </c>
      <c r="L30" s="2">
        <f t="shared" si="14"/>
        <v>25</v>
      </c>
      <c r="M30" s="2">
        <f t="shared" si="15"/>
        <v>16.579999999999998</v>
      </c>
      <c r="N30" s="2">
        <v>15.5</v>
      </c>
      <c r="O30" s="2">
        <v>50.26548245743669</v>
      </c>
      <c r="P30" s="11">
        <f t="shared" si="5"/>
        <v>3.0836270224054725</v>
      </c>
      <c r="Q30" s="2">
        <f t="shared" si="6"/>
        <v>51.126536031482729</v>
      </c>
      <c r="R30" s="2">
        <f t="shared" si="7"/>
        <v>2.2416045796539747</v>
      </c>
      <c r="S30" s="2">
        <f t="shared" si="8"/>
        <v>37.165803930662896</v>
      </c>
      <c r="T30" s="2">
        <f t="shared" si="9"/>
        <v>13.960732100819833</v>
      </c>
      <c r="V30" s="24" t="s">
        <v>14</v>
      </c>
      <c r="W30" s="24" t="s">
        <v>14</v>
      </c>
      <c r="X30" s="29"/>
    </row>
    <row r="31" spans="1:24" x14ac:dyDescent="0.25">
      <c r="A31" s="30">
        <f t="shared" si="10"/>
        <v>0.61242690058479532</v>
      </c>
      <c r="B31" s="2">
        <f t="shared" si="11"/>
        <v>26</v>
      </c>
      <c r="C31" s="4">
        <f t="shared" si="12"/>
        <v>17.329999999999998</v>
      </c>
      <c r="D31" s="2">
        <v>12</v>
      </c>
      <c r="E31" s="2">
        <v>50.26548245743669</v>
      </c>
      <c r="F31" s="11">
        <f t="shared" si="0"/>
        <v>2.3873241463784298</v>
      </c>
      <c r="G31" s="2">
        <f t="shared" si="1"/>
        <v>41.372327456738184</v>
      </c>
      <c r="H31" s="2">
        <f t="shared" si="2"/>
        <v>2.32262673280768</v>
      </c>
      <c r="I31" s="2">
        <f t="shared" si="3"/>
        <v>40.25112127955709</v>
      </c>
      <c r="J31" s="2">
        <f t="shared" si="4"/>
        <v>1.1212061771810937</v>
      </c>
      <c r="K31" s="15">
        <f t="shared" si="13"/>
        <v>0.57050438596491226</v>
      </c>
      <c r="L31" s="2">
        <f t="shared" si="14"/>
        <v>26</v>
      </c>
      <c r="M31" s="2">
        <f t="shared" si="15"/>
        <v>17.079999999999998</v>
      </c>
      <c r="N31" s="2">
        <v>15</v>
      </c>
      <c r="O31" s="2">
        <v>50.26548245743669</v>
      </c>
      <c r="P31" s="11">
        <f t="shared" si="5"/>
        <v>2.9841551829730379</v>
      </c>
      <c r="Q31" s="2">
        <f t="shared" si="6"/>
        <v>50.969370525179485</v>
      </c>
      <c r="R31" s="2">
        <f t="shared" si="7"/>
        <v>2.2416045796539747</v>
      </c>
      <c r="S31" s="2">
        <f t="shared" si="8"/>
        <v>38.286606220489887</v>
      </c>
      <c r="T31" s="2">
        <f t="shared" si="9"/>
        <v>12.682764304689599</v>
      </c>
      <c r="V31" s="24">
        <f t="array" ref="V31">INDEX(B4:B160, MATCH(MAX(D4:D160), D4:D160, 0))</f>
        <v>11</v>
      </c>
      <c r="W31" s="24">
        <f t="array" ref="W31">INDEX(L4:L160, MATCH(MAX(N4:N160), N4:N160, 0))</f>
        <v>12</v>
      </c>
      <c r="X31" s="29"/>
    </row>
    <row r="32" spans="1:24" x14ac:dyDescent="0.25">
      <c r="A32" s="30">
        <f t="shared" si="10"/>
        <v>0.61264619883040938</v>
      </c>
      <c r="B32" s="2">
        <f t="shared" si="11"/>
        <v>27</v>
      </c>
      <c r="C32" s="4">
        <f t="shared" si="12"/>
        <v>17.829999999999998</v>
      </c>
      <c r="D32" s="2">
        <v>12</v>
      </c>
      <c r="E32" s="2">
        <v>50.26548245743669</v>
      </c>
      <c r="F32" s="11">
        <f t="shared" si="0"/>
        <v>2.3873241463784298</v>
      </c>
      <c r="G32" s="2">
        <f t="shared" si="1"/>
        <v>42.5659895299274</v>
      </c>
      <c r="H32" s="2">
        <f t="shared" si="2"/>
        <v>2.32262673280768</v>
      </c>
      <c r="I32" s="2">
        <f t="shared" si="3"/>
        <v>41.412434645960928</v>
      </c>
      <c r="J32" s="2">
        <f t="shared" si="4"/>
        <v>1.1535548839664713</v>
      </c>
      <c r="K32" s="15">
        <f t="shared" si="13"/>
        <v>0.57079678362573094</v>
      </c>
      <c r="L32" s="2">
        <f t="shared" si="14"/>
        <v>27</v>
      </c>
      <c r="M32" s="2">
        <f t="shared" si="15"/>
        <v>17.579999999999998</v>
      </c>
      <c r="N32" s="2">
        <v>14.5</v>
      </c>
      <c r="O32" s="2">
        <v>50.26548245743669</v>
      </c>
      <c r="P32" s="11">
        <f t="shared" si="5"/>
        <v>2.8846833435406034</v>
      </c>
      <c r="Q32" s="2">
        <f t="shared" si="6"/>
        <v>50.712733179443802</v>
      </c>
      <c r="R32" s="2">
        <f t="shared" si="7"/>
        <v>2.2416045796539747</v>
      </c>
      <c r="S32" s="2">
        <f t="shared" si="8"/>
        <v>39.40740851031687</v>
      </c>
      <c r="T32" s="2">
        <f t="shared" si="9"/>
        <v>11.305324669126932</v>
      </c>
    </row>
    <row r="33" spans="1:20" x14ac:dyDescent="0.25">
      <c r="A33" s="30">
        <f t="shared" si="10"/>
        <v>0.61286549707602345</v>
      </c>
      <c r="B33" s="2">
        <f t="shared" si="11"/>
        <v>28</v>
      </c>
      <c r="C33" s="4">
        <f t="shared" si="12"/>
        <v>18.329999999999998</v>
      </c>
      <c r="D33" s="2">
        <v>14</v>
      </c>
      <c r="E33" s="2">
        <v>50.26548245743669</v>
      </c>
      <c r="F33" s="11">
        <f t="shared" si="0"/>
        <v>2.7852115041081689</v>
      </c>
      <c r="G33" s="2">
        <f t="shared" si="1"/>
        <v>51.052926870302734</v>
      </c>
      <c r="H33" s="2">
        <f t="shared" si="2"/>
        <v>2.32262673280768</v>
      </c>
      <c r="I33" s="2">
        <f t="shared" si="3"/>
        <v>42.573748012364767</v>
      </c>
      <c r="J33" s="2">
        <f t="shared" si="4"/>
        <v>8.479178857937967</v>
      </c>
      <c r="K33" s="15">
        <f t="shared" si="13"/>
        <v>0.57108918128654973</v>
      </c>
      <c r="L33" s="2">
        <f t="shared" si="14"/>
        <v>28</v>
      </c>
      <c r="M33" s="2">
        <f t="shared" si="15"/>
        <v>18.079999999999998</v>
      </c>
      <c r="N33" s="2">
        <v>14.5</v>
      </c>
      <c r="O33" s="2">
        <v>50.26548245743669</v>
      </c>
      <c r="P33" s="11">
        <f t="shared" si="5"/>
        <v>2.8846833435406034</v>
      </c>
      <c r="Q33" s="2">
        <f t="shared" si="6"/>
        <v>52.155074851214103</v>
      </c>
      <c r="R33" s="2">
        <f t="shared" si="7"/>
        <v>2.2416045796539747</v>
      </c>
      <c r="S33" s="2">
        <f t="shared" si="8"/>
        <v>40.52821080014386</v>
      </c>
      <c r="T33" s="2">
        <f t="shared" si="9"/>
        <v>11.626864051070243</v>
      </c>
    </row>
    <row r="34" spans="1:20" x14ac:dyDescent="0.25">
      <c r="A34" s="30">
        <f t="shared" si="10"/>
        <v>0.6130847953216374</v>
      </c>
      <c r="B34" s="2">
        <f t="shared" si="11"/>
        <v>29</v>
      </c>
      <c r="C34" s="4">
        <f t="shared" si="12"/>
        <v>18.829999999999998</v>
      </c>
      <c r="D34" s="2">
        <v>14.5</v>
      </c>
      <c r="E34" s="2">
        <v>50.26548245743669</v>
      </c>
      <c r="F34" s="11">
        <f t="shared" si="0"/>
        <v>2.8846833435406034</v>
      </c>
      <c r="G34" s="2">
        <f t="shared" si="1"/>
        <v>54.318587358869557</v>
      </c>
      <c r="H34" s="2">
        <f t="shared" si="2"/>
        <v>2.32262673280768</v>
      </c>
      <c r="I34" s="2">
        <f t="shared" si="3"/>
        <v>43.735061378768613</v>
      </c>
      <c r="J34" s="2">
        <f t="shared" si="4"/>
        <v>10.583525980100944</v>
      </c>
      <c r="K34" s="15">
        <f t="shared" si="13"/>
        <v>0.57138157894736841</v>
      </c>
      <c r="L34" s="2">
        <f t="shared" si="14"/>
        <v>29</v>
      </c>
      <c r="M34" s="2">
        <f t="shared" si="15"/>
        <v>18.579999999999998</v>
      </c>
      <c r="N34" s="2">
        <v>16</v>
      </c>
      <c r="O34" s="2">
        <v>50.26548245743669</v>
      </c>
      <c r="P34" s="11">
        <f t="shared" si="5"/>
        <v>3.183098861837907</v>
      </c>
      <c r="Q34" s="2">
        <f t="shared" si="6"/>
        <v>59.141976852948304</v>
      </c>
      <c r="R34" s="2">
        <f t="shared" si="7"/>
        <v>2.2416045796539747</v>
      </c>
      <c r="S34" s="2">
        <f t="shared" si="8"/>
        <v>41.64901308997085</v>
      </c>
      <c r="T34" s="2">
        <f t="shared" si="9"/>
        <v>17.492963762977453</v>
      </c>
    </row>
    <row r="35" spans="1:20" x14ac:dyDescent="0.25">
      <c r="A35" s="30">
        <f t="shared" si="10"/>
        <v>0.61330409356725146</v>
      </c>
      <c r="B35" s="2">
        <f t="shared" si="11"/>
        <v>30</v>
      </c>
      <c r="C35" s="4">
        <f t="shared" si="12"/>
        <v>19.329999999999998</v>
      </c>
      <c r="D35" s="2">
        <v>12</v>
      </c>
      <c r="E35" s="2">
        <v>50.26548245743669</v>
      </c>
      <c r="F35" s="11">
        <f t="shared" si="0"/>
        <v>2.3873241463784298</v>
      </c>
      <c r="G35" s="2">
        <f t="shared" si="1"/>
        <v>46.146975749495041</v>
      </c>
      <c r="H35" s="2">
        <f t="shared" si="2"/>
        <v>2.32262673280768</v>
      </c>
      <c r="I35" s="2">
        <f t="shared" si="3"/>
        <v>44.896374745172452</v>
      </c>
      <c r="J35" s="2">
        <f t="shared" si="4"/>
        <v>1.2506010043225899</v>
      </c>
      <c r="K35" s="15">
        <f t="shared" si="13"/>
        <v>0.57167397660818708</v>
      </c>
      <c r="L35" s="2">
        <f t="shared" si="14"/>
        <v>30</v>
      </c>
      <c r="M35" s="2">
        <f t="shared" si="15"/>
        <v>19.079999999999998</v>
      </c>
      <c r="N35" s="2">
        <v>13</v>
      </c>
      <c r="O35" s="2">
        <v>50.26548245743669</v>
      </c>
      <c r="P35" s="11">
        <f t="shared" si="5"/>
        <v>2.5862678252432989</v>
      </c>
      <c r="Q35" s="2">
        <f t="shared" si="6"/>
        <v>49.345990105642137</v>
      </c>
      <c r="R35" s="2">
        <f t="shared" si="7"/>
        <v>2.2416045796539747</v>
      </c>
      <c r="S35" s="2">
        <f t="shared" si="8"/>
        <v>42.769815379797834</v>
      </c>
      <c r="T35" s="2">
        <f t="shared" si="9"/>
        <v>6.5761747258443037</v>
      </c>
    </row>
    <row r="36" spans="1:20" x14ac:dyDescent="0.25">
      <c r="A36" s="30">
        <f t="shared" si="10"/>
        <v>0.61352339181286553</v>
      </c>
      <c r="B36" s="2">
        <f t="shared" si="11"/>
        <v>31</v>
      </c>
      <c r="C36" s="4">
        <f t="shared" si="12"/>
        <v>19.829999999999998</v>
      </c>
      <c r="D36" s="2">
        <v>12.5</v>
      </c>
      <c r="E36" s="2">
        <v>50.26548245743669</v>
      </c>
      <c r="F36" s="11">
        <f t="shared" si="0"/>
        <v>2.4867959858108648</v>
      </c>
      <c r="G36" s="2">
        <f t="shared" si="1"/>
        <v>49.313164398629446</v>
      </c>
      <c r="H36" s="2">
        <f t="shared" si="2"/>
        <v>2.32262673280768</v>
      </c>
      <c r="I36" s="2">
        <f t="shared" si="3"/>
        <v>46.05768811157629</v>
      </c>
      <c r="J36" s="2">
        <f t="shared" si="4"/>
        <v>3.2554762870531562</v>
      </c>
      <c r="K36" s="15">
        <f t="shared" si="13"/>
        <v>0.57196637426900576</v>
      </c>
      <c r="L36" s="2">
        <f t="shared" si="14"/>
        <v>31</v>
      </c>
      <c r="M36" s="2">
        <f t="shared" si="15"/>
        <v>19.579999999999998</v>
      </c>
      <c r="N36" s="2">
        <v>13</v>
      </c>
      <c r="O36" s="2">
        <v>50.26548245743669</v>
      </c>
      <c r="P36" s="11">
        <f t="shared" si="5"/>
        <v>2.5862678252432989</v>
      </c>
      <c r="Q36" s="2">
        <f t="shared" si="6"/>
        <v>50.639124018263786</v>
      </c>
      <c r="R36" s="2">
        <f t="shared" si="7"/>
        <v>2.2416045796539747</v>
      </c>
      <c r="S36" s="2">
        <f t="shared" si="8"/>
        <v>43.890617669624824</v>
      </c>
      <c r="T36" s="2">
        <f t="shared" si="9"/>
        <v>6.748506348638962</v>
      </c>
    </row>
    <row r="37" spans="1:20" x14ac:dyDescent="0.25">
      <c r="A37" s="30">
        <f t="shared" si="10"/>
        <v>0.61374269005847959</v>
      </c>
      <c r="B37" s="2">
        <f t="shared" si="11"/>
        <v>32</v>
      </c>
      <c r="C37" s="4">
        <f t="shared" si="12"/>
        <v>20.329999999999998</v>
      </c>
      <c r="D37" s="23">
        <v>12</v>
      </c>
      <c r="E37" s="2">
        <v>50.26548245743669</v>
      </c>
      <c r="F37" s="11">
        <f t="shared" si="0"/>
        <v>2.3873241463784298</v>
      </c>
      <c r="G37" s="2">
        <f t="shared" si="1"/>
        <v>48.534299895873474</v>
      </c>
      <c r="H37" s="2">
        <f t="shared" si="2"/>
        <v>2.32262673280768</v>
      </c>
      <c r="I37" s="2">
        <f t="shared" si="3"/>
        <v>47.219001477980129</v>
      </c>
      <c r="J37" s="2">
        <f t="shared" si="4"/>
        <v>1.3152984178933451</v>
      </c>
      <c r="K37" s="15">
        <f t="shared" si="13"/>
        <v>0.57225877192982455</v>
      </c>
      <c r="L37" s="23">
        <f t="shared" si="14"/>
        <v>32</v>
      </c>
      <c r="M37" s="23">
        <f t="shared" si="15"/>
        <v>20.079999999999998</v>
      </c>
      <c r="N37" s="23">
        <v>14</v>
      </c>
      <c r="O37" s="2">
        <v>50.26548245743669</v>
      </c>
      <c r="P37" s="11">
        <f t="shared" si="5"/>
        <v>2.7852115041081689</v>
      </c>
      <c r="Q37" s="2">
        <f t="shared" si="6"/>
        <v>55.927047002492024</v>
      </c>
      <c r="R37" s="2">
        <f t="shared" si="7"/>
        <v>2.2416045796539747</v>
      </c>
      <c r="S37" s="2">
        <f t="shared" si="8"/>
        <v>45.011419959451807</v>
      </c>
      <c r="T37" s="2">
        <f t="shared" si="9"/>
        <v>10.915627043040217</v>
      </c>
    </row>
    <row r="38" spans="1:20" x14ac:dyDescent="0.25">
      <c r="A38" s="30">
        <f t="shared" si="10"/>
        <v>0.61396198830409354</v>
      </c>
      <c r="B38" s="2">
        <f t="shared" si="11"/>
        <v>33</v>
      </c>
      <c r="C38" s="4">
        <f t="shared" si="12"/>
        <v>20.83</v>
      </c>
      <c r="D38" s="2">
        <v>14</v>
      </c>
      <c r="E38" s="2">
        <v>50.26548245743669</v>
      </c>
      <c r="F38" s="11">
        <f t="shared" si="0"/>
        <v>2.7852115041081689</v>
      </c>
      <c r="G38" s="2">
        <f t="shared" si="1"/>
        <v>58.015955630573153</v>
      </c>
      <c r="H38" s="2">
        <f t="shared" si="2"/>
        <v>2.32262673280768</v>
      </c>
      <c r="I38" s="2">
        <f t="shared" si="3"/>
        <v>48.380314844383967</v>
      </c>
      <c r="J38" s="2">
        <f t="shared" si="4"/>
        <v>9.6356407861891853</v>
      </c>
      <c r="K38" s="15">
        <f t="shared" si="13"/>
        <v>0.57255116959064323</v>
      </c>
      <c r="L38" s="2">
        <f t="shared" si="14"/>
        <v>33</v>
      </c>
      <c r="M38" s="2">
        <f t="shared" si="15"/>
        <v>20.58</v>
      </c>
      <c r="N38" s="2">
        <v>20</v>
      </c>
      <c r="O38" s="2">
        <v>50.26548245743669</v>
      </c>
      <c r="P38" s="11">
        <f t="shared" si="5"/>
        <v>3.9788735772973838</v>
      </c>
      <c r="Q38" s="2">
        <f t="shared" si="6"/>
        <v>81.885218220780146</v>
      </c>
      <c r="R38" s="2">
        <f t="shared" si="7"/>
        <v>2.2416045796539747</v>
      </c>
      <c r="S38" s="2">
        <f t="shared" si="8"/>
        <v>46.132222249278797</v>
      </c>
      <c r="T38" s="2">
        <f t="shared" si="9"/>
        <v>35.752995971501349</v>
      </c>
    </row>
    <row r="39" spans="1:20" x14ac:dyDescent="0.25">
      <c r="A39" s="30">
        <f t="shared" si="10"/>
        <v>0.61418128654970761</v>
      </c>
      <c r="B39" s="2">
        <f t="shared" si="11"/>
        <v>34</v>
      </c>
      <c r="C39" s="4">
        <f t="shared" si="12"/>
        <v>21.33</v>
      </c>
      <c r="D39" s="2">
        <v>11.5</v>
      </c>
      <c r="E39" s="2">
        <v>50.26548245743669</v>
      </c>
      <c r="F39" s="11">
        <f t="shared" si="0"/>
        <v>2.2878523069459957</v>
      </c>
      <c r="G39" s="2">
        <f t="shared" si="1"/>
        <v>48.799889707158087</v>
      </c>
      <c r="H39" s="2">
        <f t="shared" si="2"/>
        <v>2.32262673280768</v>
      </c>
      <c r="I39" s="2">
        <f t="shared" si="3"/>
        <v>49.541628210787806</v>
      </c>
      <c r="J39" s="2">
        <f t="shared" si="4"/>
        <v>0.74173850362971905</v>
      </c>
      <c r="K39" s="15">
        <f t="shared" si="13"/>
        <v>0.5728435672514619</v>
      </c>
      <c r="L39" s="2">
        <f t="shared" si="14"/>
        <v>34</v>
      </c>
      <c r="M39" s="2">
        <f t="shared" si="15"/>
        <v>21.08</v>
      </c>
      <c r="N39" s="2">
        <v>14.5</v>
      </c>
      <c r="O39" s="2">
        <v>50.26548245743669</v>
      </c>
      <c r="P39" s="11">
        <f t="shared" si="5"/>
        <v>2.8846833435406034</v>
      </c>
      <c r="Q39" s="2">
        <f t="shared" si="6"/>
        <v>60.809124881835913</v>
      </c>
      <c r="R39" s="2">
        <f t="shared" si="7"/>
        <v>2.2416045796539747</v>
      </c>
      <c r="S39" s="2">
        <f t="shared" si="8"/>
        <v>47.25302453910578</v>
      </c>
      <c r="T39" s="2">
        <f t="shared" si="9"/>
        <v>13.556100342730133</v>
      </c>
    </row>
    <row r="40" spans="1:20" x14ac:dyDescent="0.25">
      <c r="A40" s="30">
        <f t="shared" si="10"/>
        <v>0.61440058479532167</v>
      </c>
      <c r="B40" s="2">
        <f t="shared" si="11"/>
        <v>35</v>
      </c>
      <c r="C40" s="4">
        <f t="shared" si="12"/>
        <v>21.83</v>
      </c>
      <c r="D40" s="2">
        <v>12</v>
      </c>
      <c r="E40" s="2">
        <v>50.26548245743669</v>
      </c>
      <c r="F40" s="11">
        <f t="shared" si="0"/>
        <v>2.3873241463784298</v>
      </c>
      <c r="G40" s="2">
        <f t="shared" si="1"/>
        <v>52.115286115441116</v>
      </c>
      <c r="H40" s="2">
        <f t="shared" si="2"/>
        <v>2.32262673280768</v>
      </c>
      <c r="I40" s="2">
        <f t="shared" si="3"/>
        <v>50.702941577191652</v>
      </c>
      <c r="J40" s="2">
        <f t="shared" si="4"/>
        <v>1.4123445382494637</v>
      </c>
      <c r="K40" s="15">
        <f t="shared" si="13"/>
        <v>0.57313596491228069</v>
      </c>
      <c r="L40" s="2">
        <f t="shared" si="14"/>
        <v>35</v>
      </c>
      <c r="M40" s="2">
        <f t="shared" si="15"/>
        <v>21.58</v>
      </c>
      <c r="N40" s="2">
        <v>13</v>
      </c>
      <c r="O40" s="2">
        <v>50.26548245743669</v>
      </c>
      <c r="P40" s="11">
        <f t="shared" si="5"/>
        <v>2.5862678252432989</v>
      </c>
      <c r="Q40" s="2">
        <f t="shared" si="6"/>
        <v>55.811659668750387</v>
      </c>
      <c r="R40" s="2">
        <f t="shared" si="7"/>
        <v>2.2416045796539747</v>
      </c>
      <c r="S40" s="2">
        <f t="shared" si="8"/>
        <v>48.373826828932771</v>
      </c>
      <c r="T40" s="2">
        <f t="shared" si="9"/>
        <v>7.4378328398176166</v>
      </c>
    </row>
    <row r="41" spans="1:20" x14ac:dyDescent="0.25">
      <c r="A41" s="30">
        <f t="shared" si="10"/>
        <v>0.61461988304093573</v>
      </c>
      <c r="B41" s="2">
        <f t="shared" si="11"/>
        <v>36</v>
      </c>
      <c r="C41" s="4">
        <f t="shared" si="12"/>
        <v>22.33</v>
      </c>
      <c r="D41" s="2">
        <v>12</v>
      </c>
      <c r="E41" s="2">
        <v>50.26548245743669</v>
      </c>
      <c r="F41" s="11">
        <f t="shared" si="0"/>
        <v>2.3873241463784298</v>
      </c>
      <c r="G41" s="2">
        <f t="shared" si="1"/>
        <v>53.308948188630332</v>
      </c>
      <c r="H41" s="2">
        <f t="shared" si="2"/>
        <v>2.32262673280768</v>
      </c>
      <c r="I41" s="2">
        <f t="shared" si="3"/>
        <v>51.86425494359549</v>
      </c>
      <c r="J41" s="2">
        <f t="shared" si="4"/>
        <v>1.4446932450348413</v>
      </c>
      <c r="K41" s="15">
        <f t="shared" si="13"/>
        <v>0.57342836257309937</v>
      </c>
      <c r="L41" s="2">
        <f t="shared" si="14"/>
        <v>36</v>
      </c>
      <c r="M41" s="2">
        <f t="shared" si="15"/>
        <v>22.08</v>
      </c>
      <c r="N41" s="2">
        <v>12</v>
      </c>
      <c r="O41" s="2">
        <v>50.26548245743669</v>
      </c>
      <c r="P41" s="11">
        <f t="shared" si="5"/>
        <v>2.3873241463784298</v>
      </c>
      <c r="Q41" s="2">
        <f t="shared" si="6"/>
        <v>52.712117152035724</v>
      </c>
      <c r="R41" s="2">
        <f t="shared" si="7"/>
        <v>2.2416045796539747</v>
      </c>
      <c r="S41" s="2">
        <f t="shared" si="8"/>
        <v>49.494629118759761</v>
      </c>
      <c r="T41" s="2">
        <f t="shared" si="9"/>
        <v>3.2174880332759628</v>
      </c>
    </row>
    <row r="42" spans="1:20" x14ac:dyDescent="0.25">
      <c r="A42" s="30">
        <f t="shared" si="10"/>
        <v>0.61483918128654969</v>
      </c>
      <c r="B42" s="2">
        <f t="shared" si="11"/>
        <v>37</v>
      </c>
      <c r="C42" s="4">
        <f t="shared" si="12"/>
        <v>22.83</v>
      </c>
      <c r="D42" s="2">
        <v>16</v>
      </c>
      <c r="E42" s="2">
        <v>50.26548245743669</v>
      </c>
      <c r="F42" s="11">
        <f t="shared" si="0"/>
        <v>3.183098861837907</v>
      </c>
      <c r="G42" s="2">
        <f t="shared" si="1"/>
        <v>72.670147015759412</v>
      </c>
      <c r="H42" s="2">
        <f t="shared" si="2"/>
        <v>2.32262673280768</v>
      </c>
      <c r="I42" s="2">
        <f t="shared" si="3"/>
        <v>53.025568309999329</v>
      </c>
      <c r="J42" s="2">
        <f t="shared" si="4"/>
        <v>19.644578705760082</v>
      </c>
      <c r="K42" s="15">
        <f t="shared" si="13"/>
        <v>0.57372076023391805</v>
      </c>
      <c r="L42" s="2">
        <f t="shared" si="14"/>
        <v>37</v>
      </c>
      <c r="M42" s="2">
        <f t="shared" si="15"/>
        <v>22.58</v>
      </c>
      <c r="N42" s="2">
        <v>13</v>
      </c>
      <c r="O42" s="2">
        <v>50.26548245743669</v>
      </c>
      <c r="P42" s="11">
        <f t="shared" si="5"/>
        <v>2.5862678252432989</v>
      </c>
      <c r="Q42" s="2">
        <f t="shared" si="6"/>
        <v>58.397927493993684</v>
      </c>
      <c r="R42" s="2">
        <f t="shared" si="7"/>
        <v>2.2416045796539747</v>
      </c>
      <c r="S42" s="2">
        <f t="shared" si="8"/>
        <v>50.615431408586744</v>
      </c>
      <c r="T42" s="2">
        <f t="shared" si="9"/>
        <v>7.7824960854069403</v>
      </c>
    </row>
    <row r="43" spans="1:20" x14ac:dyDescent="0.25">
      <c r="A43" s="30">
        <f t="shared" si="10"/>
        <v>0.61505847953216375</v>
      </c>
      <c r="B43" s="2">
        <f t="shared" si="11"/>
        <v>38</v>
      </c>
      <c r="C43" s="4">
        <f t="shared" si="12"/>
        <v>23.33</v>
      </c>
      <c r="D43" s="2">
        <v>12.5</v>
      </c>
      <c r="E43" s="2">
        <v>50.26548245743669</v>
      </c>
      <c r="F43" s="11">
        <f t="shared" si="0"/>
        <v>2.4867959858108648</v>
      </c>
      <c r="G43" s="2">
        <f t="shared" si="1"/>
        <v>58.01695034896747</v>
      </c>
      <c r="H43" s="2">
        <f t="shared" si="2"/>
        <v>2.32262673280768</v>
      </c>
      <c r="I43" s="2">
        <f t="shared" si="3"/>
        <v>54.186881676403168</v>
      </c>
      <c r="J43" s="2">
        <f t="shared" si="4"/>
        <v>3.8300686725643018</v>
      </c>
      <c r="K43" s="15">
        <f t="shared" si="13"/>
        <v>0.57401315789473684</v>
      </c>
      <c r="L43" s="2">
        <f t="shared" si="14"/>
        <v>38</v>
      </c>
      <c r="M43" s="2">
        <f t="shared" si="15"/>
        <v>23.08</v>
      </c>
      <c r="N43" s="2">
        <v>13</v>
      </c>
      <c r="O43" s="2">
        <v>50.26548245743669</v>
      </c>
      <c r="P43" s="11">
        <f t="shared" si="5"/>
        <v>2.5862678252432989</v>
      </c>
      <c r="Q43" s="2">
        <f t="shared" si="6"/>
        <v>59.691061406615333</v>
      </c>
      <c r="R43" s="2">
        <f t="shared" si="7"/>
        <v>2.2416045796539747</v>
      </c>
      <c r="S43" s="2">
        <f t="shared" si="8"/>
        <v>51.736233698413734</v>
      </c>
      <c r="T43" s="2">
        <f t="shared" si="9"/>
        <v>7.9548277082015986</v>
      </c>
    </row>
    <row r="44" spans="1:20" x14ac:dyDescent="0.25">
      <c r="A44" s="10">
        <v>0.61527777777777781</v>
      </c>
      <c r="B44" s="2">
        <f t="shared" si="11"/>
        <v>39</v>
      </c>
      <c r="C44" s="4">
        <f t="shared" si="12"/>
        <v>23.83</v>
      </c>
      <c r="D44" s="2">
        <v>11</v>
      </c>
      <c r="E44" s="2">
        <v>50.26548245743669</v>
      </c>
      <c r="F44" s="11">
        <f t="shared" si="0"/>
        <v>2.1883804675135607</v>
      </c>
      <c r="G44" s="2">
        <f t="shared" si="1"/>
        <v>52.149106540848152</v>
      </c>
      <c r="H44" s="2">
        <f t="shared" si="2"/>
        <v>2.32262673280768</v>
      </c>
      <c r="I44" s="2">
        <f t="shared" si="3"/>
        <v>55.348195042807006</v>
      </c>
      <c r="J44" s="2">
        <f t="shared" si="4"/>
        <v>3.1990885019588546</v>
      </c>
      <c r="K44" s="12">
        <v>0.57430555555555551</v>
      </c>
      <c r="L44" s="2">
        <f t="shared" si="14"/>
        <v>39</v>
      </c>
      <c r="M44" s="2">
        <f t="shared" si="15"/>
        <v>23.58</v>
      </c>
      <c r="N44" s="2">
        <v>13</v>
      </c>
      <c r="O44" s="2">
        <v>50.26548245743669</v>
      </c>
      <c r="P44" s="11">
        <f t="shared" si="5"/>
        <v>2.5862678252432989</v>
      </c>
      <c r="Q44" s="2">
        <f t="shared" si="6"/>
        <v>60.984195319236981</v>
      </c>
      <c r="R44" s="2">
        <f t="shared" si="7"/>
        <v>2.2416045796539747</v>
      </c>
      <c r="S44" s="2">
        <f t="shared" si="8"/>
        <v>52.857035988240717</v>
      </c>
      <c r="T44" s="2">
        <f t="shared" si="9"/>
        <v>8.127159330996264</v>
      </c>
    </row>
    <row r="45" spans="1:20" x14ac:dyDescent="0.25">
      <c r="A45" s="14">
        <f t="shared" ref="A45:A82" si="16">IF(AND($A$44&lt;&gt;"",$A$83&lt;&gt;""), $A$44 + (B45 - $B$44) * (($A$83 - $A$44) / ($B$83 - $B$44)), "")</f>
        <v>0.61554487179487183</v>
      </c>
      <c r="B45" s="2">
        <f t="shared" si="11"/>
        <v>40</v>
      </c>
      <c r="C45" s="4">
        <f t="shared" si="12"/>
        <v>24.33</v>
      </c>
      <c r="D45" s="2">
        <v>11.5</v>
      </c>
      <c r="E45" s="2">
        <v>50.26548245743669</v>
      </c>
      <c r="F45" s="11">
        <f t="shared" si="0"/>
        <v>2.2878523069459957</v>
      </c>
      <c r="G45" s="2">
        <f t="shared" si="1"/>
        <v>55.663446627996073</v>
      </c>
      <c r="H45" s="2">
        <f t="shared" si="2"/>
        <v>2.32262673280768</v>
      </c>
      <c r="I45" s="2">
        <f t="shared" si="3"/>
        <v>56.509508409210852</v>
      </c>
      <c r="J45" s="2">
        <f t="shared" si="4"/>
        <v>0.84606178121477882</v>
      </c>
      <c r="K45" s="15">
        <f t="shared" ref="K45:K82" si="17">IF(AND($K$44&lt;&gt;"",$K$83&lt;&gt;""), $K$44 + (L45 - $L$44) * (($K$83 - $K$44) / ($L$83 - $L$44)), "")</f>
        <v>0.57453703703703696</v>
      </c>
      <c r="L45" s="2">
        <f t="shared" si="14"/>
        <v>40</v>
      </c>
      <c r="M45" s="2">
        <f t="shared" si="15"/>
        <v>24.08</v>
      </c>
      <c r="N45" s="2">
        <v>12.5</v>
      </c>
      <c r="O45" s="2">
        <v>50.26548245743669</v>
      </c>
      <c r="P45" s="11">
        <f t="shared" si="5"/>
        <v>2.4867959858108648</v>
      </c>
      <c r="Q45" s="2">
        <f t="shared" si="6"/>
        <v>59.88204733832562</v>
      </c>
      <c r="R45" s="2">
        <f t="shared" si="7"/>
        <v>2.2416045796539747</v>
      </c>
      <c r="S45" s="2">
        <f t="shared" si="8"/>
        <v>53.977838278067708</v>
      </c>
      <c r="T45" s="2">
        <f t="shared" si="9"/>
        <v>5.9042090602579123</v>
      </c>
    </row>
    <row r="46" spans="1:20" x14ac:dyDescent="0.25">
      <c r="A46" s="14">
        <f t="shared" si="16"/>
        <v>0.61581196581196584</v>
      </c>
      <c r="B46" s="2">
        <f t="shared" si="11"/>
        <v>41</v>
      </c>
      <c r="C46" s="4">
        <f t="shared" si="12"/>
        <v>24.83</v>
      </c>
      <c r="D46" s="2">
        <v>14.5</v>
      </c>
      <c r="E46" s="2">
        <v>50.26548245743669</v>
      </c>
      <c r="F46" s="11">
        <f t="shared" si="0"/>
        <v>2.8846833435406034</v>
      </c>
      <c r="G46" s="2">
        <f t="shared" si="1"/>
        <v>71.626687420113171</v>
      </c>
      <c r="H46" s="2">
        <f t="shared" si="2"/>
        <v>2.32262673280768</v>
      </c>
      <c r="I46" s="2">
        <f t="shared" si="3"/>
        <v>57.670821775614691</v>
      </c>
      <c r="J46" s="2">
        <f t="shared" si="4"/>
        <v>13.955865644498481</v>
      </c>
      <c r="K46" s="15">
        <f t="shared" si="17"/>
        <v>0.57476851851851851</v>
      </c>
      <c r="L46" s="2">
        <f t="shared" si="14"/>
        <v>41</v>
      </c>
      <c r="M46" s="2">
        <f t="shared" si="15"/>
        <v>24.58</v>
      </c>
      <c r="N46" s="2">
        <v>13</v>
      </c>
      <c r="O46" s="2">
        <v>50.26548245743669</v>
      </c>
      <c r="P46" s="11">
        <f t="shared" si="5"/>
        <v>2.5862678252432989</v>
      </c>
      <c r="Q46" s="2">
        <f t="shared" si="6"/>
        <v>63.570463144480286</v>
      </c>
      <c r="R46" s="2">
        <f t="shared" si="7"/>
        <v>2.2416045796539747</v>
      </c>
      <c r="S46" s="2">
        <f t="shared" si="8"/>
        <v>55.098640567894698</v>
      </c>
      <c r="T46" s="2">
        <f t="shared" si="9"/>
        <v>8.4718225765855877</v>
      </c>
    </row>
    <row r="47" spans="1:20" x14ac:dyDescent="0.25">
      <c r="A47" s="14">
        <f t="shared" si="16"/>
        <v>0.61607905982905986</v>
      </c>
      <c r="B47" s="2">
        <f t="shared" si="11"/>
        <v>42</v>
      </c>
      <c r="C47" s="4">
        <f t="shared" si="12"/>
        <v>25.33</v>
      </c>
      <c r="D47" s="2">
        <v>13.5</v>
      </c>
      <c r="E47" s="2">
        <v>50.26548245743669</v>
      </c>
      <c r="F47" s="11">
        <f t="shared" si="0"/>
        <v>2.6857396646757339</v>
      </c>
      <c r="G47" s="2">
        <f t="shared" si="1"/>
        <v>68.029785706236339</v>
      </c>
      <c r="H47" s="2">
        <f t="shared" si="2"/>
        <v>2.32262673280768</v>
      </c>
      <c r="I47" s="2">
        <f t="shared" si="3"/>
        <v>58.832135142018529</v>
      </c>
      <c r="J47" s="2">
        <f t="shared" si="4"/>
        <v>9.1976505642178097</v>
      </c>
      <c r="K47" s="15">
        <f t="shared" si="17"/>
        <v>0.57499999999999996</v>
      </c>
      <c r="L47" s="2">
        <f t="shared" si="14"/>
        <v>42</v>
      </c>
      <c r="M47" s="2">
        <f t="shared" si="15"/>
        <v>25.08</v>
      </c>
      <c r="N47" s="2">
        <v>15.5</v>
      </c>
      <c r="O47" s="2">
        <v>50.26548245743669</v>
      </c>
      <c r="P47" s="11">
        <f t="shared" si="5"/>
        <v>3.0836270224054725</v>
      </c>
      <c r="Q47" s="2">
        <f t="shared" si="6"/>
        <v>77.337365721929245</v>
      </c>
      <c r="R47" s="2">
        <f t="shared" si="7"/>
        <v>2.2416045796539747</v>
      </c>
      <c r="S47" s="2">
        <f t="shared" si="8"/>
        <v>56.219442857721681</v>
      </c>
      <c r="T47" s="2">
        <f t="shared" si="9"/>
        <v>21.117922864207564</v>
      </c>
    </row>
    <row r="48" spans="1:20" x14ac:dyDescent="0.25">
      <c r="A48" s="14">
        <f t="shared" si="16"/>
        <v>0.61634615384615388</v>
      </c>
      <c r="B48" s="2">
        <f t="shared" si="11"/>
        <v>43</v>
      </c>
      <c r="C48" s="4">
        <f t="shared" si="12"/>
        <v>25.83</v>
      </c>
      <c r="D48" s="2">
        <v>11</v>
      </c>
      <c r="E48" s="2">
        <v>50.26548245743669</v>
      </c>
      <c r="F48" s="11">
        <f t="shared" si="0"/>
        <v>2.1883804675135607</v>
      </c>
      <c r="G48" s="2">
        <f t="shared" si="1"/>
        <v>56.525867475875273</v>
      </c>
      <c r="H48" s="2">
        <f t="shared" si="2"/>
        <v>2.32262673280768</v>
      </c>
      <c r="I48" s="2">
        <f t="shared" si="3"/>
        <v>59.993448508422368</v>
      </c>
      <c r="J48" s="2">
        <f t="shared" si="4"/>
        <v>3.4675810325470948</v>
      </c>
      <c r="K48" s="15">
        <f t="shared" si="17"/>
        <v>0.5752314814814814</v>
      </c>
      <c r="L48" s="2">
        <f t="shared" si="14"/>
        <v>43</v>
      </c>
      <c r="M48" s="2">
        <f t="shared" si="15"/>
        <v>25.58</v>
      </c>
      <c r="N48" s="2">
        <v>13.5</v>
      </c>
      <c r="O48" s="2">
        <v>50.26548245743669</v>
      </c>
      <c r="P48" s="11">
        <f t="shared" si="5"/>
        <v>2.6857396646757339</v>
      </c>
      <c r="Q48" s="2">
        <f t="shared" si="6"/>
        <v>68.701220622405273</v>
      </c>
      <c r="R48" s="2">
        <f t="shared" si="7"/>
        <v>2.2416045796539747</v>
      </c>
      <c r="S48" s="2">
        <f t="shared" si="8"/>
        <v>57.340245147548671</v>
      </c>
      <c r="T48" s="2">
        <f t="shared" si="9"/>
        <v>11.360975474856602</v>
      </c>
    </row>
    <row r="49" spans="1:20" x14ac:dyDescent="0.25">
      <c r="A49" s="14">
        <f t="shared" si="16"/>
        <v>0.61661324786324789</v>
      </c>
      <c r="B49" s="2">
        <f t="shared" si="11"/>
        <v>44</v>
      </c>
      <c r="C49" s="4">
        <f t="shared" si="12"/>
        <v>26.33</v>
      </c>
      <c r="D49" s="2">
        <v>12.5</v>
      </c>
      <c r="E49" s="2">
        <v>50.26548245743669</v>
      </c>
      <c r="F49" s="11">
        <f t="shared" si="0"/>
        <v>2.4867959858108648</v>
      </c>
      <c r="G49" s="2">
        <f t="shared" si="1"/>
        <v>65.477338306400071</v>
      </c>
      <c r="H49" s="2">
        <f t="shared" si="2"/>
        <v>2.32262673280768</v>
      </c>
      <c r="I49" s="2">
        <f t="shared" si="3"/>
        <v>61.154761874826207</v>
      </c>
      <c r="J49" s="2">
        <f t="shared" si="4"/>
        <v>4.3225764315738644</v>
      </c>
      <c r="K49" s="15">
        <f t="shared" si="17"/>
        <v>0.57546296296296295</v>
      </c>
      <c r="L49" s="2">
        <f t="shared" si="14"/>
        <v>44</v>
      </c>
      <c r="M49" s="2">
        <f t="shared" si="15"/>
        <v>26.08</v>
      </c>
      <c r="N49" s="2">
        <v>11.5</v>
      </c>
      <c r="O49" s="2">
        <v>50.26548245743669</v>
      </c>
      <c r="P49" s="11">
        <f t="shared" si="5"/>
        <v>2.2878523069459957</v>
      </c>
      <c r="Q49" s="2">
        <f t="shared" si="6"/>
        <v>59.667188165151565</v>
      </c>
      <c r="R49" s="2">
        <f t="shared" si="7"/>
        <v>2.2416045796539747</v>
      </c>
      <c r="S49" s="2">
        <f t="shared" si="8"/>
        <v>58.461047437375655</v>
      </c>
      <c r="T49" s="2">
        <f t="shared" si="9"/>
        <v>1.2061407277759102</v>
      </c>
    </row>
    <row r="50" spans="1:20" x14ac:dyDescent="0.25">
      <c r="A50" s="14">
        <f t="shared" si="16"/>
        <v>0.61688034188034191</v>
      </c>
      <c r="B50" s="2">
        <f t="shared" si="11"/>
        <v>45</v>
      </c>
      <c r="C50" s="4">
        <f t="shared" si="12"/>
        <v>26.83</v>
      </c>
      <c r="D50" s="2">
        <v>12</v>
      </c>
      <c r="E50" s="2">
        <v>50.26548245743669</v>
      </c>
      <c r="F50" s="11">
        <f t="shared" si="0"/>
        <v>2.3873241463784298</v>
      </c>
      <c r="G50" s="2">
        <f t="shared" si="1"/>
        <v>64.051906847333271</v>
      </c>
      <c r="H50" s="2">
        <f t="shared" si="2"/>
        <v>2.32262673280768</v>
      </c>
      <c r="I50" s="2">
        <f t="shared" si="3"/>
        <v>62.316075241230052</v>
      </c>
      <c r="J50" s="2">
        <f t="shared" si="4"/>
        <v>1.7358316061032184</v>
      </c>
      <c r="K50" s="15">
        <f t="shared" si="17"/>
        <v>0.5756944444444444</v>
      </c>
      <c r="L50" s="2">
        <f t="shared" si="14"/>
        <v>45</v>
      </c>
      <c r="M50" s="2">
        <f t="shared" si="15"/>
        <v>26.58</v>
      </c>
      <c r="N50" s="2">
        <v>12</v>
      </c>
      <c r="O50" s="2">
        <v>50.26548245743669</v>
      </c>
      <c r="P50" s="11">
        <f t="shared" si="5"/>
        <v>2.3873241463784298</v>
      </c>
      <c r="Q50" s="2">
        <f t="shared" si="6"/>
        <v>63.455075810738663</v>
      </c>
      <c r="R50" s="2">
        <f t="shared" si="7"/>
        <v>2.2416045796539747</v>
      </c>
      <c r="S50" s="2">
        <f t="shared" si="8"/>
        <v>59.581849727202645</v>
      </c>
      <c r="T50" s="2">
        <f t="shared" si="9"/>
        <v>3.8732260835360179</v>
      </c>
    </row>
    <row r="51" spans="1:20" x14ac:dyDescent="0.25">
      <c r="A51" s="14">
        <f t="shared" si="16"/>
        <v>0.61714743589743593</v>
      </c>
      <c r="B51" s="2">
        <f t="shared" si="11"/>
        <v>46</v>
      </c>
      <c r="C51" s="4">
        <f t="shared" si="12"/>
        <v>27.33</v>
      </c>
      <c r="D51" s="2">
        <v>12.5</v>
      </c>
      <c r="E51" s="2">
        <v>50.26548245743669</v>
      </c>
      <c r="F51" s="11">
        <f t="shared" si="0"/>
        <v>2.4867959858108648</v>
      </c>
      <c r="G51" s="2">
        <f t="shared" si="1"/>
        <v>67.964134292210929</v>
      </c>
      <c r="H51" s="2">
        <f t="shared" si="2"/>
        <v>2.32262673280768</v>
      </c>
      <c r="I51" s="2">
        <f t="shared" si="3"/>
        <v>63.477388607633891</v>
      </c>
      <c r="J51" s="2">
        <f t="shared" si="4"/>
        <v>4.4867456845770377</v>
      </c>
      <c r="K51" s="15">
        <f t="shared" si="17"/>
        <v>0.57592592592592595</v>
      </c>
      <c r="L51" s="2">
        <f t="shared" si="14"/>
        <v>46</v>
      </c>
      <c r="M51" s="2">
        <f t="shared" si="15"/>
        <v>27.08</v>
      </c>
      <c r="N51" s="2">
        <v>13</v>
      </c>
      <c r="O51" s="2">
        <v>50.26548245743669</v>
      </c>
      <c r="P51" s="11">
        <f t="shared" si="5"/>
        <v>2.5862678252432989</v>
      </c>
      <c r="Q51" s="2">
        <f t="shared" si="6"/>
        <v>70.036132707588536</v>
      </c>
      <c r="R51" s="2">
        <f t="shared" si="7"/>
        <v>2.2416045796539747</v>
      </c>
      <c r="S51" s="2">
        <f t="shared" si="8"/>
        <v>60.702652017029635</v>
      </c>
      <c r="T51" s="2">
        <f t="shared" si="9"/>
        <v>9.3334806905589005</v>
      </c>
    </row>
    <row r="52" spans="1:20" x14ac:dyDescent="0.25">
      <c r="A52" s="14">
        <f t="shared" si="16"/>
        <v>0.61741452991452994</v>
      </c>
      <c r="B52" s="2">
        <f t="shared" si="11"/>
        <v>47</v>
      </c>
      <c r="C52" s="4">
        <f t="shared" si="12"/>
        <v>27.83</v>
      </c>
      <c r="D52" s="2">
        <v>12</v>
      </c>
      <c r="E52" s="2">
        <v>50.26548245743669</v>
      </c>
      <c r="F52" s="11">
        <f t="shared" si="0"/>
        <v>2.3873241463784298</v>
      </c>
      <c r="G52" s="2">
        <f t="shared" si="1"/>
        <v>66.439230993711703</v>
      </c>
      <c r="H52" s="2">
        <f t="shared" si="2"/>
        <v>2.32262673280768</v>
      </c>
      <c r="I52" s="2">
        <f t="shared" si="3"/>
        <v>64.63870197403773</v>
      </c>
      <c r="J52" s="2">
        <f t="shared" si="4"/>
        <v>1.8005290196739736</v>
      </c>
      <c r="K52" s="15">
        <f t="shared" si="17"/>
        <v>0.5761574074074074</v>
      </c>
      <c r="L52" s="2">
        <f t="shared" si="14"/>
        <v>47</v>
      </c>
      <c r="M52" s="2">
        <f t="shared" si="15"/>
        <v>27.58</v>
      </c>
      <c r="N52" s="2">
        <v>13</v>
      </c>
      <c r="O52" s="2">
        <v>50.26548245743669</v>
      </c>
      <c r="P52" s="11">
        <f t="shared" si="5"/>
        <v>2.5862678252432989</v>
      </c>
      <c r="Q52" s="2">
        <f t="shared" si="6"/>
        <v>71.329266620210177</v>
      </c>
      <c r="R52" s="2">
        <f t="shared" si="7"/>
        <v>2.2416045796539747</v>
      </c>
      <c r="S52" s="2">
        <f t="shared" si="8"/>
        <v>61.823454306856618</v>
      </c>
      <c r="T52" s="2">
        <f t="shared" si="9"/>
        <v>9.5058123133535588</v>
      </c>
    </row>
    <row r="53" spans="1:20" x14ac:dyDescent="0.25">
      <c r="A53" s="14">
        <f t="shared" si="16"/>
        <v>0.61768162393162396</v>
      </c>
      <c r="B53" s="2">
        <f t="shared" si="11"/>
        <v>48</v>
      </c>
      <c r="C53" s="4">
        <f t="shared" si="12"/>
        <v>28.33</v>
      </c>
      <c r="D53" s="2">
        <v>12.5</v>
      </c>
      <c r="E53" s="2">
        <v>50.26548245743669</v>
      </c>
      <c r="F53" s="11">
        <f t="shared" si="0"/>
        <v>2.4867959858108648</v>
      </c>
      <c r="G53" s="2">
        <f t="shared" si="1"/>
        <v>70.450930278021801</v>
      </c>
      <c r="H53" s="2">
        <f t="shared" si="2"/>
        <v>2.32262673280768</v>
      </c>
      <c r="I53" s="2">
        <f t="shared" si="3"/>
        <v>65.800015340441576</v>
      </c>
      <c r="J53" s="2">
        <f t="shared" si="4"/>
        <v>4.6509149375802252</v>
      </c>
      <c r="K53" s="15">
        <f t="shared" si="17"/>
        <v>0.57638888888888884</v>
      </c>
      <c r="L53" s="2">
        <f t="shared" si="14"/>
        <v>48</v>
      </c>
      <c r="M53" s="2">
        <f t="shared" si="15"/>
        <v>28.08</v>
      </c>
      <c r="N53" s="2">
        <v>12.5</v>
      </c>
      <c r="O53" s="2">
        <v>50.26548245743669</v>
      </c>
      <c r="P53" s="11">
        <f t="shared" si="5"/>
        <v>2.4867959858108648</v>
      </c>
      <c r="Q53" s="2">
        <f t="shared" si="6"/>
        <v>69.829231281569079</v>
      </c>
      <c r="R53" s="2">
        <f t="shared" si="7"/>
        <v>2.2416045796539747</v>
      </c>
      <c r="S53" s="2">
        <f t="shared" si="8"/>
        <v>62.944256596683609</v>
      </c>
      <c r="T53" s="2">
        <f t="shared" si="9"/>
        <v>6.8849746848854707</v>
      </c>
    </row>
    <row r="54" spans="1:20" x14ac:dyDescent="0.25">
      <c r="A54" s="14">
        <f t="shared" si="16"/>
        <v>0.61794871794871797</v>
      </c>
      <c r="B54" s="2">
        <f t="shared" si="11"/>
        <v>49</v>
      </c>
      <c r="C54" s="4">
        <f t="shared" si="12"/>
        <v>28.83</v>
      </c>
      <c r="D54" s="2">
        <v>12.5</v>
      </c>
      <c r="E54" s="2">
        <v>50.26548245743669</v>
      </c>
      <c r="F54" s="11">
        <f t="shared" si="0"/>
        <v>2.4867959858108648</v>
      </c>
      <c r="G54" s="2">
        <f t="shared" si="1"/>
        <v>71.69432827092723</v>
      </c>
      <c r="H54" s="2">
        <f t="shared" si="2"/>
        <v>2.32262673280768</v>
      </c>
      <c r="I54" s="2">
        <f t="shared" si="3"/>
        <v>66.961328706845407</v>
      </c>
      <c r="J54" s="2">
        <f t="shared" si="4"/>
        <v>4.7329995640818225</v>
      </c>
      <c r="K54" s="15">
        <f t="shared" si="17"/>
        <v>0.57662037037037039</v>
      </c>
      <c r="L54" s="2">
        <f t="shared" si="14"/>
        <v>49</v>
      </c>
      <c r="M54" s="2">
        <f t="shared" si="15"/>
        <v>28.58</v>
      </c>
      <c r="N54" s="2">
        <v>12</v>
      </c>
      <c r="O54" s="2">
        <v>50.26548245743669</v>
      </c>
      <c r="P54" s="11">
        <f t="shared" si="5"/>
        <v>2.3873241463784298</v>
      </c>
      <c r="Q54" s="2">
        <f t="shared" si="6"/>
        <v>68.229724103495514</v>
      </c>
      <c r="R54" s="2">
        <f t="shared" si="7"/>
        <v>2.2416045796539747</v>
      </c>
      <c r="S54" s="2">
        <f t="shared" si="8"/>
        <v>64.065058886510599</v>
      </c>
      <c r="T54" s="2">
        <f t="shared" si="9"/>
        <v>4.1646652169849148</v>
      </c>
    </row>
    <row r="55" spans="1:20" x14ac:dyDescent="0.25">
      <c r="A55" s="14">
        <f t="shared" si="16"/>
        <v>0.61821581196581199</v>
      </c>
      <c r="B55" s="2">
        <f t="shared" si="11"/>
        <v>50</v>
      </c>
      <c r="C55" s="4">
        <f t="shared" si="12"/>
        <v>29.33</v>
      </c>
      <c r="D55" s="2">
        <v>14.5</v>
      </c>
      <c r="E55" s="2">
        <v>50.26548245743669</v>
      </c>
      <c r="F55" s="11">
        <f t="shared" si="0"/>
        <v>2.8846833435406034</v>
      </c>
      <c r="G55" s="2">
        <f t="shared" si="1"/>
        <v>84.607762466045898</v>
      </c>
      <c r="H55" s="2">
        <f t="shared" si="2"/>
        <v>2.32262673280768</v>
      </c>
      <c r="I55" s="2">
        <f t="shared" si="3"/>
        <v>68.122642073249253</v>
      </c>
      <c r="J55" s="2">
        <f t="shared" si="4"/>
        <v>16.485120392796645</v>
      </c>
      <c r="K55" s="15">
        <f t="shared" si="17"/>
        <v>0.57685185185185184</v>
      </c>
      <c r="L55" s="2">
        <f t="shared" si="14"/>
        <v>50</v>
      </c>
      <c r="M55" s="2">
        <f t="shared" si="15"/>
        <v>29.08</v>
      </c>
      <c r="N55" s="2">
        <v>18</v>
      </c>
      <c r="O55" s="2">
        <v>50.26548245743669</v>
      </c>
      <c r="P55" s="11">
        <f t="shared" si="5"/>
        <v>3.5809862195676452</v>
      </c>
      <c r="Q55" s="2">
        <f t="shared" si="6"/>
        <v>104.13507926502712</v>
      </c>
      <c r="R55" s="2">
        <f t="shared" si="7"/>
        <v>2.2416045796539747</v>
      </c>
      <c r="S55" s="2">
        <f t="shared" si="8"/>
        <v>65.185861176337582</v>
      </c>
      <c r="T55" s="2">
        <f t="shared" si="9"/>
        <v>38.949218088689534</v>
      </c>
    </row>
    <row r="56" spans="1:20" x14ac:dyDescent="0.25">
      <c r="A56" s="14">
        <f t="shared" si="16"/>
        <v>0.61848290598290601</v>
      </c>
      <c r="B56" s="2">
        <f t="shared" si="11"/>
        <v>51</v>
      </c>
      <c r="C56" s="4">
        <f t="shared" si="12"/>
        <v>29.83</v>
      </c>
      <c r="D56" s="2">
        <v>12.5</v>
      </c>
      <c r="E56" s="2">
        <v>50.26548245743669</v>
      </c>
      <c r="F56" s="11">
        <f t="shared" si="0"/>
        <v>2.4867959858108648</v>
      </c>
      <c r="G56" s="2">
        <f t="shared" si="1"/>
        <v>74.181124256738087</v>
      </c>
      <c r="H56" s="2">
        <f t="shared" si="2"/>
        <v>2.32262673280768</v>
      </c>
      <c r="I56" s="2">
        <f t="shared" si="3"/>
        <v>69.283955439653084</v>
      </c>
      <c r="J56" s="2">
        <f t="shared" si="4"/>
        <v>4.897168817085003</v>
      </c>
      <c r="K56" s="15">
        <f t="shared" si="17"/>
        <v>0.57708333333333328</v>
      </c>
      <c r="L56" s="2">
        <f t="shared" si="14"/>
        <v>51</v>
      </c>
      <c r="M56" s="2">
        <f t="shared" si="15"/>
        <v>29.58</v>
      </c>
      <c r="N56" s="2">
        <v>12</v>
      </c>
      <c r="O56" s="2">
        <v>50.26548245743669</v>
      </c>
      <c r="P56" s="11">
        <f t="shared" si="5"/>
        <v>2.3873241463784298</v>
      </c>
      <c r="Q56" s="2">
        <f t="shared" si="6"/>
        <v>70.617048249873946</v>
      </c>
      <c r="R56" s="2">
        <f t="shared" si="7"/>
        <v>2.2416045796539747</v>
      </c>
      <c r="S56" s="2">
        <f t="shared" si="8"/>
        <v>66.306663466164565</v>
      </c>
      <c r="T56" s="2">
        <f t="shared" si="9"/>
        <v>4.3103847837093809</v>
      </c>
    </row>
    <row r="57" spans="1:20" x14ac:dyDescent="0.25">
      <c r="A57" s="14">
        <f t="shared" si="16"/>
        <v>0.61875000000000002</v>
      </c>
      <c r="B57" s="2">
        <f t="shared" si="11"/>
        <v>52</v>
      </c>
      <c r="C57" s="4">
        <f t="shared" si="12"/>
        <v>30.33</v>
      </c>
      <c r="D57" s="2">
        <v>12</v>
      </c>
      <c r="E57" s="2">
        <v>50.26548245743669</v>
      </c>
      <c r="F57" s="11">
        <f t="shared" si="0"/>
        <v>2.3873241463784298</v>
      </c>
      <c r="G57" s="2">
        <f t="shared" si="1"/>
        <v>72.40754135965777</v>
      </c>
      <c r="H57" s="2">
        <f t="shared" si="2"/>
        <v>2.32262673280768</v>
      </c>
      <c r="I57" s="2">
        <f t="shared" si="3"/>
        <v>70.44526880605693</v>
      </c>
      <c r="J57" s="2">
        <f t="shared" si="4"/>
        <v>1.9622725536008403</v>
      </c>
      <c r="K57" s="15">
        <f t="shared" si="17"/>
        <v>0.57731481481481484</v>
      </c>
      <c r="L57" s="2">
        <f t="shared" si="14"/>
        <v>52</v>
      </c>
      <c r="M57" s="2">
        <f t="shared" si="15"/>
        <v>30.08</v>
      </c>
      <c r="N57" s="2">
        <v>11.5</v>
      </c>
      <c r="O57" s="2">
        <v>50.26548245743669</v>
      </c>
      <c r="P57" s="11">
        <f t="shared" si="5"/>
        <v>2.2878523069459957</v>
      </c>
      <c r="Q57" s="2">
        <f t="shared" si="6"/>
        <v>68.818597392935544</v>
      </c>
      <c r="R57" s="2">
        <f t="shared" si="7"/>
        <v>2.2416045796539747</v>
      </c>
      <c r="S57" s="2">
        <f t="shared" si="8"/>
        <v>67.427465755991562</v>
      </c>
      <c r="T57" s="2">
        <f t="shared" si="9"/>
        <v>1.3911316369439817</v>
      </c>
    </row>
    <row r="58" spans="1:20" x14ac:dyDescent="0.25">
      <c r="A58" s="14">
        <f t="shared" si="16"/>
        <v>0.61901709401709404</v>
      </c>
      <c r="B58" s="2">
        <f t="shared" si="11"/>
        <v>53</v>
      </c>
      <c r="C58" s="4">
        <f t="shared" si="12"/>
        <v>30.83</v>
      </c>
      <c r="D58" s="2">
        <v>12</v>
      </c>
      <c r="E58" s="2">
        <v>50.26548245743669</v>
      </c>
      <c r="F58" s="11">
        <f t="shared" si="0"/>
        <v>2.3873241463784298</v>
      </c>
      <c r="G58" s="2">
        <f t="shared" si="1"/>
        <v>73.601203432846987</v>
      </c>
      <c r="H58" s="2">
        <f t="shared" si="2"/>
        <v>2.32262673280768</v>
      </c>
      <c r="I58" s="2">
        <f t="shared" si="3"/>
        <v>71.606582172460776</v>
      </c>
      <c r="J58" s="2">
        <f t="shared" si="4"/>
        <v>1.9946212603862108</v>
      </c>
      <c r="K58" s="15">
        <f t="shared" si="17"/>
        <v>0.57754629629629628</v>
      </c>
      <c r="L58" s="2">
        <f t="shared" si="14"/>
        <v>53</v>
      </c>
      <c r="M58" s="2">
        <f t="shared" si="15"/>
        <v>30.58</v>
      </c>
      <c r="N58" s="2">
        <v>10</v>
      </c>
      <c r="O58" s="2">
        <v>50.26548245743669</v>
      </c>
      <c r="P58" s="11">
        <f t="shared" si="5"/>
        <v>1.9894367886486919</v>
      </c>
      <c r="Q58" s="2">
        <f t="shared" si="6"/>
        <v>60.836976996876992</v>
      </c>
      <c r="R58" s="2">
        <f t="shared" si="7"/>
        <v>2.2416045796539747</v>
      </c>
      <c r="S58" s="2">
        <f t="shared" si="8"/>
        <v>68.548268045818546</v>
      </c>
      <c r="T58" s="2">
        <f t="shared" si="9"/>
        <v>7.711291048941554</v>
      </c>
    </row>
    <row r="59" spans="1:20" x14ac:dyDescent="0.25">
      <c r="A59" s="14">
        <f t="shared" si="16"/>
        <v>0.61928418803418805</v>
      </c>
      <c r="B59" s="2">
        <f t="shared" si="11"/>
        <v>54</v>
      </c>
      <c r="C59" s="4">
        <f t="shared" si="12"/>
        <v>31.33</v>
      </c>
      <c r="D59" s="2">
        <v>12.5</v>
      </c>
      <c r="E59" s="2">
        <v>50.26548245743669</v>
      </c>
      <c r="F59" s="11">
        <f t="shared" si="0"/>
        <v>2.4867959858108648</v>
      </c>
      <c r="G59" s="2">
        <f t="shared" si="1"/>
        <v>77.911318235454388</v>
      </c>
      <c r="H59" s="2">
        <f t="shared" si="2"/>
        <v>2.32262673280768</v>
      </c>
      <c r="I59" s="2">
        <f t="shared" si="3"/>
        <v>72.767895538864607</v>
      </c>
      <c r="J59" s="2">
        <f t="shared" si="4"/>
        <v>5.1434226965897807</v>
      </c>
      <c r="K59" s="15">
        <f t="shared" si="17"/>
        <v>0.57777777777777772</v>
      </c>
      <c r="L59" s="2">
        <f t="shared" si="14"/>
        <v>54</v>
      </c>
      <c r="M59" s="2">
        <f t="shared" si="15"/>
        <v>31.08</v>
      </c>
      <c r="N59" s="2">
        <v>13.5</v>
      </c>
      <c r="O59" s="2">
        <v>50.26548245743669</v>
      </c>
      <c r="P59" s="11">
        <f t="shared" si="5"/>
        <v>2.6857396646757339</v>
      </c>
      <c r="Q59" s="2">
        <f t="shared" si="6"/>
        <v>83.47278877812181</v>
      </c>
      <c r="R59" s="2">
        <f t="shared" si="7"/>
        <v>2.2416045796539747</v>
      </c>
      <c r="S59" s="2">
        <f t="shared" si="8"/>
        <v>69.669070335645529</v>
      </c>
      <c r="T59" s="2">
        <f t="shared" si="9"/>
        <v>13.803718442476281</v>
      </c>
    </row>
    <row r="60" spans="1:20" x14ac:dyDescent="0.25">
      <c r="A60" s="14">
        <f t="shared" si="16"/>
        <v>0.61955128205128207</v>
      </c>
      <c r="B60" s="2">
        <f t="shared" si="11"/>
        <v>55</v>
      </c>
      <c r="C60" s="4">
        <f t="shared" si="12"/>
        <v>31.83</v>
      </c>
      <c r="D60" s="2">
        <v>10</v>
      </c>
      <c r="E60" s="2">
        <v>50.26548245743669</v>
      </c>
      <c r="F60" s="11">
        <f t="shared" si="0"/>
        <v>1.9894367886486919</v>
      </c>
      <c r="G60" s="2">
        <f t="shared" si="1"/>
        <v>63.323772982687856</v>
      </c>
      <c r="H60" s="2">
        <f t="shared" si="2"/>
        <v>2.32262673280768</v>
      </c>
      <c r="I60" s="2">
        <f t="shared" si="3"/>
        <v>73.929208905268453</v>
      </c>
      <c r="J60" s="2">
        <f t="shared" si="4"/>
        <v>10.605435922580597</v>
      </c>
      <c r="K60" s="15">
        <f t="shared" si="17"/>
        <v>0.57800925925925928</v>
      </c>
      <c r="L60" s="2">
        <f t="shared" si="14"/>
        <v>55</v>
      </c>
      <c r="M60" s="2">
        <f t="shared" si="15"/>
        <v>31.58</v>
      </c>
      <c r="N60" s="2">
        <v>13</v>
      </c>
      <c r="O60" s="2">
        <v>50.26548245743669</v>
      </c>
      <c r="P60" s="11">
        <f t="shared" si="5"/>
        <v>2.5862678252432989</v>
      </c>
      <c r="Q60" s="2">
        <f t="shared" si="6"/>
        <v>81.67433792118338</v>
      </c>
      <c r="R60" s="2">
        <f t="shared" si="7"/>
        <v>2.2416045796539747</v>
      </c>
      <c r="S60" s="2">
        <f t="shared" si="8"/>
        <v>70.789872625472512</v>
      </c>
      <c r="T60" s="2">
        <f t="shared" si="9"/>
        <v>10.884465295710868</v>
      </c>
    </row>
    <row r="61" spans="1:20" x14ac:dyDescent="0.25">
      <c r="A61" s="14">
        <f t="shared" si="16"/>
        <v>0.61981837606837609</v>
      </c>
      <c r="B61" s="2">
        <f t="shared" si="11"/>
        <v>56</v>
      </c>
      <c r="C61" s="4">
        <f t="shared" si="12"/>
        <v>32.33</v>
      </c>
      <c r="D61" s="2">
        <v>13</v>
      </c>
      <c r="E61" s="2">
        <v>50.26548245743669</v>
      </c>
      <c r="F61" s="11">
        <f t="shared" si="0"/>
        <v>2.5862678252432989</v>
      </c>
      <c r="G61" s="2">
        <f t="shared" si="1"/>
        <v>83.614038790115856</v>
      </c>
      <c r="H61" s="2">
        <f t="shared" si="2"/>
        <v>2.32262673280768</v>
      </c>
      <c r="I61" s="2">
        <f t="shared" si="3"/>
        <v>75.090522271672285</v>
      </c>
      <c r="J61" s="2">
        <f t="shared" si="4"/>
        <v>8.5235165184435715</v>
      </c>
      <c r="K61" s="15">
        <f t="shared" si="17"/>
        <v>0.57824074074074072</v>
      </c>
      <c r="L61" s="2">
        <f t="shared" si="14"/>
        <v>56</v>
      </c>
      <c r="M61" s="2">
        <f t="shared" si="15"/>
        <v>32.08</v>
      </c>
      <c r="N61" s="2">
        <v>11.5</v>
      </c>
      <c r="O61" s="2">
        <v>50.26548245743669</v>
      </c>
      <c r="P61" s="11">
        <f t="shared" si="5"/>
        <v>2.2878523069459957</v>
      </c>
      <c r="Q61" s="2">
        <f t="shared" si="6"/>
        <v>73.394302006827544</v>
      </c>
      <c r="R61" s="2">
        <f t="shared" si="7"/>
        <v>2.2416045796539747</v>
      </c>
      <c r="S61" s="2">
        <f t="shared" si="8"/>
        <v>71.910674915299509</v>
      </c>
      <c r="T61" s="2">
        <f t="shared" si="9"/>
        <v>1.4836270915280352</v>
      </c>
    </row>
    <row r="62" spans="1:20" x14ac:dyDescent="0.25">
      <c r="A62" s="14">
        <f t="shared" si="16"/>
        <v>0.6200854700854701</v>
      </c>
      <c r="B62" s="2">
        <f t="shared" si="11"/>
        <v>57</v>
      </c>
      <c r="C62" s="4">
        <f t="shared" si="12"/>
        <v>32.83</v>
      </c>
      <c r="D62" s="2">
        <v>11.5</v>
      </c>
      <c r="E62" s="2">
        <v>50.26548245743669</v>
      </c>
      <c r="F62" s="11">
        <f t="shared" si="0"/>
        <v>2.2878523069459957</v>
      </c>
      <c r="G62" s="2">
        <f t="shared" si="1"/>
        <v>75.110191237037043</v>
      </c>
      <c r="H62" s="2">
        <f t="shared" si="2"/>
        <v>2.32262673280768</v>
      </c>
      <c r="I62" s="2">
        <f t="shared" si="3"/>
        <v>76.25183563807613</v>
      </c>
      <c r="J62" s="2">
        <f t="shared" si="4"/>
        <v>1.1416444010390876</v>
      </c>
      <c r="K62" s="15">
        <f t="shared" si="17"/>
        <v>0.57847222222222217</v>
      </c>
      <c r="L62" s="2">
        <f t="shared" si="14"/>
        <v>57</v>
      </c>
      <c r="M62" s="2">
        <f t="shared" si="15"/>
        <v>32.58</v>
      </c>
      <c r="N62" s="2">
        <v>11</v>
      </c>
      <c r="O62" s="2">
        <v>50.26548245743669</v>
      </c>
      <c r="P62" s="11">
        <f t="shared" si="5"/>
        <v>2.1883804675135607</v>
      </c>
      <c r="Q62" s="2">
        <f t="shared" si="6"/>
        <v>71.29743563159181</v>
      </c>
      <c r="R62" s="2">
        <f t="shared" si="7"/>
        <v>2.2416045796539747</v>
      </c>
      <c r="S62" s="2">
        <f t="shared" si="8"/>
        <v>73.031477205126492</v>
      </c>
      <c r="T62" s="2">
        <f t="shared" si="9"/>
        <v>1.7340415735346824</v>
      </c>
    </row>
    <row r="63" spans="1:20" x14ac:dyDescent="0.25">
      <c r="A63" s="14">
        <f t="shared" si="16"/>
        <v>0.62035256410256412</v>
      </c>
      <c r="B63" s="2">
        <f t="shared" si="11"/>
        <v>58</v>
      </c>
      <c r="C63" s="4">
        <f t="shared" si="12"/>
        <v>33.33</v>
      </c>
      <c r="D63" s="2">
        <v>14</v>
      </c>
      <c r="E63" s="2">
        <v>50.26548245743669</v>
      </c>
      <c r="F63" s="11">
        <f t="shared" si="0"/>
        <v>2.7852115041081689</v>
      </c>
      <c r="G63" s="2">
        <f t="shared" si="1"/>
        <v>92.831099431925267</v>
      </c>
      <c r="H63" s="2">
        <f t="shared" si="2"/>
        <v>2.32262673280768</v>
      </c>
      <c r="I63" s="2">
        <f t="shared" si="3"/>
        <v>77.413149004479962</v>
      </c>
      <c r="J63" s="2">
        <f t="shared" si="4"/>
        <v>15.417950427445305</v>
      </c>
      <c r="K63" s="15">
        <f t="shared" si="17"/>
        <v>0.57870370370370372</v>
      </c>
      <c r="L63" s="2">
        <f t="shared" si="14"/>
        <v>58</v>
      </c>
      <c r="M63" s="2">
        <f t="shared" si="15"/>
        <v>33.08</v>
      </c>
      <c r="N63" s="2">
        <v>12</v>
      </c>
      <c r="O63" s="2">
        <v>50.26548245743669</v>
      </c>
      <c r="P63" s="11">
        <f t="shared" si="5"/>
        <v>2.3873241463784298</v>
      </c>
      <c r="Q63" s="2">
        <f t="shared" si="6"/>
        <v>78.97268276219846</v>
      </c>
      <c r="R63" s="2">
        <f t="shared" si="7"/>
        <v>2.2416045796539747</v>
      </c>
      <c r="S63" s="2">
        <f t="shared" si="8"/>
        <v>74.152279494953476</v>
      </c>
      <c r="T63" s="2">
        <f t="shared" si="9"/>
        <v>4.8204032672449841</v>
      </c>
    </row>
    <row r="64" spans="1:20" x14ac:dyDescent="0.25">
      <c r="A64" s="14">
        <f t="shared" si="16"/>
        <v>0.62061965811965814</v>
      </c>
      <c r="B64" s="2">
        <f t="shared" si="11"/>
        <v>59</v>
      </c>
      <c r="C64" s="4">
        <f t="shared" si="12"/>
        <v>33.83</v>
      </c>
      <c r="D64" s="2">
        <v>10.5</v>
      </c>
      <c r="E64" s="2">
        <v>50.26548245743669</v>
      </c>
      <c r="F64" s="11">
        <f t="shared" si="0"/>
        <v>2.0889086280811267</v>
      </c>
      <c r="G64" s="2">
        <f t="shared" si="1"/>
        <v>70.667778887984511</v>
      </c>
      <c r="H64" s="2">
        <f t="shared" si="2"/>
        <v>2.32262673280768</v>
      </c>
      <c r="I64" s="2">
        <f t="shared" si="3"/>
        <v>78.574462370883808</v>
      </c>
      <c r="J64" s="2">
        <f t="shared" si="4"/>
        <v>7.9066834828992967</v>
      </c>
      <c r="K64" s="15">
        <f t="shared" si="17"/>
        <v>0.57893518518518516</v>
      </c>
      <c r="L64" s="2">
        <f t="shared" si="14"/>
        <v>59</v>
      </c>
      <c r="M64" s="2">
        <f t="shared" si="15"/>
        <v>33.58</v>
      </c>
      <c r="N64" s="2">
        <v>11</v>
      </c>
      <c r="O64" s="2">
        <v>50.26548245743669</v>
      </c>
      <c r="P64" s="11">
        <f t="shared" si="5"/>
        <v>2.1883804675135607</v>
      </c>
      <c r="Q64" s="2">
        <f t="shared" si="6"/>
        <v>73.485816099105364</v>
      </c>
      <c r="R64" s="2">
        <f t="shared" si="7"/>
        <v>2.2416045796539747</v>
      </c>
      <c r="S64" s="2">
        <f t="shared" si="8"/>
        <v>75.273081784780473</v>
      </c>
      <c r="T64" s="2">
        <f t="shared" si="9"/>
        <v>1.7872656856751092</v>
      </c>
    </row>
    <row r="65" spans="1:20" x14ac:dyDescent="0.25">
      <c r="A65" s="14">
        <f t="shared" si="16"/>
        <v>0.62088675213675215</v>
      </c>
      <c r="B65" s="2">
        <f t="shared" si="11"/>
        <v>60</v>
      </c>
      <c r="C65" s="4">
        <f t="shared" si="12"/>
        <v>34.33</v>
      </c>
      <c r="D65" s="2">
        <v>10</v>
      </c>
      <c r="E65" s="2">
        <v>50.26548245743669</v>
      </c>
      <c r="F65" s="11">
        <f t="shared" si="0"/>
        <v>1.9894367886486919</v>
      </c>
      <c r="G65" s="2">
        <f t="shared" si="1"/>
        <v>68.297364954309586</v>
      </c>
      <c r="H65" s="2">
        <f t="shared" si="2"/>
        <v>2.32262673280768</v>
      </c>
      <c r="I65" s="2">
        <f t="shared" si="3"/>
        <v>79.735775737287653</v>
      </c>
      <c r="J65" s="2">
        <f t="shared" si="4"/>
        <v>11.438410782978067</v>
      </c>
      <c r="K65" s="15">
        <f t="shared" si="17"/>
        <v>0.57916666666666672</v>
      </c>
      <c r="L65" s="2">
        <f t="shared" si="14"/>
        <v>60</v>
      </c>
      <c r="M65" s="2">
        <f t="shared" si="15"/>
        <v>34.08</v>
      </c>
      <c r="N65" s="2">
        <v>10.5</v>
      </c>
      <c r="O65" s="2">
        <v>50.26548245743669</v>
      </c>
      <c r="P65" s="11">
        <f t="shared" si="5"/>
        <v>2.0889086280811267</v>
      </c>
      <c r="Q65" s="2">
        <f t="shared" si="6"/>
        <v>71.190006045004793</v>
      </c>
      <c r="R65" s="2">
        <f t="shared" si="7"/>
        <v>2.2416045796539747</v>
      </c>
      <c r="S65" s="2">
        <f t="shared" si="8"/>
        <v>76.393884074607456</v>
      </c>
      <c r="T65" s="2">
        <f t="shared" si="9"/>
        <v>5.203878029602663</v>
      </c>
    </row>
    <row r="66" spans="1:20" x14ac:dyDescent="0.25">
      <c r="A66" s="14">
        <f t="shared" si="16"/>
        <v>0.62115384615384617</v>
      </c>
      <c r="B66" s="2">
        <f t="shared" si="11"/>
        <v>61</v>
      </c>
      <c r="C66" s="4">
        <f t="shared" si="12"/>
        <v>34.83</v>
      </c>
      <c r="D66" s="2">
        <v>9.5</v>
      </c>
      <c r="E66" s="2">
        <v>50.26548245743669</v>
      </c>
      <c r="F66" s="11">
        <f t="shared" si="0"/>
        <v>1.8899649492162571</v>
      </c>
      <c r="G66" s="2">
        <f t="shared" si="1"/>
        <v>65.827479181202236</v>
      </c>
      <c r="H66" s="2">
        <f t="shared" si="2"/>
        <v>2.32262673280768</v>
      </c>
      <c r="I66" s="2">
        <f t="shared" si="3"/>
        <v>80.897089103691485</v>
      </c>
      <c r="J66" s="2">
        <f t="shared" si="4"/>
        <v>15.069609922489249</v>
      </c>
      <c r="K66" s="15">
        <f t="shared" si="17"/>
        <v>0.57939814814814816</v>
      </c>
      <c r="L66" s="2">
        <f t="shared" si="14"/>
        <v>61</v>
      </c>
      <c r="M66" s="2">
        <f t="shared" si="15"/>
        <v>34.58</v>
      </c>
      <c r="N66" s="2">
        <v>10</v>
      </c>
      <c r="O66" s="2">
        <v>50.26548245743669</v>
      </c>
      <c r="P66" s="11">
        <f t="shared" si="5"/>
        <v>1.9894367886486919</v>
      </c>
      <c r="Q66" s="2">
        <f t="shared" si="6"/>
        <v>68.794724151471769</v>
      </c>
      <c r="R66" s="2">
        <f t="shared" si="7"/>
        <v>2.2416045796539747</v>
      </c>
      <c r="S66" s="2">
        <f t="shared" si="8"/>
        <v>77.514686364434439</v>
      </c>
      <c r="T66" s="2">
        <f t="shared" si="9"/>
        <v>8.7199622129626704</v>
      </c>
    </row>
    <row r="67" spans="1:20" x14ac:dyDescent="0.25">
      <c r="A67" s="14">
        <f t="shared" si="16"/>
        <v>0.62142094017094018</v>
      </c>
      <c r="B67" s="2">
        <f t="shared" si="11"/>
        <v>62</v>
      </c>
      <c r="C67" s="4">
        <f t="shared" si="12"/>
        <v>35.33</v>
      </c>
      <c r="D67" s="2">
        <v>9</v>
      </c>
      <c r="E67" s="2">
        <v>50.26548245743669</v>
      </c>
      <c r="F67" s="11">
        <f t="shared" si="0"/>
        <v>1.7904931097838226</v>
      </c>
      <c r="G67" s="2">
        <f t="shared" si="1"/>
        <v>63.258121568662446</v>
      </c>
      <c r="H67" s="2">
        <f t="shared" si="2"/>
        <v>2.32262673280768</v>
      </c>
      <c r="I67" s="2">
        <f t="shared" si="3"/>
        <v>82.058402470095331</v>
      </c>
      <c r="J67" s="2">
        <f t="shared" si="4"/>
        <v>18.800280901432885</v>
      </c>
      <c r="K67" s="15">
        <f t="shared" si="17"/>
        <v>0.57962962962962961</v>
      </c>
      <c r="L67" s="2">
        <f t="shared" si="14"/>
        <v>62</v>
      </c>
      <c r="M67" s="2">
        <f t="shared" si="15"/>
        <v>35.08</v>
      </c>
      <c r="N67" s="2">
        <v>9</v>
      </c>
      <c r="O67" s="2">
        <v>50.26548245743669</v>
      </c>
      <c r="P67" s="11">
        <f t="shared" si="5"/>
        <v>1.7904931097838226</v>
      </c>
      <c r="Q67" s="2">
        <f t="shared" si="6"/>
        <v>62.81049829121649</v>
      </c>
      <c r="R67" s="2">
        <f t="shared" si="7"/>
        <v>2.2416045796539747</v>
      </c>
      <c r="S67" s="2">
        <f t="shared" si="8"/>
        <v>78.635488654261437</v>
      </c>
      <c r="T67" s="2">
        <f t="shared" si="9"/>
        <v>15.824990363044947</v>
      </c>
    </row>
    <row r="68" spans="1:20" x14ac:dyDescent="0.25">
      <c r="A68" s="14">
        <f t="shared" si="16"/>
        <v>0.6216880341880342</v>
      </c>
      <c r="B68" s="2">
        <f t="shared" si="11"/>
        <v>63</v>
      </c>
      <c r="C68" s="4">
        <f t="shared" si="12"/>
        <v>35.83</v>
      </c>
      <c r="D68" s="2">
        <v>8</v>
      </c>
      <c r="E68" s="2">
        <v>50.26548245743669</v>
      </c>
      <c r="F68" s="11">
        <f t="shared" si="0"/>
        <v>1.5915494309189535</v>
      </c>
      <c r="G68" s="2">
        <f t="shared" si="1"/>
        <v>57.025216109826104</v>
      </c>
      <c r="H68" s="2">
        <f t="shared" si="2"/>
        <v>2.32262673280768</v>
      </c>
      <c r="I68" s="2">
        <f t="shared" si="3"/>
        <v>83.219715836499162</v>
      </c>
      <c r="J68" s="2">
        <f t="shared" si="4"/>
        <v>26.194499726673058</v>
      </c>
      <c r="K68" s="15">
        <f t="shared" si="17"/>
        <v>0.57986111111111116</v>
      </c>
      <c r="L68" s="2">
        <f t="shared" si="14"/>
        <v>63</v>
      </c>
      <c r="M68" s="2">
        <f t="shared" si="15"/>
        <v>35.58</v>
      </c>
      <c r="N68" s="2">
        <v>9.5</v>
      </c>
      <c r="O68" s="2">
        <v>50.26548245743669</v>
      </c>
      <c r="P68" s="11">
        <f t="shared" si="5"/>
        <v>1.8899649492162571</v>
      </c>
      <c r="Q68" s="2">
        <f t="shared" si="6"/>
        <v>67.24495289311443</v>
      </c>
      <c r="R68" s="2">
        <f t="shared" si="7"/>
        <v>2.2416045796539747</v>
      </c>
      <c r="S68" s="2">
        <f t="shared" si="8"/>
        <v>79.75629094408842</v>
      </c>
      <c r="T68" s="2">
        <f t="shared" si="9"/>
        <v>12.51133805097399</v>
      </c>
    </row>
    <row r="69" spans="1:20" x14ac:dyDescent="0.25">
      <c r="A69" s="14">
        <f t="shared" si="16"/>
        <v>0.62195512820512822</v>
      </c>
      <c r="B69" s="2">
        <f t="shared" si="11"/>
        <v>64</v>
      </c>
      <c r="C69" s="4">
        <f t="shared" si="12"/>
        <v>36.33</v>
      </c>
      <c r="D69" s="2">
        <v>8.5</v>
      </c>
      <c r="E69" s="2">
        <v>50.26548245743669</v>
      </c>
      <c r="F69" s="11">
        <f t="shared" si="0"/>
        <v>1.6910212703513881</v>
      </c>
      <c r="G69" s="2">
        <f t="shared" si="1"/>
        <v>61.434802751865924</v>
      </c>
      <c r="H69" s="2">
        <f t="shared" si="2"/>
        <v>2.32262673280768</v>
      </c>
      <c r="I69" s="2">
        <f t="shared" si="3"/>
        <v>84.381029202903008</v>
      </c>
      <c r="J69" s="2">
        <f t="shared" si="4"/>
        <v>22.946226451037084</v>
      </c>
      <c r="K69" s="15">
        <f t="shared" si="17"/>
        <v>0.5800925925925926</v>
      </c>
      <c r="L69" s="2">
        <f t="shared" si="14"/>
        <v>64</v>
      </c>
      <c r="M69" s="2">
        <f t="shared" si="15"/>
        <v>36.08</v>
      </c>
      <c r="N69" s="2">
        <v>9</v>
      </c>
      <c r="O69" s="2">
        <v>50.26548245743669</v>
      </c>
      <c r="P69" s="11">
        <f t="shared" si="5"/>
        <v>1.7904931097838226</v>
      </c>
      <c r="Q69" s="2">
        <f t="shared" si="6"/>
        <v>64.600991401000314</v>
      </c>
      <c r="R69" s="2">
        <f t="shared" si="7"/>
        <v>2.2416045796539747</v>
      </c>
      <c r="S69" s="2">
        <f t="shared" si="8"/>
        <v>80.877093233915403</v>
      </c>
      <c r="T69" s="2">
        <f t="shared" si="9"/>
        <v>16.276101832915089</v>
      </c>
    </row>
    <row r="70" spans="1:20" x14ac:dyDescent="0.25">
      <c r="A70" s="14">
        <f t="shared" si="16"/>
        <v>0.62222222222222223</v>
      </c>
      <c r="B70" s="2">
        <f t="shared" si="11"/>
        <v>65</v>
      </c>
      <c r="C70" s="4">
        <f t="shared" si="12"/>
        <v>36.83</v>
      </c>
      <c r="D70" s="2">
        <v>8</v>
      </c>
      <c r="E70" s="2">
        <v>50.26548245743669</v>
      </c>
      <c r="F70" s="11">
        <f t="shared" si="0"/>
        <v>1.5915494309189535</v>
      </c>
      <c r="G70" s="2">
        <f t="shared" si="1"/>
        <v>58.616765540745057</v>
      </c>
      <c r="H70" s="2">
        <f t="shared" si="2"/>
        <v>2.32262673280768</v>
      </c>
      <c r="I70" s="2">
        <f t="shared" si="3"/>
        <v>85.542342569306854</v>
      </c>
      <c r="J70" s="2">
        <f t="shared" si="4"/>
        <v>26.925577028561797</v>
      </c>
      <c r="K70" s="15">
        <f t="shared" si="17"/>
        <v>0.58032407407407405</v>
      </c>
      <c r="L70" s="2">
        <f t="shared" si="14"/>
        <v>65</v>
      </c>
      <c r="M70" s="2">
        <f t="shared" si="15"/>
        <v>36.58</v>
      </c>
      <c r="N70" s="2">
        <v>9</v>
      </c>
      <c r="O70" s="2">
        <v>50.26548245743669</v>
      </c>
      <c r="P70" s="11">
        <f t="shared" si="5"/>
        <v>1.7904931097838226</v>
      </c>
      <c r="Q70" s="2">
        <f t="shared" si="6"/>
        <v>65.496237955892227</v>
      </c>
      <c r="R70" s="2">
        <f t="shared" si="7"/>
        <v>2.2416045796539747</v>
      </c>
      <c r="S70" s="2">
        <f t="shared" si="8"/>
        <v>81.997895523742386</v>
      </c>
      <c r="T70" s="2">
        <f t="shared" si="9"/>
        <v>16.50165756785016</v>
      </c>
    </row>
    <row r="71" spans="1:20" x14ac:dyDescent="0.25">
      <c r="A71" s="14">
        <f t="shared" si="16"/>
        <v>0.62248931623931625</v>
      </c>
      <c r="B71" s="2">
        <f t="shared" si="11"/>
        <v>66</v>
      </c>
      <c r="C71" s="4">
        <f t="shared" si="12"/>
        <v>37.33</v>
      </c>
      <c r="D71" s="2">
        <v>9</v>
      </c>
      <c r="E71" s="2">
        <v>50.26548245743669</v>
      </c>
      <c r="F71" s="11">
        <f t="shared" si="0"/>
        <v>1.7904931097838226</v>
      </c>
      <c r="G71" s="2">
        <f t="shared" si="1"/>
        <v>66.839107788230095</v>
      </c>
      <c r="H71" s="2">
        <f t="shared" si="2"/>
        <v>2.32262673280768</v>
      </c>
      <c r="I71" s="2">
        <f t="shared" si="3"/>
        <v>86.703655935710685</v>
      </c>
      <c r="J71" s="2">
        <f t="shared" si="4"/>
        <v>19.864548147480591</v>
      </c>
      <c r="K71" s="15">
        <f t="shared" si="17"/>
        <v>0.5805555555555556</v>
      </c>
      <c r="L71" s="2">
        <f t="shared" si="14"/>
        <v>66</v>
      </c>
      <c r="M71" s="2">
        <f t="shared" si="15"/>
        <v>37.08</v>
      </c>
      <c r="N71" s="2">
        <v>8.5</v>
      </c>
      <c r="O71" s="2">
        <v>50.26548245743669</v>
      </c>
      <c r="P71" s="11">
        <f t="shared" si="5"/>
        <v>1.6910212703513881</v>
      </c>
      <c r="Q71" s="2">
        <f t="shared" si="6"/>
        <v>62.703068704629466</v>
      </c>
      <c r="R71" s="2">
        <f t="shared" si="7"/>
        <v>2.2416045796539747</v>
      </c>
      <c r="S71" s="2">
        <f t="shared" si="8"/>
        <v>83.118697813569383</v>
      </c>
      <c r="T71" s="2">
        <f t="shared" si="9"/>
        <v>20.415629108939918</v>
      </c>
    </row>
    <row r="72" spans="1:20" x14ac:dyDescent="0.25">
      <c r="A72" s="14">
        <f t="shared" si="16"/>
        <v>0.62275641025641026</v>
      </c>
      <c r="B72" s="2">
        <f t="shared" si="11"/>
        <v>67</v>
      </c>
      <c r="C72" s="4">
        <f t="shared" si="12"/>
        <v>37.83</v>
      </c>
      <c r="D72" s="2">
        <v>9.5</v>
      </c>
      <c r="E72" s="2">
        <v>50.26548245743669</v>
      </c>
      <c r="F72" s="11">
        <f t="shared" si="0"/>
        <v>1.8899649492162571</v>
      </c>
      <c r="G72" s="2">
        <f t="shared" si="1"/>
        <v>71.497374028850999</v>
      </c>
      <c r="H72" s="2">
        <f t="shared" si="2"/>
        <v>2.32262673280768</v>
      </c>
      <c r="I72" s="2">
        <f t="shared" si="3"/>
        <v>87.864969302114531</v>
      </c>
      <c r="J72" s="2">
        <f t="shared" si="4"/>
        <v>16.367595273263532</v>
      </c>
      <c r="K72" s="15">
        <f t="shared" si="17"/>
        <v>0.58078703703703705</v>
      </c>
      <c r="L72" s="2">
        <f t="shared" si="14"/>
        <v>67</v>
      </c>
      <c r="M72" s="2">
        <f t="shared" si="15"/>
        <v>37.58</v>
      </c>
      <c r="N72" s="2">
        <v>8.5</v>
      </c>
      <c r="O72" s="2">
        <v>50.26548245743669</v>
      </c>
      <c r="P72" s="11">
        <f t="shared" si="5"/>
        <v>1.6910212703513881</v>
      </c>
      <c r="Q72" s="2">
        <f t="shared" si="6"/>
        <v>63.548579339805158</v>
      </c>
      <c r="R72" s="2">
        <f t="shared" si="7"/>
        <v>2.2416045796539747</v>
      </c>
      <c r="S72" s="2">
        <f t="shared" si="8"/>
        <v>84.239500103396367</v>
      </c>
      <c r="T72" s="2">
        <f t="shared" si="9"/>
        <v>20.690920763591208</v>
      </c>
    </row>
    <row r="73" spans="1:20" x14ac:dyDescent="0.25">
      <c r="A73" s="14">
        <f t="shared" si="16"/>
        <v>0.62302350427350428</v>
      </c>
      <c r="B73" s="2">
        <f t="shared" si="11"/>
        <v>68</v>
      </c>
      <c r="C73" s="4">
        <f t="shared" si="12"/>
        <v>38.33</v>
      </c>
      <c r="D73" s="2">
        <v>8</v>
      </c>
      <c r="E73" s="2">
        <v>50.26548245743669</v>
      </c>
      <c r="F73" s="11">
        <f t="shared" si="0"/>
        <v>1.5915494309189535</v>
      </c>
      <c r="G73" s="2">
        <f t="shared" si="1"/>
        <v>61.004089687123482</v>
      </c>
      <c r="H73" s="2">
        <f t="shared" si="2"/>
        <v>2.32262673280768</v>
      </c>
      <c r="I73" s="2">
        <f t="shared" si="3"/>
        <v>89.026282668518363</v>
      </c>
      <c r="J73" s="2">
        <f t="shared" si="4"/>
        <v>28.02219298139488</v>
      </c>
      <c r="K73" s="15">
        <f t="shared" si="17"/>
        <v>0.58101851851851849</v>
      </c>
      <c r="L73" s="2">
        <f t="shared" si="14"/>
        <v>68</v>
      </c>
      <c r="M73" s="2">
        <f t="shared" si="15"/>
        <v>38.08</v>
      </c>
      <c r="N73" s="2">
        <v>8.5</v>
      </c>
      <c r="O73" s="2">
        <v>50.26548245743669</v>
      </c>
      <c r="P73" s="11">
        <f t="shared" si="5"/>
        <v>1.6910212703513881</v>
      </c>
      <c r="Q73" s="2">
        <f t="shared" si="6"/>
        <v>64.394089974980858</v>
      </c>
      <c r="R73" s="2">
        <f t="shared" si="7"/>
        <v>2.2416045796539747</v>
      </c>
      <c r="S73" s="2">
        <f t="shared" si="8"/>
        <v>85.36030239322335</v>
      </c>
      <c r="T73" s="2">
        <f t="shared" si="9"/>
        <v>20.966212418242492</v>
      </c>
    </row>
    <row r="74" spans="1:20" x14ac:dyDescent="0.25">
      <c r="A74" s="14">
        <f t="shared" si="16"/>
        <v>0.6232905982905983</v>
      </c>
      <c r="B74" s="2">
        <f t="shared" si="11"/>
        <v>69</v>
      </c>
      <c r="C74" s="4">
        <f t="shared" si="12"/>
        <v>38.83</v>
      </c>
      <c r="D74" s="2">
        <v>9</v>
      </c>
      <c r="E74" s="2">
        <v>50.26548245743669</v>
      </c>
      <c r="F74" s="11">
        <f t="shared" si="0"/>
        <v>1.7904931097838226</v>
      </c>
      <c r="G74" s="2">
        <f t="shared" si="1"/>
        <v>69.524847452905831</v>
      </c>
      <c r="H74" s="2">
        <f t="shared" si="2"/>
        <v>2.32262673280768</v>
      </c>
      <c r="I74" s="2">
        <f t="shared" si="3"/>
        <v>90.187596034922208</v>
      </c>
      <c r="J74" s="2">
        <f t="shared" si="4"/>
        <v>20.662748582016377</v>
      </c>
      <c r="K74" s="15">
        <f t="shared" si="17"/>
        <v>0.58125000000000004</v>
      </c>
      <c r="L74" s="2">
        <f t="shared" si="14"/>
        <v>69</v>
      </c>
      <c r="M74" s="2">
        <f t="shared" si="15"/>
        <v>38.58</v>
      </c>
      <c r="N74" s="2">
        <v>8</v>
      </c>
      <c r="O74" s="2">
        <v>50.26548245743669</v>
      </c>
      <c r="P74" s="11">
        <f t="shared" si="5"/>
        <v>1.5915494309189535</v>
      </c>
      <c r="Q74" s="2">
        <f t="shared" si="6"/>
        <v>61.401977044853226</v>
      </c>
      <c r="R74" s="2">
        <f t="shared" si="7"/>
        <v>2.2416045796539747</v>
      </c>
      <c r="S74" s="2">
        <f t="shared" si="8"/>
        <v>86.481104683050347</v>
      </c>
      <c r="T74" s="2">
        <f t="shared" si="9"/>
        <v>25.079127638197122</v>
      </c>
    </row>
    <row r="75" spans="1:20" x14ac:dyDescent="0.25">
      <c r="A75" s="14">
        <f t="shared" si="16"/>
        <v>0.62355769230769231</v>
      </c>
      <c r="B75" s="2">
        <f t="shared" si="11"/>
        <v>70</v>
      </c>
      <c r="C75" s="4">
        <f t="shared" si="12"/>
        <v>39.33</v>
      </c>
      <c r="D75" s="2">
        <v>8.5</v>
      </c>
      <c r="E75" s="2">
        <v>50.26548245743669</v>
      </c>
      <c r="F75" s="11">
        <f t="shared" si="0"/>
        <v>1.6910212703513881</v>
      </c>
      <c r="G75" s="2">
        <f t="shared" si="1"/>
        <v>66.507866562920086</v>
      </c>
      <c r="H75" s="2">
        <f t="shared" si="2"/>
        <v>2.32262673280768</v>
      </c>
      <c r="I75" s="2">
        <f t="shared" si="3"/>
        <v>91.348909401326054</v>
      </c>
      <c r="J75" s="2">
        <f t="shared" si="4"/>
        <v>24.841042838405968</v>
      </c>
      <c r="K75" s="15">
        <f t="shared" si="17"/>
        <v>0.58148148148148149</v>
      </c>
      <c r="L75" s="2">
        <f t="shared" si="14"/>
        <v>70</v>
      </c>
      <c r="M75" s="2">
        <f t="shared" si="15"/>
        <v>39.08</v>
      </c>
      <c r="N75" s="2">
        <v>8.5</v>
      </c>
      <c r="O75" s="2">
        <v>50.26548245743669</v>
      </c>
      <c r="P75" s="11">
        <f t="shared" si="5"/>
        <v>1.6910212703513881</v>
      </c>
      <c r="Q75" s="2">
        <f t="shared" si="6"/>
        <v>66.085111245332243</v>
      </c>
      <c r="R75" s="2">
        <f t="shared" si="7"/>
        <v>2.2416045796539747</v>
      </c>
      <c r="S75" s="2">
        <f t="shared" si="8"/>
        <v>87.60190697287733</v>
      </c>
      <c r="T75" s="2">
        <f t="shared" si="9"/>
        <v>21.516795727545087</v>
      </c>
    </row>
    <row r="76" spans="1:20" x14ac:dyDescent="0.25">
      <c r="A76" s="14">
        <f t="shared" si="16"/>
        <v>0.62382478632478633</v>
      </c>
      <c r="B76" s="2">
        <f t="shared" si="11"/>
        <v>71</v>
      </c>
      <c r="C76" s="4">
        <f t="shared" si="12"/>
        <v>39.83</v>
      </c>
      <c r="D76" s="2">
        <v>9</v>
      </c>
      <c r="E76" s="2">
        <v>50.26548245743669</v>
      </c>
      <c r="F76" s="11">
        <f t="shared" si="0"/>
        <v>1.7904931097838226</v>
      </c>
      <c r="G76" s="2">
        <f t="shared" si="1"/>
        <v>71.315340562689656</v>
      </c>
      <c r="H76" s="2">
        <f t="shared" si="2"/>
        <v>2.32262673280768</v>
      </c>
      <c r="I76" s="2">
        <f t="shared" si="3"/>
        <v>92.510222767729886</v>
      </c>
      <c r="J76" s="2">
        <f t="shared" si="4"/>
        <v>21.19488220504023</v>
      </c>
      <c r="K76" s="15">
        <f t="shared" si="17"/>
        <v>0.58171296296296293</v>
      </c>
      <c r="L76" s="2">
        <f t="shared" si="14"/>
        <v>71</v>
      </c>
      <c r="M76" s="2">
        <f t="shared" si="15"/>
        <v>39.58</v>
      </c>
      <c r="N76" s="2">
        <v>9.5</v>
      </c>
      <c r="O76" s="2">
        <v>50.26548245743669</v>
      </c>
      <c r="P76" s="11">
        <f t="shared" si="5"/>
        <v>1.8899649492162571</v>
      </c>
      <c r="Q76" s="2">
        <f t="shared" si="6"/>
        <v>74.804812689979457</v>
      </c>
      <c r="R76" s="2">
        <f t="shared" si="7"/>
        <v>2.2416045796539747</v>
      </c>
      <c r="S76" s="2">
        <f t="shared" si="8"/>
        <v>88.722709262704313</v>
      </c>
      <c r="T76" s="2">
        <f t="shared" si="9"/>
        <v>13.917896572724857</v>
      </c>
    </row>
    <row r="77" spans="1:20" x14ac:dyDescent="0.25">
      <c r="A77" s="14">
        <f t="shared" si="16"/>
        <v>0.62409188034188035</v>
      </c>
      <c r="B77" s="2">
        <f t="shared" si="11"/>
        <v>72</v>
      </c>
      <c r="C77" s="4">
        <f t="shared" si="12"/>
        <v>40.33</v>
      </c>
      <c r="D77" s="2">
        <v>9.5</v>
      </c>
      <c r="E77" s="2">
        <v>50.26548245743669</v>
      </c>
      <c r="F77" s="11">
        <f t="shared" si="0"/>
        <v>1.8899649492162571</v>
      </c>
      <c r="G77" s="2">
        <f t="shared" si="1"/>
        <v>76.222286401891651</v>
      </c>
      <c r="H77" s="2">
        <f t="shared" si="2"/>
        <v>2.32262673280768</v>
      </c>
      <c r="I77" s="2">
        <f t="shared" si="3"/>
        <v>93.671536134133731</v>
      </c>
      <c r="J77" s="2">
        <f t="shared" si="4"/>
        <v>17.44924973224208</v>
      </c>
      <c r="K77" s="15">
        <f t="shared" si="17"/>
        <v>0.58194444444444449</v>
      </c>
      <c r="L77" s="2">
        <f t="shared" si="14"/>
        <v>72</v>
      </c>
      <c r="M77" s="2">
        <f t="shared" si="15"/>
        <v>40.08</v>
      </c>
      <c r="N77" s="2">
        <v>9</v>
      </c>
      <c r="O77" s="2">
        <v>50.26548245743669</v>
      </c>
      <c r="P77" s="11">
        <f t="shared" si="5"/>
        <v>1.7904931097838226</v>
      </c>
      <c r="Q77" s="2">
        <f t="shared" si="6"/>
        <v>71.762963840135612</v>
      </c>
      <c r="R77" s="2">
        <f t="shared" si="7"/>
        <v>2.2416045796539747</v>
      </c>
      <c r="S77" s="2">
        <f t="shared" si="8"/>
        <v>89.843511552531311</v>
      </c>
      <c r="T77" s="2">
        <f t="shared" si="9"/>
        <v>18.080547712395699</v>
      </c>
    </row>
    <row r="78" spans="1:20" x14ac:dyDescent="0.25">
      <c r="A78" s="14">
        <f t="shared" si="16"/>
        <v>0.62435897435897436</v>
      </c>
      <c r="B78" s="2">
        <f t="shared" si="11"/>
        <v>73</v>
      </c>
      <c r="C78" s="4">
        <f t="shared" si="12"/>
        <v>40.83</v>
      </c>
      <c r="D78" s="2">
        <v>8.5</v>
      </c>
      <c r="E78" s="2">
        <v>50.26548245743669</v>
      </c>
      <c r="F78" s="11">
        <f t="shared" si="0"/>
        <v>1.6910212703513881</v>
      </c>
      <c r="G78" s="2">
        <f t="shared" si="1"/>
        <v>69.04439846844717</v>
      </c>
      <c r="H78" s="2">
        <f t="shared" si="2"/>
        <v>2.32262673280768</v>
      </c>
      <c r="I78" s="2">
        <f t="shared" si="3"/>
        <v>94.832849500537563</v>
      </c>
      <c r="J78" s="2">
        <f t="shared" si="4"/>
        <v>25.788451032090393</v>
      </c>
      <c r="K78" s="15">
        <f t="shared" si="17"/>
        <v>0.58217592592592593</v>
      </c>
      <c r="L78" s="2">
        <f t="shared" si="14"/>
        <v>73</v>
      </c>
      <c r="M78" s="2">
        <f t="shared" si="15"/>
        <v>40.58</v>
      </c>
      <c r="N78" s="2">
        <v>8.5</v>
      </c>
      <c r="O78" s="2">
        <v>50.26548245743669</v>
      </c>
      <c r="P78" s="11">
        <f t="shared" si="5"/>
        <v>1.6910212703513881</v>
      </c>
      <c r="Q78" s="2">
        <f t="shared" si="6"/>
        <v>68.621643150859327</v>
      </c>
      <c r="R78" s="2">
        <f t="shared" si="7"/>
        <v>2.2416045796539747</v>
      </c>
      <c r="S78" s="2">
        <f t="shared" si="8"/>
        <v>90.964313842358294</v>
      </c>
      <c r="T78" s="2">
        <f t="shared" si="9"/>
        <v>22.342670691498967</v>
      </c>
    </row>
    <row r="79" spans="1:20" x14ac:dyDescent="0.25">
      <c r="A79" s="14">
        <f t="shared" si="16"/>
        <v>0.62462606837606838</v>
      </c>
      <c r="B79" s="2">
        <f t="shared" si="11"/>
        <v>74</v>
      </c>
      <c r="C79" s="4">
        <f t="shared" si="12"/>
        <v>41.33</v>
      </c>
      <c r="D79" s="2">
        <v>8</v>
      </c>
      <c r="E79" s="2">
        <v>50.26548245743669</v>
      </c>
      <c r="F79" s="11">
        <f t="shared" si="0"/>
        <v>1.5915494309189535</v>
      </c>
      <c r="G79" s="2">
        <f t="shared" si="1"/>
        <v>65.778737979880347</v>
      </c>
      <c r="H79" s="2">
        <f t="shared" si="2"/>
        <v>2.32262673280768</v>
      </c>
      <c r="I79" s="2">
        <f t="shared" si="3"/>
        <v>95.994162866941409</v>
      </c>
      <c r="J79" s="2">
        <f t="shared" si="4"/>
        <v>30.215424887061062</v>
      </c>
      <c r="K79" s="15">
        <f t="shared" si="17"/>
        <v>0.58240740740740748</v>
      </c>
      <c r="L79" s="2">
        <f t="shared" si="14"/>
        <v>74</v>
      </c>
      <c r="M79" s="2">
        <f t="shared" si="15"/>
        <v>41.08</v>
      </c>
      <c r="N79" s="2">
        <v>7.5</v>
      </c>
      <c r="O79" s="2">
        <v>50.26548245743669</v>
      </c>
      <c r="P79" s="11">
        <f t="shared" si="5"/>
        <v>1.492077591486519</v>
      </c>
      <c r="Q79" s="2">
        <f t="shared" si="6"/>
        <v>61.294547458266194</v>
      </c>
      <c r="R79" s="2">
        <f t="shared" si="7"/>
        <v>2.2416045796539747</v>
      </c>
      <c r="S79" s="2">
        <f t="shared" si="8"/>
        <v>92.085116132185277</v>
      </c>
      <c r="T79" s="2">
        <f t="shared" si="9"/>
        <v>30.790568673919083</v>
      </c>
    </row>
    <row r="80" spans="1:20" x14ac:dyDescent="0.25">
      <c r="A80" s="14">
        <f t="shared" si="16"/>
        <v>0.62489316239316239</v>
      </c>
      <c r="B80" s="2">
        <f t="shared" si="11"/>
        <v>75</v>
      </c>
      <c r="C80" s="4">
        <f t="shared" si="12"/>
        <v>41.83</v>
      </c>
      <c r="D80" s="2">
        <v>11.5</v>
      </c>
      <c r="E80" s="2">
        <v>50.26548245743669</v>
      </c>
      <c r="F80" s="11">
        <f t="shared" si="0"/>
        <v>2.2878523069459957</v>
      </c>
      <c r="G80" s="2">
        <f t="shared" si="1"/>
        <v>95.700861999550995</v>
      </c>
      <c r="H80" s="2">
        <f t="shared" si="2"/>
        <v>2.32262673280768</v>
      </c>
      <c r="I80" s="2">
        <f t="shared" si="3"/>
        <v>97.155476233345254</v>
      </c>
      <c r="J80" s="2">
        <f t="shared" si="4"/>
        <v>1.4546142337942598</v>
      </c>
      <c r="K80" s="15">
        <f t="shared" si="17"/>
        <v>0.58263888888888893</v>
      </c>
      <c r="L80" s="2">
        <f t="shared" si="14"/>
        <v>75</v>
      </c>
      <c r="M80" s="2">
        <f t="shared" si="15"/>
        <v>41.58</v>
      </c>
      <c r="N80" s="2">
        <v>9</v>
      </c>
      <c r="O80" s="2">
        <v>50.26548245743669</v>
      </c>
      <c r="P80" s="11">
        <f t="shared" si="5"/>
        <v>1.7904931097838226</v>
      </c>
      <c r="Q80" s="2">
        <f t="shared" si="6"/>
        <v>74.448703504811334</v>
      </c>
      <c r="R80" s="2">
        <f t="shared" si="7"/>
        <v>2.2416045796539747</v>
      </c>
      <c r="S80" s="2">
        <f t="shared" si="8"/>
        <v>93.20591842201226</v>
      </c>
      <c r="T80" s="2">
        <f t="shared" si="9"/>
        <v>18.757214917200926</v>
      </c>
    </row>
    <row r="81" spans="1:20" x14ac:dyDescent="0.25">
      <c r="A81" s="14">
        <f t="shared" si="16"/>
        <v>0.62516025641025641</v>
      </c>
      <c r="B81" s="2">
        <f t="shared" si="11"/>
        <v>76</v>
      </c>
      <c r="C81" s="4">
        <f t="shared" si="12"/>
        <v>42.33</v>
      </c>
      <c r="D81" s="2">
        <v>10.5</v>
      </c>
      <c r="E81" s="2">
        <v>50.26548245743669</v>
      </c>
      <c r="F81" s="11">
        <f t="shared" si="0"/>
        <v>2.0889086280811267</v>
      </c>
      <c r="G81" s="2">
        <f t="shared" si="1"/>
        <v>88.423502226674088</v>
      </c>
      <c r="H81" s="2">
        <f t="shared" si="2"/>
        <v>2.32262673280768</v>
      </c>
      <c r="I81" s="2">
        <f t="shared" si="3"/>
        <v>98.316789599749086</v>
      </c>
      <c r="J81" s="2">
        <f t="shared" si="4"/>
        <v>9.8932873730749975</v>
      </c>
      <c r="K81" s="15">
        <f t="shared" si="17"/>
        <v>0.58287037037037037</v>
      </c>
      <c r="L81" s="2">
        <f t="shared" si="14"/>
        <v>76</v>
      </c>
      <c r="M81" s="2">
        <f t="shared" si="15"/>
        <v>42.08</v>
      </c>
      <c r="N81" s="2">
        <v>10</v>
      </c>
      <c r="O81" s="2">
        <v>50.26548245743669</v>
      </c>
      <c r="P81" s="11">
        <f t="shared" si="5"/>
        <v>1.9894367886486919</v>
      </c>
      <c r="Q81" s="2">
        <f t="shared" si="6"/>
        <v>83.715500066336958</v>
      </c>
      <c r="R81" s="2">
        <f t="shared" si="7"/>
        <v>2.2416045796539747</v>
      </c>
      <c r="S81" s="2">
        <f t="shared" si="8"/>
        <v>94.326720711839258</v>
      </c>
      <c r="T81" s="2">
        <f t="shared" si="9"/>
        <v>10.6112206455023</v>
      </c>
    </row>
    <row r="82" spans="1:20" x14ac:dyDescent="0.25">
      <c r="A82" s="14">
        <f t="shared" si="16"/>
        <v>0.62542735042735043</v>
      </c>
      <c r="B82" s="2">
        <f t="shared" si="11"/>
        <v>77</v>
      </c>
      <c r="C82" s="4">
        <f t="shared" si="12"/>
        <v>42.83</v>
      </c>
      <c r="D82" s="2">
        <v>10</v>
      </c>
      <c r="E82" s="2">
        <v>50.26548245743669</v>
      </c>
      <c r="F82" s="11">
        <f t="shared" si="0"/>
        <v>1.9894367886486919</v>
      </c>
      <c r="G82" s="2">
        <f t="shared" si="1"/>
        <v>85.207577657823464</v>
      </c>
      <c r="H82" s="2">
        <f t="shared" si="2"/>
        <v>2.32262673280768</v>
      </c>
      <c r="I82" s="2">
        <f t="shared" si="3"/>
        <v>99.478102966152932</v>
      </c>
      <c r="J82" s="2">
        <f t="shared" si="4"/>
        <v>14.270525308329468</v>
      </c>
      <c r="K82" s="15">
        <f t="shared" si="17"/>
        <v>0.58310185185185193</v>
      </c>
      <c r="L82" s="2">
        <f t="shared" si="14"/>
        <v>77</v>
      </c>
      <c r="M82" s="2">
        <f t="shared" si="15"/>
        <v>42.58</v>
      </c>
      <c r="N82" s="2">
        <v>10</v>
      </c>
      <c r="O82" s="2">
        <v>50.26548245743669</v>
      </c>
      <c r="P82" s="11">
        <f t="shared" si="5"/>
        <v>1.9894367886486919</v>
      </c>
      <c r="Q82" s="2">
        <f t="shared" si="6"/>
        <v>84.710218460661295</v>
      </c>
      <c r="R82" s="2">
        <f t="shared" si="7"/>
        <v>2.2416045796539747</v>
      </c>
      <c r="S82" s="2">
        <f t="shared" si="8"/>
        <v>95.447523001666241</v>
      </c>
      <c r="T82" s="2">
        <f t="shared" si="9"/>
        <v>10.737304541004946</v>
      </c>
    </row>
    <row r="83" spans="1:20" x14ac:dyDescent="0.25">
      <c r="A83" s="10">
        <v>0.62569444444444444</v>
      </c>
      <c r="B83" s="2">
        <f t="shared" si="11"/>
        <v>78</v>
      </c>
      <c r="C83" s="4">
        <f t="shared" si="12"/>
        <v>43.33</v>
      </c>
      <c r="D83" s="2">
        <v>11.5</v>
      </c>
      <c r="E83" s="2">
        <v>50.26548245743669</v>
      </c>
      <c r="F83" s="11">
        <f t="shared" si="0"/>
        <v>2.2878523069459957</v>
      </c>
      <c r="G83" s="2">
        <f t="shared" si="1"/>
        <v>99.132640459969991</v>
      </c>
      <c r="H83" s="2">
        <f t="shared" si="2"/>
        <v>2.32262673280768</v>
      </c>
      <c r="I83" s="2">
        <f t="shared" si="3"/>
        <v>100.63941633255676</v>
      </c>
      <c r="J83" s="2">
        <f t="shared" si="4"/>
        <v>1.5067758725867719</v>
      </c>
      <c r="K83" s="12">
        <v>0.58333333333333337</v>
      </c>
      <c r="L83" s="2">
        <f t="shared" si="14"/>
        <v>78</v>
      </c>
      <c r="M83" s="2">
        <f t="shared" si="15"/>
        <v>43.08</v>
      </c>
      <c r="N83" s="2">
        <v>10.5</v>
      </c>
      <c r="O83" s="2">
        <v>50.26548245743669</v>
      </c>
      <c r="P83" s="11">
        <f t="shared" si="5"/>
        <v>2.0889086280811267</v>
      </c>
      <c r="Q83" s="2">
        <f t="shared" si="6"/>
        <v>89.990183697734935</v>
      </c>
      <c r="R83" s="2">
        <f t="shared" si="7"/>
        <v>2.2416045796539747</v>
      </c>
      <c r="S83" s="2">
        <f t="shared" si="8"/>
        <v>96.568325291493224</v>
      </c>
      <c r="T83" s="2">
        <f t="shared" si="9"/>
        <v>6.5781415937582892</v>
      </c>
    </row>
    <row r="84" spans="1:20" x14ac:dyDescent="0.25">
      <c r="A84" s="14">
        <f t="shared" ref="A84:A121" si="18">IF(AND($A$83&lt;&gt;"",$A$122&lt;&gt;""), $A$83 + (B84 - $B$83) * (($A$122 - $A$83) / ($B$122 - $B$83)), "")</f>
        <v>0.62592592592592589</v>
      </c>
      <c r="B84" s="2">
        <f t="shared" si="11"/>
        <v>79</v>
      </c>
      <c r="C84" s="4">
        <f t="shared" si="12"/>
        <v>43.83</v>
      </c>
      <c r="D84" s="2">
        <v>11.5</v>
      </c>
      <c r="E84" s="2">
        <v>50.26548245743669</v>
      </c>
      <c r="F84" s="11">
        <f t="shared" si="0"/>
        <v>2.2878523069459957</v>
      </c>
      <c r="G84" s="2">
        <f t="shared" si="1"/>
        <v>100.27656661344299</v>
      </c>
      <c r="H84" s="2">
        <f t="shared" si="2"/>
        <v>2.32262673280768</v>
      </c>
      <c r="I84" s="2">
        <f t="shared" si="3"/>
        <v>101.80072969896061</v>
      </c>
      <c r="J84" s="2">
        <f t="shared" si="4"/>
        <v>1.524163085517614</v>
      </c>
      <c r="K84" s="15">
        <f t="shared" ref="K84:K121" si="19">IF(AND($K$83&lt;&gt;"",$K$122&lt;&gt;""), $K$83 + (L84 - $L$83) * (($K$122 - $K$83) / ($L$122 - $L$83)), "")</f>
        <v>0.58352920227920235</v>
      </c>
      <c r="L84" s="2">
        <f t="shared" si="14"/>
        <v>79</v>
      </c>
      <c r="M84" s="2">
        <f t="shared" si="15"/>
        <v>43.58</v>
      </c>
      <c r="N84" s="2">
        <v>10.5</v>
      </c>
      <c r="O84" s="2">
        <v>50.26548245743669</v>
      </c>
      <c r="P84" s="11">
        <f t="shared" si="5"/>
        <v>2.0889086280811267</v>
      </c>
      <c r="Q84" s="2">
        <f t="shared" si="6"/>
        <v>91.034638011775499</v>
      </c>
      <c r="R84" s="2">
        <f t="shared" si="7"/>
        <v>2.2416045796539747</v>
      </c>
      <c r="S84" s="2">
        <f t="shared" si="8"/>
        <v>97.689127581320221</v>
      </c>
      <c r="T84" s="2">
        <f t="shared" si="9"/>
        <v>6.6544895695447224</v>
      </c>
    </row>
    <row r="85" spans="1:20" x14ac:dyDescent="0.25">
      <c r="A85" s="14">
        <f t="shared" si="18"/>
        <v>0.62615740740740744</v>
      </c>
      <c r="B85" s="2">
        <f t="shared" si="11"/>
        <v>80</v>
      </c>
      <c r="C85" s="4">
        <f t="shared" si="12"/>
        <v>44.33</v>
      </c>
      <c r="D85" s="2">
        <v>11.5</v>
      </c>
      <c r="E85" s="2">
        <v>50.26548245743669</v>
      </c>
      <c r="F85" s="11">
        <f t="shared" si="0"/>
        <v>2.2878523069459957</v>
      </c>
      <c r="G85" s="2">
        <f t="shared" si="1"/>
        <v>101.42049276691598</v>
      </c>
      <c r="H85" s="2">
        <f t="shared" si="2"/>
        <v>2.32262673280768</v>
      </c>
      <c r="I85" s="2">
        <f t="shared" si="3"/>
        <v>102.96204306536445</v>
      </c>
      <c r="J85" s="2">
        <f t="shared" si="4"/>
        <v>1.5415502984484704</v>
      </c>
      <c r="K85" s="15">
        <f t="shared" si="19"/>
        <v>0.58372507122507122</v>
      </c>
      <c r="L85" s="2">
        <f t="shared" si="14"/>
        <v>80</v>
      </c>
      <c r="M85" s="2">
        <f t="shared" si="15"/>
        <v>44.08</v>
      </c>
      <c r="N85" s="2">
        <v>12</v>
      </c>
      <c r="O85" s="2">
        <v>50.26548245743669</v>
      </c>
      <c r="P85" s="11">
        <f t="shared" si="5"/>
        <v>2.3873241463784298</v>
      </c>
      <c r="Q85" s="2">
        <f t="shared" si="6"/>
        <v>105.23324837236119</v>
      </c>
      <c r="R85" s="2">
        <f t="shared" si="7"/>
        <v>2.2416045796539747</v>
      </c>
      <c r="S85" s="2">
        <f t="shared" si="8"/>
        <v>98.809929871147204</v>
      </c>
      <c r="T85" s="2">
        <f t="shared" si="9"/>
        <v>6.4233185012139842</v>
      </c>
    </row>
    <row r="86" spans="1:20" x14ac:dyDescent="0.25">
      <c r="A86" s="14">
        <f t="shared" si="18"/>
        <v>0.62638888888888888</v>
      </c>
      <c r="B86" s="2">
        <f t="shared" si="11"/>
        <v>81</v>
      </c>
      <c r="C86" s="4">
        <f t="shared" si="12"/>
        <v>44.83</v>
      </c>
      <c r="D86" s="2">
        <v>12.5</v>
      </c>
      <c r="E86" s="2">
        <v>50.26548245743669</v>
      </c>
      <c r="F86" s="11">
        <f t="shared" si="0"/>
        <v>2.4867959858108648</v>
      </c>
      <c r="G86" s="2">
        <f t="shared" si="1"/>
        <v>111.48306404390107</v>
      </c>
      <c r="H86" s="2">
        <f t="shared" si="2"/>
        <v>2.32262673280768</v>
      </c>
      <c r="I86" s="2">
        <f t="shared" si="3"/>
        <v>104.12335643176829</v>
      </c>
      <c r="J86" s="2">
        <f t="shared" si="4"/>
        <v>7.3597076121327802</v>
      </c>
      <c r="K86" s="15">
        <f t="shared" si="19"/>
        <v>0.58392094017094021</v>
      </c>
      <c r="L86" s="2">
        <f t="shared" si="14"/>
        <v>81</v>
      </c>
      <c r="M86" s="2">
        <f t="shared" si="15"/>
        <v>44.58</v>
      </c>
      <c r="N86" s="2">
        <v>11</v>
      </c>
      <c r="O86" s="2">
        <v>50.26548245743669</v>
      </c>
      <c r="P86" s="11">
        <f t="shared" si="5"/>
        <v>2.1883804675135607</v>
      </c>
      <c r="Q86" s="2">
        <f t="shared" si="6"/>
        <v>97.558001241754539</v>
      </c>
      <c r="R86" s="2">
        <f t="shared" si="7"/>
        <v>2.2416045796539747</v>
      </c>
      <c r="S86" s="2">
        <f t="shared" si="8"/>
        <v>99.930732160974188</v>
      </c>
      <c r="T86" s="2">
        <f t="shared" si="9"/>
        <v>2.3727309192196486</v>
      </c>
    </row>
    <row r="87" spans="1:20" x14ac:dyDescent="0.25">
      <c r="A87" s="14">
        <f t="shared" si="18"/>
        <v>0.62662037037037033</v>
      </c>
      <c r="B87" s="2">
        <f t="shared" si="11"/>
        <v>82</v>
      </c>
      <c r="C87" s="4">
        <f t="shared" si="12"/>
        <v>45.33</v>
      </c>
      <c r="D87" s="2">
        <v>12.5</v>
      </c>
      <c r="E87" s="2">
        <v>50.26548245743669</v>
      </c>
      <c r="F87" s="11">
        <f t="shared" si="0"/>
        <v>2.4867959858108648</v>
      </c>
      <c r="G87" s="2">
        <f t="shared" si="1"/>
        <v>112.7264620368065</v>
      </c>
      <c r="H87" s="2">
        <f t="shared" si="2"/>
        <v>2.32262673280768</v>
      </c>
      <c r="I87" s="2">
        <f t="shared" si="3"/>
        <v>105.28466979817213</v>
      </c>
      <c r="J87" s="2">
        <f t="shared" si="4"/>
        <v>7.4417922386343633</v>
      </c>
      <c r="K87" s="15">
        <f t="shared" si="19"/>
        <v>0.58411680911680919</v>
      </c>
      <c r="L87" s="2">
        <f t="shared" si="14"/>
        <v>82</v>
      </c>
      <c r="M87" s="2">
        <f t="shared" si="15"/>
        <v>45.08</v>
      </c>
      <c r="N87" s="2">
        <v>11</v>
      </c>
      <c r="O87" s="2">
        <v>50.26548245743669</v>
      </c>
      <c r="P87" s="11">
        <f t="shared" si="5"/>
        <v>2.1883804675135607</v>
      </c>
      <c r="Q87" s="2">
        <f t="shared" si="6"/>
        <v>98.652191475511316</v>
      </c>
      <c r="R87" s="2">
        <f t="shared" si="7"/>
        <v>2.2416045796539747</v>
      </c>
      <c r="S87" s="2">
        <f t="shared" si="8"/>
        <v>101.05153445080117</v>
      </c>
      <c r="T87" s="2">
        <f t="shared" si="9"/>
        <v>2.399342975289855</v>
      </c>
    </row>
    <row r="88" spans="1:20" x14ac:dyDescent="0.25">
      <c r="A88" s="14">
        <f t="shared" si="18"/>
        <v>0.62685185185185188</v>
      </c>
      <c r="B88" s="2">
        <f t="shared" si="11"/>
        <v>83</v>
      </c>
      <c r="C88" s="4">
        <f t="shared" si="12"/>
        <v>45.83</v>
      </c>
      <c r="D88" s="2">
        <v>12.5</v>
      </c>
      <c r="E88" s="2">
        <v>50.26548245743669</v>
      </c>
      <c r="F88" s="11">
        <f t="shared" si="0"/>
        <v>2.4867959858108648</v>
      </c>
      <c r="G88" s="2">
        <f t="shared" si="1"/>
        <v>113.96986002971192</v>
      </c>
      <c r="H88" s="2">
        <f t="shared" si="2"/>
        <v>2.32262673280768</v>
      </c>
      <c r="I88" s="2">
        <f t="shared" si="3"/>
        <v>106.44598316457596</v>
      </c>
      <c r="J88" s="2">
        <f t="shared" si="4"/>
        <v>7.5238768651359607</v>
      </c>
      <c r="K88" s="15">
        <f t="shared" si="19"/>
        <v>0.58431267806267806</v>
      </c>
      <c r="L88" s="2">
        <f t="shared" si="14"/>
        <v>83</v>
      </c>
      <c r="M88" s="2">
        <f t="shared" si="15"/>
        <v>45.58</v>
      </c>
      <c r="N88" s="2">
        <v>11.5</v>
      </c>
      <c r="O88" s="2">
        <v>50.26548245743669</v>
      </c>
      <c r="P88" s="11">
        <f t="shared" si="5"/>
        <v>2.2878523069459957</v>
      </c>
      <c r="Q88" s="2">
        <f t="shared" si="6"/>
        <v>104.28030815059849</v>
      </c>
      <c r="R88" s="2">
        <f t="shared" si="7"/>
        <v>2.2416045796539747</v>
      </c>
      <c r="S88" s="2">
        <f t="shared" si="8"/>
        <v>102.17233674062817</v>
      </c>
      <c r="T88" s="2">
        <f t="shared" si="9"/>
        <v>2.1079714099703182</v>
      </c>
    </row>
    <row r="89" spans="1:20" x14ac:dyDescent="0.25">
      <c r="A89" s="14">
        <f t="shared" si="18"/>
        <v>0.62708333333333333</v>
      </c>
      <c r="B89" s="2">
        <f t="shared" si="11"/>
        <v>84</v>
      </c>
      <c r="C89" s="4">
        <f t="shared" si="12"/>
        <v>46.33</v>
      </c>
      <c r="D89" s="2">
        <v>13.5</v>
      </c>
      <c r="E89" s="2">
        <v>50.26548245743669</v>
      </c>
      <c r="F89" s="11">
        <f t="shared" si="0"/>
        <v>2.6857396646757339</v>
      </c>
      <c r="G89" s="2">
        <f t="shared" si="1"/>
        <v>124.43031866442675</v>
      </c>
      <c r="H89" s="2">
        <f t="shared" si="2"/>
        <v>2.32262673280768</v>
      </c>
      <c r="I89" s="2">
        <f t="shared" si="3"/>
        <v>107.60729653097981</v>
      </c>
      <c r="J89" s="2">
        <f t="shared" si="4"/>
        <v>16.823022133446941</v>
      </c>
      <c r="K89" s="15">
        <f t="shared" si="19"/>
        <v>0.58450854700854704</v>
      </c>
      <c r="L89" s="2">
        <f t="shared" si="14"/>
        <v>84</v>
      </c>
      <c r="M89" s="2">
        <f t="shared" si="15"/>
        <v>46.08</v>
      </c>
      <c r="N89" s="2">
        <v>15.5</v>
      </c>
      <c r="O89" s="2">
        <v>50.26548245743669</v>
      </c>
      <c r="P89" s="11">
        <f t="shared" si="5"/>
        <v>3.0836270224054725</v>
      </c>
      <c r="Q89" s="2">
        <f t="shared" si="6"/>
        <v>142.09353319244417</v>
      </c>
      <c r="R89" s="2">
        <f t="shared" si="7"/>
        <v>2.2416045796539747</v>
      </c>
      <c r="S89" s="2">
        <f t="shared" si="8"/>
        <v>103.29313903045515</v>
      </c>
      <c r="T89" s="2">
        <f t="shared" si="9"/>
        <v>38.800394161989018</v>
      </c>
    </row>
    <row r="90" spans="1:20" x14ac:dyDescent="0.25">
      <c r="A90" s="14">
        <f t="shared" si="18"/>
        <v>0.62731481481481477</v>
      </c>
      <c r="B90" s="2">
        <f t="shared" si="11"/>
        <v>85</v>
      </c>
      <c r="C90" s="4">
        <f t="shared" si="12"/>
        <v>46.83</v>
      </c>
      <c r="D90" s="2">
        <v>11.5</v>
      </c>
      <c r="E90" s="2">
        <v>50.26548245743669</v>
      </c>
      <c r="F90" s="11">
        <f t="shared" si="0"/>
        <v>2.2878523069459957</v>
      </c>
      <c r="G90" s="2">
        <f t="shared" si="1"/>
        <v>107.14012353428097</v>
      </c>
      <c r="H90" s="2">
        <f t="shared" si="2"/>
        <v>2.32262673280768</v>
      </c>
      <c r="I90" s="2">
        <f t="shared" si="3"/>
        <v>108.76860989738366</v>
      </c>
      <c r="J90" s="2">
        <f t="shared" si="4"/>
        <v>1.6284863631026809</v>
      </c>
      <c r="K90" s="15">
        <f t="shared" si="19"/>
        <v>0.58470441595441602</v>
      </c>
      <c r="L90" s="2">
        <f t="shared" si="14"/>
        <v>85</v>
      </c>
      <c r="M90" s="2">
        <f t="shared" si="15"/>
        <v>46.58</v>
      </c>
      <c r="N90" s="2">
        <v>12</v>
      </c>
      <c r="O90" s="2">
        <v>50.26548245743669</v>
      </c>
      <c r="P90" s="11">
        <f t="shared" si="5"/>
        <v>2.3873241463784298</v>
      </c>
      <c r="Q90" s="2">
        <f t="shared" si="6"/>
        <v>111.20155873830726</v>
      </c>
      <c r="R90" s="2">
        <f t="shared" si="7"/>
        <v>2.2416045796539747</v>
      </c>
      <c r="S90" s="2">
        <f t="shared" si="8"/>
        <v>104.41394132028213</v>
      </c>
      <c r="T90" s="2">
        <f t="shared" si="9"/>
        <v>6.7876174180251212</v>
      </c>
    </row>
    <row r="91" spans="1:20" x14ac:dyDescent="0.25">
      <c r="A91" s="14">
        <f t="shared" si="18"/>
        <v>0.62754629629629632</v>
      </c>
      <c r="B91" s="2">
        <f t="shared" si="11"/>
        <v>86</v>
      </c>
      <c r="C91" s="4">
        <f t="shared" si="12"/>
        <v>47.33</v>
      </c>
      <c r="D91" s="2">
        <v>12.5</v>
      </c>
      <c r="E91" s="2">
        <v>50.26548245743669</v>
      </c>
      <c r="F91" s="11">
        <f t="shared" si="0"/>
        <v>2.4867959858108648</v>
      </c>
      <c r="G91" s="2">
        <f t="shared" si="1"/>
        <v>117.70005400842822</v>
      </c>
      <c r="H91" s="2">
        <f t="shared" si="2"/>
        <v>2.32262673280768</v>
      </c>
      <c r="I91" s="2">
        <f t="shared" si="3"/>
        <v>109.92992326378749</v>
      </c>
      <c r="J91" s="2">
        <f t="shared" si="4"/>
        <v>7.7701307446407384</v>
      </c>
      <c r="K91" s="15">
        <f t="shared" si="19"/>
        <v>0.58490028490028489</v>
      </c>
      <c r="L91" s="2">
        <f t="shared" si="14"/>
        <v>86</v>
      </c>
      <c r="M91" s="2">
        <f t="shared" si="15"/>
        <v>47.08</v>
      </c>
      <c r="N91" s="2">
        <v>12</v>
      </c>
      <c r="O91" s="2">
        <v>50.26548245743669</v>
      </c>
      <c r="P91" s="11">
        <f t="shared" si="5"/>
        <v>2.3873241463784298</v>
      </c>
      <c r="Q91" s="2">
        <f t="shared" si="6"/>
        <v>112.39522081149647</v>
      </c>
      <c r="R91" s="2">
        <f t="shared" si="7"/>
        <v>2.2416045796539747</v>
      </c>
      <c r="S91" s="2">
        <f t="shared" si="8"/>
        <v>105.53474361010913</v>
      </c>
      <c r="T91" s="2">
        <f t="shared" si="9"/>
        <v>6.8604772013873401</v>
      </c>
    </row>
    <row r="92" spans="1:20" x14ac:dyDescent="0.25">
      <c r="A92" s="14">
        <f t="shared" si="18"/>
        <v>0.62777777777777777</v>
      </c>
      <c r="B92" s="2">
        <f t="shared" si="11"/>
        <v>87</v>
      </c>
      <c r="C92" s="4">
        <f t="shared" si="12"/>
        <v>47.83</v>
      </c>
      <c r="D92" s="2">
        <v>13</v>
      </c>
      <c r="E92" s="2">
        <v>50.26548245743669</v>
      </c>
      <c r="F92" s="11">
        <f t="shared" si="0"/>
        <v>2.5862678252432989</v>
      </c>
      <c r="G92" s="2">
        <f t="shared" si="1"/>
        <v>123.70119008138698</v>
      </c>
      <c r="H92" s="2">
        <f t="shared" si="2"/>
        <v>2.32262673280768</v>
      </c>
      <c r="I92" s="2">
        <f t="shared" si="3"/>
        <v>111.09123663019133</v>
      </c>
      <c r="J92" s="2">
        <f t="shared" si="4"/>
        <v>12.609953451195651</v>
      </c>
      <c r="K92" s="15">
        <f t="shared" si="19"/>
        <v>0.58509615384615388</v>
      </c>
      <c r="L92" s="2">
        <f t="shared" si="14"/>
        <v>87</v>
      </c>
      <c r="M92" s="2">
        <f t="shared" si="15"/>
        <v>47.58</v>
      </c>
      <c r="N92" s="2">
        <v>11</v>
      </c>
      <c r="O92" s="2">
        <v>50.26548245743669</v>
      </c>
      <c r="P92" s="11">
        <f t="shared" si="5"/>
        <v>2.1883804675135607</v>
      </c>
      <c r="Q92" s="2">
        <f t="shared" si="6"/>
        <v>104.12314264429521</v>
      </c>
      <c r="R92" s="2">
        <f t="shared" si="7"/>
        <v>2.2416045796539747</v>
      </c>
      <c r="S92" s="2">
        <f t="shared" si="8"/>
        <v>106.65554589993612</v>
      </c>
      <c r="T92" s="2">
        <f t="shared" si="9"/>
        <v>2.5324032556409009</v>
      </c>
    </row>
    <row r="93" spans="1:20" x14ac:dyDescent="0.25">
      <c r="A93" s="14">
        <f t="shared" si="18"/>
        <v>0.62800925925925921</v>
      </c>
      <c r="B93" s="2">
        <f t="shared" si="11"/>
        <v>88</v>
      </c>
      <c r="C93" s="4">
        <f t="shared" si="12"/>
        <v>48.33</v>
      </c>
      <c r="D93" s="2">
        <v>12.5</v>
      </c>
      <c r="E93" s="2">
        <v>50.26548245743669</v>
      </c>
      <c r="F93" s="11">
        <f t="shared" si="0"/>
        <v>2.4867959858108648</v>
      </c>
      <c r="G93" s="2">
        <f t="shared" si="1"/>
        <v>120.1868499942391</v>
      </c>
      <c r="H93" s="2">
        <f t="shared" si="2"/>
        <v>2.32262673280768</v>
      </c>
      <c r="I93" s="2">
        <f t="shared" si="3"/>
        <v>112.25254999659516</v>
      </c>
      <c r="J93" s="2">
        <f t="shared" si="4"/>
        <v>7.934299997643933</v>
      </c>
      <c r="K93" s="15">
        <f t="shared" si="19"/>
        <v>0.58529202279202286</v>
      </c>
      <c r="L93" s="2">
        <f t="shared" si="14"/>
        <v>88</v>
      </c>
      <c r="M93" s="2">
        <f t="shared" si="15"/>
        <v>48.08</v>
      </c>
      <c r="N93" s="2">
        <v>11</v>
      </c>
      <c r="O93" s="2">
        <v>50.26548245743669</v>
      </c>
      <c r="P93" s="11">
        <f t="shared" si="5"/>
        <v>2.1883804675135607</v>
      </c>
      <c r="Q93" s="2">
        <f t="shared" si="6"/>
        <v>105.21733287805199</v>
      </c>
      <c r="R93" s="2">
        <f t="shared" si="7"/>
        <v>2.2416045796539747</v>
      </c>
      <c r="S93" s="2">
        <f t="shared" si="8"/>
        <v>107.7763481897631</v>
      </c>
      <c r="T93" s="2">
        <f t="shared" si="9"/>
        <v>2.5590153117111072</v>
      </c>
    </row>
    <row r="94" spans="1:20" x14ac:dyDescent="0.25">
      <c r="A94" s="14">
        <f t="shared" si="18"/>
        <v>0.62824074074074077</v>
      </c>
      <c r="B94" s="2">
        <f t="shared" si="11"/>
        <v>89</v>
      </c>
      <c r="C94" s="4">
        <f t="shared" si="12"/>
        <v>48.83</v>
      </c>
      <c r="D94" s="2">
        <v>10.5</v>
      </c>
      <c r="E94" s="2">
        <v>50.26548245743669</v>
      </c>
      <c r="F94" s="11">
        <f t="shared" si="0"/>
        <v>2.0889086280811267</v>
      </c>
      <c r="G94" s="2">
        <f t="shared" si="1"/>
        <v>102.00140830920141</v>
      </c>
      <c r="H94" s="2">
        <f t="shared" si="2"/>
        <v>2.32262673280768</v>
      </c>
      <c r="I94" s="2">
        <f t="shared" si="3"/>
        <v>113.41386336299901</v>
      </c>
      <c r="J94" s="2">
        <f t="shared" si="4"/>
        <v>11.412455053797601</v>
      </c>
      <c r="K94" s="15">
        <f t="shared" si="19"/>
        <v>0.58548789173789173</v>
      </c>
      <c r="L94" s="2">
        <f t="shared" si="14"/>
        <v>89</v>
      </c>
      <c r="M94" s="2">
        <f t="shared" si="15"/>
        <v>48.58</v>
      </c>
      <c r="N94" s="2">
        <v>12</v>
      </c>
      <c r="O94" s="2">
        <v>50.26548245743669</v>
      </c>
      <c r="P94" s="11">
        <f t="shared" si="5"/>
        <v>2.3873241463784298</v>
      </c>
      <c r="Q94" s="2">
        <f t="shared" si="6"/>
        <v>115.97620703106412</v>
      </c>
      <c r="R94" s="2">
        <f t="shared" si="7"/>
        <v>2.2416045796539747</v>
      </c>
      <c r="S94" s="2">
        <f t="shared" si="8"/>
        <v>108.8971504795901</v>
      </c>
      <c r="T94" s="2">
        <f t="shared" si="9"/>
        <v>7.0790565514740251</v>
      </c>
    </row>
    <row r="95" spans="1:20" x14ac:dyDescent="0.25">
      <c r="A95" s="14">
        <f t="shared" si="18"/>
        <v>0.62847222222222221</v>
      </c>
      <c r="B95" s="2">
        <f t="shared" si="11"/>
        <v>90</v>
      </c>
      <c r="C95" s="4">
        <f t="shared" si="12"/>
        <v>49.33</v>
      </c>
      <c r="D95" s="2">
        <v>12.5</v>
      </c>
      <c r="E95" s="2">
        <v>50.26548245743669</v>
      </c>
      <c r="F95" s="11">
        <f t="shared" si="0"/>
        <v>2.4867959858108648</v>
      </c>
      <c r="G95" s="2">
        <f t="shared" si="1"/>
        <v>122.67364598004995</v>
      </c>
      <c r="H95" s="2">
        <f t="shared" si="2"/>
        <v>2.32262673280768</v>
      </c>
      <c r="I95" s="2">
        <f t="shared" si="3"/>
        <v>114.57517672940284</v>
      </c>
      <c r="J95" s="2">
        <f t="shared" si="4"/>
        <v>8.0984692506471134</v>
      </c>
      <c r="K95" s="15">
        <f t="shared" si="19"/>
        <v>0.58568376068376071</v>
      </c>
      <c r="L95" s="2">
        <f t="shared" si="14"/>
        <v>90</v>
      </c>
      <c r="M95" s="2">
        <f t="shared" si="15"/>
        <v>49.08</v>
      </c>
      <c r="N95" s="2">
        <v>10</v>
      </c>
      <c r="O95" s="2">
        <v>50.26548245743669</v>
      </c>
      <c r="P95" s="11">
        <f t="shared" si="5"/>
        <v>1.9894367886486919</v>
      </c>
      <c r="Q95" s="2">
        <f t="shared" si="6"/>
        <v>97.641557586877795</v>
      </c>
      <c r="R95" s="2">
        <f t="shared" si="7"/>
        <v>2.2416045796539747</v>
      </c>
      <c r="S95" s="2">
        <f t="shared" si="8"/>
        <v>110.01795276941708</v>
      </c>
      <c r="T95" s="2">
        <f t="shared" si="9"/>
        <v>12.376395182539284</v>
      </c>
    </row>
    <row r="96" spans="1:20" x14ac:dyDescent="0.25">
      <c r="A96" s="14">
        <f t="shared" si="18"/>
        <v>0.62870370370370365</v>
      </c>
      <c r="B96" s="2">
        <f t="shared" si="11"/>
        <v>91</v>
      </c>
      <c r="C96" s="4">
        <f t="shared" si="12"/>
        <v>49.83</v>
      </c>
      <c r="D96" s="2">
        <v>11.5</v>
      </c>
      <c r="E96" s="2">
        <v>50.26548245743669</v>
      </c>
      <c r="F96" s="11">
        <f t="shared" si="0"/>
        <v>2.2878523069459957</v>
      </c>
      <c r="G96" s="2">
        <f t="shared" si="1"/>
        <v>114.00368045511897</v>
      </c>
      <c r="H96" s="2">
        <f t="shared" si="2"/>
        <v>2.32262673280768</v>
      </c>
      <c r="I96" s="2">
        <f t="shared" si="3"/>
        <v>115.73649009580669</v>
      </c>
      <c r="J96" s="2">
        <f t="shared" si="4"/>
        <v>1.7328096406877194</v>
      </c>
      <c r="K96" s="15">
        <f t="shared" si="19"/>
        <v>0.58587962962962969</v>
      </c>
      <c r="L96" s="2">
        <f t="shared" si="14"/>
        <v>91</v>
      </c>
      <c r="M96" s="2">
        <f t="shared" si="15"/>
        <v>49.58</v>
      </c>
      <c r="N96" s="2">
        <v>11</v>
      </c>
      <c r="O96" s="2">
        <v>50.26548245743669</v>
      </c>
      <c r="P96" s="11">
        <f t="shared" si="5"/>
        <v>2.1883804675135607</v>
      </c>
      <c r="Q96" s="2">
        <f t="shared" si="6"/>
        <v>108.49990357932234</v>
      </c>
      <c r="R96" s="2">
        <f t="shared" si="7"/>
        <v>2.2416045796539747</v>
      </c>
      <c r="S96" s="2">
        <f t="shared" si="8"/>
        <v>111.13875505924406</v>
      </c>
      <c r="T96" s="2">
        <f t="shared" si="9"/>
        <v>2.6388514799217262</v>
      </c>
    </row>
    <row r="97" spans="1:20" x14ac:dyDescent="0.25">
      <c r="A97" s="14">
        <f t="shared" si="18"/>
        <v>0.62893518518518521</v>
      </c>
      <c r="B97" s="2">
        <f t="shared" si="11"/>
        <v>92</v>
      </c>
      <c r="C97" s="4">
        <f t="shared" si="12"/>
        <v>50.33</v>
      </c>
      <c r="D97" s="2">
        <v>10.5</v>
      </c>
      <c r="E97" s="2">
        <v>50.26548245743669</v>
      </c>
      <c r="F97" s="11">
        <f t="shared" si="0"/>
        <v>2.0889086280811267</v>
      </c>
      <c r="G97" s="2">
        <f t="shared" si="1"/>
        <v>105.1347712513231</v>
      </c>
      <c r="H97" s="2">
        <f t="shared" si="2"/>
        <v>2.32262673280768</v>
      </c>
      <c r="I97" s="2">
        <f t="shared" si="3"/>
        <v>116.89780346221053</v>
      </c>
      <c r="J97" s="2">
        <f t="shared" si="4"/>
        <v>11.763032210887431</v>
      </c>
      <c r="K97" s="15">
        <f t="shared" si="19"/>
        <v>0.58607549857549857</v>
      </c>
      <c r="L97" s="2">
        <f t="shared" si="14"/>
        <v>92</v>
      </c>
      <c r="M97" s="2">
        <f t="shared" si="15"/>
        <v>50.08</v>
      </c>
      <c r="N97" s="2">
        <v>10.5</v>
      </c>
      <c r="O97" s="2">
        <v>50.26548245743669</v>
      </c>
      <c r="P97" s="11">
        <f t="shared" si="5"/>
        <v>2.0889086280811267</v>
      </c>
      <c r="Q97" s="2">
        <f t="shared" si="6"/>
        <v>104.61254409430282</v>
      </c>
      <c r="R97" s="2">
        <f t="shared" si="7"/>
        <v>2.2416045796539747</v>
      </c>
      <c r="S97" s="2">
        <f t="shared" si="8"/>
        <v>112.25955734907104</v>
      </c>
      <c r="T97" s="2">
        <f t="shared" si="9"/>
        <v>7.6470132547682255</v>
      </c>
    </row>
    <row r="98" spans="1:20" x14ac:dyDescent="0.25">
      <c r="A98" s="14">
        <f t="shared" si="18"/>
        <v>0.62916666666666665</v>
      </c>
      <c r="B98" s="2">
        <f t="shared" si="11"/>
        <v>93</v>
      </c>
      <c r="C98" s="4">
        <f t="shared" si="12"/>
        <v>50.83</v>
      </c>
      <c r="D98" s="2">
        <v>12.5</v>
      </c>
      <c r="E98" s="2">
        <v>50.26548245743669</v>
      </c>
      <c r="F98" s="11">
        <f t="shared" si="0"/>
        <v>2.4867959858108648</v>
      </c>
      <c r="G98" s="2">
        <f t="shared" si="1"/>
        <v>126.40383995876626</v>
      </c>
      <c r="H98" s="2">
        <f t="shared" si="2"/>
        <v>2.32262673280768</v>
      </c>
      <c r="I98" s="2">
        <f t="shared" si="3"/>
        <v>118.05911682861436</v>
      </c>
      <c r="J98" s="2">
        <f t="shared" si="4"/>
        <v>8.3447231301518912</v>
      </c>
      <c r="K98" s="15">
        <f t="shared" si="19"/>
        <v>0.58627136752136755</v>
      </c>
      <c r="L98" s="2">
        <f t="shared" si="14"/>
        <v>93</v>
      </c>
      <c r="M98" s="2">
        <f t="shared" si="15"/>
        <v>50.58</v>
      </c>
      <c r="N98" s="2">
        <v>12</v>
      </c>
      <c r="O98" s="2">
        <v>50.26548245743669</v>
      </c>
      <c r="P98" s="11">
        <f t="shared" si="5"/>
        <v>2.3873241463784298</v>
      </c>
      <c r="Q98" s="2">
        <f t="shared" si="6"/>
        <v>120.75085532382097</v>
      </c>
      <c r="R98" s="2">
        <f t="shared" si="7"/>
        <v>2.2416045796539747</v>
      </c>
      <c r="S98" s="2">
        <f t="shared" si="8"/>
        <v>113.38035963889804</v>
      </c>
      <c r="T98" s="2">
        <f t="shared" si="9"/>
        <v>7.3704956849229291</v>
      </c>
    </row>
    <row r="99" spans="1:20" x14ac:dyDescent="0.25">
      <c r="A99" s="14">
        <f t="shared" si="18"/>
        <v>0.6293981481481481</v>
      </c>
      <c r="B99" s="2">
        <f t="shared" si="11"/>
        <v>94</v>
      </c>
      <c r="C99" s="4">
        <f t="shared" si="12"/>
        <v>51.33</v>
      </c>
      <c r="D99" s="2">
        <v>13</v>
      </c>
      <c r="E99" s="2">
        <v>50.26548245743669</v>
      </c>
      <c r="F99" s="11">
        <f t="shared" si="0"/>
        <v>2.5862678252432989</v>
      </c>
      <c r="G99" s="2">
        <f t="shared" si="1"/>
        <v>132.75312746973853</v>
      </c>
      <c r="H99" s="2">
        <f t="shared" si="2"/>
        <v>2.32262673280768</v>
      </c>
      <c r="I99" s="2">
        <f t="shared" si="3"/>
        <v>119.22043019501821</v>
      </c>
      <c r="J99" s="2">
        <f t="shared" si="4"/>
        <v>13.53269727472032</v>
      </c>
      <c r="K99" s="15">
        <f t="shared" si="19"/>
        <v>0.58646723646723653</v>
      </c>
      <c r="L99" s="2">
        <f t="shared" si="14"/>
        <v>94</v>
      </c>
      <c r="M99" s="2">
        <f t="shared" si="15"/>
        <v>51.08</v>
      </c>
      <c r="N99" s="2">
        <v>12</v>
      </c>
      <c r="O99" s="2">
        <v>50.26548245743669</v>
      </c>
      <c r="P99" s="11">
        <f t="shared" si="5"/>
        <v>2.3873241463784298</v>
      </c>
      <c r="Q99" s="2">
        <f t="shared" si="6"/>
        <v>121.94451739701019</v>
      </c>
      <c r="R99" s="2">
        <f t="shared" si="7"/>
        <v>2.2416045796539747</v>
      </c>
      <c r="S99" s="2">
        <f t="shared" si="8"/>
        <v>114.50116192872503</v>
      </c>
      <c r="T99" s="2">
        <f t="shared" si="9"/>
        <v>7.4433554682851621</v>
      </c>
    </row>
    <row r="100" spans="1:20" x14ac:dyDescent="0.25">
      <c r="A100" s="14">
        <f t="shared" si="18"/>
        <v>0.62962962962962965</v>
      </c>
      <c r="B100" s="2">
        <f t="shared" si="11"/>
        <v>95</v>
      </c>
      <c r="C100" s="4">
        <f t="shared" si="12"/>
        <v>51.83</v>
      </c>
      <c r="D100" s="2">
        <v>13.5</v>
      </c>
      <c r="E100" s="2">
        <v>50.26548245743669</v>
      </c>
      <c r="F100" s="11">
        <f t="shared" si="0"/>
        <v>2.6857396646757339</v>
      </c>
      <c r="G100" s="2">
        <f t="shared" si="1"/>
        <v>139.20188682014327</v>
      </c>
      <c r="H100" s="2">
        <f t="shared" si="2"/>
        <v>2.32262673280768</v>
      </c>
      <c r="I100" s="2">
        <f t="shared" si="3"/>
        <v>120.38174356142204</v>
      </c>
      <c r="J100" s="2">
        <f t="shared" si="4"/>
        <v>18.820143258721231</v>
      </c>
      <c r="K100" s="15">
        <f t="shared" si="19"/>
        <v>0.5866631054131054</v>
      </c>
      <c r="L100" s="2">
        <f t="shared" si="14"/>
        <v>95</v>
      </c>
      <c r="M100" s="2">
        <f t="shared" si="15"/>
        <v>51.58</v>
      </c>
      <c r="N100" s="2">
        <v>11.5</v>
      </c>
      <c r="O100" s="2">
        <v>50.26548245743669</v>
      </c>
      <c r="P100" s="11">
        <f t="shared" si="5"/>
        <v>2.2878523069459957</v>
      </c>
      <c r="Q100" s="2">
        <f t="shared" si="6"/>
        <v>118.00742199227446</v>
      </c>
      <c r="R100" s="2">
        <f t="shared" si="7"/>
        <v>2.2416045796539747</v>
      </c>
      <c r="S100" s="2">
        <f t="shared" si="8"/>
        <v>115.62196421855201</v>
      </c>
      <c r="T100" s="2">
        <f t="shared" si="9"/>
        <v>2.3854577737224503</v>
      </c>
    </row>
    <row r="101" spans="1:20" x14ac:dyDescent="0.25">
      <c r="A101" s="14">
        <f t="shared" si="18"/>
        <v>0.62986111111111109</v>
      </c>
      <c r="B101" s="2">
        <f t="shared" si="11"/>
        <v>96</v>
      </c>
      <c r="C101" s="4">
        <f t="shared" si="12"/>
        <v>52.33</v>
      </c>
      <c r="D101" s="2">
        <v>12</v>
      </c>
      <c r="E101" s="2">
        <v>50.26548245743669</v>
      </c>
      <c r="F101" s="11">
        <f t="shared" si="0"/>
        <v>2.3873241463784298</v>
      </c>
      <c r="G101" s="2">
        <f t="shared" si="1"/>
        <v>124.92867257998323</v>
      </c>
      <c r="H101" s="2">
        <f t="shared" si="2"/>
        <v>2.32262673280768</v>
      </c>
      <c r="I101" s="2">
        <f t="shared" si="3"/>
        <v>121.54305692782589</v>
      </c>
      <c r="J101" s="2">
        <f t="shared" si="4"/>
        <v>3.3856156521573411</v>
      </c>
      <c r="K101" s="15">
        <f t="shared" si="19"/>
        <v>0.58685897435897438</v>
      </c>
      <c r="L101" s="2">
        <f t="shared" si="14"/>
        <v>96</v>
      </c>
      <c r="M101" s="2">
        <f t="shared" si="15"/>
        <v>52.08</v>
      </c>
      <c r="N101" s="2">
        <v>11.5</v>
      </c>
      <c r="O101" s="2">
        <v>50.26548245743669</v>
      </c>
      <c r="P101" s="11">
        <f t="shared" si="5"/>
        <v>2.2878523069459957</v>
      </c>
      <c r="Q101" s="2">
        <f t="shared" si="6"/>
        <v>119.15134814574745</v>
      </c>
      <c r="R101" s="2">
        <f t="shared" si="7"/>
        <v>2.2416045796539747</v>
      </c>
      <c r="S101" s="2">
        <f t="shared" si="8"/>
        <v>116.74276650837901</v>
      </c>
      <c r="T101" s="2">
        <f t="shared" si="9"/>
        <v>2.4085816373684423</v>
      </c>
    </row>
    <row r="102" spans="1:20" x14ac:dyDescent="0.25">
      <c r="A102" s="14">
        <f t="shared" si="18"/>
        <v>0.63009259259259254</v>
      </c>
      <c r="B102" s="2">
        <f t="shared" si="11"/>
        <v>97</v>
      </c>
      <c r="C102" s="4">
        <f t="shared" si="12"/>
        <v>52.83</v>
      </c>
      <c r="D102" s="2">
        <v>13</v>
      </c>
      <c r="E102" s="2">
        <v>50.26548245743669</v>
      </c>
      <c r="F102" s="11">
        <f t="shared" si="0"/>
        <v>2.5862678252432989</v>
      </c>
      <c r="G102" s="2">
        <f t="shared" si="1"/>
        <v>136.63252920760348</v>
      </c>
      <c r="H102" s="2">
        <f t="shared" si="2"/>
        <v>2.32262673280768</v>
      </c>
      <c r="I102" s="2">
        <f t="shared" si="3"/>
        <v>122.70437029422973</v>
      </c>
      <c r="J102" s="2">
        <f t="shared" si="4"/>
        <v>13.92815891337375</v>
      </c>
      <c r="K102" s="15">
        <f t="shared" si="19"/>
        <v>0.58705484330484337</v>
      </c>
      <c r="L102" s="2">
        <f t="shared" si="14"/>
        <v>97</v>
      </c>
      <c r="M102" s="2">
        <f t="shared" si="15"/>
        <v>52.58</v>
      </c>
      <c r="N102" s="2">
        <v>11.5</v>
      </c>
      <c r="O102" s="2">
        <v>50.26548245743669</v>
      </c>
      <c r="P102" s="11">
        <f t="shared" si="5"/>
        <v>2.2878523069459957</v>
      </c>
      <c r="Q102" s="2">
        <f t="shared" si="6"/>
        <v>120.29527429922045</v>
      </c>
      <c r="R102" s="2">
        <f t="shared" si="7"/>
        <v>2.2416045796539747</v>
      </c>
      <c r="S102" s="2">
        <f t="shared" si="8"/>
        <v>117.86356879820599</v>
      </c>
      <c r="T102" s="2">
        <f t="shared" si="9"/>
        <v>2.4317055010144628</v>
      </c>
    </row>
    <row r="103" spans="1:20" x14ac:dyDescent="0.25">
      <c r="A103" s="14">
        <f t="shared" si="18"/>
        <v>0.63032407407407409</v>
      </c>
      <c r="B103" s="2">
        <f t="shared" si="11"/>
        <v>98</v>
      </c>
      <c r="C103" s="4">
        <f t="shared" si="12"/>
        <v>53.33</v>
      </c>
      <c r="D103" s="2">
        <v>11</v>
      </c>
      <c r="E103" s="2">
        <v>50.26548245743669</v>
      </c>
      <c r="F103" s="11">
        <f t="shared" si="0"/>
        <v>2.1883804675135607</v>
      </c>
      <c r="G103" s="2">
        <f t="shared" si="1"/>
        <v>116.7063303324982</v>
      </c>
      <c r="H103" s="2">
        <f t="shared" si="2"/>
        <v>2.32262673280768</v>
      </c>
      <c r="I103" s="2">
        <f t="shared" si="3"/>
        <v>123.86568366063356</v>
      </c>
      <c r="J103" s="2">
        <f t="shared" si="4"/>
        <v>7.1593533281353672</v>
      </c>
      <c r="K103" s="15">
        <f t="shared" si="19"/>
        <v>0.58725071225071224</v>
      </c>
      <c r="L103" s="2">
        <f t="shared" si="14"/>
        <v>98</v>
      </c>
      <c r="M103" s="2">
        <f t="shared" si="15"/>
        <v>53.08</v>
      </c>
      <c r="N103" s="2">
        <v>10</v>
      </c>
      <c r="O103" s="2">
        <v>50.26548245743669</v>
      </c>
      <c r="P103" s="11">
        <f t="shared" si="5"/>
        <v>1.9894367886486919</v>
      </c>
      <c r="Q103" s="2">
        <f t="shared" si="6"/>
        <v>105.59930474147257</v>
      </c>
      <c r="R103" s="2">
        <f t="shared" si="7"/>
        <v>2.2416045796539747</v>
      </c>
      <c r="S103" s="2">
        <f t="shared" si="8"/>
        <v>118.98437108803297</v>
      </c>
      <c r="T103" s="2">
        <f t="shared" si="9"/>
        <v>13.385066346560407</v>
      </c>
    </row>
    <row r="104" spans="1:20" x14ac:dyDescent="0.25">
      <c r="A104" s="14">
        <f t="shared" si="18"/>
        <v>0.63055555555555554</v>
      </c>
      <c r="B104" s="2">
        <f t="shared" si="11"/>
        <v>99</v>
      </c>
      <c r="C104" s="4">
        <f t="shared" si="12"/>
        <v>53.83</v>
      </c>
      <c r="D104" s="2">
        <v>9.5</v>
      </c>
      <c r="E104" s="2">
        <v>50.26548245743669</v>
      </c>
      <c r="F104" s="11">
        <f t="shared" si="0"/>
        <v>1.8899649492162571</v>
      </c>
      <c r="G104" s="2">
        <f t="shared" si="1"/>
        <v>101.73681321631112</v>
      </c>
      <c r="H104" s="2">
        <f t="shared" si="2"/>
        <v>2.32262673280768</v>
      </c>
      <c r="I104" s="2">
        <f t="shared" si="3"/>
        <v>125.02699702703741</v>
      </c>
      <c r="J104" s="2">
        <f t="shared" si="4"/>
        <v>23.29018381072629</v>
      </c>
      <c r="K104" s="15">
        <f t="shared" si="19"/>
        <v>0.58744658119658122</v>
      </c>
      <c r="L104" s="2">
        <f t="shared" si="14"/>
        <v>99</v>
      </c>
      <c r="M104" s="2">
        <f t="shared" si="15"/>
        <v>53.58</v>
      </c>
      <c r="N104" s="2">
        <v>8.5</v>
      </c>
      <c r="O104" s="2">
        <v>50.26548245743669</v>
      </c>
      <c r="P104" s="11">
        <f t="shared" si="5"/>
        <v>1.6910212703513881</v>
      </c>
      <c r="Q104" s="2">
        <f t="shared" si="6"/>
        <v>90.604919665427374</v>
      </c>
      <c r="R104" s="2">
        <f t="shared" si="7"/>
        <v>2.2416045796539747</v>
      </c>
      <c r="S104" s="2">
        <f t="shared" si="8"/>
        <v>120.10517337785997</v>
      </c>
      <c r="T104" s="2">
        <f t="shared" si="9"/>
        <v>29.500253712432595</v>
      </c>
    </row>
    <row r="105" spans="1:20" x14ac:dyDescent="0.25">
      <c r="A105" s="14">
        <f t="shared" si="18"/>
        <v>0.63078703703703698</v>
      </c>
      <c r="B105" s="2">
        <f t="shared" si="11"/>
        <v>100</v>
      </c>
      <c r="C105" s="4">
        <f t="shared" si="12"/>
        <v>54.33</v>
      </c>
      <c r="D105" s="2">
        <v>9</v>
      </c>
      <c r="E105" s="2">
        <v>50.26548245743669</v>
      </c>
      <c r="F105" s="11">
        <f t="shared" si="0"/>
        <v>1.7904931097838226</v>
      </c>
      <c r="G105" s="2">
        <f t="shared" si="1"/>
        <v>97.277490654555081</v>
      </c>
      <c r="H105" s="2">
        <f t="shared" si="2"/>
        <v>2.32262673280768</v>
      </c>
      <c r="I105" s="2">
        <f t="shared" si="3"/>
        <v>126.18831039344124</v>
      </c>
      <c r="J105" s="2">
        <f t="shared" si="4"/>
        <v>28.910819738886161</v>
      </c>
      <c r="K105" s="15">
        <f t="shared" si="19"/>
        <v>0.5876424501424502</v>
      </c>
      <c r="L105" s="2">
        <f t="shared" si="14"/>
        <v>100</v>
      </c>
      <c r="M105" s="2">
        <f t="shared" si="15"/>
        <v>54.08</v>
      </c>
      <c r="N105" s="2">
        <v>7.5</v>
      </c>
      <c r="O105" s="2">
        <v>50.26548245743669</v>
      </c>
      <c r="P105" s="11">
        <f t="shared" si="5"/>
        <v>1.492077591486519</v>
      </c>
      <c r="Q105" s="2">
        <f t="shared" si="6"/>
        <v>80.691556147590944</v>
      </c>
      <c r="R105" s="2">
        <f t="shared" si="7"/>
        <v>2.2416045796539747</v>
      </c>
      <c r="S105" s="2">
        <f t="shared" si="8"/>
        <v>121.22597566768695</v>
      </c>
      <c r="T105" s="2">
        <f t="shared" si="9"/>
        <v>40.534419520096009</v>
      </c>
    </row>
    <row r="106" spans="1:20" x14ac:dyDescent="0.25">
      <c r="A106" s="14">
        <f t="shared" si="18"/>
        <v>0.63101851851851853</v>
      </c>
      <c r="B106" s="2">
        <f t="shared" si="11"/>
        <v>101</v>
      </c>
      <c r="C106" s="4">
        <f t="shared" si="12"/>
        <v>54.83</v>
      </c>
      <c r="D106" s="2">
        <v>8</v>
      </c>
      <c r="E106" s="2">
        <v>50.26548245743669</v>
      </c>
      <c r="F106" s="11">
        <f t="shared" si="0"/>
        <v>1.5915494309189535</v>
      </c>
      <c r="G106" s="2">
        <f t="shared" si="1"/>
        <v>87.264655297286225</v>
      </c>
      <c r="H106" s="2">
        <f t="shared" si="2"/>
        <v>2.32262673280768</v>
      </c>
      <c r="I106" s="2">
        <f t="shared" si="3"/>
        <v>127.34962375984509</v>
      </c>
      <c r="J106" s="2">
        <f t="shared" si="4"/>
        <v>40.084968462558862</v>
      </c>
      <c r="K106" s="15">
        <f t="shared" si="19"/>
        <v>0.58783831908831907</v>
      </c>
      <c r="L106" s="2">
        <f t="shared" si="14"/>
        <v>101</v>
      </c>
      <c r="M106" s="2">
        <f t="shared" si="15"/>
        <v>54.58</v>
      </c>
      <c r="N106" s="2">
        <v>10</v>
      </c>
      <c r="O106" s="2">
        <v>50.26548245743669</v>
      </c>
      <c r="P106" s="11">
        <f t="shared" si="5"/>
        <v>1.9894367886486919</v>
      </c>
      <c r="Q106" s="2">
        <f t="shared" si="6"/>
        <v>108.58345992444561</v>
      </c>
      <c r="R106" s="2">
        <f t="shared" si="7"/>
        <v>2.2416045796539747</v>
      </c>
      <c r="S106" s="2">
        <f t="shared" si="8"/>
        <v>122.34677795751394</v>
      </c>
      <c r="T106" s="2">
        <f t="shared" si="9"/>
        <v>13.76331803306833</v>
      </c>
    </row>
    <row r="107" spans="1:20" x14ac:dyDescent="0.25">
      <c r="A107" s="14">
        <f t="shared" si="18"/>
        <v>0.63124999999999998</v>
      </c>
      <c r="B107" s="2">
        <f t="shared" si="11"/>
        <v>102</v>
      </c>
      <c r="C107" s="4">
        <f t="shared" si="12"/>
        <v>55.33</v>
      </c>
      <c r="D107" s="2">
        <v>9</v>
      </c>
      <c r="E107" s="2">
        <v>50.26548245743669</v>
      </c>
      <c r="F107" s="11">
        <f t="shared" si="0"/>
        <v>1.7904931097838226</v>
      </c>
      <c r="G107" s="2">
        <f t="shared" si="1"/>
        <v>99.067983764338905</v>
      </c>
      <c r="H107" s="2">
        <f t="shared" si="2"/>
        <v>2.32262673280768</v>
      </c>
      <c r="I107" s="2">
        <f t="shared" si="3"/>
        <v>128.51093712624893</v>
      </c>
      <c r="J107" s="2">
        <f t="shared" si="4"/>
        <v>29.442953361910028</v>
      </c>
      <c r="K107" s="15">
        <f t="shared" si="19"/>
        <v>0.58803418803418805</v>
      </c>
      <c r="L107" s="2">
        <f t="shared" si="14"/>
        <v>102</v>
      </c>
      <c r="M107" s="2">
        <f t="shared" si="15"/>
        <v>55.08</v>
      </c>
      <c r="N107" s="2">
        <v>8</v>
      </c>
      <c r="O107" s="2">
        <v>50.26548245743669</v>
      </c>
      <c r="P107" s="11">
        <f t="shared" si="5"/>
        <v>1.5915494309189535</v>
      </c>
      <c r="Q107" s="2">
        <f t="shared" si="6"/>
        <v>87.662542655015955</v>
      </c>
      <c r="R107" s="2">
        <f t="shared" si="7"/>
        <v>2.2416045796539747</v>
      </c>
      <c r="S107" s="2">
        <f t="shared" si="8"/>
        <v>123.46758024734092</v>
      </c>
      <c r="T107" s="2">
        <f t="shared" si="9"/>
        <v>35.805037592324965</v>
      </c>
    </row>
    <row r="108" spans="1:20" x14ac:dyDescent="0.25">
      <c r="A108" s="14">
        <f t="shared" si="18"/>
        <v>0.63148148148148142</v>
      </c>
      <c r="B108" s="2">
        <f t="shared" si="11"/>
        <v>103</v>
      </c>
      <c r="C108" s="4">
        <f t="shared" si="12"/>
        <v>55.83</v>
      </c>
      <c r="D108" s="2">
        <v>9.5</v>
      </c>
      <c r="E108" s="2">
        <v>50.26548245743669</v>
      </c>
      <c r="F108" s="11">
        <f t="shared" si="0"/>
        <v>1.8899649492162571</v>
      </c>
      <c r="G108" s="2">
        <f t="shared" si="1"/>
        <v>105.51674311474363</v>
      </c>
      <c r="H108" s="2">
        <f t="shared" si="2"/>
        <v>2.32262673280768</v>
      </c>
      <c r="I108" s="2">
        <f t="shared" si="3"/>
        <v>129.67225049265278</v>
      </c>
      <c r="J108" s="2">
        <f t="shared" si="4"/>
        <v>24.155507377909146</v>
      </c>
      <c r="K108" s="15">
        <f t="shared" si="19"/>
        <v>0.58823005698005704</v>
      </c>
      <c r="L108" s="2">
        <f t="shared" si="14"/>
        <v>103</v>
      </c>
      <c r="M108" s="2">
        <f t="shared" si="15"/>
        <v>55.58</v>
      </c>
      <c r="N108" s="2">
        <v>8.5</v>
      </c>
      <c r="O108" s="2">
        <v>50.26548245743669</v>
      </c>
      <c r="P108" s="11">
        <f t="shared" si="5"/>
        <v>1.6910212703513881</v>
      </c>
      <c r="Q108" s="2">
        <f t="shared" si="6"/>
        <v>93.986962206130144</v>
      </c>
      <c r="R108" s="2">
        <f t="shared" si="7"/>
        <v>2.2416045796539747</v>
      </c>
      <c r="S108" s="2">
        <f t="shared" si="8"/>
        <v>124.58838253716792</v>
      </c>
      <c r="T108" s="2">
        <f t="shared" si="9"/>
        <v>30.601420331037772</v>
      </c>
    </row>
    <row r="109" spans="1:20" x14ac:dyDescent="0.25">
      <c r="A109" s="14">
        <f t="shared" si="18"/>
        <v>0.63171296296296298</v>
      </c>
      <c r="B109" s="21">
        <f t="shared" si="11"/>
        <v>104</v>
      </c>
      <c r="C109" s="22">
        <f t="shared" si="12"/>
        <v>56.33</v>
      </c>
      <c r="D109" s="21">
        <v>9</v>
      </c>
      <c r="E109" s="2">
        <v>50.26548245743669</v>
      </c>
      <c r="F109" s="11">
        <f t="shared" si="0"/>
        <v>1.7904931097838226</v>
      </c>
      <c r="G109" s="2">
        <f t="shared" si="1"/>
        <v>100.85847687412273</v>
      </c>
      <c r="H109" s="2">
        <f t="shared" si="2"/>
        <v>2.32262673280768</v>
      </c>
      <c r="I109" s="2">
        <f t="shared" si="3"/>
        <v>130.8335638590566</v>
      </c>
      <c r="J109" s="2">
        <f t="shared" si="4"/>
        <v>29.975086984933867</v>
      </c>
      <c r="K109" s="15">
        <f t="shared" si="19"/>
        <v>0.58842592592592591</v>
      </c>
      <c r="L109" s="21">
        <f t="shared" si="14"/>
        <v>104</v>
      </c>
      <c r="M109" s="21">
        <f t="shared" si="15"/>
        <v>56.08</v>
      </c>
      <c r="N109" s="21">
        <v>9</v>
      </c>
      <c r="O109" s="2">
        <v>50.26548245743669</v>
      </c>
      <c r="P109" s="11">
        <f t="shared" si="5"/>
        <v>1.7904931097838226</v>
      </c>
      <c r="Q109" s="2">
        <f t="shared" si="6"/>
        <v>100.41085359667677</v>
      </c>
      <c r="R109" s="2">
        <f t="shared" si="7"/>
        <v>2.2416045796539747</v>
      </c>
      <c r="S109" s="2">
        <f t="shared" si="8"/>
        <v>125.7091848269949</v>
      </c>
      <c r="T109" s="2">
        <f t="shared" si="9"/>
        <v>25.298331230318126</v>
      </c>
    </row>
    <row r="110" spans="1:20" x14ac:dyDescent="0.25">
      <c r="A110" s="14">
        <f t="shared" si="18"/>
        <v>0.63194444444444442</v>
      </c>
      <c r="B110" s="21">
        <f t="shared" si="11"/>
        <v>105</v>
      </c>
      <c r="C110" s="22">
        <f>C109+1.5</f>
        <v>57.83</v>
      </c>
      <c r="D110" s="21">
        <v>8</v>
      </c>
      <c r="E110" s="2">
        <v>50.26548245743669</v>
      </c>
      <c r="F110" s="11">
        <f t="shared" si="0"/>
        <v>1.5915494309189535</v>
      </c>
      <c r="G110" s="2">
        <f t="shared" si="1"/>
        <v>92.039303590043076</v>
      </c>
      <c r="H110" s="2">
        <f t="shared" si="2"/>
        <v>2.32262673280768</v>
      </c>
      <c r="I110" s="2">
        <f t="shared" si="3"/>
        <v>134.31750395826813</v>
      </c>
      <c r="J110" s="2">
        <f t="shared" si="4"/>
        <v>42.278200368225058</v>
      </c>
      <c r="K110" s="15">
        <f t="shared" si="19"/>
        <v>0.58862179487179489</v>
      </c>
      <c r="L110" s="21">
        <f t="shared" si="14"/>
        <v>105</v>
      </c>
      <c r="M110" s="21">
        <f>M109+1.5</f>
        <v>57.58</v>
      </c>
      <c r="N110" s="21">
        <v>8</v>
      </c>
      <c r="O110" s="2">
        <v>50.26548245743669</v>
      </c>
      <c r="P110" s="11">
        <f t="shared" si="5"/>
        <v>1.5915494309189535</v>
      </c>
      <c r="Q110" s="2">
        <f t="shared" si="6"/>
        <v>91.641416232313347</v>
      </c>
      <c r="R110" s="2">
        <f t="shared" si="7"/>
        <v>2.2416045796539747</v>
      </c>
      <c r="S110" s="2">
        <f t="shared" si="8"/>
        <v>129.07159169647585</v>
      </c>
      <c r="T110" s="2">
        <f t="shared" si="9"/>
        <v>37.430175464162502</v>
      </c>
    </row>
    <row r="111" spans="1:20" x14ac:dyDescent="0.25">
      <c r="A111" s="14">
        <f t="shared" si="18"/>
        <v>0.63217592592592586</v>
      </c>
      <c r="B111" s="21">
        <f t="shared" si="11"/>
        <v>106</v>
      </c>
      <c r="C111" s="22">
        <f t="shared" ref="C111:C162" si="20">C110+0.5</f>
        <v>58.33</v>
      </c>
      <c r="D111" s="21">
        <v>9.5</v>
      </c>
      <c r="E111" s="2">
        <v>50.26548245743669</v>
      </c>
      <c r="F111" s="11">
        <f t="shared" si="0"/>
        <v>1.8899649492162571</v>
      </c>
      <c r="G111" s="2">
        <f t="shared" si="1"/>
        <v>110.24165548778427</v>
      </c>
      <c r="H111" s="2">
        <f t="shared" si="2"/>
        <v>2.32262673280768</v>
      </c>
      <c r="I111" s="2">
        <f t="shared" si="3"/>
        <v>135.47881732467198</v>
      </c>
      <c r="J111" s="2">
        <f t="shared" si="4"/>
        <v>25.237161836887708</v>
      </c>
      <c r="K111" s="15">
        <f t="shared" si="19"/>
        <v>0.58881766381766387</v>
      </c>
      <c r="L111" s="21">
        <f t="shared" si="14"/>
        <v>106</v>
      </c>
      <c r="M111" s="21">
        <f t="shared" ref="M111:M162" si="21">M110+0.5</f>
        <v>58.08</v>
      </c>
      <c r="N111" s="21">
        <v>8</v>
      </c>
      <c r="O111" s="2">
        <v>50.26548245743669</v>
      </c>
      <c r="P111" s="11">
        <f t="shared" si="5"/>
        <v>1.5915494309189535</v>
      </c>
      <c r="Q111" s="2">
        <f t="shared" si="6"/>
        <v>92.43719094777282</v>
      </c>
      <c r="R111" s="2">
        <f t="shared" si="7"/>
        <v>2.2416045796539747</v>
      </c>
      <c r="S111" s="2">
        <f t="shared" si="8"/>
        <v>130.19239398630285</v>
      </c>
      <c r="T111" s="2">
        <f t="shared" si="9"/>
        <v>37.755203038530027</v>
      </c>
    </row>
    <row r="112" spans="1:20" x14ac:dyDescent="0.25">
      <c r="A112" s="14">
        <f t="shared" si="18"/>
        <v>0.63240740740740742</v>
      </c>
      <c r="B112" s="2">
        <f t="shared" si="11"/>
        <v>107</v>
      </c>
      <c r="C112" s="4">
        <f t="shared" si="20"/>
        <v>58.83</v>
      </c>
      <c r="D112" s="2">
        <v>9.5</v>
      </c>
      <c r="E112" s="2">
        <v>50.26548245743669</v>
      </c>
      <c r="F112" s="11">
        <f t="shared" si="0"/>
        <v>1.8899649492162571</v>
      </c>
      <c r="G112" s="2">
        <f t="shared" si="1"/>
        <v>111.18663796239241</v>
      </c>
      <c r="H112" s="2">
        <f t="shared" si="2"/>
        <v>2.32262673280768</v>
      </c>
      <c r="I112" s="2">
        <f t="shared" si="3"/>
        <v>136.6401306910758</v>
      </c>
      <c r="J112" s="2">
        <f t="shared" si="4"/>
        <v>25.453492728683386</v>
      </c>
      <c r="K112" s="15">
        <f t="shared" si="19"/>
        <v>0.58901353276353274</v>
      </c>
      <c r="L112" s="2">
        <f t="shared" si="14"/>
        <v>107</v>
      </c>
      <c r="M112" s="2">
        <f t="shared" si="21"/>
        <v>58.58</v>
      </c>
      <c r="N112" s="2">
        <v>8.5</v>
      </c>
      <c r="O112" s="2">
        <v>50.26548245743669</v>
      </c>
      <c r="P112" s="11">
        <f t="shared" si="5"/>
        <v>1.6910212703513881</v>
      </c>
      <c r="Q112" s="2">
        <f t="shared" si="6"/>
        <v>99.060026017184313</v>
      </c>
      <c r="R112" s="2">
        <f t="shared" si="7"/>
        <v>2.2416045796539747</v>
      </c>
      <c r="S112" s="2">
        <f t="shared" si="8"/>
        <v>131.31319627612984</v>
      </c>
      <c r="T112" s="2">
        <f t="shared" si="9"/>
        <v>32.253170258945531</v>
      </c>
    </row>
    <row r="113" spans="1:20" x14ac:dyDescent="0.25">
      <c r="A113" s="14">
        <f t="shared" si="18"/>
        <v>0.63263888888888886</v>
      </c>
      <c r="B113" s="2">
        <f t="shared" si="11"/>
        <v>108</v>
      </c>
      <c r="C113" s="4">
        <f t="shared" si="20"/>
        <v>59.33</v>
      </c>
      <c r="D113" s="2">
        <v>9.5</v>
      </c>
      <c r="E113" s="2">
        <v>50.26548245743669</v>
      </c>
      <c r="F113" s="11">
        <f t="shared" si="0"/>
        <v>1.8899649492162571</v>
      </c>
      <c r="G113" s="2">
        <f t="shared" si="1"/>
        <v>112.13162043700054</v>
      </c>
      <c r="H113" s="2">
        <f t="shared" si="2"/>
        <v>2.32262673280768</v>
      </c>
      <c r="I113" s="2">
        <f t="shared" si="3"/>
        <v>137.80144405747964</v>
      </c>
      <c r="J113" s="2">
        <f t="shared" si="4"/>
        <v>25.669823620479107</v>
      </c>
      <c r="K113" s="15">
        <f t="shared" si="19"/>
        <v>0.58920940170940173</v>
      </c>
      <c r="L113" s="2">
        <f t="shared" si="14"/>
        <v>108</v>
      </c>
      <c r="M113" s="2">
        <f t="shared" si="21"/>
        <v>59.08</v>
      </c>
      <c r="N113" s="2">
        <v>9</v>
      </c>
      <c r="O113" s="2">
        <v>50.26548245743669</v>
      </c>
      <c r="P113" s="11">
        <f t="shared" si="5"/>
        <v>1.7904931097838226</v>
      </c>
      <c r="Q113" s="2">
        <f t="shared" si="6"/>
        <v>105.78233292602823</v>
      </c>
      <c r="R113" s="2">
        <f t="shared" si="7"/>
        <v>2.2416045796539747</v>
      </c>
      <c r="S113" s="2">
        <f t="shared" si="8"/>
        <v>132.43399856595681</v>
      </c>
      <c r="T113" s="2">
        <f t="shared" si="9"/>
        <v>26.651665639928581</v>
      </c>
    </row>
    <row r="114" spans="1:20" x14ac:dyDescent="0.25">
      <c r="A114" s="14">
        <f t="shared" si="18"/>
        <v>0.63287037037037031</v>
      </c>
      <c r="B114" s="2">
        <f t="shared" si="11"/>
        <v>109</v>
      </c>
      <c r="C114" s="4">
        <f t="shared" si="20"/>
        <v>59.83</v>
      </c>
      <c r="D114" s="2">
        <v>9</v>
      </c>
      <c r="E114" s="2">
        <v>50.26548245743669</v>
      </c>
      <c r="F114" s="11">
        <f t="shared" si="0"/>
        <v>1.7904931097838226</v>
      </c>
      <c r="G114" s="2">
        <f t="shared" si="1"/>
        <v>107.1252027583661</v>
      </c>
      <c r="H114" s="2">
        <f t="shared" si="2"/>
        <v>2.32262673280768</v>
      </c>
      <c r="I114" s="2">
        <f t="shared" si="3"/>
        <v>138.96275742388349</v>
      </c>
      <c r="J114" s="2">
        <f t="shared" si="4"/>
        <v>31.837554665517388</v>
      </c>
      <c r="K114" s="15">
        <f t="shared" si="19"/>
        <v>0.58940527065527071</v>
      </c>
      <c r="L114" s="2">
        <f t="shared" si="14"/>
        <v>109</v>
      </c>
      <c r="M114" s="2">
        <f t="shared" si="21"/>
        <v>59.58</v>
      </c>
      <c r="N114" s="2">
        <v>8.5</v>
      </c>
      <c r="O114" s="2">
        <v>50.26548245743669</v>
      </c>
      <c r="P114" s="11">
        <f t="shared" si="5"/>
        <v>1.6910212703513881</v>
      </c>
      <c r="Q114" s="2">
        <f t="shared" si="6"/>
        <v>100.7510472875357</v>
      </c>
      <c r="R114" s="2">
        <f t="shared" si="7"/>
        <v>2.2416045796539747</v>
      </c>
      <c r="S114" s="2">
        <f t="shared" si="8"/>
        <v>133.55480085578381</v>
      </c>
      <c r="T114" s="2">
        <f t="shared" si="9"/>
        <v>32.803753568248112</v>
      </c>
    </row>
    <row r="115" spans="1:20" x14ac:dyDescent="0.25">
      <c r="A115" s="14">
        <f t="shared" si="18"/>
        <v>0.63310185185185186</v>
      </c>
      <c r="B115" s="2">
        <f t="shared" si="11"/>
        <v>110</v>
      </c>
      <c r="C115" s="4">
        <f t="shared" si="20"/>
        <v>60.33</v>
      </c>
      <c r="D115" s="2">
        <v>9</v>
      </c>
      <c r="E115" s="2">
        <v>50.26548245743669</v>
      </c>
      <c r="F115" s="11">
        <f t="shared" si="0"/>
        <v>1.7904931097838226</v>
      </c>
      <c r="G115" s="2">
        <f t="shared" si="1"/>
        <v>108.02044931325801</v>
      </c>
      <c r="H115" s="2">
        <f t="shared" si="2"/>
        <v>2.32262673280768</v>
      </c>
      <c r="I115" s="2">
        <f t="shared" si="3"/>
        <v>140.12407079028733</v>
      </c>
      <c r="J115" s="2">
        <f t="shared" si="4"/>
        <v>32.103621477029321</v>
      </c>
      <c r="K115" s="15">
        <f t="shared" si="19"/>
        <v>0.58960113960113958</v>
      </c>
      <c r="L115" s="2">
        <f t="shared" si="14"/>
        <v>110</v>
      </c>
      <c r="M115" s="2">
        <f t="shared" si="21"/>
        <v>60.08</v>
      </c>
      <c r="N115" s="2">
        <v>8</v>
      </c>
      <c r="O115" s="2">
        <v>50.26548245743669</v>
      </c>
      <c r="P115" s="11">
        <f t="shared" si="5"/>
        <v>1.5915494309189535</v>
      </c>
      <c r="Q115" s="2">
        <f t="shared" si="6"/>
        <v>95.620289809610725</v>
      </c>
      <c r="R115" s="2">
        <f t="shared" si="7"/>
        <v>2.2416045796539747</v>
      </c>
      <c r="S115" s="2">
        <f t="shared" si="8"/>
        <v>134.67560314561081</v>
      </c>
      <c r="T115" s="2">
        <f t="shared" si="9"/>
        <v>39.055313336000083</v>
      </c>
    </row>
    <row r="116" spans="1:20" x14ac:dyDescent="0.25">
      <c r="A116" s="14">
        <f t="shared" si="18"/>
        <v>0.6333333333333333</v>
      </c>
      <c r="B116" s="2">
        <f t="shared" si="11"/>
        <v>111</v>
      </c>
      <c r="C116" s="4">
        <f t="shared" si="20"/>
        <v>60.83</v>
      </c>
      <c r="D116" s="2">
        <v>10</v>
      </c>
      <c r="E116" s="2">
        <v>50.26548245743669</v>
      </c>
      <c r="F116" s="11">
        <f t="shared" si="0"/>
        <v>1.9894367886486919</v>
      </c>
      <c r="G116" s="2">
        <f t="shared" si="1"/>
        <v>121.01743985349992</v>
      </c>
      <c r="H116" s="2">
        <f t="shared" si="2"/>
        <v>2.32262673280768</v>
      </c>
      <c r="I116" s="2">
        <f t="shared" si="3"/>
        <v>141.28538415669118</v>
      </c>
      <c r="J116" s="2">
        <f t="shared" si="4"/>
        <v>20.267944303191257</v>
      </c>
      <c r="K116" s="15">
        <f t="shared" si="19"/>
        <v>0.58979700854700856</v>
      </c>
      <c r="L116" s="2">
        <f t="shared" si="14"/>
        <v>111</v>
      </c>
      <c r="M116" s="2">
        <f t="shared" si="21"/>
        <v>60.58</v>
      </c>
      <c r="N116" s="2">
        <v>10</v>
      </c>
      <c r="O116" s="2">
        <v>50.26548245743669</v>
      </c>
      <c r="P116" s="11">
        <f t="shared" si="5"/>
        <v>1.9894367886486919</v>
      </c>
      <c r="Q116" s="2">
        <f t="shared" si="6"/>
        <v>120.52008065633775</v>
      </c>
      <c r="R116" s="2">
        <f t="shared" si="7"/>
        <v>2.2416045796539747</v>
      </c>
      <c r="S116" s="2">
        <f t="shared" si="8"/>
        <v>135.79640543543778</v>
      </c>
      <c r="T116" s="2">
        <f t="shared" si="9"/>
        <v>15.276324779100023</v>
      </c>
    </row>
    <row r="117" spans="1:20" x14ac:dyDescent="0.25">
      <c r="A117" s="14">
        <f t="shared" si="18"/>
        <v>0.63356481481481475</v>
      </c>
      <c r="B117" s="2">
        <f t="shared" si="11"/>
        <v>112</v>
      </c>
      <c r="C117" s="4">
        <f t="shared" si="20"/>
        <v>61.33</v>
      </c>
      <c r="D117" s="2">
        <v>9.5</v>
      </c>
      <c r="E117" s="2">
        <v>50.26548245743669</v>
      </c>
      <c r="F117" s="11">
        <f t="shared" si="0"/>
        <v>1.8899649492162571</v>
      </c>
      <c r="G117" s="2">
        <f t="shared" si="1"/>
        <v>115.91155033543305</v>
      </c>
      <c r="H117" s="2">
        <f t="shared" si="2"/>
        <v>2.32262673280768</v>
      </c>
      <c r="I117" s="2">
        <f t="shared" si="3"/>
        <v>142.446697523095</v>
      </c>
      <c r="J117" s="2">
        <f t="shared" si="4"/>
        <v>26.535147187661948</v>
      </c>
      <c r="K117" s="15">
        <f t="shared" si="19"/>
        <v>0.58999287749287754</v>
      </c>
      <c r="L117" s="2">
        <f t="shared" si="14"/>
        <v>112</v>
      </c>
      <c r="M117" s="2">
        <f t="shared" si="21"/>
        <v>61.08</v>
      </c>
      <c r="N117" s="2">
        <v>10</v>
      </c>
      <c r="O117" s="2">
        <v>50.26548245743669</v>
      </c>
      <c r="P117" s="11">
        <f t="shared" si="5"/>
        <v>1.9894367886486919</v>
      </c>
      <c r="Q117" s="2">
        <f t="shared" si="6"/>
        <v>121.51479905066209</v>
      </c>
      <c r="R117" s="2">
        <f t="shared" si="7"/>
        <v>2.2416045796539747</v>
      </c>
      <c r="S117" s="2">
        <f t="shared" si="8"/>
        <v>136.91720772526477</v>
      </c>
      <c r="T117" s="2">
        <f t="shared" si="9"/>
        <v>15.402408674602682</v>
      </c>
    </row>
    <row r="118" spans="1:20" x14ac:dyDescent="0.25">
      <c r="A118" s="14">
        <f t="shared" si="18"/>
        <v>0.6337962962962963</v>
      </c>
      <c r="B118" s="2">
        <f t="shared" si="11"/>
        <v>113</v>
      </c>
      <c r="C118" s="4">
        <f t="shared" si="20"/>
        <v>61.83</v>
      </c>
      <c r="D118" s="2">
        <v>10</v>
      </c>
      <c r="E118" s="2">
        <v>50.26548245743669</v>
      </c>
      <c r="F118" s="11">
        <f t="shared" si="0"/>
        <v>1.9894367886486919</v>
      </c>
      <c r="G118" s="2">
        <f t="shared" si="1"/>
        <v>123.00687664214861</v>
      </c>
      <c r="H118" s="2">
        <f t="shared" si="2"/>
        <v>2.32262673280768</v>
      </c>
      <c r="I118" s="2">
        <f t="shared" si="3"/>
        <v>143.60801088949884</v>
      </c>
      <c r="J118" s="2">
        <f t="shared" si="4"/>
        <v>20.601134247350231</v>
      </c>
      <c r="K118" s="15">
        <f t="shared" si="19"/>
        <v>0.59018874643874641</v>
      </c>
      <c r="L118" s="2">
        <f t="shared" si="14"/>
        <v>113</v>
      </c>
      <c r="M118" s="2">
        <f t="shared" si="21"/>
        <v>61.58</v>
      </c>
      <c r="N118" s="2">
        <v>9.5</v>
      </c>
      <c r="O118" s="2">
        <v>50.26548245743669</v>
      </c>
      <c r="P118" s="11">
        <f t="shared" si="5"/>
        <v>1.8899649492162571</v>
      </c>
      <c r="Q118" s="2">
        <f t="shared" si="6"/>
        <v>116.3840415727371</v>
      </c>
      <c r="R118" s="2">
        <f t="shared" si="7"/>
        <v>2.2416045796539747</v>
      </c>
      <c r="S118" s="2">
        <f t="shared" si="8"/>
        <v>138.03801001509177</v>
      </c>
      <c r="T118" s="2">
        <f t="shared" si="9"/>
        <v>21.653968442354667</v>
      </c>
    </row>
    <row r="119" spans="1:20" x14ac:dyDescent="0.25">
      <c r="A119" s="14">
        <f t="shared" si="18"/>
        <v>0.63402777777777775</v>
      </c>
      <c r="B119" s="2">
        <f t="shared" si="11"/>
        <v>114</v>
      </c>
      <c r="C119" s="4">
        <f t="shared" si="20"/>
        <v>62.33</v>
      </c>
      <c r="D119" s="2">
        <v>9</v>
      </c>
      <c r="E119" s="2">
        <v>50.26548245743669</v>
      </c>
      <c r="F119" s="11">
        <f t="shared" si="0"/>
        <v>1.7904931097838226</v>
      </c>
      <c r="G119" s="2">
        <f t="shared" si="1"/>
        <v>111.60143553282566</v>
      </c>
      <c r="H119" s="2">
        <f t="shared" si="2"/>
        <v>2.32262673280768</v>
      </c>
      <c r="I119" s="2">
        <f t="shared" si="3"/>
        <v>144.76932425590269</v>
      </c>
      <c r="J119" s="2">
        <f t="shared" si="4"/>
        <v>33.167888723077027</v>
      </c>
      <c r="K119" s="15">
        <f t="shared" si="19"/>
        <v>0.5903846153846154</v>
      </c>
      <c r="L119" s="2">
        <f t="shared" si="14"/>
        <v>114</v>
      </c>
      <c r="M119" s="2">
        <f t="shared" si="21"/>
        <v>62.08</v>
      </c>
      <c r="N119" s="2">
        <v>9</v>
      </c>
      <c r="O119" s="2">
        <v>50.26548245743669</v>
      </c>
      <c r="P119" s="11">
        <f t="shared" si="5"/>
        <v>1.7904931097838226</v>
      </c>
      <c r="Q119" s="2">
        <f t="shared" si="6"/>
        <v>111.15381225537971</v>
      </c>
      <c r="R119" s="2">
        <f t="shared" si="7"/>
        <v>2.2416045796539747</v>
      </c>
      <c r="S119" s="2">
        <f t="shared" si="8"/>
        <v>139.15881230491874</v>
      </c>
      <c r="T119" s="2">
        <f t="shared" si="9"/>
        <v>28.005000049539035</v>
      </c>
    </row>
    <row r="120" spans="1:20" x14ac:dyDescent="0.25">
      <c r="A120" s="14">
        <f t="shared" si="18"/>
        <v>0.63425925925925919</v>
      </c>
      <c r="B120" s="2">
        <f t="shared" si="11"/>
        <v>115</v>
      </c>
      <c r="C120" s="4">
        <f t="shared" si="20"/>
        <v>62.83</v>
      </c>
      <c r="D120" s="2">
        <v>10</v>
      </c>
      <c r="E120" s="2">
        <v>50.26548245743669</v>
      </c>
      <c r="F120" s="11">
        <f t="shared" si="0"/>
        <v>1.9894367886486919</v>
      </c>
      <c r="G120" s="2">
        <f t="shared" si="1"/>
        <v>124.99631343079731</v>
      </c>
      <c r="H120" s="2">
        <f t="shared" si="2"/>
        <v>2.32262673280768</v>
      </c>
      <c r="I120" s="2">
        <f t="shared" si="3"/>
        <v>145.93063762230653</v>
      </c>
      <c r="J120" s="2">
        <f t="shared" si="4"/>
        <v>20.934324191509219</v>
      </c>
      <c r="K120" s="15">
        <f t="shared" si="19"/>
        <v>0.59058048433048438</v>
      </c>
      <c r="L120" s="2">
        <f t="shared" si="14"/>
        <v>115</v>
      </c>
      <c r="M120" s="2">
        <f t="shared" si="21"/>
        <v>62.58</v>
      </c>
      <c r="N120" s="2">
        <v>9</v>
      </c>
      <c r="O120" s="2">
        <v>50.26548245743669</v>
      </c>
      <c r="P120" s="11">
        <f t="shared" si="5"/>
        <v>1.7904931097838226</v>
      </c>
      <c r="Q120" s="2">
        <f t="shared" si="6"/>
        <v>112.04905881027162</v>
      </c>
      <c r="R120" s="2">
        <f t="shared" si="7"/>
        <v>2.2416045796539747</v>
      </c>
      <c r="S120" s="2">
        <f t="shared" si="8"/>
        <v>140.27961459474574</v>
      </c>
      <c r="T120" s="2">
        <f t="shared" si="9"/>
        <v>28.23055578447412</v>
      </c>
    </row>
    <row r="121" spans="1:20" x14ac:dyDescent="0.25">
      <c r="A121" s="14">
        <f t="shared" si="18"/>
        <v>0.63449074074074074</v>
      </c>
      <c r="B121" s="2">
        <f t="shared" si="11"/>
        <v>116</v>
      </c>
      <c r="C121" s="4">
        <f t="shared" si="20"/>
        <v>63.33</v>
      </c>
      <c r="D121" s="2">
        <v>11.5</v>
      </c>
      <c r="E121" s="2">
        <v>50.26548245743669</v>
      </c>
      <c r="F121" s="11">
        <f t="shared" si="0"/>
        <v>2.2878523069459957</v>
      </c>
      <c r="G121" s="2">
        <f t="shared" si="1"/>
        <v>144.88968659888991</v>
      </c>
      <c r="H121" s="2">
        <f t="shared" si="2"/>
        <v>2.32262673280768</v>
      </c>
      <c r="I121" s="2">
        <f t="shared" si="3"/>
        <v>147.09195098871038</v>
      </c>
      <c r="J121" s="2">
        <f t="shared" si="4"/>
        <v>2.2022643898204706</v>
      </c>
      <c r="K121" s="15">
        <f t="shared" si="19"/>
        <v>0.59077635327635325</v>
      </c>
      <c r="L121" s="2">
        <f t="shared" si="14"/>
        <v>116</v>
      </c>
      <c r="M121" s="2">
        <f t="shared" si="21"/>
        <v>63.08</v>
      </c>
      <c r="N121" s="2">
        <v>14</v>
      </c>
      <c r="O121" s="2">
        <v>50.26548245743669</v>
      </c>
      <c r="P121" s="11">
        <f t="shared" si="5"/>
        <v>2.7852115041081689</v>
      </c>
      <c r="Q121" s="2">
        <f t="shared" si="6"/>
        <v>175.6911416791433</v>
      </c>
      <c r="R121" s="2">
        <f t="shared" si="7"/>
        <v>2.2416045796539747</v>
      </c>
      <c r="S121" s="2">
        <f t="shared" si="8"/>
        <v>141.40041688457273</v>
      </c>
      <c r="T121" s="2">
        <f t="shared" si="9"/>
        <v>34.290724794570565</v>
      </c>
    </row>
    <row r="122" spans="1:20" x14ac:dyDescent="0.25">
      <c r="A122" s="10">
        <v>0.63472222222222219</v>
      </c>
      <c r="B122" s="2">
        <f t="shared" si="11"/>
        <v>117</v>
      </c>
      <c r="C122" s="4">
        <f t="shared" si="20"/>
        <v>63.83</v>
      </c>
      <c r="D122" s="2">
        <v>12.5</v>
      </c>
      <c r="E122" s="2">
        <v>50.26548245743669</v>
      </c>
      <c r="F122" s="11">
        <f t="shared" si="0"/>
        <v>2.4867959858108648</v>
      </c>
      <c r="G122" s="2">
        <f t="shared" si="1"/>
        <v>158.7321877743075</v>
      </c>
      <c r="H122" s="2">
        <f t="shared" si="2"/>
        <v>2.32262673280768</v>
      </c>
      <c r="I122" s="2">
        <f t="shared" si="3"/>
        <v>148.2532643551142</v>
      </c>
      <c r="J122" s="2">
        <f t="shared" si="4"/>
        <v>10.478923419193308</v>
      </c>
      <c r="K122" s="12">
        <v>0.59097222222222223</v>
      </c>
      <c r="L122" s="2">
        <f t="shared" si="14"/>
        <v>117</v>
      </c>
      <c r="M122" s="2">
        <f t="shared" si="21"/>
        <v>63.58</v>
      </c>
      <c r="N122" s="2">
        <v>11.5</v>
      </c>
      <c r="O122" s="2">
        <v>50.26548245743669</v>
      </c>
      <c r="P122" s="11">
        <f t="shared" si="5"/>
        <v>2.2878523069459957</v>
      </c>
      <c r="Q122" s="2">
        <f t="shared" si="6"/>
        <v>145.4616496756264</v>
      </c>
      <c r="R122" s="2">
        <f t="shared" si="7"/>
        <v>2.2416045796539747</v>
      </c>
      <c r="S122" s="2">
        <f t="shared" si="8"/>
        <v>142.5212191743997</v>
      </c>
      <c r="T122" s="2">
        <f t="shared" si="9"/>
        <v>2.9404305012267002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0.63495370370370363</v>
      </c>
      <c r="B123" s="2">
        <f t="shared" si="11"/>
        <v>118</v>
      </c>
      <c r="C123" s="4">
        <f t="shared" si="20"/>
        <v>64.33</v>
      </c>
      <c r="D123" s="2">
        <v>13.5</v>
      </c>
      <c r="E123" s="2">
        <v>50.26548245743669</v>
      </c>
      <c r="F123" s="11">
        <f t="shared" si="0"/>
        <v>2.6857396646757339</v>
      </c>
      <c r="G123" s="2">
        <f t="shared" si="1"/>
        <v>172.77363262858995</v>
      </c>
      <c r="H123" s="2">
        <f t="shared" si="2"/>
        <v>2.32262673280768</v>
      </c>
      <c r="I123" s="2">
        <f t="shared" si="3"/>
        <v>149.41457772151804</v>
      </c>
      <c r="J123" s="2">
        <f t="shared" si="4"/>
        <v>23.359054907071908</v>
      </c>
      <c r="K123" s="15">
        <f t="shared" ref="K123:K160" si="23">IF(AND($K$122&lt;&gt;"",$K$161&lt;&gt;""), $K$122 + (L123 - $L$122) * (($K$161 - $K$122) / ($L$161 - $L$122)), "")</f>
        <v>0.59125712250712248</v>
      </c>
      <c r="L123" s="2">
        <f t="shared" si="14"/>
        <v>118</v>
      </c>
      <c r="M123" s="2">
        <f t="shared" si="21"/>
        <v>64.08</v>
      </c>
      <c r="N123" s="2">
        <v>11.5</v>
      </c>
      <c r="O123" s="2">
        <v>50.26548245743669</v>
      </c>
      <c r="P123" s="11">
        <f t="shared" si="5"/>
        <v>2.2878523069459957</v>
      </c>
      <c r="Q123" s="2">
        <f t="shared" si="6"/>
        <v>146.60557582909939</v>
      </c>
      <c r="R123" s="2">
        <f t="shared" si="7"/>
        <v>2.2416045796539747</v>
      </c>
      <c r="S123" s="2">
        <f t="shared" si="8"/>
        <v>143.6420214642267</v>
      </c>
      <c r="T123" s="2">
        <f t="shared" si="9"/>
        <v>2.9635543648726923</v>
      </c>
    </row>
    <row r="124" spans="1:20" x14ac:dyDescent="0.25">
      <c r="A124" s="14">
        <f t="shared" si="22"/>
        <v>0.63518518518518519</v>
      </c>
      <c r="B124" s="2">
        <f t="shared" si="11"/>
        <v>119</v>
      </c>
      <c r="C124" s="4">
        <f t="shared" si="20"/>
        <v>64.83</v>
      </c>
      <c r="D124" s="2">
        <v>12</v>
      </c>
      <c r="E124" s="2">
        <v>50.26548245743669</v>
      </c>
      <c r="F124" s="11">
        <f t="shared" si="0"/>
        <v>2.3873241463784298</v>
      </c>
      <c r="G124" s="2">
        <f t="shared" si="1"/>
        <v>154.77022440971359</v>
      </c>
      <c r="H124" s="2">
        <f t="shared" si="2"/>
        <v>2.32262673280768</v>
      </c>
      <c r="I124" s="2">
        <f t="shared" si="3"/>
        <v>150.57589108792189</v>
      </c>
      <c r="J124" s="2">
        <f t="shared" si="4"/>
        <v>4.1943333217917029</v>
      </c>
      <c r="K124" s="15">
        <f t="shared" si="23"/>
        <v>0.59154202279202284</v>
      </c>
      <c r="L124" s="2">
        <f t="shared" si="14"/>
        <v>119</v>
      </c>
      <c r="M124" s="2">
        <f t="shared" si="21"/>
        <v>64.58</v>
      </c>
      <c r="N124" s="2">
        <v>11.5</v>
      </c>
      <c r="O124" s="2">
        <v>50.26548245743669</v>
      </c>
      <c r="P124" s="11">
        <f t="shared" si="5"/>
        <v>2.2878523069459957</v>
      </c>
      <c r="Q124" s="2">
        <f t="shared" si="6"/>
        <v>147.74950198257241</v>
      </c>
      <c r="R124" s="2">
        <f t="shared" si="7"/>
        <v>2.2416045796539747</v>
      </c>
      <c r="S124" s="2">
        <f t="shared" si="8"/>
        <v>144.7628237540537</v>
      </c>
      <c r="T124" s="2">
        <f t="shared" si="9"/>
        <v>2.9866782285187128</v>
      </c>
    </row>
    <row r="125" spans="1:20" x14ac:dyDescent="0.25">
      <c r="A125" s="14">
        <f t="shared" si="22"/>
        <v>0.63541666666666663</v>
      </c>
      <c r="B125" s="2">
        <f t="shared" si="11"/>
        <v>120</v>
      </c>
      <c r="C125" s="4">
        <f t="shared" si="20"/>
        <v>65.33</v>
      </c>
      <c r="D125" s="2">
        <v>15</v>
      </c>
      <c r="E125" s="2">
        <v>50.26548245743669</v>
      </c>
      <c r="F125" s="11">
        <f t="shared" si="0"/>
        <v>2.9841551829730379</v>
      </c>
      <c r="G125" s="2">
        <f t="shared" si="1"/>
        <v>194.95485810362857</v>
      </c>
      <c r="H125" s="2">
        <f t="shared" si="2"/>
        <v>2.32262673280768</v>
      </c>
      <c r="I125" s="2">
        <f t="shared" si="3"/>
        <v>151.73720445432573</v>
      </c>
      <c r="J125" s="2">
        <f t="shared" si="4"/>
        <v>43.217653649302832</v>
      </c>
      <c r="K125" s="15">
        <f t="shared" si="23"/>
        <v>0.59182692307692308</v>
      </c>
      <c r="L125" s="2">
        <f t="shared" si="14"/>
        <v>120</v>
      </c>
      <c r="M125" s="2">
        <f t="shared" si="21"/>
        <v>65.08</v>
      </c>
      <c r="N125" s="2">
        <v>11.5</v>
      </c>
      <c r="O125" s="2">
        <v>50.26548245743669</v>
      </c>
      <c r="P125" s="11">
        <f t="shared" si="5"/>
        <v>2.2878523069459957</v>
      </c>
      <c r="Q125" s="2">
        <f t="shared" si="6"/>
        <v>148.8934281360454</v>
      </c>
      <c r="R125" s="2">
        <f t="shared" si="7"/>
        <v>2.2416045796539747</v>
      </c>
      <c r="S125" s="2">
        <f t="shared" si="8"/>
        <v>145.88362604388067</v>
      </c>
      <c r="T125" s="2">
        <f t="shared" si="9"/>
        <v>3.0098020921647333</v>
      </c>
    </row>
    <row r="126" spans="1:20" x14ac:dyDescent="0.25">
      <c r="A126" s="14">
        <f t="shared" si="22"/>
        <v>0.63564814814814807</v>
      </c>
      <c r="B126" s="2">
        <f t="shared" si="11"/>
        <v>121</v>
      </c>
      <c r="C126" s="4">
        <f t="shared" si="20"/>
        <v>65.83</v>
      </c>
      <c r="D126" s="2">
        <v>12</v>
      </c>
      <c r="E126" s="2">
        <v>50.26548245743669</v>
      </c>
      <c r="F126" s="11">
        <f t="shared" si="0"/>
        <v>2.3873241463784298</v>
      </c>
      <c r="G126" s="2">
        <f t="shared" si="1"/>
        <v>157.15754855609202</v>
      </c>
      <c r="H126" s="2">
        <f t="shared" si="2"/>
        <v>2.32262673280768</v>
      </c>
      <c r="I126" s="2">
        <f t="shared" si="3"/>
        <v>152.89851782072958</v>
      </c>
      <c r="J126" s="2">
        <f t="shared" si="4"/>
        <v>4.2590307353624439</v>
      </c>
      <c r="K126" s="15">
        <f t="shared" si="23"/>
        <v>0.59211182336182333</v>
      </c>
      <c r="L126" s="2">
        <f t="shared" si="14"/>
        <v>121</v>
      </c>
      <c r="M126" s="2">
        <f t="shared" si="21"/>
        <v>65.58</v>
      </c>
      <c r="N126" s="2">
        <v>12</v>
      </c>
      <c r="O126" s="2">
        <v>50.26548245743669</v>
      </c>
      <c r="P126" s="11">
        <f t="shared" si="5"/>
        <v>2.3873241463784298</v>
      </c>
      <c r="Q126" s="2">
        <f t="shared" si="6"/>
        <v>156.56071751949742</v>
      </c>
      <c r="R126" s="2">
        <f t="shared" si="7"/>
        <v>2.2416045796539747</v>
      </c>
      <c r="S126" s="2">
        <f t="shared" si="8"/>
        <v>147.00442833370766</v>
      </c>
      <c r="T126" s="2">
        <f t="shared" si="9"/>
        <v>9.5562891857897512</v>
      </c>
    </row>
    <row r="127" spans="1:20" x14ac:dyDescent="0.25">
      <c r="A127" s="14">
        <f t="shared" si="22"/>
        <v>0.63587962962962963</v>
      </c>
      <c r="B127" s="2">
        <f t="shared" si="11"/>
        <v>122</v>
      </c>
      <c r="C127" s="4">
        <f t="shared" si="20"/>
        <v>66.33</v>
      </c>
      <c r="D127" s="2">
        <v>12.5</v>
      </c>
      <c r="E127" s="2">
        <v>50.26548245743669</v>
      </c>
      <c r="F127" s="11">
        <f t="shared" si="0"/>
        <v>2.4867959858108648</v>
      </c>
      <c r="G127" s="2">
        <f t="shared" si="1"/>
        <v>164.94917773883466</v>
      </c>
      <c r="H127" s="2">
        <f t="shared" si="2"/>
        <v>2.32262673280768</v>
      </c>
      <c r="I127" s="2">
        <f t="shared" si="3"/>
        <v>154.0598311871334</v>
      </c>
      <c r="J127" s="2">
        <f t="shared" si="4"/>
        <v>10.889346551701266</v>
      </c>
      <c r="K127" s="15">
        <f t="shared" si="23"/>
        <v>0.59239672364672369</v>
      </c>
      <c r="L127" s="2">
        <f t="shared" si="14"/>
        <v>122</v>
      </c>
      <c r="M127" s="2">
        <f t="shared" si="21"/>
        <v>66.08</v>
      </c>
      <c r="N127" s="2">
        <v>12</v>
      </c>
      <c r="O127" s="2">
        <v>50.26548245743669</v>
      </c>
      <c r="P127" s="11">
        <f t="shared" si="5"/>
        <v>2.3873241463784298</v>
      </c>
      <c r="Q127" s="2">
        <f t="shared" si="6"/>
        <v>157.75437959268663</v>
      </c>
      <c r="R127" s="2">
        <f t="shared" si="7"/>
        <v>2.2416045796539747</v>
      </c>
      <c r="S127" s="2">
        <f t="shared" si="8"/>
        <v>148.12523062353463</v>
      </c>
      <c r="T127" s="2">
        <f t="shared" si="9"/>
        <v>9.6291489691519985</v>
      </c>
    </row>
    <row r="128" spans="1:20" x14ac:dyDescent="0.25">
      <c r="A128" s="14">
        <f t="shared" si="22"/>
        <v>0.63611111111111107</v>
      </c>
      <c r="B128" s="2">
        <f t="shared" si="11"/>
        <v>123</v>
      </c>
      <c r="C128" s="4">
        <f t="shared" si="20"/>
        <v>66.83</v>
      </c>
      <c r="D128" s="2">
        <v>13.5</v>
      </c>
      <c r="E128" s="2">
        <v>50.26548245743669</v>
      </c>
      <c r="F128" s="11">
        <f t="shared" si="0"/>
        <v>2.6857396646757339</v>
      </c>
      <c r="G128" s="2">
        <f t="shared" si="1"/>
        <v>179.48798179027929</v>
      </c>
      <c r="H128" s="2">
        <f t="shared" si="2"/>
        <v>2.32262673280768</v>
      </c>
      <c r="I128" s="2">
        <f t="shared" si="3"/>
        <v>155.22114455353724</v>
      </c>
      <c r="J128" s="2">
        <f t="shared" si="4"/>
        <v>24.266837236742049</v>
      </c>
      <c r="K128" s="15">
        <f t="shared" si="23"/>
        <v>0.59268162393162394</v>
      </c>
      <c r="L128" s="2">
        <f t="shared" si="14"/>
        <v>123</v>
      </c>
      <c r="M128" s="2">
        <f t="shared" si="21"/>
        <v>66.58</v>
      </c>
      <c r="N128" s="2">
        <v>12</v>
      </c>
      <c r="O128" s="2">
        <v>50.26548245743669</v>
      </c>
      <c r="P128" s="11">
        <f t="shared" si="5"/>
        <v>2.3873241463784298</v>
      </c>
      <c r="Q128" s="2">
        <f t="shared" si="6"/>
        <v>158.94804166587585</v>
      </c>
      <c r="R128" s="2">
        <f t="shared" si="7"/>
        <v>2.2416045796539747</v>
      </c>
      <c r="S128" s="2">
        <f t="shared" si="8"/>
        <v>149.24603291336163</v>
      </c>
      <c r="T128" s="2">
        <f t="shared" si="9"/>
        <v>9.7020087525142173</v>
      </c>
    </row>
    <row r="129" spans="1:20" x14ac:dyDescent="0.25">
      <c r="A129" s="14">
        <f t="shared" si="22"/>
        <v>0.63634259259259263</v>
      </c>
      <c r="B129" s="2">
        <f t="shared" si="11"/>
        <v>124</v>
      </c>
      <c r="C129" s="4">
        <f t="shared" si="20"/>
        <v>67.33</v>
      </c>
      <c r="D129" s="2">
        <v>13</v>
      </c>
      <c r="E129" s="2">
        <v>50.26548245743669</v>
      </c>
      <c r="F129" s="11">
        <f t="shared" si="0"/>
        <v>2.5862678252432989</v>
      </c>
      <c r="G129" s="2">
        <f t="shared" si="1"/>
        <v>174.13341267363131</v>
      </c>
      <c r="H129" s="2">
        <f t="shared" si="2"/>
        <v>2.32262673280768</v>
      </c>
      <c r="I129" s="2">
        <f t="shared" si="3"/>
        <v>156.38245791994109</v>
      </c>
      <c r="J129" s="2">
        <f t="shared" si="4"/>
        <v>17.750954753690223</v>
      </c>
      <c r="K129" s="15">
        <f t="shared" si="23"/>
        <v>0.59296652421652418</v>
      </c>
      <c r="L129" s="2">
        <f t="shared" si="14"/>
        <v>124</v>
      </c>
      <c r="M129" s="2">
        <f t="shared" si="21"/>
        <v>67.08</v>
      </c>
      <c r="N129" s="2">
        <v>12</v>
      </c>
      <c r="O129" s="2">
        <v>50.26548245743669</v>
      </c>
      <c r="P129" s="11">
        <f t="shared" si="5"/>
        <v>2.3873241463784298</v>
      </c>
      <c r="Q129" s="2">
        <f t="shared" si="6"/>
        <v>160.14170373906506</v>
      </c>
      <c r="R129" s="2">
        <f t="shared" si="7"/>
        <v>2.2416045796539747</v>
      </c>
      <c r="S129" s="2">
        <f t="shared" si="8"/>
        <v>150.36683520318863</v>
      </c>
      <c r="T129" s="2">
        <f t="shared" si="9"/>
        <v>9.7748685358764362</v>
      </c>
    </row>
    <row r="130" spans="1:20" x14ac:dyDescent="0.25">
      <c r="A130" s="14">
        <f t="shared" si="22"/>
        <v>0.63657407407407407</v>
      </c>
      <c r="B130" s="2">
        <f t="shared" si="11"/>
        <v>125</v>
      </c>
      <c r="C130" s="4">
        <f t="shared" si="20"/>
        <v>67.83</v>
      </c>
      <c r="D130" s="2">
        <v>13</v>
      </c>
      <c r="E130" s="2">
        <v>50.26548245743669</v>
      </c>
      <c r="F130" s="11">
        <f t="shared" si="0"/>
        <v>2.5862678252432989</v>
      </c>
      <c r="G130" s="2">
        <f t="shared" si="1"/>
        <v>175.42654658625295</v>
      </c>
      <c r="H130" s="2">
        <f t="shared" si="2"/>
        <v>2.32262673280768</v>
      </c>
      <c r="I130" s="2">
        <f t="shared" si="3"/>
        <v>157.54377128634493</v>
      </c>
      <c r="J130" s="2">
        <f t="shared" si="4"/>
        <v>17.882775299908019</v>
      </c>
      <c r="K130" s="15">
        <f t="shared" si="23"/>
        <v>0.59325142450142454</v>
      </c>
      <c r="L130" s="2">
        <f t="shared" si="14"/>
        <v>125</v>
      </c>
      <c r="M130" s="2">
        <f t="shared" si="21"/>
        <v>67.58</v>
      </c>
      <c r="N130" s="2">
        <v>13.5</v>
      </c>
      <c r="O130" s="2">
        <v>50.26548245743669</v>
      </c>
      <c r="P130" s="11">
        <f t="shared" si="5"/>
        <v>2.6857396646757339</v>
      </c>
      <c r="Q130" s="2">
        <f t="shared" si="6"/>
        <v>181.50228653878608</v>
      </c>
      <c r="R130" s="2">
        <f t="shared" si="7"/>
        <v>2.2416045796539747</v>
      </c>
      <c r="S130" s="2">
        <f t="shared" si="8"/>
        <v>151.4876374930156</v>
      </c>
      <c r="T130" s="2">
        <f t="shared" si="9"/>
        <v>30.014649045770483</v>
      </c>
    </row>
    <row r="131" spans="1:20" x14ac:dyDescent="0.25">
      <c r="A131" s="14">
        <f t="shared" si="22"/>
        <v>0.63680555555555551</v>
      </c>
      <c r="B131" s="2">
        <f t="shared" si="11"/>
        <v>126</v>
      </c>
      <c r="C131" s="4">
        <f t="shared" si="20"/>
        <v>68.33</v>
      </c>
      <c r="D131" s="2">
        <v>13</v>
      </c>
      <c r="E131" s="2">
        <v>50.26548245743669</v>
      </c>
      <c r="F131" s="11">
        <f t="shared" si="0"/>
        <v>2.5862678252432989</v>
      </c>
      <c r="G131" s="2">
        <f t="shared" si="1"/>
        <v>176.71968049887462</v>
      </c>
      <c r="H131" s="2">
        <f t="shared" si="2"/>
        <v>2.32262673280768</v>
      </c>
      <c r="I131" s="2">
        <f t="shared" si="3"/>
        <v>158.70508465274878</v>
      </c>
      <c r="J131" s="2">
        <f t="shared" si="4"/>
        <v>18.014595846125843</v>
      </c>
      <c r="K131" s="15">
        <f t="shared" si="23"/>
        <v>0.59353632478632479</v>
      </c>
      <c r="L131" s="2">
        <f t="shared" si="14"/>
        <v>126</v>
      </c>
      <c r="M131" s="2">
        <f t="shared" si="21"/>
        <v>68.08</v>
      </c>
      <c r="N131" s="2">
        <v>12</v>
      </c>
      <c r="O131" s="2">
        <v>50.26548245743669</v>
      </c>
      <c r="P131" s="11">
        <f t="shared" si="5"/>
        <v>2.3873241463784298</v>
      </c>
      <c r="Q131" s="2">
        <f t="shared" si="6"/>
        <v>162.5290278854435</v>
      </c>
      <c r="R131" s="2">
        <f t="shared" si="7"/>
        <v>2.2416045796539747</v>
      </c>
      <c r="S131" s="2">
        <f t="shared" si="8"/>
        <v>152.60843978284259</v>
      </c>
      <c r="T131" s="2">
        <f t="shared" si="9"/>
        <v>9.9205881026009024</v>
      </c>
    </row>
    <row r="132" spans="1:20" x14ac:dyDescent="0.25">
      <c r="A132" s="14">
        <f t="shared" si="22"/>
        <v>0.63703703703703707</v>
      </c>
      <c r="B132" s="2">
        <f t="shared" si="11"/>
        <v>127</v>
      </c>
      <c r="C132" s="4">
        <f t="shared" si="20"/>
        <v>68.83</v>
      </c>
      <c r="D132" s="2">
        <v>13</v>
      </c>
      <c r="E132" s="2">
        <v>50.26548245743669</v>
      </c>
      <c r="F132" s="11">
        <f t="shared" si="0"/>
        <v>2.5862678252432989</v>
      </c>
      <c r="G132" s="2">
        <f t="shared" si="1"/>
        <v>178.01281441149627</v>
      </c>
      <c r="H132" s="2">
        <f t="shared" si="2"/>
        <v>2.32262673280768</v>
      </c>
      <c r="I132" s="2">
        <f t="shared" si="3"/>
        <v>159.8663980191526</v>
      </c>
      <c r="J132" s="2">
        <f t="shared" si="4"/>
        <v>18.146416392343667</v>
      </c>
      <c r="K132" s="15">
        <f t="shared" si="23"/>
        <v>0.59382122507122503</v>
      </c>
      <c r="L132" s="2">
        <f t="shared" si="14"/>
        <v>127</v>
      </c>
      <c r="M132" s="2">
        <f t="shared" si="21"/>
        <v>68.58</v>
      </c>
      <c r="N132" s="2">
        <v>12</v>
      </c>
      <c r="O132" s="2">
        <v>50.26548245743669</v>
      </c>
      <c r="P132" s="11">
        <f t="shared" si="5"/>
        <v>2.3873241463784298</v>
      </c>
      <c r="Q132" s="2">
        <f t="shared" si="6"/>
        <v>163.72268995863271</v>
      </c>
      <c r="R132" s="2">
        <f t="shared" si="7"/>
        <v>2.2416045796539747</v>
      </c>
      <c r="S132" s="2">
        <f t="shared" si="8"/>
        <v>153.72924207266959</v>
      </c>
      <c r="T132" s="2">
        <f t="shared" si="9"/>
        <v>9.9934478859631213</v>
      </c>
    </row>
    <row r="133" spans="1:20" x14ac:dyDescent="0.25">
      <c r="A133" s="14">
        <f t="shared" si="22"/>
        <v>0.63726851851851851</v>
      </c>
      <c r="B133" s="2">
        <f t="shared" si="11"/>
        <v>128</v>
      </c>
      <c r="C133" s="4">
        <f t="shared" si="20"/>
        <v>69.33</v>
      </c>
      <c r="D133" s="2">
        <v>12</v>
      </c>
      <c r="E133" s="2">
        <v>50.26548245743669</v>
      </c>
      <c r="F133" s="11">
        <f t="shared" si="0"/>
        <v>2.3873241463784298</v>
      </c>
      <c r="G133" s="2">
        <f t="shared" si="1"/>
        <v>165.51318306841654</v>
      </c>
      <c r="H133" s="2">
        <f t="shared" si="2"/>
        <v>2.32262673280768</v>
      </c>
      <c r="I133" s="2">
        <f t="shared" si="3"/>
        <v>161.02771138555644</v>
      </c>
      <c r="J133" s="2">
        <f t="shared" si="4"/>
        <v>4.4854716828600942</v>
      </c>
      <c r="K133" s="15">
        <f t="shared" si="23"/>
        <v>0.59410612535612539</v>
      </c>
      <c r="L133" s="2">
        <f t="shared" si="14"/>
        <v>128</v>
      </c>
      <c r="M133" s="2">
        <f t="shared" si="21"/>
        <v>69.08</v>
      </c>
      <c r="N133" s="2">
        <v>12</v>
      </c>
      <c r="O133" s="2">
        <v>50.26548245743669</v>
      </c>
      <c r="P133" s="11">
        <f t="shared" si="5"/>
        <v>2.3873241463784298</v>
      </c>
      <c r="Q133" s="2">
        <f t="shared" si="6"/>
        <v>164.91635203182193</v>
      </c>
      <c r="R133" s="2">
        <f t="shared" si="7"/>
        <v>2.2416045796539747</v>
      </c>
      <c r="S133" s="2">
        <f t="shared" si="8"/>
        <v>154.85004436249656</v>
      </c>
      <c r="T133" s="2">
        <f t="shared" si="9"/>
        <v>10.066307669325369</v>
      </c>
    </row>
    <row r="134" spans="1:20" x14ac:dyDescent="0.25">
      <c r="A134" s="14">
        <f t="shared" si="22"/>
        <v>0.63749999999999996</v>
      </c>
      <c r="B134" s="2">
        <f t="shared" si="11"/>
        <v>129</v>
      </c>
      <c r="C134" s="4">
        <f t="shared" si="20"/>
        <v>69.83</v>
      </c>
      <c r="D134" s="2">
        <v>11.5</v>
      </c>
      <c r="E134" s="2">
        <v>50.26548245743669</v>
      </c>
      <c r="F134" s="11">
        <f t="shared" si="0"/>
        <v>2.2878523069459957</v>
      </c>
      <c r="G134" s="2">
        <f t="shared" si="1"/>
        <v>159.76072659403889</v>
      </c>
      <c r="H134" s="2">
        <f t="shared" si="2"/>
        <v>2.32262673280768</v>
      </c>
      <c r="I134" s="2">
        <f t="shared" si="3"/>
        <v>162.18902475196029</v>
      </c>
      <c r="J134" s="2">
        <f t="shared" si="4"/>
        <v>2.4282981579214038</v>
      </c>
      <c r="K134" s="15">
        <f t="shared" si="23"/>
        <v>0.59439102564102564</v>
      </c>
      <c r="L134" s="2">
        <f t="shared" si="14"/>
        <v>129</v>
      </c>
      <c r="M134" s="2">
        <f t="shared" si="21"/>
        <v>69.58</v>
      </c>
      <c r="N134" s="2">
        <v>12</v>
      </c>
      <c r="O134" s="2">
        <v>50.26548245743669</v>
      </c>
      <c r="P134" s="11">
        <f t="shared" si="5"/>
        <v>2.3873241463784298</v>
      </c>
      <c r="Q134" s="2">
        <f t="shared" si="6"/>
        <v>166.11001410501115</v>
      </c>
      <c r="R134" s="2">
        <f t="shared" si="7"/>
        <v>2.2416045796539747</v>
      </c>
      <c r="S134" s="2">
        <f t="shared" si="8"/>
        <v>155.97084665232356</v>
      </c>
      <c r="T134" s="2">
        <f t="shared" si="9"/>
        <v>10.139167452687587</v>
      </c>
    </row>
    <row r="135" spans="1:20" x14ac:dyDescent="0.25">
      <c r="A135" s="14">
        <f t="shared" si="22"/>
        <v>0.63773148148148151</v>
      </c>
      <c r="B135" s="2">
        <f t="shared" si="11"/>
        <v>130</v>
      </c>
      <c r="C135" s="4">
        <f t="shared" si="20"/>
        <v>70.33</v>
      </c>
      <c r="D135" s="2">
        <v>13</v>
      </c>
      <c r="E135" s="2">
        <v>50.26548245743669</v>
      </c>
      <c r="F135" s="11">
        <f t="shared" si="0"/>
        <v>2.5862678252432989</v>
      </c>
      <c r="G135" s="2">
        <f t="shared" si="1"/>
        <v>181.89221614936122</v>
      </c>
      <c r="H135" s="2">
        <f t="shared" si="2"/>
        <v>2.32262673280768</v>
      </c>
      <c r="I135" s="2">
        <f t="shared" si="3"/>
        <v>163.35033811836414</v>
      </c>
      <c r="J135" s="2">
        <f t="shared" si="4"/>
        <v>18.541878030997083</v>
      </c>
      <c r="K135" s="15">
        <f t="shared" si="23"/>
        <v>0.59467592592592589</v>
      </c>
      <c r="L135" s="2">
        <f t="shared" si="14"/>
        <v>130</v>
      </c>
      <c r="M135" s="2">
        <f t="shared" si="21"/>
        <v>70.08</v>
      </c>
      <c r="N135" s="2">
        <v>10.5</v>
      </c>
      <c r="O135" s="2">
        <v>50.26548245743669</v>
      </c>
      <c r="P135" s="11">
        <f t="shared" si="5"/>
        <v>2.0889086280811267</v>
      </c>
      <c r="Q135" s="2">
        <f t="shared" si="6"/>
        <v>146.39071665592536</v>
      </c>
      <c r="R135" s="2">
        <f t="shared" si="7"/>
        <v>2.2416045796539747</v>
      </c>
      <c r="S135" s="2">
        <f t="shared" si="8"/>
        <v>157.09164894215056</v>
      </c>
      <c r="T135" s="2">
        <f t="shared" si="9"/>
        <v>10.700932286225196</v>
      </c>
    </row>
    <row r="136" spans="1:20" x14ac:dyDescent="0.25">
      <c r="A136" s="14">
        <f t="shared" si="22"/>
        <v>0.63796296296296295</v>
      </c>
      <c r="B136" s="2">
        <f t="shared" si="11"/>
        <v>131</v>
      </c>
      <c r="C136" s="4">
        <f t="shared" si="20"/>
        <v>70.83</v>
      </c>
      <c r="D136" s="2">
        <v>11</v>
      </c>
      <c r="E136" s="2">
        <v>50.26548245743669</v>
      </c>
      <c r="F136" s="11">
        <f t="shared" si="0"/>
        <v>2.1883804675135607</v>
      </c>
      <c r="G136" s="2">
        <f t="shared" si="1"/>
        <v>155.00298851398551</v>
      </c>
      <c r="H136" s="2">
        <f t="shared" si="2"/>
        <v>2.32262673280768</v>
      </c>
      <c r="I136" s="2">
        <f t="shared" si="3"/>
        <v>164.51165148476798</v>
      </c>
      <c r="J136" s="2">
        <f t="shared" si="4"/>
        <v>9.508662970782467</v>
      </c>
      <c r="K136" s="15">
        <f t="shared" si="23"/>
        <v>0.59496082621082624</v>
      </c>
      <c r="L136" s="2">
        <f t="shared" si="14"/>
        <v>131</v>
      </c>
      <c r="M136" s="2">
        <f t="shared" si="21"/>
        <v>70.58</v>
      </c>
      <c r="N136" s="2">
        <v>11</v>
      </c>
      <c r="O136" s="2">
        <v>50.26548245743669</v>
      </c>
      <c r="P136" s="11">
        <f t="shared" si="5"/>
        <v>2.1883804675135607</v>
      </c>
      <c r="Q136" s="2">
        <f t="shared" si="6"/>
        <v>154.4558933971071</v>
      </c>
      <c r="R136" s="2">
        <f t="shared" si="7"/>
        <v>2.2416045796539747</v>
      </c>
      <c r="S136" s="2">
        <f t="shared" si="8"/>
        <v>158.21245123197752</v>
      </c>
      <c r="T136" s="2">
        <f t="shared" si="9"/>
        <v>3.7565578348704207</v>
      </c>
    </row>
    <row r="137" spans="1:20" x14ac:dyDescent="0.25">
      <c r="A137" s="14">
        <f t="shared" si="22"/>
        <v>0.6381944444444444</v>
      </c>
      <c r="B137" s="2">
        <f t="shared" si="11"/>
        <v>132</v>
      </c>
      <c r="C137" s="4">
        <f t="shared" si="20"/>
        <v>71.33</v>
      </c>
      <c r="D137" s="2">
        <v>12</v>
      </c>
      <c r="E137" s="2">
        <v>50.26548245743669</v>
      </c>
      <c r="F137" s="11">
        <f t="shared" si="0"/>
        <v>2.3873241463784298</v>
      </c>
      <c r="G137" s="2">
        <f t="shared" si="1"/>
        <v>170.2878313611734</v>
      </c>
      <c r="H137" s="2">
        <f t="shared" si="2"/>
        <v>2.32262673280768</v>
      </c>
      <c r="I137" s="2">
        <f t="shared" si="3"/>
        <v>165.6729648511718</v>
      </c>
      <c r="J137" s="2">
        <f t="shared" si="4"/>
        <v>4.6148665100016046</v>
      </c>
      <c r="K137" s="15">
        <f t="shared" si="23"/>
        <v>0.59524572649572649</v>
      </c>
      <c r="L137" s="2">
        <f t="shared" si="14"/>
        <v>132</v>
      </c>
      <c r="M137" s="2">
        <f t="shared" si="21"/>
        <v>71.08</v>
      </c>
      <c r="N137" s="2">
        <v>11</v>
      </c>
      <c r="O137" s="2">
        <v>50.26548245743669</v>
      </c>
      <c r="P137" s="11">
        <f t="shared" si="5"/>
        <v>2.1883804675135607</v>
      </c>
      <c r="Q137" s="2">
        <f t="shared" si="6"/>
        <v>155.5500836308639</v>
      </c>
      <c r="R137" s="2">
        <f t="shared" si="7"/>
        <v>2.2416045796539747</v>
      </c>
      <c r="S137" s="2">
        <f t="shared" si="8"/>
        <v>159.33325352180452</v>
      </c>
      <c r="T137" s="2">
        <f t="shared" si="9"/>
        <v>3.7831698909406271</v>
      </c>
    </row>
    <row r="138" spans="1:20" x14ac:dyDescent="0.25">
      <c r="A138" s="14">
        <f t="shared" si="22"/>
        <v>0.63842592592592595</v>
      </c>
      <c r="B138" s="2">
        <f t="shared" si="11"/>
        <v>133</v>
      </c>
      <c r="C138" s="4">
        <f t="shared" si="20"/>
        <v>71.83</v>
      </c>
      <c r="D138" s="2">
        <v>12.5</v>
      </c>
      <c r="E138" s="2">
        <v>50.26548245743669</v>
      </c>
      <c r="F138" s="11">
        <f t="shared" si="0"/>
        <v>2.4867959858108648</v>
      </c>
      <c r="G138" s="2">
        <f t="shared" si="1"/>
        <v>178.62655566079442</v>
      </c>
      <c r="H138" s="2">
        <f t="shared" si="2"/>
        <v>2.32262673280768</v>
      </c>
      <c r="I138" s="2">
        <f t="shared" si="3"/>
        <v>166.83427821757564</v>
      </c>
      <c r="J138" s="2">
        <f t="shared" si="4"/>
        <v>11.792277443218779</v>
      </c>
      <c r="K138" s="15">
        <f t="shared" si="23"/>
        <v>0.59553062678062674</v>
      </c>
      <c r="L138" s="2">
        <f t="shared" si="14"/>
        <v>133</v>
      </c>
      <c r="M138" s="2">
        <f t="shared" si="21"/>
        <v>71.58</v>
      </c>
      <c r="N138" s="2">
        <v>12.5</v>
      </c>
      <c r="O138" s="2">
        <v>50.26548245743669</v>
      </c>
      <c r="P138" s="11">
        <f t="shared" si="5"/>
        <v>2.4867959858108648</v>
      </c>
      <c r="Q138" s="2">
        <f t="shared" si="6"/>
        <v>178.0048566643417</v>
      </c>
      <c r="R138" s="2">
        <f t="shared" si="7"/>
        <v>2.2416045796539747</v>
      </c>
      <c r="S138" s="2">
        <f t="shared" si="8"/>
        <v>160.45405581163152</v>
      </c>
      <c r="T138" s="2">
        <f t="shared" si="9"/>
        <v>17.550800852710182</v>
      </c>
    </row>
    <row r="139" spans="1:20" x14ac:dyDescent="0.25">
      <c r="A139" s="14">
        <f t="shared" si="22"/>
        <v>0.6386574074074074</v>
      </c>
      <c r="B139" s="2">
        <f t="shared" si="11"/>
        <v>134</v>
      </c>
      <c r="C139" s="4">
        <f t="shared" si="20"/>
        <v>72.33</v>
      </c>
      <c r="D139" s="2">
        <v>12</v>
      </c>
      <c r="E139" s="2">
        <v>50.26548245743669</v>
      </c>
      <c r="F139" s="11">
        <f t="shared" si="0"/>
        <v>2.3873241463784298</v>
      </c>
      <c r="G139" s="2">
        <f t="shared" si="1"/>
        <v>172.67515550755184</v>
      </c>
      <c r="H139" s="2">
        <f t="shared" si="2"/>
        <v>2.32262673280768</v>
      </c>
      <c r="I139" s="2">
        <f t="shared" si="3"/>
        <v>167.99559158397949</v>
      </c>
      <c r="J139" s="2">
        <f t="shared" si="4"/>
        <v>4.6795639235723456</v>
      </c>
      <c r="K139" s="15">
        <f t="shared" si="23"/>
        <v>0.5958155270655271</v>
      </c>
      <c r="L139" s="2">
        <f t="shared" si="14"/>
        <v>134</v>
      </c>
      <c r="M139" s="2">
        <f t="shared" si="21"/>
        <v>72.08</v>
      </c>
      <c r="N139" s="2">
        <v>12.5</v>
      </c>
      <c r="O139" s="2">
        <v>50.26548245743669</v>
      </c>
      <c r="P139" s="11">
        <f t="shared" si="5"/>
        <v>2.4867959858108648</v>
      </c>
      <c r="Q139" s="2">
        <f t="shared" si="6"/>
        <v>179.24825465724714</v>
      </c>
      <c r="R139" s="2">
        <f t="shared" si="7"/>
        <v>2.2416045796539747</v>
      </c>
      <c r="S139" s="2">
        <f t="shared" si="8"/>
        <v>161.57485810145849</v>
      </c>
      <c r="T139" s="2">
        <f t="shared" si="9"/>
        <v>17.673396555788656</v>
      </c>
    </row>
    <row r="140" spans="1:20" x14ac:dyDescent="0.25">
      <c r="A140" s="14">
        <f t="shared" si="22"/>
        <v>0.63888888888888884</v>
      </c>
      <c r="B140" s="2">
        <f t="shared" si="11"/>
        <v>135</v>
      </c>
      <c r="C140" s="4">
        <f t="shared" si="20"/>
        <v>72.83</v>
      </c>
      <c r="D140" s="2">
        <v>12</v>
      </c>
      <c r="E140" s="2">
        <v>50.26548245743669</v>
      </c>
      <c r="F140" s="11">
        <f t="shared" si="0"/>
        <v>2.3873241463784298</v>
      </c>
      <c r="G140" s="2">
        <f t="shared" si="1"/>
        <v>173.86881758074105</v>
      </c>
      <c r="H140" s="2">
        <f t="shared" si="2"/>
        <v>2.32262673280768</v>
      </c>
      <c r="I140" s="2">
        <f t="shared" si="3"/>
        <v>169.15690495038334</v>
      </c>
      <c r="J140" s="2">
        <f t="shared" si="4"/>
        <v>4.7119126303577161</v>
      </c>
      <c r="K140" s="15">
        <f t="shared" si="23"/>
        <v>0.59610042735042734</v>
      </c>
      <c r="L140" s="2">
        <f t="shared" si="14"/>
        <v>135</v>
      </c>
      <c r="M140" s="2">
        <f t="shared" si="21"/>
        <v>72.58</v>
      </c>
      <c r="N140" s="2">
        <v>10.5</v>
      </c>
      <c r="O140" s="2">
        <v>50.26548245743669</v>
      </c>
      <c r="P140" s="11">
        <f t="shared" si="5"/>
        <v>2.0889086280811267</v>
      </c>
      <c r="Q140" s="2">
        <f t="shared" si="6"/>
        <v>151.61298822612818</v>
      </c>
      <c r="R140" s="2">
        <f t="shared" si="7"/>
        <v>2.2416045796539747</v>
      </c>
      <c r="S140" s="2">
        <f t="shared" si="8"/>
        <v>162.69566039128549</v>
      </c>
      <c r="T140" s="2">
        <f t="shared" si="9"/>
        <v>11.082672165157305</v>
      </c>
    </row>
    <row r="141" spans="1:20" x14ac:dyDescent="0.25">
      <c r="A141" s="14">
        <f t="shared" si="22"/>
        <v>0.63912037037037039</v>
      </c>
      <c r="B141" s="2">
        <f t="shared" si="11"/>
        <v>136</v>
      </c>
      <c r="C141" s="4">
        <f t="shared" si="20"/>
        <v>73.33</v>
      </c>
      <c r="D141" s="2">
        <v>13.5</v>
      </c>
      <c r="E141" s="2">
        <v>50.26548245743669</v>
      </c>
      <c r="F141" s="11">
        <f t="shared" si="0"/>
        <v>2.6857396646757339</v>
      </c>
      <c r="G141" s="2">
        <f t="shared" si="1"/>
        <v>196.94528961067155</v>
      </c>
      <c r="H141" s="2">
        <f t="shared" si="2"/>
        <v>2.32262673280768</v>
      </c>
      <c r="I141" s="2">
        <f t="shared" si="3"/>
        <v>170.31821831678715</v>
      </c>
      <c r="J141" s="2">
        <f t="shared" si="4"/>
        <v>26.627071293884399</v>
      </c>
      <c r="K141" s="15">
        <f t="shared" si="23"/>
        <v>0.59638532763532759</v>
      </c>
      <c r="L141" s="2">
        <f t="shared" si="14"/>
        <v>136</v>
      </c>
      <c r="M141" s="2">
        <f t="shared" si="21"/>
        <v>73.08</v>
      </c>
      <c r="N141" s="2">
        <v>10</v>
      </c>
      <c r="O141" s="2">
        <v>50.26548245743669</v>
      </c>
      <c r="P141" s="11">
        <f t="shared" si="5"/>
        <v>1.9894367886486919</v>
      </c>
      <c r="Q141" s="2">
        <f t="shared" si="6"/>
        <v>145.3880405144464</v>
      </c>
      <c r="R141" s="2">
        <f t="shared" si="7"/>
        <v>2.2416045796539747</v>
      </c>
      <c r="S141" s="2">
        <f t="shared" si="8"/>
        <v>163.81646268111248</v>
      </c>
      <c r="T141" s="2">
        <f t="shared" si="9"/>
        <v>18.428422166666081</v>
      </c>
    </row>
    <row r="142" spans="1:20" x14ac:dyDescent="0.25">
      <c r="A142" s="14">
        <f t="shared" si="22"/>
        <v>0.63935185185185184</v>
      </c>
      <c r="B142" s="2">
        <f t="shared" si="11"/>
        <v>137</v>
      </c>
      <c r="C142" s="4">
        <f t="shared" si="20"/>
        <v>73.83</v>
      </c>
      <c r="D142" s="2">
        <v>13.5</v>
      </c>
      <c r="E142" s="2">
        <v>50.26548245743669</v>
      </c>
      <c r="F142" s="11">
        <f t="shared" si="0"/>
        <v>2.6857396646757339</v>
      </c>
      <c r="G142" s="2">
        <f t="shared" si="1"/>
        <v>198.28815944300942</v>
      </c>
      <c r="H142" s="2">
        <f t="shared" si="2"/>
        <v>2.32262673280768</v>
      </c>
      <c r="I142" s="2">
        <f t="shared" si="3"/>
        <v>171.479531683191</v>
      </c>
      <c r="J142" s="2">
        <f t="shared" si="4"/>
        <v>26.808627759818421</v>
      </c>
      <c r="K142" s="15">
        <f t="shared" si="23"/>
        <v>0.59667022792022795</v>
      </c>
      <c r="L142" s="2">
        <f t="shared" si="14"/>
        <v>137</v>
      </c>
      <c r="M142" s="2">
        <f t="shared" si="21"/>
        <v>73.58</v>
      </c>
      <c r="N142" s="2">
        <v>10.5</v>
      </c>
      <c r="O142" s="2">
        <v>50.26548245743669</v>
      </c>
      <c r="P142" s="11">
        <f t="shared" si="5"/>
        <v>2.0889086280811267</v>
      </c>
      <c r="Q142" s="2">
        <f t="shared" si="6"/>
        <v>153.70189685420931</v>
      </c>
      <c r="R142" s="2">
        <f t="shared" si="7"/>
        <v>2.2416045796539747</v>
      </c>
      <c r="S142" s="2">
        <f t="shared" si="8"/>
        <v>164.93726497093945</v>
      </c>
      <c r="T142" s="2">
        <f t="shared" si="9"/>
        <v>11.235368116730143</v>
      </c>
    </row>
    <row r="143" spans="1:20" x14ac:dyDescent="0.25">
      <c r="A143" s="14">
        <f t="shared" si="22"/>
        <v>0.63958333333333339</v>
      </c>
      <c r="B143" s="2">
        <f t="shared" si="11"/>
        <v>138</v>
      </c>
      <c r="C143" s="4">
        <f t="shared" si="20"/>
        <v>74.33</v>
      </c>
      <c r="D143" s="2">
        <v>12</v>
      </c>
      <c r="E143" s="2">
        <v>50.26548245743669</v>
      </c>
      <c r="F143" s="11">
        <f t="shared" si="0"/>
        <v>2.3873241463784298</v>
      </c>
      <c r="G143" s="2">
        <f t="shared" si="1"/>
        <v>177.44980380030867</v>
      </c>
      <c r="H143" s="2">
        <f t="shared" si="2"/>
        <v>2.32262673280768</v>
      </c>
      <c r="I143" s="2">
        <f t="shared" si="3"/>
        <v>172.64084504959484</v>
      </c>
      <c r="J143" s="2">
        <f t="shared" si="4"/>
        <v>4.8089587507138276</v>
      </c>
      <c r="K143" s="15">
        <f t="shared" si="23"/>
        <v>0.59695512820512819</v>
      </c>
      <c r="L143" s="2">
        <f t="shared" si="14"/>
        <v>138</v>
      </c>
      <c r="M143" s="2">
        <f t="shared" si="21"/>
        <v>74.08</v>
      </c>
      <c r="N143" s="2">
        <v>11</v>
      </c>
      <c r="O143" s="2">
        <v>50.26548245743669</v>
      </c>
      <c r="P143" s="11">
        <f t="shared" si="5"/>
        <v>2.1883804675135607</v>
      </c>
      <c r="Q143" s="2">
        <f t="shared" si="6"/>
        <v>162.11522503340458</v>
      </c>
      <c r="R143" s="2">
        <f t="shared" si="7"/>
        <v>2.2416045796539747</v>
      </c>
      <c r="S143" s="2">
        <f t="shared" si="8"/>
        <v>166.05806726076645</v>
      </c>
      <c r="T143" s="2">
        <f t="shared" si="9"/>
        <v>3.9428422273618651</v>
      </c>
    </row>
    <row r="144" spans="1:20" x14ac:dyDescent="0.25">
      <c r="A144" s="14">
        <f t="shared" si="22"/>
        <v>0.63981481481481484</v>
      </c>
      <c r="B144" s="2">
        <f t="shared" si="11"/>
        <v>139</v>
      </c>
      <c r="C144" s="4">
        <f t="shared" si="20"/>
        <v>74.83</v>
      </c>
      <c r="D144" s="2">
        <v>13</v>
      </c>
      <c r="E144" s="2">
        <v>50.26548245743669</v>
      </c>
      <c r="F144" s="11">
        <f t="shared" si="0"/>
        <v>2.5862678252432989</v>
      </c>
      <c r="G144" s="2">
        <f t="shared" si="1"/>
        <v>193.53042136295605</v>
      </c>
      <c r="H144" s="2">
        <f t="shared" si="2"/>
        <v>2.32262673280768</v>
      </c>
      <c r="I144" s="2">
        <f t="shared" si="3"/>
        <v>173.80215841599869</v>
      </c>
      <c r="J144" s="2">
        <f t="shared" si="4"/>
        <v>19.728262946957358</v>
      </c>
      <c r="K144" s="15">
        <f t="shared" si="23"/>
        <v>0.59724002849002844</v>
      </c>
      <c r="L144" s="2">
        <f t="shared" si="14"/>
        <v>139</v>
      </c>
      <c r="M144" s="2">
        <f t="shared" si="21"/>
        <v>74.58</v>
      </c>
      <c r="N144" s="2">
        <v>11.5</v>
      </c>
      <c r="O144" s="2">
        <v>50.26548245743669</v>
      </c>
      <c r="P144" s="11">
        <f t="shared" si="5"/>
        <v>2.2878523069459957</v>
      </c>
      <c r="Q144" s="2">
        <f t="shared" si="6"/>
        <v>170.62802505203237</v>
      </c>
      <c r="R144" s="2">
        <f t="shared" si="7"/>
        <v>2.2416045796539747</v>
      </c>
      <c r="S144" s="2">
        <f t="shared" si="8"/>
        <v>167.17886955059345</v>
      </c>
      <c r="T144" s="2">
        <f t="shared" si="9"/>
        <v>3.4491555014389235</v>
      </c>
    </row>
    <row r="145" spans="1:20" x14ac:dyDescent="0.25">
      <c r="A145" s="14">
        <f t="shared" si="22"/>
        <v>0.64004629629629628</v>
      </c>
      <c r="B145" s="2">
        <f t="shared" si="11"/>
        <v>140</v>
      </c>
      <c r="C145" s="4">
        <f t="shared" si="20"/>
        <v>75.33</v>
      </c>
      <c r="D145" s="2">
        <v>12.5</v>
      </c>
      <c r="E145" s="2">
        <v>50.26548245743669</v>
      </c>
      <c r="F145" s="11">
        <f t="shared" si="0"/>
        <v>2.4867959858108648</v>
      </c>
      <c r="G145" s="2">
        <f t="shared" si="1"/>
        <v>187.33034161113244</v>
      </c>
      <c r="H145" s="2">
        <f t="shared" si="2"/>
        <v>2.32262673280768</v>
      </c>
      <c r="I145" s="2">
        <f t="shared" si="3"/>
        <v>174.96347178240254</v>
      </c>
      <c r="J145" s="2">
        <f t="shared" si="4"/>
        <v>12.366869828729904</v>
      </c>
      <c r="K145" s="15">
        <f t="shared" si="23"/>
        <v>0.5975249287749288</v>
      </c>
      <c r="L145" s="2">
        <f t="shared" si="14"/>
        <v>140</v>
      </c>
      <c r="M145" s="2">
        <f t="shared" si="21"/>
        <v>75.08</v>
      </c>
      <c r="N145" s="2">
        <v>11.5</v>
      </c>
      <c r="O145" s="2">
        <v>50.26548245743669</v>
      </c>
      <c r="P145" s="11">
        <f t="shared" si="5"/>
        <v>2.2878523069459957</v>
      </c>
      <c r="Q145" s="2">
        <f t="shared" si="6"/>
        <v>171.77195120550536</v>
      </c>
      <c r="R145" s="2">
        <f t="shared" si="7"/>
        <v>2.2416045796539747</v>
      </c>
      <c r="S145" s="2">
        <f t="shared" si="8"/>
        <v>168.29967184042042</v>
      </c>
      <c r="T145" s="2">
        <f t="shared" si="9"/>
        <v>3.4722793650849439</v>
      </c>
    </row>
    <row r="146" spans="1:20" x14ac:dyDescent="0.25">
      <c r="A146" s="14">
        <f t="shared" si="22"/>
        <v>0.64027777777777783</v>
      </c>
      <c r="B146" s="2">
        <f t="shared" si="11"/>
        <v>141</v>
      </c>
      <c r="C146" s="4">
        <f t="shared" si="20"/>
        <v>75.83</v>
      </c>
      <c r="D146" s="2">
        <v>13</v>
      </c>
      <c r="E146" s="2">
        <v>50.26548245743669</v>
      </c>
      <c r="F146" s="11">
        <f t="shared" si="0"/>
        <v>2.5862678252432989</v>
      </c>
      <c r="G146" s="2">
        <f t="shared" si="1"/>
        <v>196.11668918819936</v>
      </c>
      <c r="H146" s="2">
        <f t="shared" si="2"/>
        <v>2.32262673280768</v>
      </c>
      <c r="I146" s="2">
        <f t="shared" si="3"/>
        <v>176.12478514880635</v>
      </c>
      <c r="J146" s="2">
        <f t="shared" si="4"/>
        <v>19.991904039393006</v>
      </c>
      <c r="K146" s="15">
        <f t="shared" si="23"/>
        <v>0.59780982905982905</v>
      </c>
      <c r="L146" s="2">
        <f t="shared" si="14"/>
        <v>141</v>
      </c>
      <c r="M146" s="2">
        <f t="shared" si="21"/>
        <v>75.58</v>
      </c>
      <c r="N146" s="2">
        <v>11.5</v>
      </c>
      <c r="O146" s="2">
        <v>50.26548245743669</v>
      </c>
      <c r="P146" s="11">
        <f t="shared" si="5"/>
        <v>2.2878523069459957</v>
      </c>
      <c r="Q146" s="2">
        <f t="shared" si="6"/>
        <v>172.91587735897835</v>
      </c>
      <c r="R146" s="2">
        <f t="shared" si="7"/>
        <v>2.2416045796539747</v>
      </c>
      <c r="S146" s="2">
        <f t="shared" si="8"/>
        <v>169.42047413024741</v>
      </c>
      <c r="T146" s="2">
        <f t="shared" si="9"/>
        <v>3.495403228730936</v>
      </c>
    </row>
    <row r="147" spans="1:20" x14ac:dyDescent="0.25">
      <c r="A147" s="14">
        <f t="shared" si="22"/>
        <v>0.64050925925925928</v>
      </c>
      <c r="B147" s="2">
        <f t="shared" si="11"/>
        <v>142</v>
      </c>
      <c r="C147" s="4">
        <f t="shared" si="20"/>
        <v>76.33</v>
      </c>
      <c r="D147" s="2">
        <v>12</v>
      </c>
      <c r="E147" s="2">
        <v>50.26548245743669</v>
      </c>
      <c r="F147" s="11">
        <f t="shared" si="0"/>
        <v>2.3873241463784298</v>
      </c>
      <c r="G147" s="2">
        <f t="shared" si="1"/>
        <v>182.22445209306554</v>
      </c>
      <c r="H147" s="2">
        <f t="shared" si="2"/>
        <v>2.32262673280768</v>
      </c>
      <c r="I147" s="2">
        <f t="shared" si="3"/>
        <v>177.2860985152102</v>
      </c>
      <c r="J147" s="2">
        <f t="shared" si="4"/>
        <v>4.938353577855338</v>
      </c>
      <c r="K147" s="15">
        <f t="shared" si="23"/>
        <v>0.59809472934472929</v>
      </c>
      <c r="L147" s="2">
        <f t="shared" si="14"/>
        <v>142</v>
      </c>
      <c r="M147" s="2">
        <f t="shared" si="21"/>
        <v>76.08</v>
      </c>
      <c r="N147" s="2">
        <v>10.5</v>
      </c>
      <c r="O147" s="2">
        <v>50.26548245743669</v>
      </c>
      <c r="P147" s="11">
        <f t="shared" si="5"/>
        <v>2.0889086280811267</v>
      </c>
      <c r="Q147" s="2">
        <f t="shared" si="6"/>
        <v>158.9241684244121</v>
      </c>
      <c r="R147" s="2">
        <f t="shared" si="7"/>
        <v>2.2416045796539747</v>
      </c>
      <c r="S147" s="2">
        <f t="shared" si="8"/>
        <v>170.54127642007438</v>
      </c>
      <c r="T147" s="2">
        <f t="shared" si="9"/>
        <v>11.61710799566228</v>
      </c>
    </row>
    <row r="148" spans="1:20" x14ac:dyDescent="0.25">
      <c r="A148" s="14">
        <f t="shared" si="22"/>
        <v>0.64074074074074072</v>
      </c>
      <c r="B148" s="2">
        <f t="shared" si="11"/>
        <v>143</v>
      </c>
      <c r="C148" s="4">
        <f t="shared" si="20"/>
        <v>76.83</v>
      </c>
      <c r="D148" s="2">
        <v>13</v>
      </c>
      <c r="E148" s="2">
        <v>50.26548245743669</v>
      </c>
      <c r="F148" s="11">
        <f t="shared" si="0"/>
        <v>2.5862678252432989</v>
      </c>
      <c r="G148" s="2">
        <f t="shared" si="1"/>
        <v>198.70295701344264</v>
      </c>
      <c r="H148" s="2">
        <f t="shared" si="2"/>
        <v>2.32262673280768</v>
      </c>
      <c r="I148" s="2">
        <f t="shared" si="3"/>
        <v>178.44741188161404</v>
      </c>
      <c r="J148" s="2">
        <f t="shared" si="4"/>
        <v>20.255545131828598</v>
      </c>
      <c r="K148" s="15">
        <f t="shared" si="23"/>
        <v>0.59837962962962965</v>
      </c>
      <c r="L148" s="2">
        <f t="shared" si="14"/>
        <v>143</v>
      </c>
      <c r="M148" s="2">
        <f t="shared" si="21"/>
        <v>76.58</v>
      </c>
      <c r="N148" s="2">
        <v>12</v>
      </c>
      <c r="O148" s="2">
        <v>50.26548245743669</v>
      </c>
      <c r="P148" s="11">
        <f t="shared" si="5"/>
        <v>2.3873241463784298</v>
      </c>
      <c r="Q148" s="2">
        <f t="shared" si="6"/>
        <v>182.82128312966015</v>
      </c>
      <c r="R148" s="2">
        <f t="shared" si="7"/>
        <v>2.2416045796539747</v>
      </c>
      <c r="S148" s="2">
        <f t="shared" si="8"/>
        <v>171.66207870990138</v>
      </c>
      <c r="T148" s="2">
        <f t="shared" si="9"/>
        <v>11.159204419758765</v>
      </c>
    </row>
    <row r="149" spans="1:20" x14ac:dyDescent="0.25">
      <c r="A149" s="14">
        <f t="shared" si="22"/>
        <v>0.64097222222222228</v>
      </c>
      <c r="B149" s="2">
        <f t="shared" si="11"/>
        <v>144</v>
      </c>
      <c r="C149" s="4">
        <f t="shared" si="20"/>
        <v>77.33</v>
      </c>
      <c r="D149" s="2">
        <v>11.5</v>
      </c>
      <c r="E149" s="2">
        <v>50.26548245743669</v>
      </c>
      <c r="F149" s="11">
        <f t="shared" si="0"/>
        <v>2.2878523069459957</v>
      </c>
      <c r="G149" s="2">
        <f t="shared" si="1"/>
        <v>176.91961889613384</v>
      </c>
      <c r="H149" s="2">
        <f t="shared" si="2"/>
        <v>2.32262673280768</v>
      </c>
      <c r="I149" s="2">
        <f t="shared" si="3"/>
        <v>179.60872524801789</v>
      </c>
      <c r="J149" s="2">
        <f t="shared" si="4"/>
        <v>2.6891063518840497</v>
      </c>
      <c r="K149" s="15">
        <f t="shared" si="23"/>
        <v>0.5986645299145299</v>
      </c>
      <c r="L149" s="2">
        <f t="shared" si="14"/>
        <v>144</v>
      </c>
      <c r="M149" s="2">
        <f t="shared" si="21"/>
        <v>77.08</v>
      </c>
      <c r="N149" s="2">
        <v>12.5</v>
      </c>
      <c r="O149" s="2">
        <v>50.26548245743669</v>
      </c>
      <c r="P149" s="11">
        <f t="shared" si="5"/>
        <v>2.4867959858108648</v>
      </c>
      <c r="Q149" s="2">
        <f t="shared" si="6"/>
        <v>191.68223458630146</v>
      </c>
      <c r="R149" s="2">
        <f t="shared" si="7"/>
        <v>2.2416045796539747</v>
      </c>
      <c r="S149" s="2">
        <f t="shared" si="8"/>
        <v>172.78288099972838</v>
      </c>
      <c r="T149" s="2">
        <f t="shared" si="9"/>
        <v>18.899353586573085</v>
      </c>
    </row>
    <row r="150" spans="1:20" x14ac:dyDescent="0.25">
      <c r="A150" s="14">
        <f t="shared" si="22"/>
        <v>0.64120370370370372</v>
      </c>
      <c r="B150" s="2">
        <f t="shared" si="11"/>
        <v>145</v>
      </c>
      <c r="C150" s="4">
        <f t="shared" si="20"/>
        <v>77.83</v>
      </c>
      <c r="D150" s="2">
        <v>11.5</v>
      </c>
      <c r="E150" s="2">
        <v>50.26548245743669</v>
      </c>
      <c r="F150" s="11">
        <f t="shared" si="0"/>
        <v>2.2878523069459957</v>
      </c>
      <c r="G150" s="2">
        <f t="shared" si="1"/>
        <v>178.06354504960683</v>
      </c>
      <c r="H150" s="2">
        <f t="shared" si="2"/>
        <v>2.32262673280768</v>
      </c>
      <c r="I150" s="2">
        <f t="shared" si="3"/>
        <v>180.77003861442174</v>
      </c>
      <c r="J150" s="2">
        <f t="shared" si="4"/>
        <v>2.706493564814906</v>
      </c>
      <c r="K150" s="15">
        <f t="shared" si="23"/>
        <v>0.59894943019943014</v>
      </c>
      <c r="L150" s="2">
        <f t="shared" si="14"/>
        <v>145</v>
      </c>
      <c r="M150" s="2">
        <f t="shared" si="21"/>
        <v>77.58</v>
      </c>
      <c r="N150" s="2">
        <v>11</v>
      </c>
      <c r="O150" s="2">
        <v>50.26548245743669</v>
      </c>
      <c r="P150" s="11">
        <f t="shared" si="5"/>
        <v>2.1883804675135607</v>
      </c>
      <c r="Q150" s="2">
        <f t="shared" si="6"/>
        <v>169.77455666970204</v>
      </c>
      <c r="R150" s="2">
        <f t="shared" si="7"/>
        <v>2.2416045796539747</v>
      </c>
      <c r="S150" s="2">
        <f t="shared" si="8"/>
        <v>173.90368328955535</v>
      </c>
      <c r="T150" s="2">
        <f t="shared" si="9"/>
        <v>4.1291266198533094</v>
      </c>
    </row>
    <row r="151" spans="1:20" x14ac:dyDescent="0.25">
      <c r="A151" s="14">
        <f t="shared" si="22"/>
        <v>0.64143518518518516</v>
      </c>
      <c r="B151" s="2">
        <f t="shared" si="11"/>
        <v>146</v>
      </c>
      <c r="C151" s="4">
        <f t="shared" si="20"/>
        <v>78.33</v>
      </c>
      <c r="D151" s="2">
        <v>12.5</v>
      </c>
      <c r="E151" s="2">
        <v>50.26548245743669</v>
      </c>
      <c r="F151" s="11">
        <f t="shared" si="0"/>
        <v>2.4867959858108648</v>
      </c>
      <c r="G151" s="2">
        <f t="shared" si="1"/>
        <v>194.79072956856504</v>
      </c>
      <c r="H151" s="2">
        <f t="shared" si="2"/>
        <v>2.32262673280768</v>
      </c>
      <c r="I151" s="2">
        <f t="shared" si="3"/>
        <v>181.93135198082555</v>
      </c>
      <c r="J151" s="2">
        <f t="shared" si="4"/>
        <v>12.859377587739488</v>
      </c>
      <c r="K151" s="15">
        <f t="shared" si="23"/>
        <v>0.5992343304843305</v>
      </c>
      <c r="L151" s="2">
        <f t="shared" si="14"/>
        <v>146</v>
      </c>
      <c r="M151" s="2">
        <f t="shared" si="21"/>
        <v>78.08</v>
      </c>
      <c r="N151" s="2">
        <v>11.5</v>
      </c>
      <c r="O151" s="2">
        <v>50.26548245743669</v>
      </c>
      <c r="P151" s="11">
        <f t="shared" si="5"/>
        <v>2.2878523069459957</v>
      </c>
      <c r="Q151" s="2">
        <f t="shared" si="6"/>
        <v>178.63550812634335</v>
      </c>
      <c r="R151" s="2">
        <f t="shared" si="7"/>
        <v>2.2416045796539747</v>
      </c>
      <c r="S151" s="2">
        <f t="shared" si="8"/>
        <v>175.02448557938234</v>
      </c>
      <c r="T151" s="2">
        <f t="shared" si="9"/>
        <v>3.61102254696101</v>
      </c>
    </row>
    <row r="152" spans="1:20" x14ac:dyDescent="0.25">
      <c r="A152" s="14">
        <f t="shared" si="22"/>
        <v>0.64166666666666672</v>
      </c>
      <c r="B152" s="2">
        <f t="shared" si="11"/>
        <v>147</v>
      </c>
      <c r="C152" s="4">
        <f t="shared" si="20"/>
        <v>78.83</v>
      </c>
      <c r="D152" s="2">
        <v>11</v>
      </c>
      <c r="E152" s="2">
        <v>50.26548245743669</v>
      </c>
      <c r="F152" s="11">
        <f t="shared" si="0"/>
        <v>2.1883804675135607</v>
      </c>
      <c r="G152" s="2">
        <f t="shared" si="1"/>
        <v>172.510032254094</v>
      </c>
      <c r="H152" s="2">
        <f t="shared" si="2"/>
        <v>2.32262673280768</v>
      </c>
      <c r="I152" s="2">
        <f t="shared" si="3"/>
        <v>183.0926653472294</v>
      </c>
      <c r="J152" s="2">
        <f t="shared" si="4"/>
        <v>10.582633093135399</v>
      </c>
      <c r="K152" s="15">
        <f t="shared" si="23"/>
        <v>0.59951923076923075</v>
      </c>
      <c r="L152" s="2">
        <f t="shared" si="14"/>
        <v>147</v>
      </c>
      <c r="M152" s="2">
        <f t="shared" si="21"/>
        <v>78.58</v>
      </c>
      <c r="N152" s="2">
        <v>12</v>
      </c>
      <c r="O152" s="2">
        <v>50.26548245743669</v>
      </c>
      <c r="P152" s="11">
        <f t="shared" si="5"/>
        <v>2.3873241463784298</v>
      </c>
      <c r="Q152" s="2">
        <f t="shared" si="6"/>
        <v>187.59593142241701</v>
      </c>
      <c r="R152" s="2">
        <f t="shared" si="7"/>
        <v>2.2416045796539747</v>
      </c>
      <c r="S152" s="2">
        <f t="shared" si="8"/>
        <v>176.14528786920934</v>
      </c>
      <c r="T152" s="2">
        <f t="shared" si="9"/>
        <v>11.450643553207669</v>
      </c>
    </row>
    <row r="153" spans="1:20" x14ac:dyDescent="0.25">
      <c r="A153" s="14">
        <f t="shared" si="22"/>
        <v>0.64189814814814816</v>
      </c>
      <c r="B153" s="2">
        <f t="shared" si="11"/>
        <v>148</v>
      </c>
      <c r="C153" s="4">
        <f t="shared" si="20"/>
        <v>79.33</v>
      </c>
      <c r="D153" s="2">
        <v>11</v>
      </c>
      <c r="E153" s="2">
        <v>50.26548245743669</v>
      </c>
      <c r="F153" s="11">
        <f t="shared" si="0"/>
        <v>2.1883804675135607</v>
      </c>
      <c r="G153" s="2">
        <f t="shared" si="1"/>
        <v>173.60422248785076</v>
      </c>
      <c r="H153" s="2">
        <f t="shared" si="2"/>
        <v>2.32262673280768</v>
      </c>
      <c r="I153" s="2">
        <f t="shared" si="3"/>
        <v>184.25397871363324</v>
      </c>
      <c r="J153" s="2">
        <f t="shared" si="4"/>
        <v>10.649756225782482</v>
      </c>
      <c r="K153" s="15">
        <f t="shared" si="23"/>
        <v>0.599804131054131</v>
      </c>
      <c r="L153" s="2">
        <f t="shared" si="14"/>
        <v>148</v>
      </c>
      <c r="M153" s="2">
        <f t="shared" si="21"/>
        <v>79.08</v>
      </c>
      <c r="N153" s="2">
        <v>11</v>
      </c>
      <c r="O153" s="2">
        <v>50.26548245743669</v>
      </c>
      <c r="P153" s="11">
        <f t="shared" si="5"/>
        <v>2.1883804675135607</v>
      </c>
      <c r="Q153" s="2">
        <f t="shared" si="6"/>
        <v>173.05712737097238</v>
      </c>
      <c r="R153" s="2">
        <f t="shared" si="7"/>
        <v>2.2416045796539747</v>
      </c>
      <c r="S153" s="2">
        <f t="shared" si="8"/>
        <v>177.26609015903631</v>
      </c>
      <c r="T153" s="2">
        <f t="shared" si="9"/>
        <v>4.2089627880639284</v>
      </c>
    </row>
    <row r="154" spans="1:20" x14ac:dyDescent="0.25">
      <c r="A154" s="14">
        <f t="shared" si="22"/>
        <v>0.64212962962962961</v>
      </c>
      <c r="B154" s="2">
        <f t="shared" si="11"/>
        <v>149</v>
      </c>
      <c r="C154" s="4">
        <f t="shared" si="20"/>
        <v>79.83</v>
      </c>
      <c r="D154" s="2">
        <v>11.5</v>
      </c>
      <c r="E154" s="2">
        <v>50.26548245743669</v>
      </c>
      <c r="F154" s="11">
        <f t="shared" si="0"/>
        <v>2.2878523069459957</v>
      </c>
      <c r="G154" s="2">
        <f t="shared" si="1"/>
        <v>182.63924966349884</v>
      </c>
      <c r="H154" s="2">
        <f t="shared" si="2"/>
        <v>2.32262673280768</v>
      </c>
      <c r="I154" s="2">
        <f t="shared" si="3"/>
        <v>185.41529208003709</v>
      </c>
      <c r="J154" s="2">
        <f t="shared" si="4"/>
        <v>2.776042416538246</v>
      </c>
      <c r="K154" s="15">
        <f t="shared" si="23"/>
        <v>0.60008903133903135</v>
      </c>
      <c r="L154" s="2">
        <f t="shared" si="14"/>
        <v>149</v>
      </c>
      <c r="M154" s="2">
        <f t="shared" si="21"/>
        <v>79.58</v>
      </c>
      <c r="N154" s="2">
        <v>11.5</v>
      </c>
      <c r="O154" s="2">
        <v>50.26548245743669</v>
      </c>
      <c r="P154" s="11">
        <f t="shared" si="5"/>
        <v>2.2878523069459957</v>
      </c>
      <c r="Q154" s="2">
        <f t="shared" si="6"/>
        <v>182.06728658676235</v>
      </c>
      <c r="R154" s="2">
        <f t="shared" si="7"/>
        <v>2.2416045796539747</v>
      </c>
      <c r="S154" s="2">
        <f t="shared" si="8"/>
        <v>178.38689244886331</v>
      </c>
      <c r="T154" s="2">
        <f t="shared" si="9"/>
        <v>3.680394137899043</v>
      </c>
    </row>
    <row r="155" spans="1:20" x14ac:dyDescent="0.25">
      <c r="A155" s="14">
        <f t="shared" si="22"/>
        <v>0.64236111111111116</v>
      </c>
      <c r="B155" s="2">
        <f t="shared" si="11"/>
        <v>150</v>
      </c>
      <c r="C155" s="4">
        <f t="shared" si="20"/>
        <v>80.33</v>
      </c>
      <c r="D155" s="2">
        <v>13</v>
      </c>
      <c r="E155" s="2">
        <v>50.26548245743669</v>
      </c>
      <c r="F155" s="11">
        <f t="shared" si="0"/>
        <v>2.5862678252432989</v>
      </c>
      <c r="G155" s="2">
        <f t="shared" si="1"/>
        <v>207.75489440179419</v>
      </c>
      <c r="H155" s="2">
        <f t="shared" si="2"/>
        <v>2.32262673280768</v>
      </c>
      <c r="I155" s="2">
        <f t="shared" si="3"/>
        <v>186.57660544644094</v>
      </c>
      <c r="J155" s="2">
        <f t="shared" si="4"/>
        <v>21.178288955353253</v>
      </c>
      <c r="K155" s="15">
        <f t="shared" si="23"/>
        <v>0.6003739316239316</v>
      </c>
      <c r="L155" s="2">
        <f t="shared" si="14"/>
        <v>150</v>
      </c>
      <c r="M155" s="2">
        <f t="shared" si="21"/>
        <v>80.08</v>
      </c>
      <c r="N155" s="2">
        <v>11.5</v>
      </c>
      <c r="O155" s="2">
        <v>50.26548245743669</v>
      </c>
      <c r="P155" s="11">
        <f t="shared" si="5"/>
        <v>2.2878523069459957</v>
      </c>
      <c r="Q155" s="2">
        <f t="shared" si="6"/>
        <v>183.21121274023534</v>
      </c>
      <c r="R155" s="2">
        <f t="shared" si="7"/>
        <v>2.2416045796539747</v>
      </c>
      <c r="S155" s="2">
        <f t="shared" si="8"/>
        <v>179.5076947386903</v>
      </c>
      <c r="T155" s="2">
        <f t="shared" si="9"/>
        <v>3.7035180015450351</v>
      </c>
    </row>
    <row r="156" spans="1:20" x14ac:dyDescent="0.25">
      <c r="A156" s="14">
        <f t="shared" si="22"/>
        <v>0.6425925925925926</v>
      </c>
      <c r="B156" s="2">
        <f t="shared" si="11"/>
        <v>151</v>
      </c>
      <c r="C156" s="4">
        <f t="shared" si="20"/>
        <v>80.83</v>
      </c>
      <c r="D156" s="2">
        <v>13</v>
      </c>
      <c r="E156" s="2">
        <v>50.26548245743669</v>
      </c>
      <c r="F156" s="11">
        <f t="shared" si="0"/>
        <v>2.5862678252432989</v>
      </c>
      <c r="G156" s="2">
        <f t="shared" si="1"/>
        <v>209.04802831441586</v>
      </c>
      <c r="H156" s="2">
        <f t="shared" si="2"/>
        <v>2.32262673280768</v>
      </c>
      <c r="I156" s="2">
        <f t="shared" si="3"/>
        <v>187.73791881284475</v>
      </c>
      <c r="J156" s="2">
        <f t="shared" si="4"/>
        <v>21.310109501571105</v>
      </c>
      <c r="K156" s="15">
        <f t="shared" si="23"/>
        <v>0.60065883190883185</v>
      </c>
      <c r="L156" s="2">
        <f t="shared" si="14"/>
        <v>151</v>
      </c>
      <c r="M156" s="2">
        <f t="shared" si="21"/>
        <v>80.58</v>
      </c>
      <c r="N156" s="2">
        <v>14</v>
      </c>
      <c r="O156" s="2">
        <v>50.26548245743669</v>
      </c>
      <c r="P156" s="11">
        <f t="shared" si="5"/>
        <v>2.7852115041081689</v>
      </c>
      <c r="Q156" s="2">
        <f t="shared" si="6"/>
        <v>224.43234300103623</v>
      </c>
      <c r="R156" s="2">
        <f t="shared" si="7"/>
        <v>2.2416045796539747</v>
      </c>
      <c r="S156" s="2">
        <f t="shared" si="8"/>
        <v>180.62849702851727</v>
      </c>
      <c r="T156" s="2">
        <f t="shared" si="9"/>
        <v>43.803845972518957</v>
      </c>
    </row>
    <row r="157" spans="1:20" x14ac:dyDescent="0.25">
      <c r="A157" s="14">
        <f t="shared" si="22"/>
        <v>0.64282407407407416</v>
      </c>
      <c r="B157" s="2">
        <f t="shared" si="11"/>
        <v>152</v>
      </c>
      <c r="C157" s="4">
        <f t="shared" si="20"/>
        <v>81.33</v>
      </c>
      <c r="D157" s="2">
        <v>13.5</v>
      </c>
      <c r="E157" s="2">
        <v>50.26548245743669</v>
      </c>
      <c r="F157" s="11">
        <f t="shared" si="0"/>
        <v>2.6857396646757339</v>
      </c>
      <c r="G157" s="2">
        <f t="shared" si="1"/>
        <v>218.43120692807744</v>
      </c>
      <c r="H157" s="2">
        <f t="shared" si="2"/>
        <v>2.32262673280768</v>
      </c>
      <c r="I157" s="2">
        <f t="shared" si="3"/>
        <v>188.8992321792486</v>
      </c>
      <c r="J157" s="2">
        <f t="shared" si="4"/>
        <v>29.531974748828844</v>
      </c>
      <c r="K157" s="15">
        <f t="shared" si="23"/>
        <v>0.60094373219373221</v>
      </c>
      <c r="L157" s="2">
        <f t="shared" si="14"/>
        <v>152</v>
      </c>
      <c r="M157" s="2">
        <f t="shared" si="21"/>
        <v>81.08</v>
      </c>
      <c r="N157" s="2">
        <v>13.5</v>
      </c>
      <c r="O157" s="2">
        <v>50.26548245743669</v>
      </c>
      <c r="P157" s="11">
        <f t="shared" si="5"/>
        <v>2.6857396646757339</v>
      </c>
      <c r="Q157" s="2">
        <f t="shared" si="6"/>
        <v>217.7597720119085</v>
      </c>
      <c r="R157" s="2">
        <f t="shared" si="7"/>
        <v>2.2416045796539747</v>
      </c>
      <c r="S157" s="2">
        <f t="shared" si="8"/>
        <v>181.74929931834427</v>
      </c>
      <c r="T157" s="2">
        <f t="shared" si="9"/>
        <v>36.010472693564225</v>
      </c>
    </row>
    <row r="158" spans="1:20" x14ac:dyDescent="0.25">
      <c r="A158" s="14">
        <f t="shared" si="22"/>
        <v>0.6430555555555556</v>
      </c>
      <c r="B158" s="2">
        <f t="shared" si="11"/>
        <v>153</v>
      </c>
      <c r="C158" s="4">
        <f t="shared" si="20"/>
        <v>81.83</v>
      </c>
      <c r="D158" s="2">
        <v>11.5</v>
      </c>
      <c r="E158" s="2">
        <v>50.26548245743669</v>
      </c>
      <c r="F158" s="11">
        <f t="shared" si="0"/>
        <v>2.2878523069459957</v>
      </c>
      <c r="G158" s="2">
        <f t="shared" si="1"/>
        <v>187.21495427739083</v>
      </c>
      <c r="H158" s="2">
        <f t="shared" si="2"/>
        <v>2.32262673280768</v>
      </c>
      <c r="I158" s="2">
        <f t="shared" si="3"/>
        <v>190.06054554565245</v>
      </c>
      <c r="J158" s="2">
        <f t="shared" si="4"/>
        <v>2.8455912682616145</v>
      </c>
      <c r="K158" s="15">
        <f t="shared" si="23"/>
        <v>0.60122863247863245</v>
      </c>
      <c r="L158" s="2">
        <f t="shared" si="14"/>
        <v>153</v>
      </c>
      <c r="M158" s="2">
        <f t="shared" si="21"/>
        <v>81.58</v>
      </c>
      <c r="N158" s="2">
        <v>13</v>
      </c>
      <c r="O158" s="2">
        <v>50.26548245743669</v>
      </c>
      <c r="P158" s="11">
        <f t="shared" si="5"/>
        <v>2.5862678252432989</v>
      </c>
      <c r="Q158" s="2">
        <f t="shared" si="6"/>
        <v>210.98772918334831</v>
      </c>
      <c r="R158" s="2">
        <f t="shared" si="7"/>
        <v>2.2416045796539747</v>
      </c>
      <c r="S158" s="2">
        <f t="shared" si="8"/>
        <v>182.87010160817127</v>
      </c>
      <c r="T158" s="2">
        <f t="shared" si="9"/>
        <v>28.117627575177039</v>
      </c>
    </row>
    <row r="159" spans="1:20" x14ac:dyDescent="0.25">
      <c r="A159" s="14">
        <f t="shared" si="22"/>
        <v>0.64328703703703705</v>
      </c>
      <c r="B159" s="2">
        <f t="shared" si="11"/>
        <v>154</v>
      </c>
      <c r="C159" s="4">
        <f t="shared" si="20"/>
        <v>82.33</v>
      </c>
      <c r="D159" s="2">
        <v>12.5</v>
      </c>
      <c r="E159" s="2">
        <v>50.26548245743669</v>
      </c>
      <c r="F159" s="11">
        <f t="shared" si="0"/>
        <v>2.4867959858108648</v>
      </c>
      <c r="G159" s="2">
        <f t="shared" si="1"/>
        <v>204.7379135118085</v>
      </c>
      <c r="H159" s="2">
        <f t="shared" si="2"/>
        <v>2.32262673280768</v>
      </c>
      <c r="I159" s="2">
        <f t="shared" si="3"/>
        <v>191.22185891205629</v>
      </c>
      <c r="J159" s="2">
        <f t="shared" si="4"/>
        <v>13.516054599752209</v>
      </c>
      <c r="K159" s="15">
        <f t="shared" si="23"/>
        <v>0.6015135327635327</v>
      </c>
      <c r="L159" s="2">
        <f t="shared" si="14"/>
        <v>154</v>
      </c>
      <c r="M159" s="2">
        <f t="shared" si="21"/>
        <v>82.08</v>
      </c>
      <c r="N159" s="2">
        <v>11</v>
      </c>
      <c r="O159" s="2">
        <v>50.26548245743669</v>
      </c>
      <c r="P159" s="11">
        <f t="shared" si="5"/>
        <v>2.1883804675135607</v>
      </c>
      <c r="Q159" s="2">
        <f t="shared" si="6"/>
        <v>179.62226877351307</v>
      </c>
      <c r="R159" s="2">
        <f t="shared" si="7"/>
        <v>2.2416045796539747</v>
      </c>
      <c r="S159" s="2">
        <f t="shared" si="8"/>
        <v>183.99090389799824</v>
      </c>
      <c r="T159" s="2">
        <f t="shared" si="9"/>
        <v>4.3686351244851664</v>
      </c>
    </row>
    <row r="160" spans="1:20" x14ac:dyDescent="0.25">
      <c r="A160" s="14">
        <f t="shared" si="22"/>
        <v>0.6435185185185186</v>
      </c>
      <c r="B160" s="2">
        <f t="shared" si="11"/>
        <v>155</v>
      </c>
      <c r="C160" s="4">
        <f t="shared" si="20"/>
        <v>82.83</v>
      </c>
      <c r="D160" s="2">
        <v>11.5</v>
      </c>
      <c r="E160" s="2">
        <v>50.26548245743669</v>
      </c>
      <c r="F160" s="11">
        <f t="shared" si="0"/>
        <v>2.2878523069459957</v>
      </c>
      <c r="G160" s="2">
        <f t="shared" si="1"/>
        <v>189.50280658433681</v>
      </c>
      <c r="H160" s="2">
        <f t="shared" si="2"/>
        <v>2.32262673280768</v>
      </c>
      <c r="I160" s="2">
        <f t="shared" si="3"/>
        <v>192.38317227846014</v>
      </c>
      <c r="J160" s="2">
        <f t="shared" si="4"/>
        <v>2.8803656941233271</v>
      </c>
      <c r="K160" s="15">
        <f t="shared" si="23"/>
        <v>0.60179843304843306</v>
      </c>
      <c r="L160" s="2">
        <f t="shared" si="14"/>
        <v>155</v>
      </c>
      <c r="M160" s="2">
        <f t="shared" si="21"/>
        <v>82.58</v>
      </c>
      <c r="N160" s="2">
        <v>12</v>
      </c>
      <c r="O160" s="2">
        <v>50.26548245743669</v>
      </c>
      <c r="P160" s="11">
        <f t="shared" si="5"/>
        <v>2.3873241463784298</v>
      </c>
      <c r="Q160" s="2">
        <f t="shared" si="6"/>
        <v>197.14522800793074</v>
      </c>
      <c r="R160" s="2">
        <f t="shared" si="7"/>
        <v>2.2416045796539747</v>
      </c>
      <c r="S160" s="2">
        <f t="shared" si="8"/>
        <v>185.11170618782523</v>
      </c>
      <c r="T160" s="2">
        <f t="shared" si="9"/>
        <v>12.033521820105506</v>
      </c>
    </row>
    <row r="161" spans="1:20" x14ac:dyDescent="0.25">
      <c r="A161" s="10">
        <v>0.64375000000000004</v>
      </c>
      <c r="B161" s="2">
        <f t="shared" si="11"/>
        <v>156</v>
      </c>
      <c r="C161" s="4">
        <f t="shared" si="20"/>
        <v>83.33</v>
      </c>
      <c r="D161" s="2">
        <v>10.5</v>
      </c>
      <c r="E161" s="2">
        <v>50.26548245743669</v>
      </c>
      <c r="F161" s="11">
        <f t="shared" si="0"/>
        <v>2.0889086280811267</v>
      </c>
      <c r="G161" s="2">
        <f t="shared" si="1"/>
        <v>174.06875597800027</v>
      </c>
      <c r="H161" s="2">
        <f t="shared" si="2"/>
        <v>2.32262673280768</v>
      </c>
      <c r="I161" s="2">
        <f t="shared" si="3"/>
        <v>193.54448564486395</v>
      </c>
      <c r="J161" s="2">
        <f t="shared" si="4"/>
        <v>19.475729666863685</v>
      </c>
      <c r="K161" s="12">
        <v>0.6020833333333333</v>
      </c>
      <c r="L161" s="2">
        <f t="shared" si="14"/>
        <v>156</v>
      </c>
      <c r="M161" s="2">
        <f t="shared" si="21"/>
        <v>83.08</v>
      </c>
      <c r="N161" s="2">
        <v>11</v>
      </c>
      <c r="O161" s="2">
        <v>50.26548245743669</v>
      </c>
      <c r="P161" s="11">
        <f t="shared" si="5"/>
        <v>2.1883804675135607</v>
      </c>
      <c r="Q161" s="2">
        <f t="shared" si="6"/>
        <v>181.81064924102662</v>
      </c>
      <c r="R161" s="2">
        <f t="shared" si="7"/>
        <v>2.2416045796539747</v>
      </c>
      <c r="S161" s="2">
        <f t="shared" si="8"/>
        <v>186.23250847765223</v>
      </c>
      <c r="T161" s="2">
        <f t="shared" si="9"/>
        <v>4.4218592366256075</v>
      </c>
    </row>
    <row r="162" spans="1:20" x14ac:dyDescent="0.25">
      <c r="A162" s="10">
        <v>0.64375000000000004</v>
      </c>
      <c r="B162" s="2">
        <f t="shared" si="11"/>
        <v>157</v>
      </c>
      <c r="C162" s="4">
        <f t="shared" si="20"/>
        <v>83.83</v>
      </c>
      <c r="D162" s="2">
        <v>12.5</v>
      </c>
      <c r="E162" s="2">
        <v>50.26548245743669</v>
      </c>
      <c r="F162" s="11">
        <f t="shared" si="0"/>
        <v>2.4867959858108648</v>
      </c>
      <c r="G162" s="2">
        <f t="shared" si="1"/>
        <v>208.4681074905248</v>
      </c>
      <c r="H162" s="2">
        <f t="shared" si="2"/>
        <v>2.32262673280768</v>
      </c>
      <c r="I162" s="2">
        <f t="shared" si="3"/>
        <v>194.7057990112678</v>
      </c>
      <c r="J162" s="2">
        <f t="shared" si="4"/>
        <v>13.762308479257001</v>
      </c>
      <c r="K162" s="12">
        <v>0.6020833333333333</v>
      </c>
      <c r="L162" s="2">
        <f t="shared" si="14"/>
        <v>157</v>
      </c>
      <c r="M162" s="2">
        <f t="shared" si="21"/>
        <v>83.58</v>
      </c>
      <c r="N162" s="2">
        <v>11</v>
      </c>
      <c r="O162" s="2">
        <v>50.26548245743669</v>
      </c>
      <c r="P162" s="11">
        <f t="shared" si="5"/>
        <v>2.1883804675135607</v>
      </c>
      <c r="Q162" s="2">
        <f t="shared" si="6"/>
        <v>182.90483947478342</v>
      </c>
      <c r="R162" s="2">
        <f t="shared" si="7"/>
        <v>2.2416045796539747</v>
      </c>
      <c r="S162" s="2">
        <f t="shared" si="8"/>
        <v>187.3533107674792</v>
      </c>
      <c r="T162" s="2">
        <f t="shared" si="9"/>
        <v>4.4484712926957855</v>
      </c>
    </row>
    <row r="163" spans="1:20" x14ac:dyDescent="0.25">
      <c r="A163" s="10"/>
      <c r="C163" s="4"/>
      <c r="F163" s="11"/>
      <c r="K163" s="12"/>
      <c r="P163" s="11"/>
    </row>
    <row r="164" spans="1:20" x14ac:dyDescent="0.25">
      <c r="A164" s="10"/>
      <c r="C164" s="4"/>
      <c r="F164" s="11"/>
      <c r="K164" s="12"/>
      <c r="P164" s="11"/>
    </row>
    <row r="165" spans="1:20" x14ac:dyDescent="0.25">
      <c r="C165" s="4"/>
      <c r="F165" s="11"/>
      <c r="K165" s="25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29">
    <mergeCell ref="V23:X23"/>
    <mergeCell ref="V24:X24"/>
    <mergeCell ref="V25:X25"/>
    <mergeCell ref="V26:X26"/>
    <mergeCell ref="V11:W11"/>
    <mergeCell ref="V12:W12"/>
    <mergeCell ref="V13:W13"/>
    <mergeCell ref="V14:W14"/>
    <mergeCell ref="V15:W15"/>
    <mergeCell ref="V16:W16"/>
    <mergeCell ref="V17:W17"/>
    <mergeCell ref="V10:W10"/>
    <mergeCell ref="V18:W18"/>
    <mergeCell ref="V19:X19"/>
    <mergeCell ref="W20:X20"/>
    <mergeCell ref="V21:W21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E4:F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X174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17130.995424726138</v>
      </c>
      <c r="G2" s="4">
        <f>SUM(C6:C174)</f>
        <v>6934.3099999999931</v>
      </c>
      <c r="H2" s="2">
        <f>F2/G2</f>
        <v>2.4704686442812847</v>
      </c>
      <c r="I2" s="2">
        <f>SUM(J6:J174)</f>
        <v>1937.7776464709932</v>
      </c>
      <c r="J2" s="2">
        <f>(1-(I2/(F2)))*100</f>
        <v>88.688470235220024</v>
      </c>
      <c r="K2" s="1"/>
      <c r="L2" s="1"/>
      <c r="M2" s="1"/>
      <c r="N2" s="1"/>
      <c r="O2" s="1"/>
      <c r="P2" s="2">
        <f>SUM(Q6:Q174)</f>
        <v>17302.871821363045</v>
      </c>
      <c r="Q2" s="2">
        <f>SUM(M6:M174)</f>
        <v>6895.0599999999931</v>
      </c>
      <c r="R2" s="2">
        <f>P2/Q2</f>
        <v>2.5094592101247941</v>
      </c>
      <c r="S2" s="2">
        <f>SUM(T6:T174)</f>
        <v>2036.1016943831694</v>
      </c>
      <c r="T2" s="2">
        <f>(1-(S2/(P2)))*100</f>
        <v>88.232579450370253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48" t="s">
        <v>71</v>
      </c>
      <c r="F4" s="32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48" t="s">
        <v>71</v>
      </c>
      <c r="P4" s="32"/>
      <c r="V4" s="34" t="s">
        <v>12</v>
      </c>
      <c r="W4" s="36"/>
      <c r="X4" s="6" t="s">
        <v>71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45790</v>
      </c>
    </row>
    <row r="6" spans="1:24" x14ac:dyDescent="0.25">
      <c r="A6" s="10">
        <v>0.46319444444444446</v>
      </c>
      <c r="B6" s="2">
        <v>1</v>
      </c>
      <c r="C6" s="4">
        <v>4.83</v>
      </c>
      <c r="D6" s="2">
        <v>1</v>
      </c>
      <c r="E6" s="2">
        <v>50.26548245743669</v>
      </c>
      <c r="F6" s="11">
        <f t="shared" ref="F6:F162" si="0">(D6/E6)*10</f>
        <v>0.19894367886486919</v>
      </c>
      <c r="G6" s="2">
        <f t="shared" ref="G6:G162" si="1">F6*C6</f>
        <v>0.96089796891731816</v>
      </c>
      <c r="H6" s="2">
        <f t="shared" ref="H6:H162" si="2">$H$2</f>
        <v>2.4704686442812847</v>
      </c>
      <c r="I6" s="2">
        <f t="shared" ref="I6:I162" si="3">H6*C6</f>
        <v>11.932363551878606</v>
      </c>
      <c r="J6" s="2">
        <f t="shared" ref="J6:J162" si="4">ABS(G6-I6)</f>
        <v>10.971465582961287</v>
      </c>
      <c r="K6" s="12">
        <v>0.43680555555555556</v>
      </c>
      <c r="L6" s="2">
        <v>1</v>
      </c>
      <c r="M6" s="2">
        <v>4.58</v>
      </c>
      <c r="N6" s="2">
        <v>0</v>
      </c>
      <c r="O6" s="2">
        <v>50.26548245743669</v>
      </c>
      <c r="P6" s="11">
        <f t="shared" ref="P6:P162" si="5">(N6/O6)*10</f>
        <v>0</v>
      </c>
      <c r="Q6" s="2">
        <f t="shared" ref="Q6:Q162" si="6">P6*M6</f>
        <v>0</v>
      </c>
      <c r="R6" s="2">
        <f t="shared" ref="R6:R162" si="7">$R$2</f>
        <v>2.5094592101247941</v>
      </c>
      <c r="S6" s="2">
        <f t="shared" ref="S6:S162" si="8">R6*M6</f>
        <v>11.493323182371558</v>
      </c>
      <c r="T6" s="2">
        <f t="shared" ref="T6:T162" si="9">ABS(Q6-S6)</f>
        <v>11.493323182371558</v>
      </c>
      <c r="V6" s="37" t="s">
        <v>23</v>
      </c>
      <c r="W6" s="36"/>
      <c r="X6" s="13" t="s">
        <v>72</v>
      </c>
    </row>
    <row r="7" spans="1:24" x14ac:dyDescent="0.25">
      <c r="A7" s="30">
        <f t="shared" ref="A7:A43" si="10">IF(AND($A$6&lt;&gt;"",$A$44&lt;&gt;""), $A$6 + (B7 - $B$6) * (($A$44 - $A$6) / ($B$44 - $B$6)), "")</f>
        <v>0.46339546783625735</v>
      </c>
      <c r="B7" s="2">
        <f t="shared" ref="B7:B162" si="11">B6+1</f>
        <v>2</v>
      </c>
      <c r="C7" s="4">
        <f t="shared" ref="C7:C109" si="12">C6+0.5</f>
        <v>5.33</v>
      </c>
      <c r="D7" s="2">
        <v>3.5</v>
      </c>
      <c r="E7" s="2">
        <v>50.26548245743669</v>
      </c>
      <c r="F7" s="11">
        <f t="shared" si="0"/>
        <v>0.69630287602704222</v>
      </c>
      <c r="G7" s="2">
        <f t="shared" si="1"/>
        <v>3.7112943292241352</v>
      </c>
      <c r="H7" s="2">
        <f t="shared" si="2"/>
        <v>2.4704686442812847</v>
      </c>
      <c r="I7" s="2">
        <f t="shared" si="3"/>
        <v>13.167597874019247</v>
      </c>
      <c r="J7" s="2">
        <f t="shared" si="4"/>
        <v>9.4563035447951123</v>
      </c>
      <c r="K7" s="15">
        <f t="shared" ref="K7:K43" si="13">IF(AND($K$6&lt;&gt;"",$K$44&lt;&gt;""), $K$6 + (L7 - $L$6) * (($K$44 - $K$6) / ($L$44 - $L$6)), "")</f>
        <v>0.4369517543859649</v>
      </c>
      <c r="L7" s="2">
        <f t="shared" ref="L7:L162" si="14">L6+1</f>
        <v>2</v>
      </c>
      <c r="M7" s="2">
        <f t="shared" ref="M7:M109" si="15">M6+0.5</f>
        <v>5.08</v>
      </c>
      <c r="N7" s="2">
        <v>3</v>
      </c>
      <c r="O7" s="2">
        <v>50.26548245743669</v>
      </c>
      <c r="P7" s="11">
        <f t="shared" si="5"/>
        <v>0.59683103659460746</v>
      </c>
      <c r="Q7" s="2">
        <f t="shared" si="6"/>
        <v>3.0319016659006057</v>
      </c>
      <c r="R7" s="2">
        <f t="shared" si="7"/>
        <v>2.5094592101247941</v>
      </c>
      <c r="S7" s="2">
        <f t="shared" si="8"/>
        <v>12.748052787433954</v>
      </c>
      <c r="T7" s="2">
        <f t="shared" si="9"/>
        <v>9.7161511215333487</v>
      </c>
      <c r="V7" s="37" t="s">
        <v>24</v>
      </c>
      <c r="W7" s="36"/>
      <c r="X7" s="6" t="s">
        <v>73</v>
      </c>
    </row>
    <row r="8" spans="1:24" x14ac:dyDescent="0.25">
      <c r="A8" s="30">
        <f t="shared" si="10"/>
        <v>0.46359649122807017</v>
      </c>
      <c r="B8" s="2">
        <f t="shared" si="11"/>
        <v>3</v>
      </c>
      <c r="C8" s="4">
        <f t="shared" si="12"/>
        <v>5.83</v>
      </c>
      <c r="D8" s="2">
        <v>7</v>
      </c>
      <c r="E8" s="2">
        <v>50.26548245743669</v>
      </c>
      <c r="F8" s="11">
        <f t="shared" si="0"/>
        <v>1.3926057520540844</v>
      </c>
      <c r="G8" s="2">
        <f t="shared" si="1"/>
        <v>8.1188915344753116</v>
      </c>
      <c r="H8" s="2">
        <f t="shared" si="2"/>
        <v>2.4704686442812847</v>
      </c>
      <c r="I8" s="2">
        <f t="shared" si="3"/>
        <v>14.40283219615989</v>
      </c>
      <c r="J8" s="2">
        <f t="shared" si="4"/>
        <v>6.2839406616845785</v>
      </c>
      <c r="K8" s="15">
        <f t="shared" si="13"/>
        <v>0.43709795321637429</v>
      </c>
      <c r="L8" s="2">
        <f t="shared" si="14"/>
        <v>3</v>
      </c>
      <c r="M8" s="2">
        <f t="shared" si="15"/>
        <v>5.58</v>
      </c>
      <c r="N8" s="2">
        <v>5.5</v>
      </c>
      <c r="O8" s="2">
        <v>50.26548245743669</v>
      </c>
      <c r="P8" s="11">
        <f t="shared" si="5"/>
        <v>1.0941902337567804</v>
      </c>
      <c r="Q8" s="2">
        <f t="shared" si="6"/>
        <v>6.105581504362835</v>
      </c>
      <c r="R8" s="2">
        <f t="shared" si="7"/>
        <v>2.5094592101247941</v>
      </c>
      <c r="S8" s="2">
        <f t="shared" si="8"/>
        <v>14.002782392496352</v>
      </c>
      <c r="T8" s="2">
        <f t="shared" si="9"/>
        <v>7.8972008881335167</v>
      </c>
      <c r="V8" s="34" t="s">
        <v>25</v>
      </c>
      <c r="W8" s="35"/>
      <c r="X8" s="36"/>
    </row>
    <row r="9" spans="1:24" x14ac:dyDescent="0.25">
      <c r="A9" s="30">
        <f t="shared" si="10"/>
        <v>0.46379751461988306</v>
      </c>
      <c r="B9" s="2">
        <f t="shared" si="11"/>
        <v>4</v>
      </c>
      <c r="C9" s="4">
        <f t="shared" si="12"/>
        <v>6.33</v>
      </c>
      <c r="D9" s="2">
        <v>7.5</v>
      </c>
      <c r="E9" s="2">
        <v>50.26548245743669</v>
      </c>
      <c r="F9" s="11">
        <f t="shared" si="0"/>
        <v>1.492077591486519</v>
      </c>
      <c r="G9" s="2">
        <f t="shared" si="1"/>
        <v>9.4448511541096654</v>
      </c>
      <c r="H9" s="2">
        <f t="shared" si="2"/>
        <v>2.4704686442812847</v>
      </c>
      <c r="I9" s="2">
        <f t="shared" si="3"/>
        <v>15.638066518300532</v>
      </c>
      <c r="J9" s="2">
        <f t="shared" si="4"/>
        <v>6.1932153641908663</v>
      </c>
      <c r="K9" s="15">
        <f t="shared" si="13"/>
        <v>0.43724415204678363</v>
      </c>
      <c r="L9" s="2">
        <f t="shared" si="14"/>
        <v>4</v>
      </c>
      <c r="M9" s="2">
        <f t="shared" si="15"/>
        <v>6.08</v>
      </c>
      <c r="N9" s="2">
        <v>7.5</v>
      </c>
      <c r="O9" s="2">
        <v>50.26548245743669</v>
      </c>
      <c r="P9" s="11">
        <f t="shared" si="5"/>
        <v>1.492077591486519</v>
      </c>
      <c r="Q9" s="2">
        <f t="shared" si="6"/>
        <v>9.0718317562380353</v>
      </c>
      <c r="R9" s="2">
        <f t="shared" si="7"/>
        <v>2.5094592101247941</v>
      </c>
      <c r="S9" s="2">
        <f t="shared" si="8"/>
        <v>15.257511997558748</v>
      </c>
      <c r="T9" s="2">
        <f t="shared" si="9"/>
        <v>6.1856802413207124</v>
      </c>
      <c r="V9" s="34" t="s">
        <v>26</v>
      </c>
      <c r="W9" s="36"/>
      <c r="X9" s="16">
        <v>0.30972222222222223</v>
      </c>
    </row>
    <row r="10" spans="1:24" x14ac:dyDescent="0.25">
      <c r="A10" s="30">
        <f t="shared" si="10"/>
        <v>0.46399853801169594</v>
      </c>
      <c r="B10" s="2">
        <f t="shared" si="11"/>
        <v>5</v>
      </c>
      <c r="C10" s="4">
        <f t="shared" si="12"/>
        <v>6.83</v>
      </c>
      <c r="D10" s="2">
        <v>8.5</v>
      </c>
      <c r="E10" s="2">
        <v>50.26548245743669</v>
      </c>
      <c r="F10" s="11">
        <f t="shared" si="0"/>
        <v>1.6910212703513881</v>
      </c>
      <c r="G10" s="2">
        <f t="shared" si="1"/>
        <v>11.549675276499981</v>
      </c>
      <c r="H10" s="2">
        <f t="shared" si="2"/>
        <v>2.4704686442812847</v>
      </c>
      <c r="I10" s="2">
        <f t="shared" si="3"/>
        <v>16.873300840441175</v>
      </c>
      <c r="J10" s="2">
        <f t="shared" si="4"/>
        <v>5.323625563941194</v>
      </c>
      <c r="K10" s="15">
        <f t="shared" si="13"/>
        <v>0.43739035087719297</v>
      </c>
      <c r="L10" s="2">
        <f t="shared" si="14"/>
        <v>5</v>
      </c>
      <c r="M10" s="2">
        <f t="shared" si="15"/>
        <v>6.58</v>
      </c>
      <c r="N10" s="2">
        <v>9</v>
      </c>
      <c r="O10" s="2">
        <v>50.26548245743669</v>
      </c>
      <c r="P10" s="11">
        <f t="shared" si="5"/>
        <v>1.7904931097838226</v>
      </c>
      <c r="Q10" s="2">
        <f t="shared" si="6"/>
        <v>11.781444662377552</v>
      </c>
      <c r="R10" s="2">
        <f t="shared" si="7"/>
        <v>2.5094592101247941</v>
      </c>
      <c r="S10" s="2">
        <f t="shared" si="8"/>
        <v>16.512241602621145</v>
      </c>
      <c r="T10" s="2">
        <f t="shared" si="9"/>
        <v>4.730796940243593</v>
      </c>
      <c r="V10" s="34" t="s">
        <v>27</v>
      </c>
      <c r="W10" s="36"/>
      <c r="X10" s="6">
        <v>50</v>
      </c>
    </row>
    <row r="11" spans="1:24" x14ac:dyDescent="0.25">
      <c r="A11" s="30">
        <f t="shared" si="10"/>
        <v>0.46419956140350876</v>
      </c>
      <c r="B11" s="2">
        <f t="shared" si="11"/>
        <v>6</v>
      </c>
      <c r="C11" s="4">
        <f t="shared" si="12"/>
        <v>7.33</v>
      </c>
      <c r="D11" s="2">
        <v>12</v>
      </c>
      <c r="E11" s="2">
        <v>50.26548245743669</v>
      </c>
      <c r="F11" s="11">
        <f t="shared" si="0"/>
        <v>2.3873241463784298</v>
      </c>
      <c r="G11" s="2">
        <f t="shared" si="1"/>
        <v>17.499085992953891</v>
      </c>
      <c r="H11" s="2">
        <f t="shared" si="2"/>
        <v>2.4704686442812847</v>
      </c>
      <c r="I11" s="2">
        <f t="shared" si="3"/>
        <v>18.108535162581816</v>
      </c>
      <c r="J11" s="2">
        <f t="shared" si="4"/>
        <v>0.60944916962792561</v>
      </c>
      <c r="K11" s="15">
        <f t="shared" si="13"/>
        <v>0.43753654970760236</v>
      </c>
      <c r="L11" s="2">
        <f t="shared" si="14"/>
        <v>6</v>
      </c>
      <c r="M11" s="2">
        <f t="shared" si="15"/>
        <v>7.08</v>
      </c>
      <c r="N11" s="2">
        <v>10</v>
      </c>
      <c r="O11" s="2">
        <v>50.26548245743669</v>
      </c>
      <c r="P11" s="11">
        <f t="shared" si="5"/>
        <v>1.9894367886486919</v>
      </c>
      <c r="Q11" s="2">
        <f t="shared" si="6"/>
        <v>14.08521246363274</v>
      </c>
      <c r="R11" s="2">
        <f t="shared" si="7"/>
        <v>2.5094592101247941</v>
      </c>
      <c r="S11" s="2">
        <f t="shared" si="8"/>
        <v>17.766971207683543</v>
      </c>
      <c r="T11" s="2">
        <f t="shared" si="9"/>
        <v>3.6817587440508035</v>
      </c>
      <c r="V11" s="34" t="s">
        <v>28</v>
      </c>
      <c r="W11" s="36"/>
      <c r="X11" s="6">
        <v>50</v>
      </c>
    </row>
    <row r="12" spans="1:24" x14ac:dyDescent="0.25">
      <c r="A12" s="30">
        <f t="shared" si="10"/>
        <v>0.46440058479532165</v>
      </c>
      <c r="B12" s="2">
        <f t="shared" si="11"/>
        <v>7</v>
      </c>
      <c r="C12" s="4">
        <f t="shared" si="12"/>
        <v>7.83</v>
      </c>
      <c r="D12" s="23">
        <v>14</v>
      </c>
      <c r="E12" s="2">
        <v>50.26548245743669</v>
      </c>
      <c r="F12" s="11">
        <f t="shared" si="0"/>
        <v>2.7852115041081689</v>
      </c>
      <c r="G12" s="2">
        <f t="shared" si="1"/>
        <v>21.808206077166961</v>
      </c>
      <c r="H12" s="2">
        <f t="shared" si="2"/>
        <v>2.4704686442812847</v>
      </c>
      <c r="I12" s="2">
        <f t="shared" si="3"/>
        <v>19.343769484722458</v>
      </c>
      <c r="J12" s="2">
        <f t="shared" si="4"/>
        <v>2.4644365924445033</v>
      </c>
      <c r="K12" s="15">
        <f t="shared" si="13"/>
        <v>0.4376827485380117</v>
      </c>
      <c r="L12" s="2">
        <f t="shared" si="14"/>
        <v>7</v>
      </c>
      <c r="M12" s="2">
        <f t="shared" si="15"/>
        <v>7.58</v>
      </c>
      <c r="N12" s="23">
        <v>14.5</v>
      </c>
      <c r="O12" s="2">
        <v>50.26548245743669</v>
      </c>
      <c r="P12" s="11">
        <f t="shared" si="5"/>
        <v>2.8846833435406034</v>
      </c>
      <c r="Q12" s="2">
        <f t="shared" si="6"/>
        <v>21.865899744037772</v>
      </c>
      <c r="R12" s="2">
        <f t="shared" si="7"/>
        <v>2.5094592101247941</v>
      </c>
      <c r="S12" s="2">
        <f t="shared" si="8"/>
        <v>19.021700812745941</v>
      </c>
      <c r="T12" s="2">
        <f t="shared" si="9"/>
        <v>2.8441989312918317</v>
      </c>
      <c r="V12" s="34" t="s">
        <v>29</v>
      </c>
      <c r="W12" s="36"/>
      <c r="X12" s="6">
        <v>50</v>
      </c>
    </row>
    <row r="13" spans="1:24" x14ac:dyDescent="0.25">
      <c r="A13" s="30">
        <f t="shared" si="10"/>
        <v>0.46460160818713453</v>
      </c>
      <c r="B13" s="2">
        <f t="shared" si="11"/>
        <v>8</v>
      </c>
      <c r="C13" s="4">
        <f t="shared" si="12"/>
        <v>8.33</v>
      </c>
      <c r="D13" s="2">
        <v>14.5</v>
      </c>
      <c r="E13" s="2">
        <v>50.26548245743669</v>
      </c>
      <c r="F13" s="11">
        <f t="shared" si="0"/>
        <v>2.8846833435406034</v>
      </c>
      <c r="G13" s="2">
        <f t="shared" si="1"/>
        <v>24.029412251693227</v>
      </c>
      <c r="H13" s="2">
        <f t="shared" si="2"/>
        <v>2.4704686442812847</v>
      </c>
      <c r="I13" s="2">
        <f t="shared" si="3"/>
        <v>20.579003806863103</v>
      </c>
      <c r="J13" s="2">
        <f t="shared" si="4"/>
        <v>3.4504084448301242</v>
      </c>
      <c r="K13" s="15">
        <f t="shared" si="13"/>
        <v>0.43782894736842104</v>
      </c>
      <c r="L13" s="2">
        <f t="shared" si="14"/>
        <v>8</v>
      </c>
      <c r="M13" s="2">
        <f t="shared" si="15"/>
        <v>8.08</v>
      </c>
      <c r="N13" s="2">
        <v>16</v>
      </c>
      <c r="O13" s="2">
        <v>50.26548245743669</v>
      </c>
      <c r="P13" s="11">
        <f t="shared" si="5"/>
        <v>3.183098861837907</v>
      </c>
      <c r="Q13" s="2">
        <f t="shared" si="6"/>
        <v>25.719438803650288</v>
      </c>
      <c r="R13" s="2">
        <f t="shared" si="7"/>
        <v>2.5094592101247941</v>
      </c>
      <c r="S13" s="2">
        <f t="shared" si="8"/>
        <v>20.276430417808335</v>
      </c>
      <c r="T13" s="2">
        <f t="shared" si="9"/>
        <v>5.4430083858419529</v>
      </c>
      <c r="V13" s="34" t="s">
        <v>30</v>
      </c>
      <c r="W13" s="36"/>
      <c r="X13" s="16">
        <v>0.49027777777777776</v>
      </c>
    </row>
    <row r="14" spans="1:24" x14ac:dyDescent="0.25">
      <c r="A14" s="30">
        <f t="shared" si="10"/>
        <v>0.46480263157894736</v>
      </c>
      <c r="B14" s="2">
        <f t="shared" si="11"/>
        <v>9</v>
      </c>
      <c r="C14" s="4">
        <f t="shared" si="12"/>
        <v>8.83</v>
      </c>
      <c r="D14" s="2">
        <v>16.5</v>
      </c>
      <c r="E14" s="2">
        <v>50.26548245743669</v>
      </c>
      <c r="F14" s="11">
        <f t="shared" si="0"/>
        <v>3.2825707012703416</v>
      </c>
      <c r="G14" s="2">
        <f t="shared" si="1"/>
        <v>28.985099292217114</v>
      </c>
      <c r="H14" s="2">
        <f t="shared" si="2"/>
        <v>2.4704686442812847</v>
      </c>
      <c r="I14" s="2">
        <f t="shared" si="3"/>
        <v>21.814238129003744</v>
      </c>
      <c r="J14" s="2">
        <f t="shared" si="4"/>
        <v>7.1708611632133703</v>
      </c>
      <c r="K14" s="15">
        <f t="shared" si="13"/>
        <v>0.43797514619883043</v>
      </c>
      <c r="L14" s="2">
        <f t="shared" si="14"/>
        <v>9</v>
      </c>
      <c r="M14" s="2">
        <f t="shared" si="15"/>
        <v>8.58</v>
      </c>
      <c r="N14" s="2">
        <v>16.5</v>
      </c>
      <c r="O14" s="2">
        <v>50.26548245743669</v>
      </c>
      <c r="P14" s="11">
        <f t="shared" si="5"/>
        <v>3.2825707012703416</v>
      </c>
      <c r="Q14" s="2">
        <f t="shared" si="6"/>
        <v>28.164456616899532</v>
      </c>
      <c r="R14" s="2">
        <f t="shared" si="7"/>
        <v>2.5094592101247941</v>
      </c>
      <c r="S14" s="2">
        <f t="shared" si="8"/>
        <v>21.531160022870733</v>
      </c>
      <c r="T14" s="2">
        <f t="shared" si="9"/>
        <v>6.6332965940287991</v>
      </c>
      <c r="V14" s="34" t="s">
        <v>31</v>
      </c>
      <c r="W14" s="36"/>
      <c r="X14" s="6">
        <v>46</v>
      </c>
    </row>
    <row r="15" spans="1:24" x14ac:dyDescent="0.25">
      <c r="A15" s="30">
        <f t="shared" si="10"/>
        <v>0.46500365497076024</v>
      </c>
      <c r="B15" s="2">
        <f t="shared" si="11"/>
        <v>10</v>
      </c>
      <c r="C15" s="4">
        <f t="shared" si="12"/>
        <v>9.33</v>
      </c>
      <c r="D15" s="2">
        <v>16.5</v>
      </c>
      <c r="E15" s="2">
        <v>50.26548245743669</v>
      </c>
      <c r="F15" s="11">
        <f t="shared" si="0"/>
        <v>3.2825707012703416</v>
      </c>
      <c r="G15" s="2">
        <f t="shared" si="1"/>
        <v>30.626384642852287</v>
      </c>
      <c r="H15" s="2">
        <f t="shared" si="2"/>
        <v>2.4704686442812847</v>
      </c>
      <c r="I15" s="2">
        <f t="shared" si="3"/>
        <v>23.049472451144386</v>
      </c>
      <c r="J15" s="2">
        <f t="shared" si="4"/>
        <v>7.5769121917079012</v>
      </c>
      <c r="K15" s="15">
        <f t="shared" si="13"/>
        <v>0.43812134502923977</v>
      </c>
      <c r="L15" s="2">
        <f t="shared" si="14"/>
        <v>10</v>
      </c>
      <c r="M15" s="2">
        <f t="shared" si="15"/>
        <v>9.08</v>
      </c>
      <c r="N15" s="2">
        <v>17.5</v>
      </c>
      <c r="O15" s="2">
        <v>50.26548245743669</v>
      </c>
      <c r="P15" s="11">
        <f t="shared" si="5"/>
        <v>3.4815143801352106</v>
      </c>
      <c r="Q15" s="2">
        <f t="shared" si="6"/>
        <v>31.612150571627712</v>
      </c>
      <c r="R15" s="2">
        <f t="shared" si="7"/>
        <v>2.5094592101247941</v>
      </c>
      <c r="S15" s="2">
        <f t="shared" si="8"/>
        <v>22.78588962793313</v>
      </c>
      <c r="T15" s="2">
        <f t="shared" si="9"/>
        <v>8.8262609436945816</v>
      </c>
      <c r="V15" s="34" t="s">
        <v>32</v>
      </c>
      <c r="W15" s="36"/>
      <c r="X15" s="6">
        <v>45</v>
      </c>
    </row>
    <row r="16" spans="1:24" x14ac:dyDescent="0.25">
      <c r="A16" s="30">
        <f t="shared" si="10"/>
        <v>0.46520467836257312</v>
      </c>
      <c r="B16" s="2">
        <f t="shared" si="11"/>
        <v>11</v>
      </c>
      <c r="C16" s="4">
        <f t="shared" si="12"/>
        <v>9.83</v>
      </c>
      <c r="D16" s="2">
        <v>19.5</v>
      </c>
      <c r="E16" s="2">
        <v>50.26548245743669</v>
      </c>
      <c r="F16" s="11">
        <f t="shared" si="0"/>
        <v>3.8794017378649488</v>
      </c>
      <c r="G16" s="2">
        <f t="shared" si="1"/>
        <v>38.134519083212446</v>
      </c>
      <c r="H16" s="2">
        <f t="shared" si="2"/>
        <v>2.4704686442812847</v>
      </c>
      <c r="I16" s="2">
        <f t="shared" si="3"/>
        <v>24.284706773285027</v>
      </c>
      <c r="J16" s="2">
        <f t="shared" si="4"/>
        <v>13.849812309927419</v>
      </c>
      <c r="K16" s="15">
        <f t="shared" si="13"/>
        <v>0.43826754385964911</v>
      </c>
      <c r="L16" s="2">
        <f t="shared" si="14"/>
        <v>11</v>
      </c>
      <c r="M16" s="2">
        <f t="shared" si="15"/>
        <v>9.58</v>
      </c>
      <c r="N16" s="2">
        <v>18</v>
      </c>
      <c r="O16" s="2">
        <v>50.26548245743669</v>
      </c>
      <c r="P16" s="11">
        <f t="shared" si="5"/>
        <v>3.5809862195676452</v>
      </c>
      <c r="Q16" s="2">
        <f t="shared" si="6"/>
        <v>34.305847983458044</v>
      </c>
      <c r="R16" s="2">
        <f t="shared" si="7"/>
        <v>2.5094592101247941</v>
      </c>
      <c r="S16" s="2">
        <f t="shared" si="8"/>
        <v>24.040619232995528</v>
      </c>
      <c r="T16" s="2">
        <f t="shared" si="9"/>
        <v>10.265228750462516</v>
      </c>
      <c r="V16" s="34" t="s">
        <v>33</v>
      </c>
      <c r="W16" s="36"/>
      <c r="X16" s="6">
        <v>46</v>
      </c>
    </row>
    <row r="17" spans="1:24" x14ac:dyDescent="0.25">
      <c r="A17" s="30">
        <f t="shared" si="10"/>
        <v>0.465405701754386</v>
      </c>
      <c r="B17" s="2">
        <f t="shared" si="11"/>
        <v>12</v>
      </c>
      <c r="C17" s="4">
        <f t="shared" si="12"/>
        <v>10.33</v>
      </c>
      <c r="D17" s="2">
        <v>18.5</v>
      </c>
      <c r="E17" s="2">
        <v>50.26548245743669</v>
      </c>
      <c r="F17" s="11">
        <f t="shared" si="0"/>
        <v>3.6804580590000797</v>
      </c>
      <c r="G17" s="2">
        <f t="shared" si="1"/>
        <v>38.019131749470823</v>
      </c>
      <c r="H17" s="2">
        <f t="shared" si="2"/>
        <v>2.4704686442812847</v>
      </c>
      <c r="I17" s="2">
        <f t="shared" si="3"/>
        <v>25.519941095425672</v>
      </c>
      <c r="J17" s="2">
        <f t="shared" si="4"/>
        <v>12.499190654045151</v>
      </c>
      <c r="K17" s="15">
        <f t="shared" si="13"/>
        <v>0.43841374269005845</v>
      </c>
      <c r="L17" s="2">
        <f t="shared" si="14"/>
        <v>12</v>
      </c>
      <c r="M17" s="2">
        <f t="shared" si="15"/>
        <v>10.08</v>
      </c>
      <c r="N17" s="2">
        <v>20.5</v>
      </c>
      <c r="O17" s="2">
        <v>50.26548245743669</v>
      </c>
      <c r="P17" s="11">
        <f t="shared" si="5"/>
        <v>4.0783454167298183</v>
      </c>
      <c r="Q17" s="2">
        <f t="shared" si="6"/>
        <v>41.109721800636571</v>
      </c>
      <c r="R17" s="2">
        <f t="shared" si="7"/>
        <v>2.5094592101247941</v>
      </c>
      <c r="S17" s="2">
        <f t="shared" si="8"/>
        <v>25.295348838057926</v>
      </c>
      <c r="T17" s="2">
        <f t="shared" si="9"/>
        <v>15.814372962578645</v>
      </c>
      <c r="V17" s="38" t="s">
        <v>34</v>
      </c>
      <c r="W17" s="36"/>
      <c r="X17" s="17">
        <f>((X10-X14)+(X11-X15)+(X12-X16))/3</f>
        <v>4.333333333333333</v>
      </c>
    </row>
    <row r="18" spans="1:24" x14ac:dyDescent="0.25">
      <c r="A18" s="30">
        <f t="shared" si="10"/>
        <v>0.46560672514619883</v>
      </c>
      <c r="B18" s="2">
        <f t="shared" si="11"/>
        <v>13</v>
      </c>
      <c r="C18" s="4">
        <f t="shared" si="12"/>
        <v>10.83</v>
      </c>
      <c r="D18" s="2">
        <v>18</v>
      </c>
      <c r="E18" s="2">
        <v>50.26548245743669</v>
      </c>
      <c r="F18" s="11">
        <f t="shared" si="0"/>
        <v>3.5809862195676452</v>
      </c>
      <c r="G18" s="2">
        <f t="shared" si="1"/>
        <v>38.782080757917598</v>
      </c>
      <c r="H18" s="2">
        <f t="shared" si="2"/>
        <v>2.4704686442812847</v>
      </c>
      <c r="I18" s="2">
        <f t="shared" si="3"/>
        <v>26.755175417566313</v>
      </c>
      <c r="J18" s="2">
        <f t="shared" si="4"/>
        <v>12.026905340351284</v>
      </c>
      <c r="K18" s="15">
        <f t="shared" si="13"/>
        <v>0.43855994152046784</v>
      </c>
      <c r="L18" s="2">
        <f t="shared" si="14"/>
        <v>13</v>
      </c>
      <c r="M18" s="2">
        <f t="shared" si="15"/>
        <v>10.58</v>
      </c>
      <c r="N18" s="2">
        <v>18.5</v>
      </c>
      <c r="O18" s="2">
        <v>50.26548245743669</v>
      </c>
      <c r="P18" s="11">
        <f t="shared" si="5"/>
        <v>3.6804580590000797</v>
      </c>
      <c r="Q18" s="2">
        <f t="shared" si="6"/>
        <v>38.939246264220841</v>
      </c>
      <c r="R18" s="2">
        <f t="shared" si="7"/>
        <v>2.5094592101247941</v>
      </c>
      <c r="S18" s="2">
        <f t="shared" si="8"/>
        <v>26.550078443120324</v>
      </c>
      <c r="T18" s="2">
        <f t="shared" si="9"/>
        <v>12.389167821100518</v>
      </c>
      <c r="V18" s="38" t="s">
        <v>35</v>
      </c>
      <c r="W18" s="36"/>
      <c r="X18" s="18" t="s">
        <v>41</v>
      </c>
    </row>
    <row r="19" spans="1:24" x14ac:dyDescent="0.25">
      <c r="A19" s="30">
        <f t="shared" si="10"/>
        <v>0.46580774853801171</v>
      </c>
      <c r="B19" s="2">
        <f t="shared" si="11"/>
        <v>14</v>
      </c>
      <c r="C19" s="4">
        <f t="shared" si="12"/>
        <v>11.33</v>
      </c>
      <c r="D19" s="2">
        <v>17</v>
      </c>
      <c r="E19" s="2">
        <v>50.26548245743669</v>
      </c>
      <c r="F19" s="11">
        <f t="shared" si="0"/>
        <v>3.3820425407027761</v>
      </c>
      <c r="G19" s="2">
        <f t="shared" si="1"/>
        <v>38.318541986162451</v>
      </c>
      <c r="H19" s="2">
        <f t="shared" si="2"/>
        <v>2.4704686442812847</v>
      </c>
      <c r="I19" s="2">
        <f t="shared" si="3"/>
        <v>27.990409739706955</v>
      </c>
      <c r="J19" s="2">
        <f t="shared" si="4"/>
        <v>10.328132246455496</v>
      </c>
      <c r="K19" s="15">
        <f t="shared" si="13"/>
        <v>0.43870614035087718</v>
      </c>
      <c r="L19" s="2">
        <f t="shared" si="14"/>
        <v>14</v>
      </c>
      <c r="M19" s="2">
        <f t="shared" si="15"/>
        <v>11.08</v>
      </c>
      <c r="N19" s="2">
        <v>17</v>
      </c>
      <c r="O19" s="2">
        <v>50.26548245743669</v>
      </c>
      <c r="P19" s="11">
        <f t="shared" si="5"/>
        <v>3.3820425407027761</v>
      </c>
      <c r="Q19" s="2">
        <f t="shared" si="6"/>
        <v>37.473031350986759</v>
      </c>
      <c r="R19" s="2">
        <f t="shared" si="7"/>
        <v>2.5094592101247941</v>
      </c>
      <c r="S19" s="2">
        <f t="shared" si="8"/>
        <v>27.804808048182718</v>
      </c>
      <c r="T19" s="2">
        <f t="shared" si="9"/>
        <v>9.6682233028040407</v>
      </c>
      <c r="V19" s="39" t="s">
        <v>37</v>
      </c>
      <c r="W19" s="35"/>
      <c r="X19" s="36"/>
    </row>
    <row r="20" spans="1:24" x14ac:dyDescent="0.25">
      <c r="A20" s="30">
        <f t="shared" si="10"/>
        <v>0.46600877192982459</v>
      </c>
      <c r="B20" s="2">
        <f t="shared" si="11"/>
        <v>15</v>
      </c>
      <c r="C20" s="4">
        <f t="shared" si="12"/>
        <v>11.83</v>
      </c>
      <c r="D20" s="2">
        <v>16.5</v>
      </c>
      <c r="E20" s="2">
        <v>50.26548245743669</v>
      </c>
      <c r="F20" s="11">
        <f t="shared" si="0"/>
        <v>3.2825707012703416</v>
      </c>
      <c r="G20" s="2">
        <f t="shared" si="1"/>
        <v>38.832811396028141</v>
      </c>
      <c r="H20" s="2">
        <f t="shared" si="2"/>
        <v>2.4704686442812847</v>
      </c>
      <c r="I20" s="2">
        <f t="shared" si="3"/>
        <v>29.225644061847596</v>
      </c>
      <c r="J20" s="2">
        <f t="shared" si="4"/>
        <v>9.607167334180545</v>
      </c>
      <c r="K20" s="15">
        <f t="shared" si="13"/>
        <v>0.43885233918128652</v>
      </c>
      <c r="L20" s="2">
        <f t="shared" si="14"/>
        <v>15</v>
      </c>
      <c r="M20" s="2">
        <f t="shared" si="15"/>
        <v>11.58</v>
      </c>
      <c r="N20" s="2">
        <v>18</v>
      </c>
      <c r="O20" s="2">
        <v>50.26548245743669</v>
      </c>
      <c r="P20" s="11">
        <f t="shared" si="5"/>
        <v>3.5809862195676452</v>
      </c>
      <c r="Q20" s="2">
        <f t="shared" si="6"/>
        <v>41.467820422593334</v>
      </c>
      <c r="R20" s="2">
        <f t="shared" si="7"/>
        <v>2.5094592101247941</v>
      </c>
      <c r="S20" s="2">
        <f t="shared" si="8"/>
        <v>29.059537653245116</v>
      </c>
      <c r="T20" s="2">
        <f t="shared" si="9"/>
        <v>12.408282769348219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30">
        <f t="shared" si="10"/>
        <v>0.46620979532163742</v>
      </c>
      <c r="B21" s="2">
        <f t="shared" si="11"/>
        <v>16</v>
      </c>
      <c r="C21" s="4">
        <f t="shared" si="12"/>
        <v>12.33</v>
      </c>
      <c r="D21" s="2">
        <v>16</v>
      </c>
      <c r="E21" s="2">
        <v>50.26548245743669</v>
      </c>
      <c r="F21" s="11">
        <f t="shared" si="0"/>
        <v>3.183098861837907</v>
      </c>
      <c r="G21" s="2">
        <f t="shared" si="1"/>
        <v>39.247608966461392</v>
      </c>
      <c r="H21" s="2">
        <f t="shared" si="2"/>
        <v>2.4704686442812847</v>
      </c>
      <c r="I21" s="2">
        <f t="shared" si="3"/>
        <v>30.460878383988241</v>
      </c>
      <c r="J21" s="2">
        <f t="shared" si="4"/>
        <v>8.786730582473151</v>
      </c>
      <c r="K21" s="15">
        <f t="shared" si="13"/>
        <v>0.43899853801169592</v>
      </c>
      <c r="L21" s="2">
        <f t="shared" si="14"/>
        <v>16</v>
      </c>
      <c r="M21" s="2">
        <f t="shared" si="15"/>
        <v>12.08</v>
      </c>
      <c r="N21" s="2">
        <v>18.5</v>
      </c>
      <c r="O21" s="2">
        <v>50.26548245743669</v>
      </c>
      <c r="P21" s="11">
        <f t="shared" si="5"/>
        <v>3.6804580590000797</v>
      </c>
      <c r="Q21" s="2">
        <f t="shared" si="6"/>
        <v>44.459933352720967</v>
      </c>
      <c r="R21" s="2">
        <f t="shared" si="7"/>
        <v>2.5094592101247941</v>
      </c>
      <c r="S21" s="2">
        <f t="shared" si="8"/>
        <v>30.314267258307513</v>
      </c>
      <c r="T21" s="2">
        <f t="shared" si="9"/>
        <v>14.145666094413453</v>
      </c>
      <c r="V21" s="39" t="s">
        <v>39</v>
      </c>
      <c r="W21" s="36"/>
      <c r="X21" s="20">
        <f>(J2+T2)/2</f>
        <v>88.460524842795138</v>
      </c>
    </row>
    <row r="22" spans="1:24" x14ac:dyDescent="0.25">
      <c r="A22" s="30">
        <f t="shared" si="10"/>
        <v>0.4664108187134503</v>
      </c>
      <c r="B22" s="2">
        <f t="shared" si="11"/>
        <v>17</v>
      </c>
      <c r="C22" s="4">
        <f t="shared" si="12"/>
        <v>12.83</v>
      </c>
      <c r="D22" s="2">
        <v>13</v>
      </c>
      <c r="E22" s="2">
        <v>50.26548245743669</v>
      </c>
      <c r="F22" s="11">
        <f t="shared" si="0"/>
        <v>2.5862678252432989</v>
      </c>
      <c r="G22" s="2">
        <f t="shared" si="1"/>
        <v>33.181816197871527</v>
      </c>
      <c r="H22" s="2">
        <f t="shared" si="2"/>
        <v>2.4704686442812847</v>
      </c>
      <c r="I22" s="2">
        <f t="shared" si="3"/>
        <v>31.696112706128883</v>
      </c>
      <c r="J22" s="2">
        <f t="shared" si="4"/>
        <v>1.4857034917426439</v>
      </c>
      <c r="K22" s="15">
        <f t="shared" si="13"/>
        <v>0.43914473684210525</v>
      </c>
      <c r="L22" s="2">
        <f t="shared" si="14"/>
        <v>17</v>
      </c>
      <c r="M22" s="2">
        <f t="shared" si="15"/>
        <v>12.58</v>
      </c>
      <c r="N22" s="2">
        <v>15</v>
      </c>
      <c r="O22" s="2">
        <v>50.26548245743669</v>
      </c>
      <c r="P22" s="11">
        <f t="shared" si="5"/>
        <v>2.9841551829730379</v>
      </c>
      <c r="Q22" s="2">
        <f t="shared" si="6"/>
        <v>37.540672201800817</v>
      </c>
      <c r="R22" s="2">
        <f t="shared" si="7"/>
        <v>2.5094592101247941</v>
      </c>
      <c r="S22" s="2">
        <f t="shared" si="8"/>
        <v>31.568996863369911</v>
      </c>
      <c r="T22" s="2">
        <f t="shared" si="9"/>
        <v>5.9716753384309058</v>
      </c>
      <c r="V22" s="27"/>
      <c r="W22" s="27"/>
      <c r="X22" s="28"/>
    </row>
    <row r="23" spans="1:24" x14ac:dyDescent="0.25">
      <c r="A23" s="30">
        <f t="shared" si="10"/>
        <v>0.46661184210526319</v>
      </c>
      <c r="B23" s="2">
        <f t="shared" si="11"/>
        <v>18</v>
      </c>
      <c r="C23" s="4">
        <f t="shared" si="12"/>
        <v>13.33</v>
      </c>
      <c r="D23" s="2">
        <v>13</v>
      </c>
      <c r="E23" s="2">
        <v>50.26548245743669</v>
      </c>
      <c r="F23" s="11">
        <f t="shared" si="0"/>
        <v>2.5862678252432989</v>
      </c>
      <c r="G23" s="2">
        <f t="shared" si="1"/>
        <v>34.474950110493175</v>
      </c>
      <c r="H23" s="2">
        <f t="shared" si="2"/>
        <v>2.4704686442812847</v>
      </c>
      <c r="I23" s="2">
        <f t="shared" si="3"/>
        <v>32.931347028269528</v>
      </c>
      <c r="J23" s="2">
        <f t="shared" si="4"/>
        <v>1.5436030822236475</v>
      </c>
      <c r="K23" s="15">
        <f t="shared" si="13"/>
        <v>0.43929093567251459</v>
      </c>
      <c r="L23" s="2">
        <f t="shared" si="14"/>
        <v>18</v>
      </c>
      <c r="M23" s="2">
        <f t="shared" si="15"/>
        <v>13.08</v>
      </c>
      <c r="N23" s="2">
        <v>13.5</v>
      </c>
      <c r="O23" s="2">
        <v>50.26548245743669</v>
      </c>
      <c r="P23" s="11">
        <f t="shared" si="5"/>
        <v>2.6857396646757339</v>
      </c>
      <c r="Q23" s="2">
        <f t="shared" si="6"/>
        <v>35.129474813958602</v>
      </c>
      <c r="R23" s="2">
        <f t="shared" si="7"/>
        <v>2.5094592101247941</v>
      </c>
      <c r="S23" s="2">
        <f t="shared" si="8"/>
        <v>32.823726468432305</v>
      </c>
      <c r="T23" s="2">
        <f t="shared" si="9"/>
        <v>2.3057483455262968</v>
      </c>
      <c r="V23" s="34" t="s">
        <v>45</v>
      </c>
      <c r="W23" s="35"/>
      <c r="X23" s="36"/>
    </row>
    <row r="24" spans="1:24" x14ac:dyDescent="0.25">
      <c r="A24" s="30">
        <f t="shared" si="10"/>
        <v>0.46681286549707601</v>
      </c>
      <c r="B24" s="2">
        <f t="shared" si="11"/>
        <v>19</v>
      </c>
      <c r="C24" s="4">
        <f t="shared" si="12"/>
        <v>13.83</v>
      </c>
      <c r="D24" s="2">
        <v>13.5</v>
      </c>
      <c r="E24" s="2">
        <v>50.26548245743669</v>
      </c>
      <c r="F24" s="11">
        <f t="shared" si="0"/>
        <v>2.6857396646757339</v>
      </c>
      <c r="G24" s="2">
        <f t="shared" si="1"/>
        <v>37.143779562465397</v>
      </c>
      <c r="H24" s="2">
        <f t="shared" si="2"/>
        <v>2.4704686442812847</v>
      </c>
      <c r="I24" s="2">
        <f t="shared" si="3"/>
        <v>34.166581350410169</v>
      </c>
      <c r="J24" s="2">
        <f t="shared" si="4"/>
        <v>2.9771982120552281</v>
      </c>
      <c r="K24" s="15">
        <f t="shared" si="13"/>
        <v>0.43943713450292399</v>
      </c>
      <c r="L24" s="2">
        <f t="shared" si="14"/>
        <v>19</v>
      </c>
      <c r="M24" s="2">
        <f t="shared" si="15"/>
        <v>13.58</v>
      </c>
      <c r="N24" s="2">
        <v>13.5</v>
      </c>
      <c r="O24" s="2">
        <v>50.26548245743669</v>
      </c>
      <c r="P24" s="11">
        <f t="shared" si="5"/>
        <v>2.6857396646757339</v>
      </c>
      <c r="Q24" s="2">
        <f t="shared" si="6"/>
        <v>36.472344646296463</v>
      </c>
      <c r="R24" s="2">
        <f t="shared" si="7"/>
        <v>2.5094592101247941</v>
      </c>
      <c r="S24" s="2">
        <f t="shared" si="8"/>
        <v>34.078456073494706</v>
      </c>
      <c r="T24" s="2">
        <f t="shared" si="9"/>
        <v>2.3938885728017567</v>
      </c>
      <c r="V24" s="49" t="s">
        <v>46</v>
      </c>
      <c r="W24" s="35"/>
      <c r="X24" s="36"/>
    </row>
    <row r="25" spans="1:24" x14ac:dyDescent="0.25">
      <c r="A25" s="30">
        <f t="shared" si="10"/>
        <v>0.4670138888888889</v>
      </c>
      <c r="B25" s="2">
        <f t="shared" si="11"/>
        <v>20</v>
      </c>
      <c r="C25" s="4">
        <f t="shared" si="12"/>
        <v>14.33</v>
      </c>
      <c r="D25" s="2">
        <v>13</v>
      </c>
      <c r="E25" s="2">
        <v>50.26548245743669</v>
      </c>
      <c r="F25" s="11">
        <f t="shared" si="0"/>
        <v>2.5862678252432989</v>
      </c>
      <c r="G25" s="2">
        <f t="shared" si="1"/>
        <v>37.061217935736472</v>
      </c>
      <c r="H25" s="2">
        <f t="shared" si="2"/>
        <v>2.4704686442812847</v>
      </c>
      <c r="I25" s="2">
        <f t="shared" si="3"/>
        <v>35.401815672550811</v>
      </c>
      <c r="J25" s="2">
        <f t="shared" si="4"/>
        <v>1.6594022631856618</v>
      </c>
      <c r="K25" s="15">
        <f t="shared" si="13"/>
        <v>0.43958333333333333</v>
      </c>
      <c r="L25" s="2">
        <f t="shared" si="14"/>
        <v>20</v>
      </c>
      <c r="M25" s="2">
        <f t="shared" si="15"/>
        <v>14.08</v>
      </c>
      <c r="N25" s="2">
        <v>14</v>
      </c>
      <c r="O25" s="2">
        <v>50.26548245743669</v>
      </c>
      <c r="P25" s="11">
        <f t="shared" si="5"/>
        <v>2.7852115041081689</v>
      </c>
      <c r="Q25" s="2">
        <f t="shared" si="6"/>
        <v>39.215777977843018</v>
      </c>
      <c r="R25" s="2">
        <f t="shared" si="7"/>
        <v>2.5094592101247941</v>
      </c>
      <c r="S25" s="2">
        <f t="shared" si="8"/>
        <v>35.333185678557101</v>
      </c>
      <c r="T25" s="2">
        <f t="shared" si="9"/>
        <v>3.8825922992859176</v>
      </c>
      <c r="V25" s="34" t="s">
        <v>47</v>
      </c>
      <c r="W25" s="35"/>
      <c r="X25" s="36"/>
    </row>
    <row r="26" spans="1:24" x14ac:dyDescent="0.25">
      <c r="A26" s="30">
        <f t="shared" si="10"/>
        <v>0.46721491228070178</v>
      </c>
      <c r="B26" s="2">
        <f t="shared" si="11"/>
        <v>21</v>
      </c>
      <c r="C26" s="4">
        <f t="shared" si="12"/>
        <v>14.83</v>
      </c>
      <c r="D26" s="2">
        <v>12.5</v>
      </c>
      <c r="E26" s="2">
        <v>50.26548245743669</v>
      </c>
      <c r="F26" s="11">
        <f t="shared" si="0"/>
        <v>2.4867959858108648</v>
      </c>
      <c r="G26" s="2">
        <f t="shared" si="1"/>
        <v>36.879184469575122</v>
      </c>
      <c r="H26" s="2">
        <f t="shared" si="2"/>
        <v>2.4704686442812847</v>
      </c>
      <c r="I26" s="2">
        <f t="shared" si="3"/>
        <v>36.637049994691452</v>
      </c>
      <c r="J26" s="2">
        <f t="shared" si="4"/>
        <v>0.24213447488367024</v>
      </c>
      <c r="K26" s="15">
        <f t="shared" si="13"/>
        <v>0.43972953216374266</v>
      </c>
      <c r="L26" s="2">
        <f t="shared" si="14"/>
        <v>21</v>
      </c>
      <c r="M26" s="2">
        <f t="shared" si="15"/>
        <v>14.58</v>
      </c>
      <c r="N26" s="2">
        <v>12.5</v>
      </c>
      <c r="O26" s="2">
        <v>50.26548245743669</v>
      </c>
      <c r="P26" s="11">
        <f t="shared" si="5"/>
        <v>2.4867959858108648</v>
      </c>
      <c r="Q26" s="2">
        <f t="shared" si="6"/>
        <v>36.257485473122408</v>
      </c>
      <c r="R26" s="2">
        <f t="shared" si="7"/>
        <v>2.5094592101247941</v>
      </c>
      <c r="S26" s="2">
        <f t="shared" si="8"/>
        <v>36.587915283619502</v>
      </c>
      <c r="T26" s="2">
        <f t="shared" si="9"/>
        <v>0.33042981049709397</v>
      </c>
      <c r="V26" s="49" t="s">
        <v>48</v>
      </c>
      <c r="W26" s="35"/>
      <c r="X26" s="36"/>
    </row>
    <row r="27" spans="1:24" x14ac:dyDescent="0.25">
      <c r="A27" s="30">
        <f t="shared" si="10"/>
        <v>0.4674159356725146</v>
      </c>
      <c r="B27" s="2">
        <f t="shared" si="11"/>
        <v>22</v>
      </c>
      <c r="C27" s="4">
        <f t="shared" si="12"/>
        <v>15.33</v>
      </c>
      <c r="D27" s="2">
        <v>10</v>
      </c>
      <c r="E27" s="2">
        <v>50.26548245743669</v>
      </c>
      <c r="F27" s="11">
        <f t="shared" si="0"/>
        <v>1.9894367886486919</v>
      </c>
      <c r="G27" s="2">
        <f t="shared" si="1"/>
        <v>30.498065969984445</v>
      </c>
      <c r="H27" s="2">
        <f t="shared" si="2"/>
        <v>2.4704686442812847</v>
      </c>
      <c r="I27" s="2">
        <f t="shared" si="3"/>
        <v>37.872284316832094</v>
      </c>
      <c r="J27" s="2">
        <f t="shared" si="4"/>
        <v>7.3742183468476483</v>
      </c>
      <c r="K27" s="15">
        <f t="shared" si="13"/>
        <v>0.43987573099415206</v>
      </c>
      <c r="L27" s="2">
        <f t="shared" si="14"/>
        <v>22</v>
      </c>
      <c r="M27" s="2">
        <f t="shared" si="15"/>
        <v>15.08</v>
      </c>
      <c r="N27" s="2">
        <v>12.5</v>
      </c>
      <c r="O27" s="2">
        <v>50.26548245743669</v>
      </c>
      <c r="P27" s="11">
        <f t="shared" si="5"/>
        <v>2.4867959858108648</v>
      </c>
      <c r="Q27" s="2">
        <f t="shared" si="6"/>
        <v>37.500883466027844</v>
      </c>
      <c r="R27" s="2">
        <f t="shared" si="7"/>
        <v>2.5094592101247941</v>
      </c>
      <c r="S27" s="2">
        <f t="shared" si="8"/>
        <v>37.842644888681896</v>
      </c>
      <c r="T27" s="2">
        <f t="shared" si="9"/>
        <v>0.34176142265405218</v>
      </c>
      <c r="V27" s="29"/>
      <c r="W27" s="29"/>
      <c r="X27" s="29"/>
    </row>
    <row r="28" spans="1:24" x14ac:dyDescent="0.25">
      <c r="A28" s="30">
        <f t="shared" si="10"/>
        <v>0.46761695906432749</v>
      </c>
      <c r="B28" s="2">
        <f t="shared" si="11"/>
        <v>23</v>
      </c>
      <c r="C28" s="4">
        <f t="shared" si="12"/>
        <v>15.83</v>
      </c>
      <c r="D28" s="2">
        <v>10.5</v>
      </c>
      <c r="E28" s="2">
        <v>50.26548245743669</v>
      </c>
      <c r="F28" s="11">
        <f t="shared" si="0"/>
        <v>2.0889086280811267</v>
      </c>
      <c r="G28" s="2">
        <f t="shared" si="1"/>
        <v>33.067423582524235</v>
      </c>
      <c r="H28" s="2">
        <f t="shared" si="2"/>
        <v>2.4704686442812847</v>
      </c>
      <c r="I28" s="2">
        <f t="shared" si="3"/>
        <v>39.107518638972735</v>
      </c>
      <c r="J28" s="2">
        <f t="shared" si="4"/>
        <v>6.0400950564485001</v>
      </c>
      <c r="K28" s="15">
        <f t="shared" si="13"/>
        <v>0.4400219298245614</v>
      </c>
      <c r="L28" s="2">
        <f t="shared" si="14"/>
        <v>23</v>
      </c>
      <c r="M28" s="2">
        <f t="shared" si="15"/>
        <v>15.58</v>
      </c>
      <c r="N28" s="2">
        <v>11.5</v>
      </c>
      <c r="O28" s="2">
        <v>50.26548245743669</v>
      </c>
      <c r="P28" s="11">
        <f t="shared" si="5"/>
        <v>2.2878523069459957</v>
      </c>
      <c r="Q28" s="2">
        <f t="shared" si="6"/>
        <v>35.644738942218616</v>
      </c>
      <c r="R28" s="2">
        <f t="shared" si="7"/>
        <v>2.5094592101247941</v>
      </c>
      <c r="S28" s="2">
        <f t="shared" si="8"/>
        <v>39.09737449374429</v>
      </c>
      <c r="T28" s="2">
        <f t="shared" si="9"/>
        <v>3.4526355515256739</v>
      </c>
      <c r="V28" s="24" t="s">
        <v>49</v>
      </c>
      <c r="W28" s="24" t="s">
        <v>50</v>
      </c>
      <c r="X28" s="29"/>
    </row>
    <row r="29" spans="1:24" x14ac:dyDescent="0.25">
      <c r="A29" s="30">
        <f t="shared" si="10"/>
        <v>0.46781798245614037</v>
      </c>
      <c r="B29" s="2">
        <f t="shared" si="11"/>
        <v>24</v>
      </c>
      <c r="C29" s="4">
        <f t="shared" si="12"/>
        <v>16.329999999999998</v>
      </c>
      <c r="D29" s="2">
        <v>21</v>
      </c>
      <c r="E29" s="2">
        <v>50.26548245743669</v>
      </c>
      <c r="F29" s="11">
        <f t="shared" si="0"/>
        <v>4.1778172561622533</v>
      </c>
      <c r="G29" s="2">
        <f t="shared" si="1"/>
        <v>68.223755793129584</v>
      </c>
      <c r="H29" s="2">
        <f t="shared" si="2"/>
        <v>2.4704686442812847</v>
      </c>
      <c r="I29" s="2">
        <f t="shared" si="3"/>
        <v>40.342752961113376</v>
      </c>
      <c r="J29" s="2">
        <f t="shared" si="4"/>
        <v>27.881002832016208</v>
      </c>
      <c r="K29" s="15">
        <f t="shared" si="13"/>
        <v>0.44016812865497074</v>
      </c>
      <c r="L29" s="2">
        <f t="shared" si="14"/>
        <v>24</v>
      </c>
      <c r="M29" s="2">
        <f t="shared" si="15"/>
        <v>16.079999999999998</v>
      </c>
      <c r="N29" s="2">
        <v>12.5</v>
      </c>
      <c r="O29" s="2">
        <v>50.26548245743669</v>
      </c>
      <c r="P29" s="11">
        <f t="shared" si="5"/>
        <v>2.4867959858108648</v>
      </c>
      <c r="Q29" s="2">
        <f t="shared" si="6"/>
        <v>39.987679451838702</v>
      </c>
      <c r="R29" s="2">
        <f t="shared" si="7"/>
        <v>2.5094592101247941</v>
      </c>
      <c r="S29" s="2">
        <f t="shared" si="8"/>
        <v>40.352104098806684</v>
      </c>
      <c r="T29" s="2">
        <f t="shared" si="9"/>
        <v>0.36442464696798282</v>
      </c>
      <c r="V29" s="24">
        <f>MAX(D4:D160)</f>
        <v>22</v>
      </c>
      <c r="W29" s="24">
        <f>MAX(N4:N160)</f>
        <v>20.5</v>
      </c>
      <c r="X29" s="29"/>
    </row>
    <row r="30" spans="1:24" x14ac:dyDescent="0.25">
      <c r="A30" s="30">
        <f t="shared" si="10"/>
        <v>0.4680190058479532</v>
      </c>
      <c r="B30" s="2">
        <f t="shared" si="11"/>
        <v>25</v>
      </c>
      <c r="C30" s="4">
        <f t="shared" si="12"/>
        <v>16.829999999999998</v>
      </c>
      <c r="D30" s="2">
        <v>12.5</v>
      </c>
      <c r="E30" s="2">
        <v>50.26548245743669</v>
      </c>
      <c r="F30" s="11">
        <f t="shared" si="0"/>
        <v>2.4867959858108648</v>
      </c>
      <c r="G30" s="2">
        <f t="shared" si="1"/>
        <v>41.852776441196852</v>
      </c>
      <c r="H30" s="2">
        <f t="shared" si="2"/>
        <v>2.4704686442812847</v>
      </c>
      <c r="I30" s="2">
        <f t="shared" si="3"/>
        <v>41.577987283254018</v>
      </c>
      <c r="J30" s="2">
        <f t="shared" si="4"/>
        <v>0.27478915794283409</v>
      </c>
      <c r="K30" s="15">
        <f t="shared" si="13"/>
        <v>0.44031432748538013</v>
      </c>
      <c r="L30" s="2">
        <f t="shared" si="14"/>
        <v>25</v>
      </c>
      <c r="M30" s="2">
        <f t="shared" si="15"/>
        <v>16.579999999999998</v>
      </c>
      <c r="N30" s="2">
        <v>13.5</v>
      </c>
      <c r="O30" s="2">
        <v>50.26548245743669</v>
      </c>
      <c r="P30" s="11">
        <f t="shared" si="5"/>
        <v>2.6857396646757339</v>
      </c>
      <c r="Q30" s="2">
        <f t="shared" si="6"/>
        <v>44.529563640323666</v>
      </c>
      <c r="R30" s="2">
        <f t="shared" si="7"/>
        <v>2.5094592101247941</v>
      </c>
      <c r="S30" s="2">
        <f t="shared" si="8"/>
        <v>41.606833703869086</v>
      </c>
      <c r="T30" s="2">
        <f t="shared" si="9"/>
        <v>2.92272993645458</v>
      </c>
      <c r="V30" s="24" t="s">
        <v>14</v>
      </c>
      <c r="W30" s="24" t="s">
        <v>14</v>
      </c>
      <c r="X30" s="29"/>
    </row>
    <row r="31" spans="1:24" x14ac:dyDescent="0.25">
      <c r="A31" s="30">
        <f t="shared" si="10"/>
        <v>0.46822002923976608</v>
      </c>
      <c r="B31" s="2">
        <f t="shared" si="11"/>
        <v>26</v>
      </c>
      <c r="C31" s="4">
        <f t="shared" si="12"/>
        <v>17.329999999999998</v>
      </c>
      <c r="D31" s="2">
        <v>12</v>
      </c>
      <c r="E31" s="2">
        <v>50.26548245743669</v>
      </c>
      <c r="F31" s="11">
        <f t="shared" si="0"/>
        <v>2.3873241463784298</v>
      </c>
      <c r="G31" s="2">
        <f t="shared" si="1"/>
        <v>41.372327456738184</v>
      </c>
      <c r="H31" s="2">
        <f t="shared" si="2"/>
        <v>2.4704686442812847</v>
      </c>
      <c r="I31" s="2">
        <f t="shared" si="3"/>
        <v>42.813221605394659</v>
      </c>
      <c r="J31" s="2">
        <f t="shared" si="4"/>
        <v>1.4408941486564757</v>
      </c>
      <c r="K31" s="15">
        <f t="shared" si="13"/>
        <v>0.44046052631578947</v>
      </c>
      <c r="L31" s="2">
        <f t="shared" si="14"/>
        <v>26</v>
      </c>
      <c r="M31" s="2">
        <f t="shared" si="15"/>
        <v>17.079999999999998</v>
      </c>
      <c r="N31" s="2">
        <v>13.5</v>
      </c>
      <c r="O31" s="2">
        <v>50.26548245743669</v>
      </c>
      <c r="P31" s="11">
        <f t="shared" si="5"/>
        <v>2.6857396646757339</v>
      </c>
      <c r="Q31" s="2">
        <f t="shared" si="6"/>
        <v>45.872433472661527</v>
      </c>
      <c r="R31" s="2">
        <f t="shared" si="7"/>
        <v>2.5094592101247941</v>
      </c>
      <c r="S31" s="2">
        <f t="shared" si="8"/>
        <v>42.86156330893148</v>
      </c>
      <c r="T31" s="2">
        <f t="shared" si="9"/>
        <v>3.010870163730047</v>
      </c>
      <c r="V31" s="24">
        <f t="array" ref="V31">INDEX(B4:B160, MATCH(MAX(D4:D160), D4:D160, 0))</f>
        <v>28</v>
      </c>
      <c r="W31" s="24">
        <f t="array" ref="W31">INDEX(L4:L160, MATCH(MAX(N4:N160), N4:N160, 0))</f>
        <v>12</v>
      </c>
      <c r="X31" s="29"/>
    </row>
    <row r="32" spans="1:24" x14ac:dyDescent="0.25">
      <c r="A32" s="30">
        <f t="shared" si="10"/>
        <v>0.46842105263157896</v>
      </c>
      <c r="B32" s="2">
        <f t="shared" si="11"/>
        <v>27</v>
      </c>
      <c r="C32" s="4">
        <f t="shared" si="12"/>
        <v>17.829999999999998</v>
      </c>
      <c r="D32" s="2">
        <v>11.5</v>
      </c>
      <c r="E32" s="2">
        <v>50.26548245743669</v>
      </c>
      <c r="F32" s="11">
        <f t="shared" si="0"/>
        <v>2.2878523069459957</v>
      </c>
      <c r="G32" s="2">
        <f t="shared" si="1"/>
        <v>40.792406632847097</v>
      </c>
      <c r="H32" s="2">
        <f t="shared" si="2"/>
        <v>2.4704686442812847</v>
      </c>
      <c r="I32" s="2">
        <f t="shared" si="3"/>
        <v>44.048455927535301</v>
      </c>
      <c r="J32" s="2">
        <f t="shared" si="4"/>
        <v>3.2560492946882036</v>
      </c>
      <c r="K32" s="15">
        <f t="shared" si="13"/>
        <v>0.44060672514619881</v>
      </c>
      <c r="L32" s="2">
        <f t="shared" si="14"/>
        <v>27</v>
      </c>
      <c r="M32" s="2">
        <f t="shared" si="15"/>
        <v>17.579999999999998</v>
      </c>
      <c r="N32" s="2">
        <v>13</v>
      </c>
      <c r="O32" s="2">
        <v>50.26548245743669</v>
      </c>
      <c r="P32" s="11">
        <f t="shared" si="5"/>
        <v>2.5862678252432989</v>
      </c>
      <c r="Q32" s="2">
        <f t="shared" si="6"/>
        <v>45.466588367777192</v>
      </c>
      <c r="R32" s="2">
        <f t="shared" si="7"/>
        <v>2.5094592101247941</v>
      </c>
      <c r="S32" s="2">
        <f t="shared" si="8"/>
        <v>44.116292913993874</v>
      </c>
      <c r="T32" s="2">
        <f t="shared" si="9"/>
        <v>1.3502954537833176</v>
      </c>
    </row>
    <row r="33" spans="1:20" x14ac:dyDescent="0.25">
      <c r="A33" s="30">
        <f t="shared" si="10"/>
        <v>0.46862207602339179</v>
      </c>
      <c r="B33" s="2">
        <f t="shared" si="11"/>
        <v>28</v>
      </c>
      <c r="C33" s="4">
        <f t="shared" si="12"/>
        <v>18.329999999999998</v>
      </c>
      <c r="D33" s="2">
        <v>22</v>
      </c>
      <c r="E33" s="2">
        <v>50.26548245743669</v>
      </c>
      <c r="F33" s="11">
        <f t="shared" si="0"/>
        <v>4.3767609350271215</v>
      </c>
      <c r="G33" s="2">
        <f t="shared" si="1"/>
        <v>80.226027939047128</v>
      </c>
      <c r="H33" s="2">
        <f t="shared" si="2"/>
        <v>2.4704686442812847</v>
      </c>
      <c r="I33" s="2">
        <f t="shared" si="3"/>
        <v>45.283690249675942</v>
      </c>
      <c r="J33" s="2">
        <f t="shared" si="4"/>
        <v>34.942337689371186</v>
      </c>
      <c r="K33" s="15">
        <f t="shared" si="13"/>
        <v>0.4407529239766082</v>
      </c>
      <c r="L33" s="2">
        <f t="shared" si="14"/>
        <v>28</v>
      </c>
      <c r="M33" s="2">
        <f t="shared" si="15"/>
        <v>18.079999999999998</v>
      </c>
      <c r="N33" s="2">
        <v>12.5</v>
      </c>
      <c r="O33" s="2">
        <v>50.26548245743669</v>
      </c>
      <c r="P33" s="11">
        <f t="shared" si="5"/>
        <v>2.4867959858108648</v>
      </c>
      <c r="Q33" s="2">
        <f t="shared" si="6"/>
        <v>44.961271423460431</v>
      </c>
      <c r="R33" s="2">
        <f t="shared" si="7"/>
        <v>2.5094592101247941</v>
      </c>
      <c r="S33" s="2">
        <f t="shared" si="8"/>
        <v>45.371022519056275</v>
      </c>
      <c r="T33" s="2">
        <f t="shared" si="9"/>
        <v>0.40975109559584411</v>
      </c>
    </row>
    <row r="34" spans="1:20" x14ac:dyDescent="0.25">
      <c r="A34" s="30">
        <f t="shared" si="10"/>
        <v>0.46882309941520467</v>
      </c>
      <c r="B34" s="2">
        <f t="shared" si="11"/>
        <v>29</v>
      </c>
      <c r="C34" s="4">
        <f t="shared" si="12"/>
        <v>18.829999999999998</v>
      </c>
      <c r="D34" s="2">
        <v>11.5</v>
      </c>
      <c r="E34" s="2">
        <v>50.26548245743669</v>
      </c>
      <c r="F34" s="11">
        <f t="shared" si="0"/>
        <v>2.2878523069459957</v>
      </c>
      <c r="G34" s="2">
        <f t="shared" si="1"/>
        <v>43.080258939793097</v>
      </c>
      <c r="H34" s="2">
        <f t="shared" si="2"/>
        <v>2.4704686442812847</v>
      </c>
      <c r="I34" s="2">
        <f t="shared" si="3"/>
        <v>46.518924571816584</v>
      </c>
      <c r="J34" s="2">
        <f t="shared" si="4"/>
        <v>3.4386656320234863</v>
      </c>
      <c r="K34" s="15">
        <f t="shared" si="13"/>
        <v>0.44089912280701754</v>
      </c>
      <c r="L34" s="2">
        <f t="shared" si="14"/>
        <v>29</v>
      </c>
      <c r="M34" s="2">
        <f t="shared" si="15"/>
        <v>18.579999999999998</v>
      </c>
      <c r="N34" s="2">
        <v>13.5</v>
      </c>
      <c r="O34" s="2">
        <v>50.26548245743669</v>
      </c>
      <c r="P34" s="11">
        <f t="shared" si="5"/>
        <v>2.6857396646757339</v>
      </c>
      <c r="Q34" s="2">
        <f t="shared" si="6"/>
        <v>49.901042969675132</v>
      </c>
      <c r="R34" s="2">
        <f t="shared" si="7"/>
        <v>2.5094592101247941</v>
      </c>
      <c r="S34" s="2">
        <f t="shared" si="8"/>
        <v>46.625752124118669</v>
      </c>
      <c r="T34" s="2">
        <f t="shared" si="9"/>
        <v>3.2752908455564622</v>
      </c>
    </row>
    <row r="35" spans="1:20" x14ac:dyDescent="0.25">
      <c r="A35" s="30">
        <f t="shared" si="10"/>
        <v>0.46902412280701755</v>
      </c>
      <c r="B35" s="2">
        <f t="shared" si="11"/>
        <v>30</v>
      </c>
      <c r="C35" s="4">
        <f t="shared" si="12"/>
        <v>19.329999999999998</v>
      </c>
      <c r="D35" s="2">
        <v>11</v>
      </c>
      <c r="E35" s="2">
        <v>50.26548245743669</v>
      </c>
      <c r="F35" s="11">
        <f t="shared" si="0"/>
        <v>2.1883804675135607</v>
      </c>
      <c r="G35" s="2">
        <f t="shared" si="1"/>
        <v>42.301394437037125</v>
      </c>
      <c r="H35" s="2">
        <f t="shared" si="2"/>
        <v>2.4704686442812847</v>
      </c>
      <c r="I35" s="2">
        <f t="shared" si="3"/>
        <v>47.754158893957225</v>
      </c>
      <c r="J35" s="2">
        <f t="shared" si="4"/>
        <v>5.4527644569201001</v>
      </c>
      <c r="K35" s="15">
        <f t="shared" si="13"/>
        <v>0.44104532163742688</v>
      </c>
      <c r="L35" s="2">
        <f t="shared" si="14"/>
        <v>30</v>
      </c>
      <c r="M35" s="2">
        <f t="shared" si="15"/>
        <v>19.079999999999998</v>
      </c>
      <c r="N35" s="2">
        <v>12</v>
      </c>
      <c r="O35" s="2">
        <v>50.26548245743669</v>
      </c>
      <c r="P35" s="11">
        <f t="shared" si="5"/>
        <v>2.3873241463784298</v>
      </c>
      <c r="Q35" s="2">
        <f t="shared" si="6"/>
        <v>45.55014471290044</v>
      </c>
      <c r="R35" s="2">
        <f t="shared" si="7"/>
        <v>2.5094592101247941</v>
      </c>
      <c r="S35" s="2">
        <f t="shared" si="8"/>
        <v>47.880481729181071</v>
      </c>
      <c r="T35" s="2">
        <f t="shared" si="9"/>
        <v>2.3303370162806303</v>
      </c>
    </row>
    <row r="36" spans="1:20" x14ac:dyDescent="0.25">
      <c r="A36" s="30">
        <f t="shared" si="10"/>
        <v>0.46922514619883043</v>
      </c>
      <c r="B36" s="2">
        <f t="shared" si="11"/>
        <v>31</v>
      </c>
      <c r="C36" s="4">
        <f t="shared" si="12"/>
        <v>19.829999999999998</v>
      </c>
      <c r="D36" s="2">
        <v>11</v>
      </c>
      <c r="E36" s="2">
        <v>50.26548245743669</v>
      </c>
      <c r="F36" s="11">
        <f t="shared" si="0"/>
        <v>2.1883804675135607</v>
      </c>
      <c r="G36" s="2">
        <f t="shared" si="1"/>
        <v>43.395584670793909</v>
      </c>
      <c r="H36" s="2">
        <f t="shared" si="2"/>
        <v>2.4704686442812847</v>
      </c>
      <c r="I36" s="2">
        <f t="shared" si="3"/>
        <v>48.989393216097874</v>
      </c>
      <c r="J36" s="2">
        <f t="shared" si="4"/>
        <v>5.5938085453039648</v>
      </c>
      <c r="K36" s="15">
        <f t="shared" si="13"/>
        <v>0.44119152046783622</v>
      </c>
      <c r="L36" s="2">
        <f t="shared" si="14"/>
        <v>31</v>
      </c>
      <c r="M36" s="2">
        <f t="shared" si="15"/>
        <v>19.579999999999998</v>
      </c>
      <c r="N36" s="2">
        <v>11.5</v>
      </c>
      <c r="O36" s="2">
        <v>50.26548245743669</v>
      </c>
      <c r="P36" s="11">
        <f t="shared" si="5"/>
        <v>2.2878523069459957</v>
      </c>
      <c r="Q36" s="2">
        <f t="shared" si="6"/>
        <v>44.796148170002596</v>
      </c>
      <c r="R36" s="2">
        <f t="shared" si="7"/>
        <v>2.5094592101247941</v>
      </c>
      <c r="S36" s="2">
        <f t="shared" si="8"/>
        <v>49.135211334243465</v>
      </c>
      <c r="T36" s="2">
        <f t="shared" si="9"/>
        <v>4.3390631642408692</v>
      </c>
    </row>
    <row r="37" spans="1:20" x14ac:dyDescent="0.25">
      <c r="A37" s="30">
        <f t="shared" si="10"/>
        <v>0.46942616959064326</v>
      </c>
      <c r="B37" s="2">
        <f t="shared" si="11"/>
        <v>32</v>
      </c>
      <c r="C37" s="4">
        <f t="shared" si="12"/>
        <v>20.329999999999998</v>
      </c>
      <c r="D37" s="23">
        <v>12.5</v>
      </c>
      <c r="E37" s="2">
        <v>50.26548245743669</v>
      </c>
      <c r="F37" s="11">
        <f t="shared" si="0"/>
        <v>2.4867959858108648</v>
      </c>
      <c r="G37" s="2">
        <f t="shared" si="1"/>
        <v>50.556562391534875</v>
      </c>
      <c r="H37" s="2">
        <f t="shared" si="2"/>
        <v>2.4704686442812847</v>
      </c>
      <c r="I37" s="2">
        <f t="shared" si="3"/>
        <v>50.224627538238515</v>
      </c>
      <c r="J37" s="2">
        <f t="shared" si="4"/>
        <v>0.33193485329636019</v>
      </c>
      <c r="K37" s="15">
        <f t="shared" si="13"/>
        <v>0.44133771929824561</v>
      </c>
      <c r="L37" s="23">
        <f t="shared" si="14"/>
        <v>32</v>
      </c>
      <c r="M37" s="23">
        <f t="shared" si="15"/>
        <v>20.079999999999998</v>
      </c>
      <c r="N37" s="23">
        <v>13.5</v>
      </c>
      <c r="O37" s="2">
        <v>50.26548245743669</v>
      </c>
      <c r="P37" s="11">
        <f t="shared" si="5"/>
        <v>2.6857396646757339</v>
      </c>
      <c r="Q37" s="2">
        <f t="shared" si="6"/>
        <v>53.929652466688729</v>
      </c>
      <c r="R37" s="2">
        <f t="shared" si="7"/>
        <v>2.5094592101247941</v>
      </c>
      <c r="S37" s="2">
        <f t="shared" si="8"/>
        <v>50.389940939305859</v>
      </c>
      <c r="T37" s="2">
        <f t="shared" si="9"/>
        <v>3.5397115273828703</v>
      </c>
    </row>
    <row r="38" spans="1:20" x14ac:dyDescent="0.25">
      <c r="A38" s="30">
        <f t="shared" si="10"/>
        <v>0.46962719298245614</v>
      </c>
      <c r="B38" s="2">
        <f t="shared" si="11"/>
        <v>33</v>
      </c>
      <c r="C38" s="4">
        <f t="shared" si="12"/>
        <v>20.83</v>
      </c>
      <c r="D38" s="2">
        <v>13</v>
      </c>
      <c r="E38" s="2">
        <v>50.26548245743669</v>
      </c>
      <c r="F38" s="11">
        <f t="shared" si="0"/>
        <v>2.5862678252432989</v>
      </c>
      <c r="G38" s="2">
        <f t="shared" si="1"/>
        <v>53.871958799817911</v>
      </c>
      <c r="H38" s="2">
        <f t="shared" si="2"/>
        <v>2.4704686442812847</v>
      </c>
      <c r="I38" s="2">
        <f t="shared" si="3"/>
        <v>51.459861860379156</v>
      </c>
      <c r="J38" s="2">
        <f t="shared" si="4"/>
        <v>2.4120969394387544</v>
      </c>
      <c r="K38" s="15">
        <f t="shared" si="13"/>
        <v>0.44148391812865495</v>
      </c>
      <c r="L38" s="2">
        <f t="shared" si="14"/>
        <v>33</v>
      </c>
      <c r="M38" s="2">
        <f t="shared" si="15"/>
        <v>20.58</v>
      </c>
      <c r="N38" s="2">
        <v>16</v>
      </c>
      <c r="O38" s="2">
        <v>50.26548245743669</v>
      </c>
      <c r="P38" s="11">
        <f t="shared" si="5"/>
        <v>3.183098861837907</v>
      </c>
      <c r="Q38" s="2">
        <f t="shared" si="6"/>
        <v>65.508174576624114</v>
      </c>
      <c r="R38" s="2">
        <f t="shared" si="7"/>
        <v>2.5094592101247941</v>
      </c>
      <c r="S38" s="2">
        <f t="shared" si="8"/>
        <v>51.64467054436826</v>
      </c>
      <c r="T38" s="2">
        <f t="shared" si="9"/>
        <v>13.863504032255854</v>
      </c>
    </row>
    <row r="39" spans="1:20" x14ac:dyDescent="0.25">
      <c r="A39" s="30">
        <f t="shared" si="10"/>
        <v>0.46982821637426903</v>
      </c>
      <c r="B39" s="2">
        <f t="shared" si="11"/>
        <v>34</v>
      </c>
      <c r="C39" s="4">
        <f t="shared" si="12"/>
        <v>21.33</v>
      </c>
      <c r="D39" s="2">
        <v>12</v>
      </c>
      <c r="E39" s="2">
        <v>50.26548245743669</v>
      </c>
      <c r="F39" s="11">
        <f t="shared" si="0"/>
        <v>2.3873241463784298</v>
      </c>
      <c r="G39" s="2">
        <f t="shared" si="1"/>
        <v>50.921624042251906</v>
      </c>
      <c r="H39" s="2">
        <f t="shared" si="2"/>
        <v>2.4704686442812847</v>
      </c>
      <c r="I39" s="2">
        <f t="shared" si="3"/>
        <v>52.695096182519798</v>
      </c>
      <c r="J39" s="2">
        <f t="shared" si="4"/>
        <v>1.7734721402678915</v>
      </c>
      <c r="K39" s="15">
        <f t="shared" si="13"/>
        <v>0.44163011695906429</v>
      </c>
      <c r="L39" s="2">
        <f t="shared" si="14"/>
        <v>34</v>
      </c>
      <c r="M39" s="2">
        <f t="shared" si="15"/>
        <v>21.08</v>
      </c>
      <c r="N39" s="2">
        <v>13.5</v>
      </c>
      <c r="O39" s="2">
        <v>50.26548245743669</v>
      </c>
      <c r="P39" s="11">
        <f t="shared" si="5"/>
        <v>2.6857396646757339</v>
      </c>
      <c r="Q39" s="2">
        <f t="shared" si="6"/>
        <v>56.615392131364466</v>
      </c>
      <c r="R39" s="2">
        <f t="shared" si="7"/>
        <v>2.5094592101247941</v>
      </c>
      <c r="S39" s="2">
        <f t="shared" si="8"/>
        <v>52.899400149430654</v>
      </c>
      <c r="T39" s="2">
        <f t="shared" si="9"/>
        <v>3.7159919819338114</v>
      </c>
    </row>
    <row r="40" spans="1:20" x14ac:dyDescent="0.25">
      <c r="A40" s="30">
        <f t="shared" si="10"/>
        <v>0.47002923976608185</v>
      </c>
      <c r="B40" s="2">
        <f t="shared" si="11"/>
        <v>35</v>
      </c>
      <c r="C40" s="4">
        <f t="shared" si="12"/>
        <v>21.83</v>
      </c>
      <c r="D40" s="2">
        <v>13.5</v>
      </c>
      <c r="E40" s="2">
        <v>50.26548245743669</v>
      </c>
      <c r="F40" s="11">
        <f t="shared" si="0"/>
        <v>2.6857396646757339</v>
      </c>
      <c r="G40" s="2">
        <f t="shared" si="1"/>
        <v>58.629696879871268</v>
      </c>
      <c r="H40" s="2">
        <f t="shared" si="2"/>
        <v>2.4704686442812847</v>
      </c>
      <c r="I40" s="2">
        <f t="shared" si="3"/>
        <v>53.930330504660439</v>
      </c>
      <c r="J40" s="2">
        <f t="shared" si="4"/>
        <v>4.699366375210829</v>
      </c>
      <c r="K40" s="15">
        <f t="shared" si="13"/>
        <v>0.44177631578947368</v>
      </c>
      <c r="L40" s="2">
        <f t="shared" si="14"/>
        <v>35</v>
      </c>
      <c r="M40" s="2">
        <f t="shared" si="15"/>
        <v>21.58</v>
      </c>
      <c r="N40" s="2">
        <v>12.5</v>
      </c>
      <c r="O40" s="2">
        <v>50.26548245743669</v>
      </c>
      <c r="P40" s="11">
        <f t="shared" si="5"/>
        <v>2.4867959858108648</v>
      </c>
      <c r="Q40" s="2">
        <f t="shared" si="6"/>
        <v>53.665057373798462</v>
      </c>
      <c r="R40" s="2">
        <f t="shared" si="7"/>
        <v>2.5094592101247941</v>
      </c>
      <c r="S40" s="2">
        <f t="shared" si="8"/>
        <v>54.154129754493056</v>
      </c>
      <c r="T40" s="2">
        <f t="shared" si="9"/>
        <v>0.48907238069459424</v>
      </c>
    </row>
    <row r="41" spans="1:20" x14ac:dyDescent="0.25">
      <c r="A41" s="30">
        <f t="shared" si="10"/>
        <v>0.47023026315789473</v>
      </c>
      <c r="B41" s="2">
        <f t="shared" si="11"/>
        <v>36</v>
      </c>
      <c r="C41" s="4">
        <f t="shared" si="12"/>
        <v>22.33</v>
      </c>
      <c r="D41" s="2">
        <v>12</v>
      </c>
      <c r="E41" s="2">
        <v>50.26548245743669</v>
      </c>
      <c r="F41" s="11">
        <f t="shared" si="0"/>
        <v>2.3873241463784298</v>
      </c>
      <c r="G41" s="2">
        <f t="shared" si="1"/>
        <v>53.308948188630332</v>
      </c>
      <c r="H41" s="2">
        <f t="shared" si="2"/>
        <v>2.4704686442812847</v>
      </c>
      <c r="I41" s="2">
        <f t="shared" si="3"/>
        <v>55.165564826801081</v>
      </c>
      <c r="J41" s="2">
        <f t="shared" si="4"/>
        <v>1.856616638170749</v>
      </c>
      <c r="K41" s="15">
        <f t="shared" si="13"/>
        <v>0.44192251461988302</v>
      </c>
      <c r="L41" s="2">
        <f t="shared" si="14"/>
        <v>36</v>
      </c>
      <c r="M41" s="2">
        <f t="shared" si="15"/>
        <v>22.08</v>
      </c>
      <c r="N41" s="2">
        <v>11.5</v>
      </c>
      <c r="O41" s="2">
        <v>50.26548245743669</v>
      </c>
      <c r="P41" s="11">
        <f t="shared" si="5"/>
        <v>2.2878523069459957</v>
      </c>
      <c r="Q41" s="2">
        <f t="shared" si="6"/>
        <v>50.515778937367578</v>
      </c>
      <c r="R41" s="2">
        <f t="shared" si="7"/>
        <v>2.5094592101247941</v>
      </c>
      <c r="S41" s="2">
        <f t="shared" si="8"/>
        <v>55.40885935955545</v>
      </c>
      <c r="T41" s="2">
        <f t="shared" si="9"/>
        <v>4.8930804221878716</v>
      </c>
    </row>
    <row r="42" spans="1:20" x14ac:dyDescent="0.25">
      <c r="A42" s="30">
        <f t="shared" si="10"/>
        <v>0.47043128654970762</v>
      </c>
      <c r="B42" s="2">
        <f t="shared" si="11"/>
        <v>37</v>
      </c>
      <c r="C42" s="4">
        <f t="shared" si="12"/>
        <v>22.83</v>
      </c>
      <c r="D42" s="2">
        <v>13</v>
      </c>
      <c r="E42" s="2">
        <v>50.26548245743669</v>
      </c>
      <c r="F42" s="11">
        <f t="shared" si="0"/>
        <v>2.5862678252432989</v>
      </c>
      <c r="G42" s="2">
        <f t="shared" si="1"/>
        <v>59.044494450304512</v>
      </c>
      <c r="H42" s="2">
        <f t="shared" si="2"/>
        <v>2.4704686442812847</v>
      </c>
      <c r="I42" s="2">
        <f t="shared" si="3"/>
        <v>56.400799148941722</v>
      </c>
      <c r="J42" s="2">
        <f t="shared" si="4"/>
        <v>2.64369530136279</v>
      </c>
      <c r="K42" s="15">
        <f t="shared" si="13"/>
        <v>0.44206871345029236</v>
      </c>
      <c r="L42" s="2">
        <f t="shared" si="14"/>
        <v>37</v>
      </c>
      <c r="M42" s="2">
        <f t="shared" si="15"/>
        <v>22.58</v>
      </c>
      <c r="N42" s="2">
        <v>12</v>
      </c>
      <c r="O42" s="2">
        <v>50.26548245743669</v>
      </c>
      <c r="P42" s="11">
        <f t="shared" si="5"/>
        <v>2.3873241463784298</v>
      </c>
      <c r="Q42" s="2">
        <f t="shared" si="6"/>
        <v>53.90577922522494</v>
      </c>
      <c r="R42" s="2">
        <f t="shared" si="7"/>
        <v>2.5094592101247941</v>
      </c>
      <c r="S42" s="2">
        <f t="shared" si="8"/>
        <v>56.663588964617844</v>
      </c>
      <c r="T42" s="2">
        <f t="shared" si="9"/>
        <v>2.7578097393929042</v>
      </c>
    </row>
    <row r="43" spans="1:20" x14ac:dyDescent="0.25">
      <c r="A43" s="30">
        <f t="shared" si="10"/>
        <v>0.47063230994152044</v>
      </c>
      <c r="B43" s="2">
        <f t="shared" si="11"/>
        <v>38</v>
      </c>
      <c r="C43" s="4">
        <f t="shared" si="12"/>
        <v>23.33</v>
      </c>
      <c r="D43" s="2">
        <v>11.5</v>
      </c>
      <c r="E43" s="2">
        <v>50.26548245743669</v>
      </c>
      <c r="F43" s="11">
        <f t="shared" si="0"/>
        <v>2.2878523069459957</v>
      </c>
      <c r="G43" s="2">
        <f t="shared" si="1"/>
        <v>53.375594321050073</v>
      </c>
      <c r="H43" s="2">
        <f t="shared" si="2"/>
        <v>2.4704686442812847</v>
      </c>
      <c r="I43" s="2">
        <f t="shared" si="3"/>
        <v>57.636033471082364</v>
      </c>
      <c r="J43" s="2">
        <f t="shared" si="4"/>
        <v>4.2604391500322905</v>
      </c>
      <c r="K43" s="15">
        <f t="shared" si="13"/>
        <v>0.44221491228070176</v>
      </c>
      <c r="L43" s="2">
        <f t="shared" si="14"/>
        <v>38</v>
      </c>
      <c r="M43" s="2">
        <f t="shared" si="15"/>
        <v>23.08</v>
      </c>
      <c r="N43" s="2">
        <v>13.5</v>
      </c>
      <c r="O43" s="2">
        <v>50.26548245743669</v>
      </c>
      <c r="P43" s="11">
        <f t="shared" si="5"/>
        <v>2.6857396646757339</v>
      </c>
      <c r="Q43" s="2">
        <f t="shared" si="6"/>
        <v>61.986871460715932</v>
      </c>
      <c r="R43" s="2">
        <f t="shared" si="7"/>
        <v>2.5094592101247941</v>
      </c>
      <c r="S43" s="2">
        <f t="shared" si="8"/>
        <v>57.918318569680245</v>
      </c>
      <c r="T43" s="2">
        <f t="shared" si="9"/>
        <v>4.0685528910356865</v>
      </c>
    </row>
    <row r="44" spans="1:20" x14ac:dyDescent="0.25">
      <c r="A44" s="10">
        <v>0.47083333333333333</v>
      </c>
      <c r="B44" s="2">
        <f t="shared" si="11"/>
        <v>39</v>
      </c>
      <c r="C44" s="4">
        <f t="shared" si="12"/>
        <v>23.83</v>
      </c>
      <c r="D44" s="2">
        <v>12</v>
      </c>
      <c r="E44" s="2">
        <v>50.26548245743669</v>
      </c>
      <c r="F44" s="11">
        <f t="shared" si="0"/>
        <v>2.3873241463784298</v>
      </c>
      <c r="G44" s="2">
        <f t="shared" si="1"/>
        <v>56.889934408197981</v>
      </c>
      <c r="H44" s="2">
        <f t="shared" si="2"/>
        <v>2.4704686442812847</v>
      </c>
      <c r="I44" s="2">
        <f t="shared" si="3"/>
        <v>58.871267793223012</v>
      </c>
      <c r="J44" s="2">
        <f t="shared" si="4"/>
        <v>1.9813333850250316</v>
      </c>
      <c r="K44" s="12">
        <v>0.44236111111111109</v>
      </c>
      <c r="L44" s="2">
        <f t="shared" si="14"/>
        <v>39</v>
      </c>
      <c r="M44" s="2">
        <f t="shared" si="15"/>
        <v>23.58</v>
      </c>
      <c r="N44" s="2">
        <v>13</v>
      </c>
      <c r="O44" s="2">
        <v>50.26548245743669</v>
      </c>
      <c r="P44" s="11">
        <f t="shared" si="5"/>
        <v>2.5862678252432989</v>
      </c>
      <c r="Q44" s="2">
        <f t="shared" si="6"/>
        <v>60.984195319236981</v>
      </c>
      <c r="R44" s="2">
        <f t="shared" si="7"/>
        <v>2.5094592101247941</v>
      </c>
      <c r="S44" s="2">
        <f t="shared" si="8"/>
        <v>59.17304817474264</v>
      </c>
      <c r="T44" s="2">
        <f t="shared" si="9"/>
        <v>1.8111471444943419</v>
      </c>
    </row>
    <row r="45" spans="1:20" x14ac:dyDescent="0.25">
      <c r="A45" s="14">
        <f t="shared" ref="A45:A82" si="16">IF(AND($A$44&lt;&gt;"",$A$83&lt;&gt;""), $A$44 + (B45 - $B$44) * (($A$83 - $A$44) / ($B$83 - $B$44)), "")</f>
        <v>0.47097578347578345</v>
      </c>
      <c r="B45" s="2">
        <f t="shared" si="11"/>
        <v>40</v>
      </c>
      <c r="C45" s="4">
        <f t="shared" si="12"/>
        <v>24.33</v>
      </c>
      <c r="D45" s="2">
        <v>13.5</v>
      </c>
      <c r="E45" s="2">
        <v>50.26548245743669</v>
      </c>
      <c r="F45" s="11">
        <f t="shared" si="0"/>
        <v>2.6857396646757339</v>
      </c>
      <c r="G45" s="2">
        <f t="shared" si="1"/>
        <v>65.344046041560603</v>
      </c>
      <c r="H45" s="2">
        <f t="shared" si="2"/>
        <v>2.4704686442812847</v>
      </c>
      <c r="I45" s="2">
        <f t="shared" si="3"/>
        <v>60.106502115363654</v>
      </c>
      <c r="J45" s="2">
        <f t="shared" si="4"/>
        <v>5.237543926196949</v>
      </c>
      <c r="K45" s="15">
        <f t="shared" ref="K45:K82" si="17">IF(AND($K$44&lt;&gt;"",$K$83&lt;&gt;""), $K$44 + (L45 - $L$44) * (($K$83 - $K$44) / ($L$83 - $L$44)), "")</f>
        <v>0.44253917378917379</v>
      </c>
      <c r="L45" s="2">
        <f t="shared" si="14"/>
        <v>40</v>
      </c>
      <c r="M45" s="2">
        <f t="shared" si="15"/>
        <v>24.08</v>
      </c>
      <c r="N45" s="2">
        <v>12.5</v>
      </c>
      <c r="O45" s="2">
        <v>50.26548245743669</v>
      </c>
      <c r="P45" s="11">
        <f t="shared" si="5"/>
        <v>2.4867959858108648</v>
      </c>
      <c r="Q45" s="2">
        <f t="shared" si="6"/>
        <v>59.88204733832562</v>
      </c>
      <c r="R45" s="2">
        <f t="shared" si="7"/>
        <v>2.5094592101247941</v>
      </c>
      <c r="S45" s="2">
        <f t="shared" si="8"/>
        <v>60.427777779805041</v>
      </c>
      <c r="T45" s="2">
        <f t="shared" si="9"/>
        <v>0.54573044147942085</v>
      </c>
    </row>
    <row r="46" spans="1:20" x14ac:dyDescent="0.25">
      <c r="A46" s="14">
        <f t="shared" si="16"/>
        <v>0.47111823361823363</v>
      </c>
      <c r="B46" s="2">
        <f t="shared" si="11"/>
        <v>41</v>
      </c>
      <c r="C46" s="4">
        <f t="shared" si="12"/>
        <v>24.83</v>
      </c>
      <c r="D46" s="2">
        <v>19.5</v>
      </c>
      <c r="E46" s="2">
        <v>50.26548245743669</v>
      </c>
      <c r="F46" s="11">
        <f t="shared" si="0"/>
        <v>3.8794017378649488</v>
      </c>
      <c r="G46" s="2">
        <f t="shared" si="1"/>
        <v>96.325545151186674</v>
      </c>
      <c r="H46" s="2">
        <f t="shared" si="2"/>
        <v>2.4704686442812847</v>
      </c>
      <c r="I46" s="2">
        <f t="shared" si="3"/>
        <v>61.341736437504295</v>
      </c>
      <c r="J46" s="2">
        <f t="shared" si="4"/>
        <v>34.983808713682379</v>
      </c>
      <c r="K46" s="15">
        <f t="shared" si="17"/>
        <v>0.44271723646723643</v>
      </c>
      <c r="L46" s="2">
        <f t="shared" si="14"/>
        <v>41</v>
      </c>
      <c r="M46" s="2">
        <f t="shared" si="15"/>
        <v>24.58</v>
      </c>
      <c r="N46" s="2">
        <v>12.5</v>
      </c>
      <c r="O46" s="2">
        <v>50.26548245743669</v>
      </c>
      <c r="P46" s="11">
        <f t="shared" si="5"/>
        <v>2.4867959858108648</v>
      </c>
      <c r="Q46" s="2">
        <f t="shared" si="6"/>
        <v>61.125445331231056</v>
      </c>
      <c r="R46" s="2">
        <f t="shared" si="7"/>
        <v>2.5094592101247941</v>
      </c>
      <c r="S46" s="2">
        <f t="shared" si="8"/>
        <v>61.682507384867435</v>
      </c>
      <c r="T46" s="2">
        <f t="shared" si="9"/>
        <v>0.55706205363637906</v>
      </c>
    </row>
    <row r="47" spans="1:20" x14ac:dyDescent="0.25">
      <c r="A47" s="14">
        <f t="shared" si="16"/>
        <v>0.47126068376068375</v>
      </c>
      <c r="B47" s="2">
        <f t="shared" si="11"/>
        <v>42</v>
      </c>
      <c r="C47" s="4">
        <f t="shared" si="12"/>
        <v>25.33</v>
      </c>
      <c r="D47" s="2">
        <v>14.5</v>
      </c>
      <c r="E47" s="2">
        <v>50.26548245743669</v>
      </c>
      <c r="F47" s="11">
        <f t="shared" si="0"/>
        <v>2.8846833435406034</v>
      </c>
      <c r="G47" s="2">
        <f t="shared" si="1"/>
        <v>73.069029091883479</v>
      </c>
      <c r="H47" s="2">
        <f t="shared" si="2"/>
        <v>2.4704686442812847</v>
      </c>
      <c r="I47" s="2">
        <f t="shared" si="3"/>
        <v>62.576970759644936</v>
      </c>
      <c r="J47" s="2">
        <f t="shared" si="4"/>
        <v>10.492058332238543</v>
      </c>
      <c r="K47" s="15">
        <f t="shared" si="17"/>
        <v>0.44289529914529913</v>
      </c>
      <c r="L47" s="2">
        <f t="shared" si="14"/>
        <v>42</v>
      </c>
      <c r="M47" s="2">
        <f t="shared" si="15"/>
        <v>25.08</v>
      </c>
      <c r="N47" s="2">
        <v>14.5</v>
      </c>
      <c r="O47" s="2">
        <v>50.26548245743669</v>
      </c>
      <c r="P47" s="11">
        <f t="shared" si="5"/>
        <v>2.8846833435406034</v>
      </c>
      <c r="Q47" s="2">
        <f t="shared" si="6"/>
        <v>72.347858255998332</v>
      </c>
      <c r="R47" s="2">
        <f t="shared" si="7"/>
        <v>2.5094592101247941</v>
      </c>
      <c r="S47" s="2">
        <f t="shared" si="8"/>
        <v>62.937236989929829</v>
      </c>
      <c r="T47" s="2">
        <f t="shared" si="9"/>
        <v>9.4106212660685031</v>
      </c>
    </row>
    <row r="48" spans="1:20" x14ac:dyDescent="0.25">
      <c r="A48" s="14">
        <f t="shared" si="16"/>
        <v>0.47140313390313388</v>
      </c>
      <c r="B48" s="2">
        <f t="shared" si="11"/>
        <v>43</v>
      </c>
      <c r="C48" s="4">
        <f t="shared" si="12"/>
        <v>25.83</v>
      </c>
      <c r="D48" s="2">
        <v>13</v>
      </c>
      <c r="E48" s="2">
        <v>50.26548245743669</v>
      </c>
      <c r="F48" s="11">
        <f t="shared" si="0"/>
        <v>2.5862678252432989</v>
      </c>
      <c r="G48" s="2">
        <f t="shared" si="1"/>
        <v>66.803297926034404</v>
      </c>
      <c r="H48" s="2">
        <f t="shared" si="2"/>
        <v>2.4704686442812847</v>
      </c>
      <c r="I48" s="2">
        <f t="shared" si="3"/>
        <v>63.812205081785578</v>
      </c>
      <c r="J48" s="2">
        <f t="shared" si="4"/>
        <v>2.9910928442488256</v>
      </c>
      <c r="K48" s="15">
        <f t="shared" si="17"/>
        <v>0.44307336182336182</v>
      </c>
      <c r="L48" s="2">
        <f t="shared" si="14"/>
        <v>43</v>
      </c>
      <c r="M48" s="2">
        <f t="shared" si="15"/>
        <v>25.58</v>
      </c>
      <c r="N48" s="2">
        <v>13.5</v>
      </c>
      <c r="O48" s="2">
        <v>50.26548245743669</v>
      </c>
      <c r="P48" s="11">
        <f t="shared" si="5"/>
        <v>2.6857396646757339</v>
      </c>
      <c r="Q48" s="2">
        <f t="shared" si="6"/>
        <v>68.701220622405273</v>
      </c>
      <c r="R48" s="2">
        <f t="shared" si="7"/>
        <v>2.5094592101247941</v>
      </c>
      <c r="S48" s="2">
        <f t="shared" si="8"/>
        <v>64.191966594992223</v>
      </c>
      <c r="T48" s="2">
        <f t="shared" si="9"/>
        <v>4.5092540274130499</v>
      </c>
    </row>
    <row r="49" spans="1:20" x14ac:dyDescent="0.25">
      <c r="A49" s="14">
        <f t="shared" si="16"/>
        <v>0.47154558404558405</v>
      </c>
      <c r="B49" s="2">
        <f t="shared" si="11"/>
        <v>44</v>
      </c>
      <c r="C49" s="4">
        <f t="shared" si="12"/>
        <v>26.33</v>
      </c>
      <c r="D49" s="2">
        <v>13</v>
      </c>
      <c r="E49" s="2">
        <v>50.26548245743669</v>
      </c>
      <c r="F49" s="11">
        <f t="shared" si="0"/>
        <v>2.5862678252432989</v>
      </c>
      <c r="G49" s="2">
        <f t="shared" si="1"/>
        <v>68.096431838656059</v>
      </c>
      <c r="H49" s="2">
        <f t="shared" si="2"/>
        <v>2.4704686442812847</v>
      </c>
      <c r="I49" s="2">
        <f t="shared" si="3"/>
        <v>65.047439403926219</v>
      </c>
      <c r="J49" s="2">
        <f t="shared" si="4"/>
        <v>3.0489924347298398</v>
      </c>
      <c r="K49" s="15">
        <f t="shared" si="17"/>
        <v>0.44325142450142446</v>
      </c>
      <c r="L49" s="2">
        <f t="shared" si="14"/>
        <v>44</v>
      </c>
      <c r="M49" s="2">
        <f t="shared" si="15"/>
        <v>26.08</v>
      </c>
      <c r="N49" s="2">
        <v>12.5</v>
      </c>
      <c r="O49" s="2">
        <v>50.26548245743669</v>
      </c>
      <c r="P49" s="11">
        <f t="shared" si="5"/>
        <v>2.4867959858108648</v>
      </c>
      <c r="Q49" s="2">
        <f t="shared" si="6"/>
        <v>64.85563930994735</v>
      </c>
      <c r="R49" s="2">
        <f t="shared" si="7"/>
        <v>2.5094592101247941</v>
      </c>
      <c r="S49" s="2">
        <f t="shared" si="8"/>
        <v>65.446696200054632</v>
      </c>
      <c r="T49" s="2">
        <f t="shared" si="9"/>
        <v>0.59105689010728213</v>
      </c>
    </row>
    <row r="50" spans="1:20" x14ac:dyDescent="0.25">
      <c r="A50" s="14">
        <f t="shared" si="16"/>
        <v>0.47168803418803418</v>
      </c>
      <c r="B50" s="2">
        <f t="shared" si="11"/>
        <v>45</v>
      </c>
      <c r="C50" s="4">
        <f t="shared" si="12"/>
        <v>26.83</v>
      </c>
      <c r="D50" s="2">
        <v>18</v>
      </c>
      <c r="E50" s="2">
        <v>50.26548245743669</v>
      </c>
      <c r="F50" s="11">
        <f t="shared" si="0"/>
        <v>3.5809862195676452</v>
      </c>
      <c r="G50" s="2">
        <f t="shared" si="1"/>
        <v>96.077860270999921</v>
      </c>
      <c r="H50" s="2">
        <f t="shared" si="2"/>
        <v>2.4704686442812847</v>
      </c>
      <c r="I50" s="2">
        <f t="shared" si="3"/>
        <v>66.282673726066861</v>
      </c>
      <c r="J50" s="2">
        <f t="shared" si="4"/>
        <v>29.79518654493306</v>
      </c>
      <c r="K50" s="15">
        <f t="shared" si="17"/>
        <v>0.44342948717948716</v>
      </c>
      <c r="L50" s="2">
        <f t="shared" si="14"/>
        <v>45</v>
      </c>
      <c r="M50" s="2">
        <f t="shared" si="15"/>
        <v>26.58</v>
      </c>
      <c r="N50" s="2">
        <v>12.5</v>
      </c>
      <c r="O50" s="2">
        <v>50.26548245743669</v>
      </c>
      <c r="P50" s="11">
        <f t="shared" si="5"/>
        <v>2.4867959858108648</v>
      </c>
      <c r="Q50" s="2">
        <f t="shared" si="6"/>
        <v>66.099037302852778</v>
      </c>
      <c r="R50" s="2">
        <f t="shared" si="7"/>
        <v>2.5094592101247941</v>
      </c>
      <c r="S50" s="2">
        <f t="shared" si="8"/>
        <v>66.701425805117026</v>
      </c>
      <c r="T50" s="2">
        <f t="shared" si="9"/>
        <v>0.60238850226424745</v>
      </c>
    </row>
    <row r="51" spans="1:20" x14ac:dyDescent="0.25">
      <c r="A51" s="14">
        <f t="shared" si="16"/>
        <v>0.4718304843304843</v>
      </c>
      <c r="B51" s="2">
        <f t="shared" si="11"/>
        <v>46</v>
      </c>
      <c r="C51" s="4">
        <f t="shared" si="12"/>
        <v>27.33</v>
      </c>
      <c r="D51" s="2">
        <v>14.5</v>
      </c>
      <c r="E51" s="2">
        <v>50.26548245743669</v>
      </c>
      <c r="F51" s="11">
        <f t="shared" si="0"/>
        <v>2.8846833435406034</v>
      </c>
      <c r="G51" s="2">
        <f t="shared" si="1"/>
        <v>78.838395778964681</v>
      </c>
      <c r="H51" s="2">
        <f t="shared" si="2"/>
        <v>2.4704686442812847</v>
      </c>
      <c r="I51" s="2">
        <f t="shared" si="3"/>
        <v>67.517908048207502</v>
      </c>
      <c r="J51" s="2">
        <f t="shared" si="4"/>
        <v>11.320487730757179</v>
      </c>
      <c r="K51" s="15">
        <f t="shared" si="17"/>
        <v>0.44360754985754985</v>
      </c>
      <c r="L51" s="2">
        <f t="shared" si="14"/>
        <v>46</v>
      </c>
      <c r="M51" s="2">
        <f t="shared" si="15"/>
        <v>27.08</v>
      </c>
      <c r="N51" s="2">
        <v>15.5</v>
      </c>
      <c r="O51" s="2">
        <v>50.26548245743669</v>
      </c>
      <c r="P51" s="11">
        <f t="shared" si="5"/>
        <v>3.0836270224054725</v>
      </c>
      <c r="Q51" s="2">
        <f t="shared" si="6"/>
        <v>83.504619766740191</v>
      </c>
      <c r="R51" s="2">
        <f t="shared" si="7"/>
        <v>2.5094592101247941</v>
      </c>
      <c r="S51" s="2">
        <f t="shared" si="8"/>
        <v>67.95615541017942</v>
      </c>
      <c r="T51" s="2">
        <f t="shared" si="9"/>
        <v>15.548464356560771</v>
      </c>
    </row>
    <row r="52" spans="1:20" x14ac:dyDescent="0.25">
      <c r="A52" s="14">
        <f t="shared" si="16"/>
        <v>0.47197293447293448</v>
      </c>
      <c r="B52" s="2">
        <f t="shared" si="11"/>
        <v>47</v>
      </c>
      <c r="C52" s="4">
        <f t="shared" si="12"/>
        <v>27.83</v>
      </c>
      <c r="D52" s="2">
        <v>14</v>
      </c>
      <c r="E52" s="2">
        <v>50.26548245743669</v>
      </c>
      <c r="F52" s="11">
        <f t="shared" si="0"/>
        <v>2.7852115041081689</v>
      </c>
      <c r="G52" s="2">
        <f t="shared" si="1"/>
        <v>77.512436159330335</v>
      </c>
      <c r="H52" s="2">
        <f t="shared" si="2"/>
        <v>2.4704686442812847</v>
      </c>
      <c r="I52" s="2">
        <f t="shared" si="3"/>
        <v>68.753142370348144</v>
      </c>
      <c r="J52" s="2">
        <f t="shared" si="4"/>
        <v>8.7592937889821911</v>
      </c>
      <c r="K52" s="15">
        <f t="shared" si="17"/>
        <v>0.44378561253561255</v>
      </c>
      <c r="L52" s="2">
        <f t="shared" si="14"/>
        <v>47</v>
      </c>
      <c r="M52" s="2">
        <f t="shared" si="15"/>
        <v>27.58</v>
      </c>
      <c r="N52" s="2">
        <v>13</v>
      </c>
      <c r="O52" s="2">
        <v>50.26548245743669</v>
      </c>
      <c r="P52" s="11">
        <f t="shared" si="5"/>
        <v>2.5862678252432989</v>
      </c>
      <c r="Q52" s="2">
        <f t="shared" si="6"/>
        <v>71.329266620210177</v>
      </c>
      <c r="R52" s="2">
        <f t="shared" si="7"/>
        <v>2.5094592101247941</v>
      </c>
      <c r="S52" s="2">
        <f t="shared" si="8"/>
        <v>69.210885015241814</v>
      </c>
      <c r="T52" s="2">
        <f t="shared" si="9"/>
        <v>2.1183816049683628</v>
      </c>
    </row>
    <row r="53" spans="1:20" x14ac:dyDescent="0.25">
      <c r="A53" s="14">
        <f t="shared" si="16"/>
        <v>0.4721153846153846</v>
      </c>
      <c r="B53" s="2">
        <f t="shared" si="11"/>
        <v>48</v>
      </c>
      <c r="C53" s="4">
        <f t="shared" si="12"/>
        <v>28.33</v>
      </c>
      <c r="D53" s="2">
        <v>13</v>
      </c>
      <c r="E53" s="2">
        <v>50.26548245743669</v>
      </c>
      <c r="F53" s="11">
        <f t="shared" si="0"/>
        <v>2.5862678252432989</v>
      </c>
      <c r="G53" s="2">
        <f t="shared" si="1"/>
        <v>73.268967489142653</v>
      </c>
      <c r="H53" s="2">
        <f t="shared" si="2"/>
        <v>2.4704686442812847</v>
      </c>
      <c r="I53" s="2">
        <f t="shared" si="3"/>
        <v>69.988376692488785</v>
      </c>
      <c r="J53" s="2">
        <f t="shared" si="4"/>
        <v>3.2805907966538683</v>
      </c>
      <c r="K53" s="15">
        <f t="shared" si="17"/>
        <v>0.44396367521367519</v>
      </c>
      <c r="L53" s="2">
        <f t="shared" si="14"/>
        <v>48</v>
      </c>
      <c r="M53" s="2">
        <f t="shared" si="15"/>
        <v>28.08</v>
      </c>
      <c r="N53" s="2">
        <v>11.5</v>
      </c>
      <c r="O53" s="2">
        <v>50.26548245743669</v>
      </c>
      <c r="P53" s="11">
        <f t="shared" si="5"/>
        <v>2.2878523069459957</v>
      </c>
      <c r="Q53" s="2">
        <f t="shared" si="6"/>
        <v>64.242892779043558</v>
      </c>
      <c r="R53" s="2">
        <f t="shared" si="7"/>
        <v>2.5094592101247941</v>
      </c>
      <c r="S53" s="2">
        <f t="shared" si="8"/>
        <v>70.465614620304208</v>
      </c>
      <c r="T53" s="2">
        <f t="shared" si="9"/>
        <v>6.2227218412606504</v>
      </c>
    </row>
    <row r="54" spans="1:20" x14ac:dyDescent="0.25">
      <c r="A54" s="14">
        <f t="shared" si="16"/>
        <v>0.47225783475783473</v>
      </c>
      <c r="B54" s="2">
        <f t="shared" si="11"/>
        <v>49</v>
      </c>
      <c r="C54" s="4">
        <f t="shared" si="12"/>
        <v>28.83</v>
      </c>
      <c r="D54" s="2">
        <v>14</v>
      </c>
      <c r="E54" s="2">
        <v>50.26548245743669</v>
      </c>
      <c r="F54" s="11">
        <f t="shared" si="0"/>
        <v>2.7852115041081689</v>
      </c>
      <c r="G54" s="2">
        <f t="shared" si="1"/>
        <v>80.297647663438511</v>
      </c>
      <c r="H54" s="2">
        <f t="shared" si="2"/>
        <v>2.4704686442812847</v>
      </c>
      <c r="I54" s="2">
        <f t="shared" si="3"/>
        <v>71.223611014629427</v>
      </c>
      <c r="J54" s="2">
        <f t="shared" si="4"/>
        <v>9.0740366488090842</v>
      </c>
      <c r="K54" s="15">
        <f t="shared" si="17"/>
        <v>0.44414173789173789</v>
      </c>
      <c r="L54" s="2">
        <f t="shared" si="14"/>
        <v>49</v>
      </c>
      <c r="M54" s="2">
        <f t="shared" si="15"/>
        <v>28.58</v>
      </c>
      <c r="N54" s="2">
        <v>13</v>
      </c>
      <c r="O54" s="2">
        <v>50.26548245743669</v>
      </c>
      <c r="P54" s="11">
        <f t="shared" si="5"/>
        <v>2.5862678252432989</v>
      </c>
      <c r="Q54" s="2">
        <f t="shared" si="6"/>
        <v>73.915534445453474</v>
      </c>
      <c r="R54" s="2">
        <f t="shared" si="7"/>
        <v>2.5094592101247941</v>
      </c>
      <c r="S54" s="2">
        <f t="shared" si="8"/>
        <v>71.720344225366617</v>
      </c>
      <c r="T54" s="2">
        <f t="shared" si="9"/>
        <v>2.1951902200868574</v>
      </c>
    </row>
    <row r="55" spans="1:20" x14ac:dyDescent="0.25">
      <c r="A55" s="14">
        <f t="shared" si="16"/>
        <v>0.47240028490028491</v>
      </c>
      <c r="B55" s="2">
        <f t="shared" si="11"/>
        <v>50</v>
      </c>
      <c r="C55" s="4">
        <f t="shared" si="12"/>
        <v>29.33</v>
      </c>
      <c r="D55" s="2">
        <v>13.5</v>
      </c>
      <c r="E55" s="2">
        <v>50.26548245743669</v>
      </c>
      <c r="F55" s="11">
        <f t="shared" si="0"/>
        <v>2.6857396646757339</v>
      </c>
      <c r="G55" s="2">
        <f t="shared" si="1"/>
        <v>78.772744364939271</v>
      </c>
      <c r="H55" s="2">
        <f t="shared" si="2"/>
        <v>2.4704686442812847</v>
      </c>
      <c r="I55" s="2">
        <f t="shared" si="3"/>
        <v>72.458845336770068</v>
      </c>
      <c r="J55" s="2">
        <f t="shared" si="4"/>
        <v>6.3138990281692031</v>
      </c>
      <c r="K55" s="15">
        <f t="shared" si="17"/>
        <v>0.44431980056980058</v>
      </c>
      <c r="L55" s="2">
        <f t="shared" si="14"/>
        <v>50</v>
      </c>
      <c r="M55" s="2">
        <f t="shared" si="15"/>
        <v>29.08</v>
      </c>
      <c r="N55" s="2">
        <v>14</v>
      </c>
      <c r="O55" s="2">
        <v>50.26548245743669</v>
      </c>
      <c r="P55" s="11">
        <f t="shared" si="5"/>
        <v>2.7852115041081689</v>
      </c>
      <c r="Q55" s="2">
        <f t="shared" si="6"/>
        <v>80.993950539465544</v>
      </c>
      <c r="R55" s="2">
        <f t="shared" si="7"/>
        <v>2.5094592101247941</v>
      </c>
      <c r="S55" s="2">
        <f t="shared" si="8"/>
        <v>72.975073830429011</v>
      </c>
      <c r="T55" s="2">
        <f t="shared" si="9"/>
        <v>8.0188767090365332</v>
      </c>
    </row>
    <row r="56" spans="1:20" x14ac:dyDescent="0.25">
      <c r="A56" s="14">
        <f t="shared" si="16"/>
        <v>0.47254273504273503</v>
      </c>
      <c r="B56" s="2">
        <f t="shared" si="11"/>
        <v>51</v>
      </c>
      <c r="C56" s="4">
        <f t="shared" si="12"/>
        <v>29.83</v>
      </c>
      <c r="D56" s="2">
        <v>13.5</v>
      </c>
      <c r="E56" s="2">
        <v>50.26548245743669</v>
      </c>
      <c r="F56" s="11">
        <f t="shared" si="0"/>
        <v>2.6857396646757339</v>
      </c>
      <c r="G56" s="2">
        <f t="shared" si="1"/>
        <v>80.115614197277139</v>
      </c>
      <c r="H56" s="2">
        <f t="shared" si="2"/>
        <v>2.4704686442812847</v>
      </c>
      <c r="I56" s="2">
        <f t="shared" si="3"/>
        <v>73.694079658910724</v>
      </c>
      <c r="J56" s="2">
        <f t="shared" si="4"/>
        <v>6.4215345383664157</v>
      </c>
      <c r="K56" s="15">
        <f t="shared" si="17"/>
        <v>0.44449786324786322</v>
      </c>
      <c r="L56" s="2">
        <f t="shared" si="14"/>
        <v>51</v>
      </c>
      <c r="M56" s="2">
        <f t="shared" si="15"/>
        <v>29.58</v>
      </c>
      <c r="N56" s="2">
        <v>13.5</v>
      </c>
      <c r="O56" s="2">
        <v>50.26548245743669</v>
      </c>
      <c r="P56" s="11">
        <f t="shared" si="5"/>
        <v>2.6857396646757339</v>
      </c>
      <c r="Q56" s="2">
        <f t="shared" si="6"/>
        <v>79.444179281108205</v>
      </c>
      <c r="R56" s="2">
        <f t="shared" si="7"/>
        <v>2.5094592101247941</v>
      </c>
      <c r="S56" s="2">
        <f t="shared" si="8"/>
        <v>74.229803435491405</v>
      </c>
      <c r="T56" s="2">
        <f t="shared" si="9"/>
        <v>5.2143758456168001</v>
      </c>
    </row>
    <row r="57" spans="1:20" x14ac:dyDescent="0.25">
      <c r="A57" s="14">
        <f t="shared" si="16"/>
        <v>0.47268518518518515</v>
      </c>
      <c r="B57" s="2">
        <f t="shared" si="11"/>
        <v>52</v>
      </c>
      <c r="C57" s="4">
        <f t="shared" si="12"/>
        <v>30.33</v>
      </c>
      <c r="D57" s="2">
        <v>12.5</v>
      </c>
      <c r="E57" s="2">
        <v>50.26548245743669</v>
      </c>
      <c r="F57" s="11">
        <f t="shared" si="0"/>
        <v>2.4867959858108648</v>
      </c>
      <c r="G57" s="2">
        <f t="shared" si="1"/>
        <v>75.42452224964353</v>
      </c>
      <c r="H57" s="2">
        <f t="shared" si="2"/>
        <v>2.4704686442812847</v>
      </c>
      <c r="I57" s="2">
        <f t="shared" si="3"/>
        <v>74.929313981051365</v>
      </c>
      <c r="J57" s="2">
        <f t="shared" si="4"/>
        <v>0.49520826859216527</v>
      </c>
      <c r="K57" s="15">
        <f t="shared" si="17"/>
        <v>0.44467592592592592</v>
      </c>
      <c r="L57" s="2">
        <f t="shared" si="14"/>
        <v>52</v>
      </c>
      <c r="M57" s="2">
        <f t="shared" si="15"/>
        <v>30.08</v>
      </c>
      <c r="N57" s="2">
        <v>11.5</v>
      </c>
      <c r="O57" s="2">
        <v>50.26548245743669</v>
      </c>
      <c r="P57" s="11">
        <f t="shared" si="5"/>
        <v>2.2878523069459957</v>
      </c>
      <c r="Q57" s="2">
        <f t="shared" si="6"/>
        <v>68.818597392935544</v>
      </c>
      <c r="R57" s="2">
        <f t="shared" si="7"/>
        <v>2.5094592101247941</v>
      </c>
      <c r="S57" s="2">
        <f t="shared" si="8"/>
        <v>75.484533040553799</v>
      </c>
      <c r="T57" s="2">
        <f t="shared" si="9"/>
        <v>6.6659356476182552</v>
      </c>
    </row>
    <row r="58" spans="1:20" x14ac:dyDescent="0.25">
      <c r="A58" s="14">
        <f t="shared" si="16"/>
        <v>0.47282763532763533</v>
      </c>
      <c r="B58" s="2">
        <f t="shared" si="11"/>
        <v>53</v>
      </c>
      <c r="C58" s="4">
        <f t="shared" si="12"/>
        <v>30.83</v>
      </c>
      <c r="D58" s="2">
        <v>12.5</v>
      </c>
      <c r="E58" s="2">
        <v>50.26548245743669</v>
      </c>
      <c r="F58" s="11">
        <f t="shared" si="0"/>
        <v>2.4867959858108648</v>
      </c>
      <c r="G58" s="2">
        <f t="shared" si="1"/>
        <v>76.667920242548959</v>
      </c>
      <c r="H58" s="2">
        <f t="shared" si="2"/>
        <v>2.4704686442812847</v>
      </c>
      <c r="I58" s="2">
        <f t="shared" si="3"/>
        <v>76.164548303192007</v>
      </c>
      <c r="J58" s="2">
        <f t="shared" si="4"/>
        <v>0.50337193935695268</v>
      </c>
      <c r="K58" s="15">
        <f t="shared" si="17"/>
        <v>0.44485398860398861</v>
      </c>
      <c r="L58" s="2">
        <f t="shared" si="14"/>
        <v>53</v>
      </c>
      <c r="M58" s="2">
        <f t="shared" si="15"/>
        <v>30.58</v>
      </c>
      <c r="N58" s="2">
        <v>12.5</v>
      </c>
      <c r="O58" s="2">
        <v>50.26548245743669</v>
      </c>
      <c r="P58" s="11">
        <f t="shared" si="5"/>
        <v>2.4867959858108648</v>
      </c>
      <c r="Q58" s="2">
        <f t="shared" si="6"/>
        <v>76.046221246096238</v>
      </c>
      <c r="R58" s="2">
        <f t="shared" si="7"/>
        <v>2.5094592101247941</v>
      </c>
      <c r="S58" s="2">
        <f t="shared" si="8"/>
        <v>76.739262645616193</v>
      </c>
      <c r="T58" s="2">
        <f t="shared" si="9"/>
        <v>0.6930413995199558</v>
      </c>
    </row>
    <row r="59" spans="1:20" x14ac:dyDescent="0.25">
      <c r="A59" s="14">
        <f t="shared" si="16"/>
        <v>0.47297008547008546</v>
      </c>
      <c r="B59" s="2">
        <f t="shared" si="11"/>
        <v>54</v>
      </c>
      <c r="C59" s="4">
        <f t="shared" si="12"/>
        <v>31.33</v>
      </c>
      <c r="D59" s="2">
        <v>12.5</v>
      </c>
      <c r="E59" s="2">
        <v>50.26548245743669</v>
      </c>
      <c r="F59" s="11">
        <f t="shared" si="0"/>
        <v>2.4867959858108648</v>
      </c>
      <c r="G59" s="2">
        <f t="shared" si="1"/>
        <v>77.911318235454388</v>
      </c>
      <c r="H59" s="2">
        <f t="shared" si="2"/>
        <v>2.4704686442812847</v>
      </c>
      <c r="I59" s="2">
        <f t="shared" si="3"/>
        <v>77.399782625332648</v>
      </c>
      <c r="J59" s="2">
        <f t="shared" si="4"/>
        <v>0.51153561012174009</v>
      </c>
      <c r="K59" s="15">
        <f t="shared" si="17"/>
        <v>0.44503205128205126</v>
      </c>
      <c r="L59" s="2">
        <f t="shared" si="14"/>
        <v>54</v>
      </c>
      <c r="M59" s="2">
        <f t="shared" si="15"/>
        <v>31.08</v>
      </c>
      <c r="N59" s="2">
        <v>13</v>
      </c>
      <c r="O59" s="2">
        <v>50.26548245743669</v>
      </c>
      <c r="P59" s="11">
        <f t="shared" si="5"/>
        <v>2.5862678252432989</v>
      </c>
      <c r="Q59" s="2">
        <f t="shared" si="6"/>
        <v>80.381204008561724</v>
      </c>
      <c r="R59" s="2">
        <f t="shared" si="7"/>
        <v>2.5094592101247941</v>
      </c>
      <c r="S59" s="2">
        <f t="shared" si="8"/>
        <v>77.993992250678602</v>
      </c>
      <c r="T59" s="2">
        <f t="shared" si="9"/>
        <v>2.3872117578831222</v>
      </c>
    </row>
    <row r="60" spans="1:20" x14ac:dyDescent="0.25">
      <c r="A60" s="14">
        <f t="shared" si="16"/>
        <v>0.47311253561253558</v>
      </c>
      <c r="B60" s="2">
        <f t="shared" si="11"/>
        <v>55</v>
      </c>
      <c r="C60" s="4">
        <f t="shared" si="12"/>
        <v>31.83</v>
      </c>
      <c r="D60" s="2">
        <v>12</v>
      </c>
      <c r="E60" s="2">
        <v>50.26548245743669</v>
      </c>
      <c r="F60" s="11">
        <f t="shared" si="0"/>
        <v>2.3873241463784298</v>
      </c>
      <c r="G60" s="2">
        <f t="shared" si="1"/>
        <v>75.988527579225419</v>
      </c>
      <c r="H60" s="2">
        <f t="shared" si="2"/>
        <v>2.4704686442812847</v>
      </c>
      <c r="I60" s="2">
        <f t="shared" si="3"/>
        <v>78.635016947473289</v>
      </c>
      <c r="J60" s="2">
        <f t="shared" si="4"/>
        <v>2.6464893682478703</v>
      </c>
      <c r="K60" s="15">
        <f t="shared" si="17"/>
        <v>0.44521011396011395</v>
      </c>
      <c r="L60" s="2">
        <f t="shared" si="14"/>
        <v>55</v>
      </c>
      <c r="M60" s="2">
        <f t="shared" si="15"/>
        <v>31.58</v>
      </c>
      <c r="N60" s="2">
        <v>14</v>
      </c>
      <c r="O60" s="2">
        <v>50.26548245743669</v>
      </c>
      <c r="P60" s="11">
        <f t="shared" si="5"/>
        <v>2.7852115041081689</v>
      </c>
      <c r="Q60" s="2">
        <f t="shared" si="6"/>
        <v>87.956979299735963</v>
      </c>
      <c r="R60" s="2">
        <f t="shared" si="7"/>
        <v>2.5094592101247941</v>
      </c>
      <c r="S60" s="2">
        <f t="shared" si="8"/>
        <v>79.248721855740996</v>
      </c>
      <c r="T60" s="2">
        <f t="shared" si="9"/>
        <v>8.7082574439949667</v>
      </c>
    </row>
    <row r="61" spans="1:20" x14ac:dyDescent="0.25">
      <c r="A61" s="14">
        <f t="shared" si="16"/>
        <v>0.47325498575498576</v>
      </c>
      <c r="B61" s="2">
        <f t="shared" si="11"/>
        <v>56</v>
      </c>
      <c r="C61" s="4">
        <f t="shared" si="12"/>
        <v>32.33</v>
      </c>
      <c r="D61" s="2">
        <v>13</v>
      </c>
      <c r="E61" s="2">
        <v>50.26548245743669</v>
      </c>
      <c r="F61" s="11">
        <f t="shared" si="0"/>
        <v>2.5862678252432989</v>
      </c>
      <c r="G61" s="2">
        <f t="shared" si="1"/>
        <v>83.614038790115856</v>
      </c>
      <c r="H61" s="2">
        <f t="shared" si="2"/>
        <v>2.4704686442812847</v>
      </c>
      <c r="I61" s="2">
        <f t="shared" si="3"/>
        <v>79.870251269613931</v>
      </c>
      <c r="J61" s="2">
        <f t="shared" si="4"/>
        <v>3.7437875205019253</v>
      </c>
      <c r="K61" s="15">
        <f t="shared" si="17"/>
        <v>0.44538817663817665</v>
      </c>
      <c r="L61" s="2">
        <f t="shared" si="14"/>
        <v>56</v>
      </c>
      <c r="M61" s="2">
        <f t="shared" si="15"/>
        <v>32.08</v>
      </c>
      <c r="N61" s="2">
        <v>12.5</v>
      </c>
      <c r="O61" s="2">
        <v>50.26548245743669</v>
      </c>
      <c r="P61" s="11">
        <f t="shared" si="5"/>
        <v>2.4867959858108648</v>
      </c>
      <c r="Q61" s="2">
        <f t="shared" si="6"/>
        <v>79.776415224812538</v>
      </c>
      <c r="R61" s="2">
        <f t="shared" si="7"/>
        <v>2.5094592101247941</v>
      </c>
      <c r="S61" s="2">
        <f t="shared" si="8"/>
        <v>80.50345146080339</v>
      </c>
      <c r="T61" s="2">
        <f t="shared" si="9"/>
        <v>0.72703623599085176</v>
      </c>
    </row>
    <row r="62" spans="1:20" x14ac:dyDescent="0.25">
      <c r="A62" s="14">
        <f t="shared" si="16"/>
        <v>0.47339743589743588</v>
      </c>
      <c r="B62" s="2">
        <f t="shared" si="11"/>
        <v>57</v>
      </c>
      <c r="C62" s="4">
        <f t="shared" si="12"/>
        <v>32.83</v>
      </c>
      <c r="D62" s="2">
        <v>12.5</v>
      </c>
      <c r="E62" s="2">
        <v>50.26548245743669</v>
      </c>
      <c r="F62" s="11">
        <f t="shared" si="0"/>
        <v>2.4867959858108648</v>
      </c>
      <c r="G62" s="2">
        <f t="shared" si="1"/>
        <v>81.641512214170689</v>
      </c>
      <c r="H62" s="2">
        <f t="shared" si="2"/>
        <v>2.4704686442812847</v>
      </c>
      <c r="I62" s="2">
        <f t="shared" si="3"/>
        <v>81.105485591754572</v>
      </c>
      <c r="J62" s="2">
        <f t="shared" si="4"/>
        <v>0.53602662241611654</v>
      </c>
      <c r="K62" s="15">
        <f t="shared" si="17"/>
        <v>0.44556623931623929</v>
      </c>
      <c r="L62" s="2">
        <f t="shared" si="14"/>
        <v>57</v>
      </c>
      <c r="M62" s="2">
        <f t="shared" si="15"/>
        <v>32.58</v>
      </c>
      <c r="N62" s="2">
        <v>11</v>
      </c>
      <c r="O62" s="2">
        <v>50.26548245743669</v>
      </c>
      <c r="P62" s="11">
        <f t="shared" si="5"/>
        <v>2.1883804675135607</v>
      </c>
      <c r="Q62" s="2">
        <f t="shared" si="6"/>
        <v>71.29743563159181</v>
      </c>
      <c r="R62" s="2">
        <f t="shared" si="7"/>
        <v>2.5094592101247941</v>
      </c>
      <c r="S62" s="2">
        <f t="shared" si="8"/>
        <v>81.758181065865784</v>
      </c>
      <c r="T62" s="2">
        <f t="shared" si="9"/>
        <v>10.460745434273974</v>
      </c>
    </row>
    <row r="63" spans="1:20" x14ac:dyDescent="0.25">
      <c r="A63" s="14">
        <f t="shared" si="16"/>
        <v>0.473539886039886</v>
      </c>
      <c r="B63" s="2">
        <f t="shared" si="11"/>
        <v>58</v>
      </c>
      <c r="C63" s="4">
        <f t="shared" si="12"/>
        <v>33.33</v>
      </c>
      <c r="D63" s="2">
        <v>13.5</v>
      </c>
      <c r="E63" s="2">
        <v>50.26548245743669</v>
      </c>
      <c r="F63" s="11">
        <f t="shared" si="0"/>
        <v>2.6857396646757339</v>
      </c>
      <c r="G63" s="2">
        <f t="shared" si="1"/>
        <v>89.515703023642203</v>
      </c>
      <c r="H63" s="2">
        <f t="shared" si="2"/>
        <v>2.4704686442812847</v>
      </c>
      <c r="I63" s="2">
        <f t="shared" si="3"/>
        <v>82.340719913895214</v>
      </c>
      <c r="J63" s="2">
        <f t="shared" si="4"/>
        <v>7.1749831097469894</v>
      </c>
      <c r="K63" s="15">
        <f t="shared" si="17"/>
        <v>0.44574430199430198</v>
      </c>
      <c r="L63" s="2">
        <f t="shared" si="14"/>
        <v>58</v>
      </c>
      <c r="M63" s="2">
        <f t="shared" si="15"/>
        <v>33.08</v>
      </c>
      <c r="N63" s="2">
        <v>11</v>
      </c>
      <c r="O63" s="2">
        <v>50.26548245743669</v>
      </c>
      <c r="P63" s="11">
        <f t="shared" si="5"/>
        <v>2.1883804675135607</v>
      </c>
      <c r="Q63" s="2">
        <f t="shared" si="6"/>
        <v>72.391625865348587</v>
      </c>
      <c r="R63" s="2">
        <f t="shared" si="7"/>
        <v>2.5094592101247941</v>
      </c>
      <c r="S63" s="2">
        <f t="shared" si="8"/>
        <v>83.012910670928179</v>
      </c>
      <c r="T63" s="2">
        <f t="shared" si="9"/>
        <v>10.621284805579592</v>
      </c>
    </row>
    <row r="64" spans="1:20" x14ac:dyDescent="0.25">
      <c r="A64" s="14">
        <f t="shared" si="16"/>
        <v>0.47368233618233618</v>
      </c>
      <c r="B64" s="2">
        <f t="shared" si="11"/>
        <v>59</v>
      </c>
      <c r="C64" s="4">
        <f t="shared" si="12"/>
        <v>33.83</v>
      </c>
      <c r="D64" s="2">
        <v>12</v>
      </c>
      <c r="E64" s="2">
        <v>50.26548245743669</v>
      </c>
      <c r="F64" s="11">
        <f t="shared" si="0"/>
        <v>2.3873241463784298</v>
      </c>
      <c r="G64" s="2">
        <f t="shared" si="1"/>
        <v>80.76317587198227</v>
      </c>
      <c r="H64" s="2">
        <f t="shared" si="2"/>
        <v>2.4704686442812847</v>
      </c>
      <c r="I64" s="2">
        <f t="shared" si="3"/>
        <v>83.575954236035855</v>
      </c>
      <c r="J64" s="2">
        <f t="shared" si="4"/>
        <v>2.8127783640535853</v>
      </c>
      <c r="K64" s="15">
        <f t="shared" si="17"/>
        <v>0.44592236467236468</v>
      </c>
      <c r="L64" s="2">
        <f t="shared" si="14"/>
        <v>59</v>
      </c>
      <c r="M64" s="2">
        <f t="shared" si="15"/>
        <v>33.58</v>
      </c>
      <c r="N64" s="2">
        <v>12.5</v>
      </c>
      <c r="O64" s="2">
        <v>50.26548245743669</v>
      </c>
      <c r="P64" s="11">
        <f t="shared" si="5"/>
        <v>2.4867959858108648</v>
      </c>
      <c r="Q64" s="2">
        <f t="shared" si="6"/>
        <v>83.506609203528839</v>
      </c>
      <c r="R64" s="2">
        <f t="shared" si="7"/>
        <v>2.5094592101247941</v>
      </c>
      <c r="S64" s="2">
        <f t="shared" si="8"/>
        <v>84.267640275990587</v>
      </c>
      <c r="T64" s="2">
        <f t="shared" si="9"/>
        <v>0.76103107246174773</v>
      </c>
    </row>
    <row r="65" spans="1:20" x14ac:dyDescent="0.25">
      <c r="A65" s="14">
        <f t="shared" si="16"/>
        <v>0.47382478632478631</v>
      </c>
      <c r="B65" s="2">
        <f t="shared" si="11"/>
        <v>60</v>
      </c>
      <c r="C65" s="4">
        <f t="shared" si="12"/>
        <v>34.33</v>
      </c>
      <c r="D65" s="2">
        <v>12</v>
      </c>
      <c r="E65" s="2">
        <v>50.26548245743669</v>
      </c>
      <c r="F65" s="11">
        <f t="shared" si="0"/>
        <v>2.3873241463784298</v>
      </c>
      <c r="G65" s="2">
        <f t="shared" si="1"/>
        <v>81.956837945171486</v>
      </c>
      <c r="H65" s="2">
        <f t="shared" si="2"/>
        <v>2.4704686442812847</v>
      </c>
      <c r="I65" s="2">
        <f t="shared" si="3"/>
        <v>84.811188558176497</v>
      </c>
      <c r="J65" s="2">
        <f t="shared" si="4"/>
        <v>2.8543506130050105</v>
      </c>
      <c r="K65" s="15">
        <f t="shared" si="17"/>
        <v>0.44610042735042738</v>
      </c>
      <c r="L65" s="2">
        <f t="shared" si="14"/>
        <v>60</v>
      </c>
      <c r="M65" s="2">
        <f t="shared" si="15"/>
        <v>34.08</v>
      </c>
      <c r="N65" s="2">
        <v>11</v>
      </c>
      <c r="O65" s="2">
        <v>50.26548245743669</v>
      </c>
      <c r="P65" s="11">
        <f t="shared" si="5"/>
        <v>2.1883804675135607</v>
      </c>
      <c r="Q65" s="2">
        <f t="shared" si="6"/>
        <v>74.580006332862141</v>
      </c>
      <c r="R65" s="2">
        <f t="shared" si="7"/>
        <v>2.5094592101247941</v>
      </c>
      <c r="S65" s="2">
        <f t="shared" si="8"/>
        <v>85.522369881052981</v>
      </c>
      <c r="T65" s="2">
        <f t="shared" si="9"/>
        <v>10.942363548190841</v>
      </c>
    </row>
    <row r="66" spans="1:20" x14ac:dyDescent="0.25">
      <c r="A66" s="14">
        <f t="shared" si="16"/>
        <v>0.47396723646723643</v>
      </c>
      <c r="B66" s="2">
        <f t="shared" si="11"/>
        <v>61</v>
      </c>
      <c r="C66" s="4">
        <f t="shared" si="12"/>
        <v>34.83</v>
      </c>
      <c r="D66" s="2">
        <v>15</v>
      </c>
      <c r="E66" s="2">
        <v>50.26548245743669</v>
      </c>
      <c r="F66" s="11">
        <f t="shared" si="0"/>
        <v>2.9841551829730379</v>
      </c>
      <c r="G66" s="2">
        <f t="shared" si="1"/>
        <v>103.93812502295091</v>
      </c>
      <c r="H66" s="2">
        <f t="shared" si="2"/>
        <v>2.4704686442812847</v>
      </c>
      <c r="I66" s="2">
        <f t="shared" si="3"/>
        <v>86.046422880317138</v>
      </c>
      <c r="J66" s="2">
        <f t="shared" si="4"/>
        <v>17.891702142633775</v>
      </c>
      <c r="K66" s="15">
        <f t="shared" si="17"/>
        <v>0.44627849002849002</v>
      </c>
      <c r="L66" s="2">
        <f t="shared" si="14"/>
        <v>61</v>
      </c>
      <c r="M66" s="2">
        <f t="shared" si="15"/>
        <v>34.58</v>
      </c>
      <c r="N66" s="2">
        <v>12</v>
      </c>
      <c r="O66" s="2">
        <v>50.26548245743669</v>
      </c>
      <c r="P66" s="11">
        <f t="shared" si="5"/>
        <v>2.3873241463784298</v>
      </c>
      <c r="Q66" s="2">
        <f t="shared" si="6"/>
        <v>82.553668981766094</v>
      </c>
      <c r="R66" s="2">
        <f t="shared" si="7"/>
        <v>2.5094592101247941</v>
      </c>
      <c r="S66" s="2">
        <f t="shared" si="8"/>
        <v>86.777099486115375</v>
      </c>
      <c r="T66" s="2">
        <f t="shared" si="9"/>
        <v>4.223430504349281</v>
      </c>
    </row>
    <row r="67" spans="1:20" x14ac:dyDescent="0.25">
      <c r="A67" s="14">
        <f t="shared" si="16"/>
        <v>0.47410968660968661</v>
      </c>
      <c r="B67" s="2">
        <f t="shared" si="11"/>
        <v>62</v>
      </c>
      <c r="C67" s="4">
        <f t="shared" si="12"/>
        <v>35.33</v>
      </c>
      <c r="D67" s="2">
        <v>13</v>
      </c>
      <c r="E67" s="2">
        <v>50.26548245743669</v>
      </c>
      <c r="F67" s="11">
        <f t="shared" si="0"/>
        <v>2.5862678252432989</v>
      </c>
      <c r="G67" s="2">
        <f t="shared" si="1"/>
        <v>91.372842265845748</v>
      </c>
      <c r="H67" s="2">
        <f t="shared" si="2"/>
        <v>2.4704686442812847</v>
      </c>
      <c r="I67" s="2">
        <f t="shared" si="3"/>
        <v>87.281657202457779</v>
      </c>
      <c r="J67" s="2">
        <f t="shared" si="4"/>
        <v>4.0911850633879681</v>
      </c>
      <c r="K67" s="15">
        <f t="shared" si="17"/>
        <v>0.44645655270655271</v>
      </c>
      <c r="L67" s="2">
        <f t="shared" si="14"/>
        <v>62</v>
      </c>
      <c r="M67" s="2">
        <f t="shared" si="15"/>
        <v>35.08</v>
      </c>
      <c r="N67" s="2">
        <v>11.5</v>
      </c>
      <c r="O67" s="2">
        <v>50.26548245743669</v>
      </c>
      <c r="P67" s="11">
        <f t="shared" si="5"/>
        <v>2.2878523069459957</v>
      </c>
      <c r="Q67" s="2">
        <f t="shared" si="6"/>
        <v>80.257858927665524</v>
      </c>
      <c r="R67" s="2">
        <f t="shared" si="7"/>
        <v>2.5094592101247941</v>
      </c>
      <c r="S67" s="2">
        <f t="shared" si="8"/>
        <v>88.031829091177769</v>
      </c>
      <c r="T67" s="2">
        <f t="shared" si="9"/>
        <v>7.7739701635122458</v>
      </c>
    </row>
    <row r="68" spans="1:20" x14ac:dyDescent="0.25">
      <c r="A68" s="14">
        <f t="shared" si="16"/>
        <v>0.47425213675213673</v>
      </c>
      <c r="B68" s="2">
        <f t="shared" si="11"/>
        <v>63</v>
      </c>
      <c r="C68" s="4">
        <f t="shared" si="12"/>
        <v>35.83</v>
      </c>
      <c r="D68" s="2">
        <v>12.5</v>
      </c>
      <c r="E68" s="2">
        <v>50.26548245743669</v>
      </c>
      <c r="F68" s="11">
        <f t="shared" si="0"/>
        <v>2.4867959858108648</v>
      </c>
      <c r="G68" s="2">
        <f t="shared" si="1"/>
        <v>89.101900171603276</v>
      </c>
      <c r="H68" s="2">
        <f t="shared" si="2"/>
        <v>2.4704686442812847</v>
      </c>
      <c r="I68" s="2">
        <f t="shared" si="3"/>
        <v>88.516891524598421</v>
      </c>
      <c r="J68" s="2">
        <f t="shared" si="4"/>
        <v>0.58500864700485522</v>
      </c>
      <c r="K68" s="15">
        <f t="shared" si="17"/>
        <v>0.44663461538461541</v>
      </c>
      <c r="L68" s="2">
        <f t="shared" si="14"/>
        <v>63</v>
      </c>
      <c r="M68" s="2">
        <f t="shared" si="15"/>
        <v>35.58</v>
      </c>
      <c r="N68" s="2">
        <v>13.5</v>
      </c>
      <c r="O68" s="2">
        <v>50.26548245743669</v>
      </c>
      <c r="P68" s="11">
        <f t="shared" si="5"/>
        <v>2.6857396646757339</v>
      </c>
      <c r="Q68" s="2">
        <f t="shared" si="6"/>
        <v>95.55861726916261</v>
      </c>
      <c r="R68" s="2">
        <f t="shared" si="7"/>
        <v>2.5094592101247941</v>
      </c>
      <c r="S68" s="2">
        <f t="shared" si="8"/>
        <v>89.286558696240164</v>
      </c>
      <c r="T68" s="2">
        <f t="shared" si="9"/>
        <v>6.2720585729224467</v>
      </c>
    </row>
    <row r="69" spans="1:20" x14ac:dyDescent="0.25">
      <c r="A69" s="14">
        <f t="shared" si="16"/>
        <v>0.47439458689458686</v>
      </c>
      <c r="B69" s="2">
        <f t="shared" si="11"/>
        <v>64</v>
      </c>
      <c r="C69" s="4">
        <f t="shared" si="12"/>
        <v>36.33</v>
      </c>
      <c r="D69" s="2">
        <v>13.5</v>
      </c>
      <c r="E69" s="2">
        <v>50.26548245743669</v>
      </c>
      <c r="F69" s="11">
        <f t="shared" si="0"/>
        <v>2.6857396646757339</v>
      </c>
      <c r="G69" s="2">
        <f t="shared" si="1"/>
        <v>97.572922017669413</v>
      </c>
      <c r="H69" s="2">
        <f t="shared" si="2"/>
        <v>2.4704686442812847</v>
      </c>
      <c r="I69" s="2">
        <f t="shared" si="3"/>
        <v>89.752125846739062</v>
      </c>
      <c r="J69" s="2">
        <f t="shared" si="4"/>
        <v>7.8207961709303504</v>
      </c>
      <c r="K69" s="15">
        <f t="shared" si="17"/>
        <v>0.44681267806267805</v>
      </c>
      <c r="L69" s="2">
        <f t="shared" si="14"/>
        <v>64</v>
      </c>
      <c r="M69" s="2">
        <f t="shared" si="15"/>
        <v>36.08</v>
      </c>
      <c r="N69" s="2">
        <v>13.5</v>
      </c>
      <c r="O69" s="2">
        <v>50.26548245743669</v>
      </c>
      <c r="P69" s="11">
        <f t="shared" si="5"/>
        <v>2.6857396646757339</v>
      </c>
      <c r="Q69" s="2">
        <f t="shared" si="6"/>
        <v>96.901487101500479</v>
      </c>
      <c r="R69" s="2">
        <f t="shared" si="7"/>
        <v>2.5094592101247941</v>
      </c>
      <c r="S69" s="2">
        <f t="shared" si="8"/>
        <v>90.541288301302572</v>
      </c>
      <c r="T69" s="2">
        <f t="shared" si="9"/>
        <v>6.3601988001979066</v>
      </c>
    </row>
    <row r="70" spans="1:20" x14ac:dyDescent="0.25">
      <c r="A70" s="14">
        <f t="shared" si="16"/>
        <v>0.47453703703703703</v>
      </c>
      <c r="B70" s="2">
        <f t="shared" si="11"/>
        <v>65</v>
      </c>
      <c r="C70" s="4">
        <f t="shared" si="12"/>
        <v>36.83</v>
      </c>
      <c r="D70" s="2">
        <v>12.5</v>
      </c>
      <c r="E70" s="2">
        <v>50.26548245743669</v>
      </c>
      <c r="F70" s="11">
        <f t="shared" si="0"/>
        <v>2.4867959858108648</v>
      </c>
      <c r="G70" s="2">
        <f t="shared" si="1"/>
        <v>91.588696157414148</v>
      </c>
      <c r="H70" s="2">
        <f t="shared" si="2"/>
        <v>2.4704686442812847</v>
      </c>
      <c r="I70" s="2">
        <f t="shared" si="3"/>
        <v>90.987360168879704</v>
      </c>
      <c r="J70" s="2">
        <f t="shared" si="4"/>
        <v>0.60133598853444425</v>
      </c>
      <c r="K70" s="15">
        <f t="shared" si="17"/>
        <v>0.44699074074074074</v>
      </c>
      <c r="L70" s="2">
        <f t="shared" si="14"/>
        <v>65</v>
      </c>
      <c r="M70" s="2">
        <f t="shared" si="15"/>
        <v>36.58</v>
      </c>
      <c r="N70" s="2">
        <v>13.5</v>
      </c>
      <c r="O70" s="2">
        <v>50.26548245743669</v>
      </c>
      <c r="P70" s="11">
        <f t="shared" si="5"/>
        <v>2.6857396646757339</v>
      </c>
      <c r="Q70" s="2">
        <f t="shared" si="6"/>
        <v>98.244356933838347</v>
      </c>
      <c r="R70" s="2">
        <f t="shared" si="7"/>
        <v>2.5094592101247941</v>
      </c>
      <c r="S70" s="2">
        <f t="shared" si="8"/>
        <v>91.796017906364966</v>
      </c>
      <c r="T70" s="2">
        <f t="shared" si="9"/>
        <v>6.4483390274733807</v>
      </c>
    </row>
    <row r="71" spans="1:20" x14ac:dyDescent="0.25">
      <c r="A71" s="14">
        <f t="shared" si="16"/>
        <v>0.47467948717948716</v>
      </c>
      <c r="B71" s="2">
        <f t="shared" si="11"/>
        <v>66</v>
      </c>
      <c r="C71" s="4">
        <f t="shared" si="12"/>
        <v>37.33</v>
      </c>
      <c r="D71" s="2">
        <v>14.5</v>
      </c>
      <c r="E71" s="2">
        <v>50.26548245743669</v>
      </c>
      <c r="F71" s="11">
        <f t="shared" si="0"/>
        <v>2.8846833435406034</v>
      </c>
      <c r="G71" s="2">
        <f t="shared" si="1"/>
        <v>107.68522921437072</v>
      </c>
      <c r="H71" s="2">
        <f t="shared" si="2"/>
        <v>2.4704686442812847</v>
      </c>
      <c r="I71" s="2">
        <f t="shared" si="3"/>
        <v>92.222594491020345</v>
      </c>
      <c r="J71" s="2">
        <f t="shared" si="4"/>
        <v>15.462634723350376</v>
      </c>
      <c r="K71" s="15">
        <f t="shared" si="17"/>
        <v>0.44716880341880344</v>
      </c>
      <c r="L71" s="2">
        <f t="shared" si="14"/>
        <v>66</v>
      </c>
      <c r="M71" s="2">
        <f t="shared" si="15"/>
        <v>37.08</v>
      </c>
      <c r="N71" s="2">
        <v>12.5</v>
      </c>
      <c r="O71" s="2">
        <v>50.26548245743669</v>
      </c>
      <c r="P71" s="11">
        <f t="shared" si="5"/>
        <v>2.4867959858108648</v>
      </c>
      <c r="Q71" s="2">
        <f t="shared" si="6"/>
        <v>92.21039515386687</v>
      </c>
      <c r="R71" s="2">
        <f t="shared" si="7"/>
        <v>2.5094592101247941</v>
      </c>
      <c r="S71" s="2">
        <f t="shared" si="8"/>
        <v>93.05074751142736</v>
      </c>
      <c r="T71" s="2">
        <f t="shared" si="9"/>
        <v>0.84035235756049076</v>
      </c>
    </row>
    <row r="72" spans="1:20" x14ac:dyDescent="0.25">
      <c r="A72" s="14">
        <f t="shared" si="16"/>
        <v>0.47482193732193728</v>
      </c>
      <c r="B72" s="2">
        <f t="shared" si="11"/>
        <v>67</v>
      </c>
      <c r="C72" s="4">
        <f t="shared" si="12"/>
        <v>37.83</v>
      </c>
      <c r="D72" s="2">
        <v>15</v>
      </c>
      <c r="E72" s="2">
        <v>50.26548245743669</v>
      </c>
      <c r="F72" s="11">
        <f t="shared" si="0"/>
        <v>2.9841551829730379</v>
      </c>
      <c r="G72" s="2">
        <f t="shared" si="1"/>
        <v>112.89059057187002</v>
      </c>
      <c r="H72" s="2">
        <f t="shared" si="2"/>
        <v>2.4704686442812847</v>
      </c>
      <c r="I72" s="2">
        <f t="shared" si="3"/>
        <v>93.457828813161001</v>
      </c>
      <c r="J72" s="2">
        <f t="shared" si="4"/>
        <v>19.43276175870902</v>
      </c>
      <c r="K72" s="15">
        <f t="shared" si="17"/>
        <v>0.44734686609686608</v>
      </c>
      <c r="L72" s="2">
        <f t="shared" si="14"/>
        <v>67</v>
      </c>
      <c r="M72" s="2">
        <f t="shared" si="15"/>
        <v>37.58</v>
      </c>
      <c r="N72" s="2">
        <v>17.5</v>
      </c>
      <c r="O72" s="2">
        <v>50.26548245743669</v>
      </c>
      <c r="P72" s="11">
        <f t="shared" si="5"/>
        <v>3.4815143801352106</v>
      </c>
      <c r="Q72" s="2">
        <f t="shared" si="6"/>
        <v>130.83531040548121</v>
      </c>
      <c r="R72" s="2">
        <f t="shared" si="7"/>
        <v>2.5094592101247941</v>
      </c>
      <c r="S72" s="2">
        <f t="shared" si="8"/>
        <v>94.305477116489755</v>
      </c>
      <c r="T72" s="2">
        <f t="shared" si="9"/>
        <v>36.529833288991455</v>
      </c>
    </row>
    <row r="73" spans="1:20" x14ac:dyDescent="0.25">
      <c r="A73" s="14">
        <f t="shared" si="16"/>
        <v>0.47496438746438746</v>
      </c>
      <c r="B73" s="2">
        <f t="shared" si="11"/>
        <v>68</v>
      </c>
      <c r="C73" s="4">
        <f t="shared" si="12"/>
        <v>38.33</v>
      </c>
      <c r="D73" s="2">
        <v>12</v>
      </c>
      <c r="E73" s="2">
        <v>50.26548245743669</v>
      </c>
      <c r="F73" s="11">
        <f t="shared" si="0"/>
        <v>2.3873241463784298</v>
      </c>
      <c r="G73" s="2">
        <f t="shared" si="1"/>
        <v>91.506134530685216</v>
      </c>
      <c r="H73" s="2">
        <f t="shared" si="2"/>
        <v>2.4704686442812847</v>
      </c>
      <c r="I73" s="2">
        <f t="shared" si="3"/>
        <v>94.693063135301642</v>
      </c>
      <c r="J73" s="2">
        <f t="shared" si="4"/>
        <v>3.1869286046164262</v>
      </c>
      <c r="K73" s="15">
        <f t="shared" si="17"/>
        <v>0.44752492877492878</v>
      </c>
      <c r="L73" s="2">
        <f t="shared" si="14"/>
        <v>68</v>
      </c>
      <c r="M73" s="2">
        <f t="shared" si="15"/>
        <v>38.08</v>
      </c>
      <c r="N73" s="2">
        <v>13</v>
      </c>
      <c r="O73" s="2">
        <v>50.26548245743669</v>
      </c>
      <c r="P73" s="11">
        <f t="shared" si="5"/>
        <v>2.5862678252432989</v>
      </c>
      <c r="Q73" s="2">
        <f t="shared" si="6"/>
        <v>98.485078785264818</v>
      </c>
      <c r="R73" s="2">
        <f t="shared" si="7"/>
        <v>2.5094592101247941</v>
      </c>
      <c r="S73" s="2">
        <f t="shared" si="8"/>
        <v>95.560206721552149</v>
      </c>
      <c r="T73" s="2">
        <f t="shared" si="9"/>
        <v>2.9248720637126695</v>
      </c>
    </row>
    <row r="74" spans="1:20" x14ac:dyDescent="0.25">
      <c r="A74" s="14">
        <f t="shared" si="16"/>
        <v>0.47510683760683758</v>
      </c>
      <c r="B74" s="2">
        <f t="shared" si="11"/>
        <v>69</v>
      </c>
      <c r="C74" s="4">
        <f t="shared" si="12"/>
        <v>38.83</v>
      </c>
      <c r="D74" s="2">
        <v>14</v>
      </c>
      <c r="E74" s="2">
        <v>50.26548245743669</v>
      </c>
      <c r="F74" s="11">
        <f t="shared" si="0"/>
        <v>2.7852115041081689</v>
      </c>
      <c r="G74" s="2">
        <f t="shared" si="1"/>
        <v>108.1497627045202</v>
      </c>
      <c r="H74" s="2">
        <f t="shared" si="2"/>
        <v>2.4704686442812847</v>
      </c>
      <c r="I74" s="2">
        <f t="shared" si="3"/>
        <v>95.928297457442284</v>
      </c>
      <c r="J74" s="2">
        <f t="shared" si="4"/>
        <v>12.221465247077916</v>
      </c>
      <c r="K74" s="15">
        <f t="shared" si="17"/>
        <v>0.44770299145299147</v>
      </c>
      <c r="L74" s="2">
        <f t="shared" si="14"/>
        <v>69</v>
      </c>
      <c r="M74" s="2">
        <f t="shared" si="15"/>
        <v>38.58</v>
      </c>
      <c r="N74" s="2">
        <v>11.5</v>
      </c>
      <c r="O74" s="2">
        <v>50.26548245743669</v>
      </c>
      <c r="P74" s="11">
        <f t="shared" si="5"/>
        <v>2.2878523069459957</v>
      </c>
      <c r="Q74" s="2">
        <f t="shared" si="6"/>
        <v>88.265342001976506</v>
      </c>
      <c r="R74" s="2">
        <f t="shared" si="7"/>
        <v>2.5094592101247941</v>
      </c>
      <c r="S74" s="2">
        <f t="shared" si="8"/>
        <v>96.814936326614557</v>
      </c>
      <c r="T74" s="2">
        <f t="shared" si="9"/>
        <v>8.5495943246380506</v>
      </c>
    </row>
    <row r="75" spans="1:20" x14ac:dyDescent="0.25">
      <c r="A75" s="14">
        <f t="shared" si="16"/>
        <v>0.47524928774928771</v>
      </c>
      <c r="B75" s="2">
        <f t="shared" si="11"/>
        <v>70</v>
      </c>
      <c r="C75" s="4">
        <f t="shared" si="12"/>
        <v>39.33</v>
      </c>
      <c r="D75" s="2">
        <v>12</v>
      </c>
      <c r="E75" s="2">
        <v>50.26548245743669</v>
      </c>
      <c r="F75" s="11">
        <f t="shared" si="0"/>
        <v>2.3873241463784298</v>
      </c>
      <c r="G75" s="2">
        <f t="shared" si="1"/>
        <v>93.893458677063634</v>
      </c>
      <c r="H75" s="2">
        <f t="shared" si="2"/>
        <v>2.4704686442812847</v>
      </c>
      <c r="I75" s="2">
        <f t="shared" si="3"/>
        <v>97.163531779582925</v>
      </c>
      <c r="J75" s="2">
        <f t="shared" si="4"/>
        <v>3.2700731025192908</v>
      </c>
      <c r="K75" s="15">
        <f t="shared" si="17"/>
        <v>0.44788105413105411</v>
      </c>
      <c r="L75" s="2">
        <f t="shared" si="14"/>
        <v>70</v>
      </c>
      <c r="M75" s="2">
        <f t="shared" si="15"/>
        <v>39.08</v>
      </c>
      <c r="N75" s="2">
        <v>12.5</v>
      </c>
      <c r="O75" s="2">
        <v>50.26548245743669</v>
      </c>
      <c r="P75" s="11">
        <f t="shared" si="5"/>
        <v>2.4867959858108648</v>
      </c>
      <c r="Q75" s="2">
        <f t="shared" si="6"/>
        <v>97.183987125488599</v>
      </c>
      <c r="R75" s="2">
        <f t="shared" si="7"/>
        <v>2.5094592101247941</v>
      </c>
      <c r="S75" s="2">
        <f t="shared" si="8"/>
        <v>98.069665931676951</v>
      </c>
      <c r="T75" s="2">
        <f t="shared" si="9"/>
        <v>0.88567880618835204</v>
      </c>
    </row>
    <row r="76" spans="1:20" x14ac:dyDescent="0.25">
      <c r="A76" s="14">
        <f t="shared" si="16"/>
        <v>0.47539173789173789</v>
      </c>
      <c r="B76" s="2">
        <f t="shared" si="11"/>
        <v>71</v>
      </c>
      <c r="C76" s="4">
        <f t="shared" si="12"/>
        <v>39.83</v>
      </c>
      <c r="D76" s="2">
        <v>13</v>
      </c>
      <c r="E76" s="2">
        <v>50.26548245743669</v>
      </c>
      <c r="F76" s="11">
        <f t="shared" si="0"/>
        <v>2.5862678252432989</v>
      </c>
      <c r="G76" s="2">
        <f t="shared" si="1"/>
        <v>103.01104747944059</v>
      </c>
      <c r="H76" s="2">
        <f t="shared" si="2"/>
        <v>2.4704686442812847</v>
      </c>
      <c r="I76" s="2">
        <f t="shared" si="3"/>
        <v>98.398766101723567</v>
      </c>
      <c r="J76" s="2">
        <f t="shared" si="4"/>
        <v>4.6122813777170251</v>
      </c>
      <c r="K76" s="15">
        <f t="shared" si="17"/>
        <v>0.44805911680911681</v>
      </c>
      <c r="L76" s="2">
        <f t="shared" si="14"/>
        <v>71</v>
      </c>
      <c r="M76" s="2">
        <f t="shared" si="15"/>
        <v>39.58</v>
      </c>
      <c r="N76" s="2">
        <v>12</v>
      </c>
      <c r="O76" s="2">
        <v>50.26548245743669</v>
      </c>
      <c r="P76" s="11">
        <f t="shared" si="5"/>
        <v>2.3873241463784298</v>
      </c>
      <c r="Q76" s="2">
        <f t="shared" si="6"/>
        <v>94.490289713658242</v>
      </c>
      <c r="R76" s="2">
        <f t="shared" si="7"/>
        <v>2.5094592101247941</v>
      </c>
      <c r="S76" s="2">
        <f t="shared" si="8"/>
        <v>99.324395536739345</v>
      </c>
      <c r="T76" s="2">
        <f t="shared" si="9"/>
        <v>4.8341058230811029</v>
      </c>
    </row>
    <row r="77" spans="1:20" x14ac:dyDescent="0.25">
      <c r="A77" s="14">
        <f t="shared" si="16"/>
        <v>0.47553418803418801</v>
      </c>
      <c r="B77" s="2">
        <f t="shared" si="11"/>
        <v>72</v>
      </c>
      <c r="C77" s="4">
        <f t="shared" si="12"/>
        <v>40.33</v>
      </c>
      <c r="D77" s="2">
        <v>13</v>
      </c>
      <c r="E77" s="2">
        <v>50.26548245743669</v>
      </c>
      <c r="F77" s="11">
        <f t="shared" si="0"/>
        <v>2.5862678252432989</v>
      </c>
      <c r="G77" s="2">
        <f t="shared" si="1"/>
        <v>104.30418139206225</v>
      </c>
      <c r="H77" s="2">
        <f t="shared" si="2"/>
        <v>2.4704686442812847</v>
      </c>
      <c r="I77" s="2">
        <f t="shared" si="3"/>
        <v>99.634000423864208</v>
      </c>
      <c r="J77" s="2">
        <f t="shared" si="4"/>
        <v>4.6701809681980393</v>
      </c>
      <c r="K77" s="15">
        <f t="shared" si="17"/>
        <v>0.4482371794871795</v>
      </c>
      <c r="L77" s="2">
        <f t="shared" si="14"/>
        <v>72</v>
      </c>
      <c r="M77" s="2">
        <f t="shared" si="15"/>
        <v>40.08</v>
      </c>
      <c r="N77" s="2">
        <v>12</v>
      </c>
      <c r="O77" s="2">
        <v>50.26548245743669</v>
      </c>
      <c r="P77" s="11">
        <f t="shared" si="5"/>
        <v>2.3873241463784298</v>
      </c>
      <c r="Q77" s="2">
        <f t="shared" si="6"/>
        <v>95.683951786847459</v>
      </c>
      <c r="R77" s="2">
        <f t="shared" si="7"/>
        <v>2.5094592101247941</v>
      </c>
      <c r="S77" s="2">
        <f t="shared" si="8"/>
        <v>100.57912514180174</v>
      </c>
      <c r="T77" s="2">
        <f t="shared" si="9"/>
        <v>4.8951733549542809</v>
      </c>
    </row>
    <row r="78" spans="1:20" x14ac:dyDescent="0.25">
      <c r="A78" s="14">
        <f t="shared" si="16"/>
        <v>0.47567663817663813</v>
      </c>
      <c r="B78" s="2">
        <f t="shared" si="11"/>
        <v>73</v>
      </c>
      <c r="C78" s="4">
        <f t="shared" si="12"/>
        <v>40.83</v>
      </c>
      <c r="D78" s="2">
        <v>12</v>
      </c>
      <c r="E78" s="2">
        <v>50.26548245743669</v>
      </c>
      <c r="F78" s="11">
        <f t="shared" si="0"/>
        <v>2.3873241463784298</v>
      </c>
      <c r="G78" s="2">
        <f t="shared" si="1"/>
        <v>97.474444896631283</v>
      </c>
      <c r="H78" s="2">
        <f t="shared" si="2"/>
        <v>2.4704686442812847</v>
      </c>
      <c r="I78" s="2">
        <f t="shared" si="3"/>
        <v>100.86923474600485</v>
      </c>
      <c r="J78" s="2">
        <f t="shared" si="4"/>
        <v>3.3947898493735664</v>
      </c>
      <c r="K78" s="15">
        <f t="shared" si="17"/>
        <v>0.4484152421652422</v>
      </c>
      <c r="L78" s="2">
        <f t="shared" si="14"/>
        <v>73</v>
      </c>
      <c r="M78" s="2">
        <f t="shared" si="15"/>
        <v>40.58</v>
      </c>
      <c r="N78" s="2">
        <v>11.5</v>
      </c>
      <c r="O78" s="2">
        <v>50.26548245743669</v>
      </c>
      <c r="P78" s="11">
        <f t="shared" si="5"/>
        <v>2.2878523069459957</v>
      </c>
      <c r="Q78" s="2">
        <f t="shared" si="6"/>
        <v>92.841046615868507</v>
      </c>
      <c r="R78" s="2">
        <f t="shared" si="7"/>
        <v>2.5094592101247941</v>
      </c>
      <c r="S78" s="2">
        <f t="shared" si="8"/>
        <v>101.83385474686415</v>
      </c>
      <c r="T78" s="2">
        <f t="shared" si="9"/>
        <v>8.9928081309956411</v>
      </c>
    </row>
    <row r="79" spans="1:20" x14ac:dyDescent="0.25">
      <c r="A79" s="14">
        <f t="shared" si="16"/>
        <v>0.47581908831908831</v>
      </c>
      <c r="B79" s="2">
        <f t="shared" si="11"/>
        <v>74</v>
      </c>
      <c r="C79" s="4">
        <f t="shared" si="12"/>
        <v>41.33</v>
      </c>
      <c r="D79" s="2">
        <v>10.5</v>
      </c>
      <c r="E79" s="2">
        <v>50.26548245743669</v>
      </c>
      <c r="F79" s="11">
        <f t="shared" si="0"/>
        <v>2.0889086280811267</v>
      </c>
      <c r="G79" s="2">
        <f t="shared" si="1"/>
        <v>86.33459359859296</v>
      </c>
      <c r="H79" s="2">
        <f t="shared" si="2"/>
        <v>2.4704686442812847</v>
      </c>
      <c r="I79" s="2">
        <f t="shared" si="3"/>
        <v>102.10446906814549</v>
      </c>
      <c r="J79" s="2">
        <f t="shared" si="4"/>
        <v>15.769875469552531</v>
      </c>
      <c r="K79" s="15">
        <f t="shared" si="17"/>
        <v>0.44859330484330484</v>
      </c>
      <c r="L79" s="2">
        <f t="shared" si="14"/>
        <v>74</v>
      </c>
      <c r="M79" s="2">
        <f t="shared" si="15"/>
        <v>41.08</v>
      </c>
      <c r="N79" s="2">
        <v>10</v>
      </c>
      <c r="O79" s="2">
        <v>50.26548245743669</v>
      </c>
      <c r="P79" s="11">
        <f t="shared" si="5"/>
        <v>1.9894367886486919</v>
      </c>
      <c r="Q79" s="2">
        <f t="shared" si="6"/>
        <v>81.726063277688255</v>
      </c>
      <c r="R79" s="2">
        <f t="shared" si="7"/>
        <v>2.5094592101247941</v>
      </c>
      <c r="S79" s="2">
        <f t="shared" si="8"/>
        <v>103.08858435192654</v>
      </c>
      <c r="T79" s="2">
        <f t="shared" si="9"/>
        <v>21.362521074238288</v>
      </c>
    </row>
    <row r="80" spans="1:20" x14ac:dyDescent="0.25">
      <c r="A80" s="14">
        <f t="shared" si="16"/>
        <v>0.47596153846153844</v>
      </c>
      <c r="B80" s="2">
        <f t="shared" si="11"/>
        <v>75</v>
      </c>
      <c r="C80" s="4">
        <f t="shared" si="12"/>
        <v>41.83</v>
      </c>
      <c r="D80" s="2">
        <v>13</v>
      </c>
      <c r="E80" s="2">
        <v>50.26548245743669</v>
      </c>
      <c r="F80" s="11">
        <f t="shared" si="0"/>
        <v>2.5862678252432989</v>
      </c>
      <c r="G80" s="2">
        <f t="shared" si="1"/>
        <v>108.18358312992719</v>
      </c>
      <c r="H80" s="2">
        <f t="shared" si="2"/>
        <v>2.4704686442812847</v>
      </c>
      <c r="I80" s="2">
        <f t="shared" si="3"/>
        <v>103.33970339028613</v>
      </c>
      <c r="J80" s="2">
        <f t="shared" si="4"/>
        <v>4.8438797396410536</v>
      </c>
      <c r="K80" s="15">
        <f t="shared" si="17"/>
        <v>0.44877136752136754</v>
      </c>
      <c r="L80" s="2">
        <f t="shared" si="14"/>
        <v>75</v>
      </c>
      <c r="M80" s="2">
        <f t="shared" si="15"/>
        <v>41.58</v>
      </c>
      <c r="N80" s="2">
        <v>11</v>
      </c>
      <c r="O80" s="2">
        <v>50.26548245743669</v>
      </c>
      <c r="P80" s="11">
        <f t="shared" si="5"/>
        <v>2.1883804675135607</v>
      </c>
      <c r="Q80" s="2">
        <f t="shared" si="6"/>
        <v>90.99285983921385</v>
      </c>
      <c r="R80" s="2">
        <f t="shared" si="7"/>
        <v>2.5094592101247941</v>
      </c>
      <c r="S80" s="2">
        <f t="shared" si="8"/>
        <v>104.34331395698894</v>
      </c>
      <c r="T80" s="2">
        <f t="shared" si="9"/>
        <v>13.350454117775087</v>
      </c>
    </row>
    <row r="81" spans="1:20" x14ac:dyDescent="0.25">
      <c r="A81" s="14">
        <f t="shared" si="16"/>
        <v>0.47610398860398856</v>
      </c>
      <c r="B81" s="2">
        <f t="shared" si="11"/>
        <v>76</v>
      </c>
      <c r="C81" s="4">
        <f t="shared" si="12"/>
        <v>42.33</v>
      </c>
      <c r="D81" s="2">
        <v>10.5</v>
      </c>
      <c r="E81" s="2">
        <v>50.26548245743669</v>
      </c>
      <c r="F81" s="11">
        <f t="shared" si="0"/>
        <v>2.0889086280811267</v>
      </c>
      <c r="G81" s="2">
        <f t="shared" si="1"/>
        <v>88.423502226674088</v>
      </c>
      <c r="H81" s="2">
        <f t="shared" si="2"/>
        <v>2.4704686442812847</v>
      </c>
      <c r="I81" s="2">
        <f t="shared" si="3"/>
        <v>104.57493771242677</v>
      </c>
      <c r="J81" s="2">
        <f t="shared" si="4"/>
        <v>16.151435485752685</v>
      </c>
      <c r="K81" s="15">
        <f t="shared" si="17"/>
        <v>0.44894943019943023</v>
      </c>
      <c r="L81" s="2">
        <f t="shared" si="14"/>
        <v>76</v>
      </c>
      <c r="M81" s="2">
        <f t="shared" si="15"/>
        <v>42.08</v>
      </c>
      <c r="N81" s="2">
        <v>10</v>
      </c>
      <c r="O81" s="2">
        <v>50.26548245743669</v>
      </c>
      <c r="P81" s="11">
        <f t="shared" si="5"/>
        <v>1.9894367886486919</v>
      </c>
      <c r="Q81" s="2">
        <f t="shared" si="6"/>
        <v>83.715500066336958</v>
      </c>
      <c r="R81" s="2">
        <f t="shared" si="7"/>
        <v>2.5094592101247941</v>
      </c>
      <c r="S81" s="2">
        <f t="shared" si="8"/>
        <v>105.59804356205133</v>
      </c>
      <c r="T81" s="2">
        <f t="shared" si="9"/>
        <v>21.882543495714373</v>
      </c>
    </row>
    <row r="82" spans="1:20" x14ac:dyDescent="0.25">
      <c r="A82" s="14">
        <f t="shared" si="16"/>
        <v>0.47624643874643874</v>
      </c>
      <c r="B82" s="2">
        <f t="shared" si="11"/>
        <v>77</v>
      </c>
      <c r="C82" s="4">
        <f t="shared" si="12"/>
        <v>42.83</v>
      </c>
      <c r="D82" s="2">
        <v>10</v>
      </c>
      <c r="E82" s="2">
        <v>50.26548245743669</v>
      </c>
      <c r="F82" s="11">
        <f t="shared" si="0"/>
        <v>1.9894367886486919</v>
      </c>
      <c r="G82" s="2">
        <f t="shared" si="1"/>
        <v>85.207577657823464</v>
      </c>
      <c r="H82" s="2">
        <f t="shared" si="2"/>
        <v>2.4704686442812847</v>
      </c>
      <c r="I82" s="2">
        <f t="shared" si="3"/>
        <v>105.81017203456742</v>
      </c>
      <c r="J82" s="2">
        <f t="shared" si="4"/>
        <v>20.602594376743951</v>
      </c>
      <c r="K82" s="15">
        <f t="shared" si="17"/>
        <v>0.44912749287749287</v>
      </c>
      <c r="L82" s="2">
        <f t="shared" si="14"/>
        <v>77</v>
      </c>
      <c r="M82" s="2">
        <f t="shared" si="15"/>
        <v>42.58</v>
      </c>
      <c r="N82" s="2">
        <v>10.5</v>
      </c>
      <c r="O82" s="2">
        <v>50.26548245743669</v>
      </c>
      <c r="P82" s="11">
        <f t="shared" si="5"/>
        <v>2.0889086280811267</v>
      </c>
      <c r="Q82" s="2">
        <f t="shared" si="6"/>
        <v>88.945729383694371</v>
      </c>
      <c r="R82" s="2">
        <f t="shared" si="7"/>
        <v>2.5094592101247941</v>
      </c>
      <c r="S82" s="2">
        <f t="shared" si="8"/>
        <v>106.85277316711372</v>
      </c>
      <c r="T82" s="2">
        <f t="shared" si="9"/>
        <v>17.907043783419354</v>
      </c>
    </row>
    <row r="83" spans="1:20" x14ac:dyDescent="0.25">
      <c r="A83" s="10">
        <v>0.47638888888888886</v>
      </c>
      <c r="B83" s="2">
        <f t="shared" si="11"/>
        <v>78</v>
      </c>
      <c r="C83" s="4">
        <f t="shared" si="12"/>
        <v>43.33</v>
      </c>
      <c r="D83" s="2">
        <v>9</v>
      </c>
      <c r="E83" s="2">
        <v>50.26548245743669</v>
      </c>
      <c r="F83" s="11">
        <f t="shared" si="0"/>
        <v>1.7904931097838226</v>
      </c>
      <c r="G83" s="2">
        <f t="shared" si="1"/>
        <v>77.582066446933027</v>
      </c>
      <c r="H83" s="2">
        <f t="shared" si="2"/>
        <v>2.4704686442812847</v>
      </c>
      <c r="I83" s="2">
        <f t="shared" si="3"/>
        <v>107.04540635670806</v>
      </c>
      <c r="J83" s="2">
        <f t="shared" si="4"/>
        <v>29.46333990977503</v>
      </c>
      <c r="K83" s="12">
        <v>0.44930555555555557</v>
      </c>
      <c r="L83" s="2">
        <f t="shared" si="14"/>
        <v>78</v>
      </c>
      <c r="M83" s="2">
        <f t="shared" si="15"/>
        <v>43.08</v>
      </c>
      <c r="N83" s="2">
        <v>9.5</v>
      </c>
      <c r="O83" s="2">
        <v>50.26548245743669</v>
      </c>
      <c r="P83" s="11">
        <f t="shared" si="5"/>
        <v>1.8899649492162571</v>
      </c>
      <c r="Q83" s="2">
        <f t="shared" si="6"/>
        <v>81.419690012236359</v>
      </c>
      <c r="R83" s="2">
        <f t="shared" si="7"/>
        <v>2.5094592101247941</v>
      </c>
      <c r="S83" s="2">
        <f t="shared" si="8"/>
        <v>108.10750277217613</v>
      </c>
      <c r="T83" s="2">
        <f t="shared" si="9"/>
        <v>26.687812759939774</v>
      </c>
    </row>
    <row r="84" spans="1:20" x14ac:dyDescent="0.25">
      <c r="A84" s="14">
        <f t="shared" ref="A84:A121" si="18">IF(AND($A$83&lt;&gt;"",$A$122&lt;&gt;""), $A$83 + (B84 - $B$83) * (($A$122 - $A$83) / ($B$122 - $B$83)), "")</f>
        <v>0.47654914529914527</v>
      </c>
      <c r="B84" s="2">
        <f t="shared" si="11"/>
        <v>79</v>
      </c>
      <c r="C84" s="4">
        <f t="shared" si="12"/>
        <v>43.83</v>
      </c>
      <c r="D84" s="2">
        <v>9.5</v>
      </c>
      <c r="E84" s="2">
        <v>50.26548245743669</v>
      </c>
      <c r="F84" s="11">
        <f t="shared" si="0"/>
        <v>1.8899649492162571</v>
      </c>
      <c r="G84" s="2">
        <f t="shared" si="1"/>
        <v>82.837163724148553</v>
      </c>
      <c r="H84" s="2">
        <f t="shared" si="2"/>
        <v>2.4704686442812847</v>
      </c>
      <c r="I84" s="2">
        <f t="shared" si="3"/>
        <v>108.2806406788487</v>
      </c>
      <c r="J84" s="2">
        <f t="shared" si="4"/>
        <v>25.443476954700145</v>
      </c>
      <c r="K84" s="15">
        <f t="shared" ref="K84:K121" si="19">IF(AND($K$83&lt;&gt;"",$K$122&lt;&gt;""), $K$83 + (L84 - $L$83) * (($K$122 - $K$83) / ($L$122 - $L$83)), "")</f>
        <v>0.44943019943019946</v>
      </c>
      <c r="L84" s="2">
        <f t="shared" si="14"/>
        <v>79</v>
      </c>
      <c r="M84" s="2">
        <f t="shared" si="15"/>
        <v>43.58</v>
      </c>
      <c r="N84" s="2">
        <v>9</v>
      </c>
      <c r="O84" s="2">
        <v>50.26548245743669</v>
      </c>
      <c r="P84" s="11">
        <f t="shared" si="5"/>
        <v>1.7904931097838226</v>
      </c>
      <c r="Q84" s="2">
        <f t="shared" si="6"/>
        <v>78.029689724378983</v>
      </c>
      <c r="R84" s="2">
        <f t="shared" si="7"/>
        <v>2.5094592101247941</v>
      </c>
      <c r="S84" s="2">
        <f t="shared" si="8"/>
        <v>109.36223237723853</v>
      </c>
      <c r="T84" s="2">
        <f t="shared" si="9"/>
        <v>31.332542652859544</v>
      </c>
    </row>
    <row r="85" spans="1:20" x14ac:dyDescent="0.25">
      <c r="A85" s="14">
        <f t="shared" si="18"/>
        <v>0.47670940170940168</v>
      </c>
      <c r="B85" s="2">
        <f t="shared" si="11"/>
        <v>80</v>
      </c>
      <c r="C85" s="4">
        <f t="shared" si="12"/>
        <v>44.33</v>
      </c>
      <c r="D85" s="2">
        <v>9</v>
      </c>
      <c r="E85" s="2">
        <v>50.26548245743669</v>
      </c>
      <c r="F85" s="11">
        <f t="shared" si="0"/>
        <v>1.7904931097838226</v>
      </c>
      <c r="G85" s="2">
        <f t="shared" si="1"/>
        <v>79.372559556716851</v>
      </c>
      <c r="H85" s="2">
        <f t="shared" si="2"/>
        <v>2.4704686442812847</v>
      </c>
      <c r="I85" s="2">
        <f t="shared" si="3"/>
        <v>109.51587500098934</v>
      </c>
      <c r="J85" s="2">
        <f t="shared" si="4"/>
        <v>30.143315444272488</v>
      </c>
      <c r="K85" s="15">
        <f t="shared" si="19"/>
        <v>0.4495548433048433</v>
      </c>
      <c r="L85" s="2">
        <f t="shared" si="14"/>
        <v>80</v>
      </c>
      <c r="M85" s="2">
        <f t="shared" si="15"/>
        <v>44.08</v>
      </c>
      <c r="N85" s="2">
        <v>10</v>
      </c>
      <c r="O85" s="2">
        <v>50.26548245743669</v>
      </c>
      <c r="P85" s="11">
        <f t="shared" si="5"/>
        <v>1.9894367886486919</v>
      </c>
      <c r="Q85" s="2">
        <f t="shared" si="6"/>
        <v>87.694373643634336</v>
      </c>
      <c r="R85" s="2">
        <f t="shared" si="7"/>
        <v>2.5094592101247941</v>
      </c>
      <c r="S85" s="2">
        <f t="shared" si="8"/>
        <v>110.61696198230092</v>
      </c>
      <c r="T85" s="2">
        <f t="shared" si="9"/>
        <v>22.922588338666586</v>
      </c>
    </row>
    <row r="86" spans="1:20" x14ac:dyDescent="0.25">
      <c r="A86" s="14">
        <f t="shared" si="18"/>
        <v>0.47686965811965809</v>
      </c>
      <c r="B86" s="2">
        <f t="shared" si="11"/>
        <v>81</v>
      </c>
      <c r="C86" s="4">
        <f t="shared" si="12"/>
        <v>44.83</v>
      </c>
      <c r="D86" s="2">
        <v>10.5</v>
      </c>
      <c r="E86" s="2">
        <v>50.26548245743669</v>
      </c>
      <c r="F86" s="11">
        <f t="shared" si="0"/>
        <v>2.0889086280811267</v>
      </c>
      <c r="G86" s="2">
        <f t="shared" si="1"/>
        <v>93.64577379687691</v>
      </c>
      <c r="H86" s="2">
        <f t="shared" si="2"/>
        <v>2.4704686442812847</v>
      </c>
      <c r="I86" s="2">
        <f t="shared" si="3"/>
        <v>110.75110932312998</v>
      </c>
      <c r="J86" s="2">
        <f t="shared" si="4"/>
        <v>17.105335526253072</v>
      </c>
      <c r="K86" s="15">
        <f t="shared" si="19"/>
        <v>0.44967948717948719</v>
      </c>
      <c r="L86" s="2">
        <f t="shared" si="14"/>
        <v>81</v>
      </c>
      <c r="M86" s="2">
        <f t="shared" si="15"/>
        <v>44.58</v>
      </c>
      <c r="N86" s="2">
        <v>10</v>
      </c>
      <c r="O86" s="2">
        <v>50.26548245743669</v>
      </c>
      <c r="P86" s="11">
        <f t="shared" si="5"/>
        <v>1.9894367886486919</v>
      </c>
      <c r="Q86" s="2">
        <f t="shared" si="6"/>
        <v>88.689092037958687</v>
      </c>
      <c r="R86" s="2">
        <f t="shared" si="7"/>
        <v>2.5094592101247941</v>
      </c>
      <c r="S86" s="2">
        <f t="shared" si="8"/>
        <v>111.87169158736332</v>
      </c>
      <c r="T86" s="2">
        <f t="shared" si="9"/>
        <v>23.182599549404628</v>
      </c>
    </row>
    <row r="87" spans="1:20" x14ac:dyDescent="0.25">
      <c r="A87" s="14">
        <f t="shared" si="18"/>
        <v>0.4770299145299145</v>
      </c>
      <c r="B87" s="2">
        <f t="shared" si="11"/>
        <v>82</v>
      </c>
      <c r="C87" s="4">
        <f t="shared" si="12"/>
        <v>45.33</v>
      </c>
      <c r="D87" s="2">
        <v>10</v>
      </c>
      <c r="E87" s="2">
        <v>50.26548245743669</v>
      </c>
      <c r="F87" s="11">
        <f t="shared" si="0"/>
        <v>1.9894367886486919</v>
      </c>
      <c r="G87" s="2">
        <f t="shared" si="1"/>
        <v>90.181169629445193</v>
      </c>
      <c r="H87" s="2">
        <f t="shared" si="2"/>
        <v>2.4704686442812847</v>
      </c>
      <c r="I87" s="2">
        <f t="shared" si="3"/>
        <v>111.98634364527062</v>
      </c>
      <c r="J87" s="2">
        <f t="shared" si="4"/>
        <v>21.805174015825429</v>
      </c>
      <c r="K87" s="15">
        <f t="shared" si="19"/>
        <v>0.44980413105413108</v>
      </c>
      <c r="L87" s="2">
        <f t="shared" si="14"/>
        <v>82</v>
      </c>
      <c r="M87" s="2">
        <f t="shared" si="15"/>
        <v>45.08</v>
      </c>
      <c r="N87" s="2">
        <v>9.5</v>
      </c>
      <c r="O87" s="2">
        <v>50.26548245743669</v>
      </c>
      <c r="P87" s="11">
        <f t="shared" si="5"/>
        <v>1.8899649492162571</v>
      </c>
      <c r="Q87" s="2">
        <f t="shared" si="6"/>
        <v>85.199619910668872</v>
      </c>
      <c r="R87" s="2">
        <f t="shared" si="7"/>
        <v>2.5094592101247941</v>
      </c>
      <c r="S87" s="2">
        <f t="shared" si="8"/>
        <v>113.12642119242571</v>
      </c>
      <c r="T87" s="2">
        <f t="shared" si="9"/>
        <v>27.926801281756838</v>
      </c>
    </row>
    <row r="88" spans="1:20" x14ac:dyDescent="0.25">
      <c r="A88" s="14">
        <f t="shared" si="18"/>
        <v>0.47719017094017091</v>
      </c>
      <c r="B88" s="2">
        <f t="shared" si="11"/>
        <v>83</v>
      </c>
      <c r="C88" s="4">
        <f t="shared" si="12"/>
        <v>45.83</v>
      </c>
      <c r="D88" s="2">
        <v>11</v>
      </c>
      <c r="E88" s="2">
        <v>50.26548245743669</v>
      </c>
      <c r="F88" s="11">
        <f t="shared" si="0"/>
        <v>2.1883804675135607</v>
      </c>
      <c r="G88" s="2">
        <f t="shared" si="1"/>
        <v>100.29347682614649</v>
      </c>
      <c r="H88" s="2">
        <f t="shared" si="2"/>
        <v>2.4704686442812847</v>
      </c>
      <c r="I88" s="2">
        <f t="shared" si="3"/>
        <v>113.22157796741128</v>
      </c>
      <c r="J88" s="2">
        <f t="shared" si="4"/>
        <v>12.92810114126479</v>
      </c>
      <c r="K88" s="15">
        <f t="shared" si="19"/>
        <v>0.44992877492877492</v>
      </c>
      <c r="L88" s="2">
        <f t="shared" si="14"/>
        <v>83</v>
      </c>
      <c r="M88" s="2">
        <f t="shared" si="15"/>
        <v>45.58</v>
      </c>
      <c r="N88" s="2">
        <v>10</v>
      </c>
      <c r="O88" s="2">
        <v>50.26548245743669</v>
      </c>
      <c r="P88" s="11">
        <f t="shared" si="5"/>
        <v>1.9894367886486919</v>
      </c>
      <c r="Q88" s="2">
        <f t="shared" si="6"/>
        <v>90.678528826607376</v>
      </c>
      <c r="R88" s="2">
        <f t="shared" si="7"/>
        <v>2.5094592101247941</v>
      </c>
      <c r="S88" s="2">
        <f t="shared" si="8"/>
        <v>114.38115079748812</v>
      </c>
      <c r="T88" s="2">
        <f t="shared" si="9"/>
        <v>23.702621970880742</v>
      </c>
    </row>
    <row r="89" spans="1:20" x14ac:dyDescent="0.25">
      <c r="A89" s="14">
        <f t="shared" si="18"/>
        <v>0.47735042735042732</v>
      </c>
      <c r="B89" s="2">
        <f t="shared" si="11"/>
        <v>84</v>
      </c>
      <c r="C89" s="4">
        <f t="shared" si="12"/>
        <v>46.33</v>
      </c>
      <c r="D89" s="2">
        <v>11</v>
      </c>
      <c r="E89" s="2">
        <v>50.26548245743669</v>
      </c>
      <c r="F89" s="11">
        <f t="shared" si="0"/>
        <v>2.1883804675135607</v>
      </c>
      <c r="G89" s="2">
        <f t="shared" si="1"/>
        <v>101.38766705990326</v>
      </c>
      <c r="H89" s="2">
        <f t="shared" si="2"/>
        <v>2.4704686442812847</v>
      </c>
      <c r="I89" s="2">
        <f t="shared" si="3"/>
        <v>114.45681228955192</v>
      </c>
      <c r="J89" s="2">
        <f t="shared" si="4"/>
        <v>13.069145229648655</v>
      </c>
      <c r="K89" s="15">
        <f t="shared" si="19"/>
        <v>0.45005341880341881</v>
      </c>
      <c r="L89" s="2">
        <f t="shared" si="14"/>
        <v>84</v>
      </c>
      <c r="M89" s="2">
        <f t="shared" si="15"/>
        <v>46.08</v>
      </c>
      <c r="N89" s="2">
        <v>9.5</v>
      </c>
      <c r="O89" s="2">
        <v>50.26548245743669</v>
      </c>
      <c r="P89" s="11">
        <f t="shared" si="5"/>
        <v>1.8899649492162571</v>
      </c>
      <c r="Q89" s="2">
        <f t="shared" si="6"/>
        <v>87.089584859885122</v>
      </c>
      <c r="R89" s="2">
        <f t="shared" si="7"/>
        <v>2.5094592101247941</v>
      </c>
      <c r="S89" s="2">
        <f t="shared" si="8"/>
        <v>115.63588040255051</v>
      </c>
      <c r="T89" s="2">
        <f t="shared" si="9"/>
        <v>28.546295542665391</v>
      </c>
    </row>
    <row r="90" spans="1:20" x14ac:dyDescent="0.25">
      <c r="A90" s="14">
        <f t="shared" si="18"/>
        <v>0.47751068376068373</v>
      </c>
      <c r="B90" s="2">
        <f t="shared" si="11"/>
        <v>85</v>
      </c>
      <c r="C90" s="4">
        <f t="shared" si="12"/>
        <v>46.83</v>
      </c>
      <c r="D90" s="2">
        <v>10.5</v>
      </c>
      <c r="E90" s="2">
        <v>50.26548245743669</v>
      </c>
      <c r="F90" s="11">
        <f t="shared" si="0"/>
        <v>2.0889086280811267</v>
      </c>
      <c r="G90" s="2">
        <f t="shared" si="1"/>
        <v>97.823591053039152</v>
      </c>
      <c r="H90" s="2">
        <f t="shared" si="2"/>
        <v>2.4704686442812847</v>
      </c>
      <c r="I90" s="2">
        <f t="shared" si="3"/>
        <v>115.69204661169256</v>
      </c>
      <c r="J90" s="2">
        <f t="shared" si="4"/>
        <v>17.868455558653409</v>
      </c>
      <c r="K90" s="15">
        <f t="shared" si="19"/>
        <v>0.45017806267806271</v>
      </c>
      <c r="L90" s="2">
        <f t="shared" si="14"/>
        <v>85</v>
      </c>
      <c r="M90" s="2">
        <f t="shared" si="15"/>
        <v>46.58</v>
      </c>
      <c r="N90" s="2">
        <v>10</v>
      </c>
      <c r="O90" s="2">
        <v>50.26548245743669</v>
      </c>
      <c r="P90" s="11">
        <f t="shared" si="5"/>
        <v>1.9894367886486919</v>
      </c>
      <c r="Q90" s="2">
        <f t="shared" si="6"/>
        <v>92.667965615256065</v>
      </c>
      <c r="R90" s="2">
        <f t="shared" si="7"/>
        <v>2.5094592101247941</v>
      </c>
      <c r="S90" s="2">
        <f t="shared" si="8"/>
        <v>116.89061000761291</v>
      </c>
      <c r="T90" s="2">
        <f t="shared" si="9"/>
        <v>24.222644392356841</v>
      </c>
    </row>
    <row r="91" spans="1:20" x14ac:dyDescent="0.25">
      <c r="A91" s="14">
        <f t="shared" si="18"/>
        <v>0.47767094017094014</v>
      </c>
      <c r="B91" s="2">
        <f t="shared" si="11"/>
        <v>86</v>
      </c>
      <c r="C91" s="4">
        <f t="shared" si="12"/>
        <v>47.33</v>
      </c>
      <c r="D91" s="2">
        <v>10.5</v>
      </c>
      <c r="E91" s="2">
        <v>50.26548245743669</v>
      </c>
      <c r="F91" s="11">
        <f t="shared" si="0"/>
        <v>2.0889086280811267</v>
      </c>
      <c r="G91" s="2">
        <f t="shared" si="1"/>
        <v>98.868045367079716</v>
      </c>
      <c r="H91" s="2">
        <f t="shared" si="2"/>
        <v>2.4704686442812847</v>
      </c>
      <c r="I91" s="2">
        <f t="shared" si="3"/>
        <v>116.9272809338332</v>
      </c>
      <c r="J91" s="2">
        <f t="shared" si="4"/>
        <v>18.059235566753486</v>
      </c>
      <c r="K91" s="15">
        <f t="shared" si="19"/>
        <v>0.45030270655270654</v>
      </c>
      <c r="L91" s="2">
        <f t="shared" si="14"/>
        <v>86</v>
      </c>
      <c r="M91" s="2">
        <f t="shared" si="15"/>
        <v>47.08</v>
      </c>
      <c r="N91" s="2">
        <v>10</v>
      </c>
      <c r="O91" s="2">
        <v>50.26548245743669</v>
      </c>
      <c r="P91" s="11">
        <f t="shared" si="5"/>
        <v>1.9894367886486919</v>
      </c>
      <c r="Q91" s="2">
        <f t="shared" si="6"/>
        <v>93.662684009580417</v>
      </c>
      <c r="R91" s="2">
        <f t="shared" si="7"/>
        <v>2.5094592101247941</v>
      </c>
      <c r="S91" s="2">
        <f t="shared" si="8"/>
        <v>118.1453396126753</v>
      </c>
      <c r="T91" s="2">
        <f t="shared" si="9"/>
        <v>24.482655603094884</v>
      </c>
    </row>
    <row r="92" spans="1:20" x14ac:dyDescent="0.25">
      <c r="A92" s="14">
        <f t="shared" si="18"/>
        <v>0.47783119658119655</v>
      </c>
      <c r="B92" s="2">
        <f t="shared" si="11"/>
        <v>87</v>
      </c>
      <c r="C92" s="4">
        <f t="shared" si="12"/>
        <v>47.83</v>
      </c>
      <c r="D92" s="2">
        <v>10.5</v>
      </c>
      <c r="E92" s="2">
        <v>50.26548245743669</v>
      </c>
      <c r="F92" s="11">
        <f t="shared" si="0"/>
        <v>2.0889086280811267</v>
      </c>
      <c r="G92" s="2">
        <f t="shared" si="1"/>
        <v>99.912499681120281</v>
      </c>
      <c r="H92" s="2">
        <f t="shared" si="2"/>
        <v>2.4704686442812847</v>
      </c>
      <c r="I92" s="2">
        <f t="shared" si="3"/>
        <v>118.16251525597384</v>
      </c>
      <c r="J92" s="2">
        <f t="shared" si="4"/>
        <v>18.250015574853563</v>
      </c>
      <c r="K92" s="15">
        <f t="shared" si="19"/>
        <v>0.45042735042735044</v>
      </c>
      <c r="L92" s="2">
        <f t="shared" si="14"/>
        <v>87</v>
      </c>
      <c r="M92" s="2">
        <f t="shared" si="15"/>
        <v>47.58</v>
      </c>
      <c r="N92" s="2">
        <v>10</v>
      </c>
      <c r="O92" s="2">
        <v>50.26548245743669</v>
      </c>
      <c r="P92" s="11">
        <f t="shared" si="5"/>
        <v>1.9894367886486919</v>
      </c>
      <c r="Q92" s="2">
        <f t="shared" si="6"/>
        <v>94.657402403904754</v>
      </c>
      <c r="R92" s="2">
        <f t="shared" si="7"/>
        <v>2.5094592101247941</v>
      </c>
      <c r="S92" s="2">
        <f t="shared" si="8"/>
        <v>119.40006921773769</v>
      </c>
      <c r="T92" s="2">
        <f t="shared" si="9"/>
        <v>24.74266681383294</v>
      </c>
    </row>
    <row r="93" spans="1:20" x14ac:dyDescent="0.25">
      <c r="A93" s="14">
        <f t="shared" si="18"/>
        <v>0.47799145299145296</v>
      </c>
      <c r="B93" s="2">
        <f t="shared" si="11"/>
        <v>88</v>
      </c>
      <c r="C93" s="4">
        <f t="shared" si="12"/>
        <v>48.33</v>
      </c>
      <c r="D93" s="2">
        <v>13.5</v>
      </c>
      <c r="E93" s="2">
        <v>50.26548245743669</v>
      </c>
      <c r="F93" s="11">
        <f t="shared" si="0"/>
        <v>2.6857396646757339</v>
      </c>
      <c r="G93" s="2">
        <f t="shared" si="1"/>
        <v>129.80179799377822</v>
      </c>
      <c r="H93" s="2">
        <f t="shared" si="2"/>
        <v>2.4704686442812847</v>
      </c>
      <c r="I93" s="2">
        <f t="shared" si="3"/>
        <v>119.39774957811449</v>
      </c>
      <c r="J93" s="2">
        <f t="shared" si="4"/>
        <v>10.404048415663738</v>
      </c>
      <c r="K93" s="15">
        <f t="shared" si="19"/>
        <v>0.45055199430199433</v>
      </c>
      <c r="L93" s="2">
        <f t="shared" si="14"/>
        <v>88</v>
      </c>
      <c r="M93" s="2">
        <f t="shared" si="15"/>
        <v>48.08</v>
      </c>
      <c r="N93" s="2">
        <v>10</v>
      </c>
      <c r="O93" s="2">
        <v>50.26548245743669</v>
      </c>
      <c r="P93" s="11">
        <f t="shared" si="5"/>
        <v>1.9894367886486919</v>
      </c>
      <c r="Q93" s="2">
        <f t="shared" si="6"/>
        <v>95.652120798229106</v>
      </c>
      <c r="R93" s="2">
        <f t="shared" si="7"/>
        <v>2.5094592101247941</v>
      </c>
      <c r="S93" s="2">
        <f t="shared" si="8"/>
        <v>120.6547988228001</v>
      </c>
      <c r="T93" s="2">
        <f t="shared" si="9"/>
        <v>25.002678024570997</v>
      </c>
    </row>
    <row r="94" spans="1:20" x14ac:dyDescent="0.25">
      <c r="A94" s="14">
        <f t="shared" si="18"/>
        <v>0.47815170940170937</v>
      </c>
      <c r="B94" s="2">
        <f t="shared" si="11"/>
        <v>89</v>
      </c>
      <c r="C94" s="4">
        <f t="shared" si="12"/>
        <v>48.83</v>
      </c>
      <c r="D94" s="2">
        <v>9.5</v>
      </c>
      <c r="E94" s="2">
        <v>50.26548245743669</v>
      </c>
      <c r="F94" s="11">
        <f t="shared" si="0"/>
        <v>1.8899649492162571</v>
      </c>
      <c r="G94" s="2">
        <f t="shared" si="1"/>
        <v>92.286988470229829</v>
      </c>
      <c r="H94" s="2">
        <f t="shared" si="2"/>
        <v>2.4704686442812847</v>
      </c>
      <c r="I94" s="2">
        <f t="shared" si="3"/>
        <v>120.63298390025513</v>
      </c>
      <c r="J94" s="2">
        <f t="shared" si="4"/>
        <v>28.345995430025297</v>
      </c>
      <c r="K94" s="15">
        <f t="shared" si="19"/>
        <v>0.45067663817663817</v>
      </c>
      <c r="L94" s="2">
        <f t="shared" si="14"/>
        <v>89</v>
      </c>
      <c r="M94" s="2">
        <f t="shared" si="15"/>
        <v>48.58</v>
      </c>
      <c r="N94" s="2">
        <v>12</v>
      </c>
      <c r="O94" s="2">
        <v>50.26548245743669</v>
      </c>
      <c r="P94" s="11">
        <f t="shared" si="5"/>
        <v>2.3873241463784298</v>
      </c>
      <c r="Q94" s="2">
        <f t="shared" si="6"/>
        <v>115.97620703106412</v>
      </c>
      <c r="R94" s="2">
        <f t="shared" si="7"/>
        <v>2.5094592101247941</v>
      </c>
      <c r="S94" s="2">
        <f t="shared" si="8"/>
        <v>121.9095284278625</v>
      </c>
      <c r="T94" s="2">
        <f t="shared" si="9"/>
        <v>5.9333213967983767</v>
      </c>
    </row>
    <row r="95" spans="1:20" x14ac:dyDescent="0.25">
      <c r="A95" s="14">
        <f t="shared" si="18"/>
        <v>0.47831196581196578</v>
      </c>
      <c r="B95" s="2">
        <f t="shared" si="11"/>
        <v>90</v>
      </c>
      <c r="C95" s="4">
        <f t="shared" si="12"/>
        <v>49.33</v>
      </c>
      <c r="D95" s="2">
        <v>10.5</v>
      </c>
      <c r="E95" s="2">
        <v>50.26548245743669</v>
      </c>
      <c r="F95" s="11">
        <f t="shared" si="0"/>
        <v>2.0889086280811267</v>
      </c>
      <c r="G95" s="2">
        <f t="shared" si="1"/>
        <v>103.04586262324197</v>
      </c>
      <c r="H95" s="2">
        <f t="shared" si="2"/>
        <v>2.4704686442812847</v>
      </c>
      <c r="I95" s="2">
        <f t="shared" si="3"/>
        <v>121.86821822239577</v>
      </c>
      <c r="J95" s="2">
        <f t="shared" si="4"/>
        <v>18.822355599153795</v>
      </c>
      <c r="K95" s="15">
        <f t="shared" si="19"/>
        <v>0.45080128205128206</v>
      </c>
      <c r="L95" s="2">
        <f t="shared" si="14"/>
        <v>90</v>
      </c>
      <c r="M95" s="2">
        <f t="shared" si="15"/>
        <v>49.08</v>
      </c>
      <c r="N95" s="2">
        <v>9.5</v>
      </c>
      <c r="O95" s="2">
        <v>50.26548245743669</v>
      </c>
      <c r="P95" s="11">
        <f t="shared" si="5"/>
        <v>1.8899649492162571</v>
      </c>
      <c r="Q95" s="2">
        <f t="shared" si="6"/>
        <v>92.759479707533899</v>
      </c>
      <c r="R95" s="2">
        <f t="shared" si="7"/>
        <v>2.5094592101247941</v>
      </c>
      <c r="S95" s="2">
        <f t="shared" si="8"/>
        <v>123.16425803292489</v>
      </c>
      <c r="T95" s="2">
        <f t="shared" si="9"/>
        <v>30.404778325390993</v>
      </c>
    </row>
    <row r="96" spans="1:20" x14ac:dyDescent="0.25">
      <c r="A96" s="14">
        <f t="shared" si="18"/>
        <v>0.47847222222222219</v>
      </c>
      <c r="B96" s="2">
        <f t="shared" si="11"/>
        <v>91</v>
      </c>
      <c r="C96" s="4">
        <f t="shared" si="12"/>
        <v>49.83</v>
      </c>
      <c r="D96" s="2">
        <v>12</v>
      </c>
      <c r="E96" s="2">
        <v>50.26548245743669</v>
      </c>
      <c r="F96" s="11">
        <f t="shared" si="0"/>
        <v>2.3873241463784298</v>
      </c>
      <c r="G96" s="2">
        <f t="shared" si="1"/>
        <v>118.96036221403715</v>
      </c>
      <c r="H96" s="2">
        <f t="shared" si="2"/>
        <v>2.4704686442812847</v>
      </c>
      <c r="I96" s="2">
        <f t="shared" si="3"/>
        <v>123.10345254453641</v>
      </c>
      <c r="J96" s="2">
        <f t="shared" si="4"/>
        <v>4.1430903304992626</v>
      </c>
      <c r="K96" s="15">
        <f t="shared" si="19"/>
        <v>0.45092592592592595</v>
      </c>
      <c r="L96" s="2">
        <f t="shared" si="14"/>
        <v>91</v>
      </c>
      <c r="M96" s="2">
        <f t="shared" si="15"/>
        <v>49.58</v>
      </c>
      <c r="N96" s="2">
        <v>11</v>
      </c>
      <c r="O96" s="2">
        <v>50.26548245743669</v>
      </c>
      <c r="P96" s="11">
        <f t="shared" si="5"/>
        <v>2.1883804675135607</v>
      </c>
      <c r="Q96" s="2">
        <f t="shared" si="6"/>
        <v>108.49990357932234</v>
      </c>
      <c r="R96" s="2">
        <f t="shared" si="7"/>
        <v>2.5094592101247941</v>
      </c>
      <c r="S96" s="2">
        <f t="shared" si="8"/>
        <v>124.41898763798729</v>
      </c>
      <c r="T96" s="2">
        <f t="shared" si="9"/>
        <v>15.91908405866495</v>
      </c>
    </row>
    <row r="97" spans="1:20" x14ac:dyDescent="0.25">
      <c r="A97" s="14">
        <f t="shared" si="18"/>
        <v>0.4786324786324786</v>
      </c>
      <c r="B97" s="2">
        <f t="shared" si="11"/>
        <v>92</v>
      </c>
      <c r="C97" s="4">
        <f t="shared" si="12"/>
        <v>50.33</v>
      </c>
      <c r="D97" s="2">
        <v>15.5</v>
      </c>
      <c r="E97" s="2">
        <v>50.26548245743669</v>
      </c>
      <c r="F97" s="11">
        <f t="shared" si="0"/>
        <v>3.0836270224054725</v>
      </c>
      <c r="G97" s="2">
        <f t="shared" si="1"/>
        <v>155.19894803766744</v>
      </c>
      <c r="H97" s="2">
        <f t="shared" si="2"/>
        <v>2.4704686442812847</v>
      </c>
      <c r="I97" s="2">
        <f t="shared" si="3"/>
        <v>124.33868686667705</v>
      </c>
      <c r="J97" s="2">
        <f t="shared" si="4"/>
        <v>30.860261170990384</v>
      </c>
      <c r="K97" s="15">
        <f t="shared" si="19"/>
        <v>0.45105056980056979</v>
      </c>
      <c r="L97" s="2">
        <f t="shared" si="14"/>
        <v>92</v>
      </c>
      <c r="M97" s="2">
        <f t="shared" si="15"/>
        <v>50.08</v>
      </c>
      <c r="N97" s="2">
        <v>12.5</v>
      </c>
      <c r="O97" s="2">
        <v>50.26548245743669</v>
      </c>
      <c r="P97" s="11">
        <f t="shared" si="5"/>
        <v>2.4867959858108648</v>
      </c>
      <c r="Q97" s="2">
        <f t="shared" si="6"/>
        <v>124.5387429694081</v>
      </c>
      <c r="R97" s="2">
        <f t="shared" si="7"/>
        <v>2.5094592101247941</v>
      </c>
      <c r="S97" s="2">
        <f t="shared" si="8"/>
        <v>125.67371724304968</v>
      </c>
      <c r="T97" s="2">
        <f t="shared" si="9"/>
        <v>1.1349742736415749</v>
      </c>
    </row>
    <row r="98" spans="1:20" x14ac:dyDescent="0.25">
      <c r="A98" s="14">
        <f t="shared" si="18"/>
        <v>0.47879273504273501</v>
      </c>
      <c r="B98" s="2">
        <f t="shared" si="11"/>
        <v>93</v>
      </c>
      <c r="C98" s="4">
        <f t="shared" si="12"/>
        <v>50.83</v>
      </c>
      <c r="D98" s="2">
        <v>13</v>
      </c>
      <c r="E98" s="2">
        <v>50.26548245743669</v>
      </c>
      <c r="F98" s="11">
        <f t="shared" si="0"/>
        <v>2.5862678252432989</v>
      </c>
      <c r="G98" s="2">
        <f t="shared" si="1"/>
        <v>131.45999355711689</v>
      </c>
      <c r="H98" s="2">
        <f t="shared" si="2"/>
        <v>2.4704686442812847</v>
      </c>
      <c r="I98" s="2">
        <f t="shared" si="3"/>
        <v>125.57392118881769</v>
      </c>
      <c r="J98" s="2">
        <f t="shared" si="4"/>
        <v>5.886072368299196</v>
      </c>
      <c r="K98" s="15">
        <f t="shared" si="19"/>
        <v>0.45117521367521368</v>
      </c>
      <c r="L98" s="2">
        <f t="shared" si="14"/>
        <v>93</v>
      </c>
      <c r="M98" s="2">
        <f t="shared" si="15"/>
        <v>50.58</v>
      </c>
      <c r="N98" s="2">
        <v>14.5</v>
      </c>
      <c r="O98" s="2">
        <v>50.26548245743669</v>
      </c>
      <c r="P98" s="11">
        <f t="shared" si="5"/>
        <v>2.8846833435406034</v>
      </c>
      <c r="Q98" s="2">
        <f t="shared" si="6"/>
        <v>145.90728351628371</v>
      </c>
      <c r="R98" s="2">
        <f t="shared" si="7"/>
        <v>2.5094592101247941</v>
      </c>
      <c r="S98" s="2">
        <f t="shared" si="8"/>
        <v>126.92844684811209</v>
      </c>
      <c r="T98" s="2">
        <f t="shared" si="9"/>
        <v>18.978836668171624</v>
      </c>
    </row>
    <row r="99" spans="1:20" x14ac:dyDescent="0.25">
      <c r="A99" s="14">
        <f t="shared" si="18"/>
        <v>0.47895299145299142</v>
      </c>
      <c r="B99" s="2">
        <f t="shared" si="11"/>
        <v>94</v>
      </c>
      <c r="C99" s="4">
        <f t="shared" si="12"/>
        <v>51.33</v>
      </c>
      <c r="D99" s="2">
        <v>14.5</v>
      </c>
      <c r="E99" s="2">
        <v>50.26548245743669</v>
      </c>
      <c r="F99" s="11">
        <f t="shared" si="0"/>
        <v>2.8846833435406034</v>
      </c>
      <c r="G99" s="2">
        <f t="shared" si="1"/>
        <v>148.07079602393918</v>
      </c>
      <c r="H99" s="2">
        <f t="shared" si="2"/>
        <v>2.4704686442812847</v>
      </c>
      <c r="I99" s="2">
        <f t="shared" si="3"/>
        <v>126.80915551095833</v>
      </c>
      <c r="J99" s="2">
        <f t="shared" si="4"/>
        <v>21.261640512980847</v>
      </c>
      <c r="K99" s="15">
        <f t="shared" si="19"/>
        <v>0.45129985754985757</v>
      </c>
      <c r="L99" s="2">
        <f t="shared" si="14"/>
        <v>94</v>
      </c>
      <c r="M99" s="2">
        <f t="shared" si="15"/>
        <v>51.08</v>
      </c>
      <c r="N99" s="2">
        <v>13.5</v>
      </c>
      <c r="O99" s="2">
        <v>50.26548245743669</v>
      </c>
      <c r="P99" s="11">
        <f t="shared" si="5"/>
        <v>2.6857396646757339</v>
      </c>
      <c r="Q99" s="2">
        <f t="shared" si="6"/>
        <v>137.18758207163648</v>
      </c>
      <c r="R99" s="2">
        <f t="shared" si="7"/>
        <v>2.5094592101247941</v>
      </c>
      <c r="S99" s="2">
        <f t="shared" si="8"/>
        <v>128.18317645317447</v>
      </c>
      <c r="T99" s="2">
        <f t="shared" si="9"/>
        <v>9.004405618462016</v>
      </c>
    </row>
    <row r="100" spans="1:20" x14ac:dyDescent="0.25">
      <c r="A100" s="14">
        <f t="shared" si="18"/>
        <v>0.47911324786324783</v>
      </c>
      <c r="B100" s="2">
        <f t="shared" si="11"/>
        <v>95</v>
      </c>
      <c r="C100" s="4">
        <f t="shared" si="12"/>
        <v>51.83</v>
      </c>
      <c r="D100" s="2">
        <v>14</v>
      </c>
      <c r="E100" s="2">
        <v>50.26548245743669</v>
      </c>
      <c r="F100" s="11">
        <f t="shared" si="0"/>
        <v>2.7852115041081689</v>
      </c>
      <c r="G100" s="2">
        <f t="shared" si="1"/>
        <v>144.3575122579264</v>
      </c>
      <c r="H100" s="2">
        <f t="shared" si="2"/>
        <v>2.4704686442812847</v>
      </c>
      <c r="I100" s="2">
        <f t="shared" si="3"/>
        <v>128.04438983309899</v>
      </c>
      <c r="J100" s="2">
        <f t="shared" si="4"/>
        <v>16.313122424827412</v>
      </c>
      <c r="K100" s="15">
        <f t="shared" si="19"/>
        <v>0.45142450142450141</v>
      </c>
      <c r="L100" s="2">
        <f t="shared" si="14"/>
        <v>95</v>
      </c>
      <c r="M100" s="2">
        <f t="shared" si="15"/>
        <v>51.58</v>
      </c>
      <c r="N100" s="2">
        <v>14.5</v>
      </c>
      <c r="O100" s="2">
        <v>50.26548245743669</v>
      </c>
      <c r="P100" s="11">
        <f t="shared" si="5"/>
        <v>2.8846833435406034</v>
      </c>
      <c r="Q100" s="2">
        <f t="shared" si="6"/>
        <v>148.79196685982433</v>
      </c>
      <c r="R100" s="2">
        <f t="shared" si="7"/>
        <v>2.5094592101247941</v>
      </c>
      <c r="S100" s="2">
        <f t="shared" si="8"/>
        <v>129.43790605823688</v>
      </c>
      <c r="T100" s="2">
        <f t="shared" si="9"/>
        <v>19.354060801587451</v>
      </c>
    </row>
    <row r="101" spans="1:20" x14ac:dyDescent="0.25">
      <c r="A101" s="14">
        <f t="shared" si="18"/>
        <v>0.47927350427350424</v>
      </c>
      <c r="B101" s="2">
        <f t="shared" si="11"/>
        <v>96</v>
      </c>
      <c r="C101" s="4">
        <f t="shared" si="12"/>
        <v>52.33</v>
      </c>
      <c r="D101" s="2">
        <v>14.5</v>
      </c>
      <c r="E101" s="2">
        <v>50.26548245743669</v>
      </c>
      <c r="F101" s="11">
        <f t="shared" si="0"/>
        <v>2.8846833435406034</v>
      </c>
      <c r="G101" s="2">
        <f t="shared" si="1"/>
        <v>150.95547936747977</v>
      </c>
      <c r="H101" s="2">
        <f t="shared" si="2"/>
        <v>2.4704686442812847</v>
      </c>
      <c r="I101" s="2">
        <f t="shared" si="3"/>
        <v>129.27962415523962</v>
      </c>
      <c r="J101" s="2">
        <f t="shared" si="4"/>
        <v>21.675855212240151</v>
      </c>
      <c r="K101" s="15">
        <f t="shared" si="19"/>
        <v>0.4515491452991453</v>
      </c>
      <c r="L101" s="2">
        <f t="shared" si="14"/>
        <v>96</v>
      </c>
      <c r="M101" s="2">
        <f t="shared" si="15"/>
        <v>52.08</v>
      </c>
      <c r="N101" s="2">
        <v>13</v>
      </c>
      <c r="O101" s="2">
        <v>50.26548245743669</v>
      </c>
      <c r="P101" s="11">
        <f t="shared" si="5"/>
        <v>2.5862678252432989</v>
      </c>
      <c r="Q101" s="2">
        <f t="shared" si="6"/>
        <v>134.69282833867101</v>
      </c>
      <c r="R101" s="2">
        <f t="shared" si="7"/>
        <v>2.5094592101247941</v>
      </c>
      <c r="S101" s="2">
        <f t="shared" si="8"/>
        <v>130.69263566329928</v>
      </c>
      <c r="T101" s="2">
        <f t="shared" si="9"/>
        <v>4.0001926753717214</v>
      </c>
    </row>
    <row r="102" spans="1:20" x14ac:dyDescent="0.25">
      <c r="A102" s="14">
        <f t="shared" si="18"/>
        <v>0.47943376068376065</v>
      </c>
      <c r="B102" s="2">
        <f t="shared" si="11"/>
        <v>97</v>
      </c>
      <c r="C102" s="4">
        <f t="shared" si="12"/>
        <v>52.83</v>
      </c>
      <c r="D102" s="2">
        <v>14</v>
      </c>
      <c r="E102" s="2">
        <v>50.26548245743669</v>
      </c>
      <c r="F102" s="11">
        <f t="shared" si="0"/>
        <v>2.7852115041081689</v>
      </c>
      <c r="G102" s="2">
        <f t="shared" si="1"/>
        <v>147.14272376203456</v>
      </c>
      <c r="H102" s="2">
        <f t="shared" si="2"/>
        <v>2.4704686442812847</v>
      </c>
      <c r="I102" s="2">
        <f t="shared" si="3"/>
        <v>130.51485847738027</v>
      </c>
      <c r="J102" s="2">
        <f t="shared" si="4"/>
        <v>16.627865284654291</v>
      </c>
      <c r="K102" s="15">
        <f t="shared" si="19"/>
        <v>0.4516737891737892</v>
      </c>
      <c r="L102" s="2">
        <f t="shared" si="14"/>
        <v>97</v>
      </c>
      <c r="M102" s="2">
        <f t="shared" si="15"/>
        <v>52.58</v>
      </c>
      <c r="N102" s="2">
        <v>13</v>
      </c>
      <c r="O102" s="2">
        <v>50.26548245743669</v>
      </c>
      <c r="P102" s="11">
        <f t="shared" si="5"/>
        <v>2.5862678252432989</v>
      </c>
      <c r="Q102" s="2">
        <f t="shared" si="6"/>
        <v>135.98596225129265</v>
      </c>
      <c r="R102" s="2">
        <f t="shared" si="7"/>
        <v>2.5094592101247941</v>
      </c>
      <c r="S102" s="2">
        <f t="shared" si="8"/>
        <v>131.94736526836166</v>
      </c>
      <c r="T102" s="2">
        <f t="shared" si="9"/>
        <v>4.0385969829309829</v>
      </c>
    </row>
    <row r="103" spans="1:20" x14ac:dyDescent="0.25">
      <c r="A103" s="14">
        <f t="shared" si="18"/>
        <v>0.47959401709401711</v>
      </c>
      <c r="B103" s="2">
        <f t="shared" si="11"/>
        <v>98</v>
      </c>
      <c r="C103" s="4">
        <f t="shared" si="12"/>
        <v>53.33</v>
      </c>
      <c r="D103" s="2">
        <v>11.5</v>
      </c>
      <c r="E103" s="2">
        <v>50.26548245743669</v>
      </c>
      <c r="F103" s="11">
        <f t="shared" si="0"/>
        <v>2.2878523069459957</v>
      </c>
      <c r="G103" s="2">
        <f t="shared" si="1"/>
        <v>122.01116352942995</v>
      </c>
      <c r="H103" s="2">
        <f t="shared" si="2"/>
        <v>2.4704686442812847</v>
      </c>
      <c r="I103" s="2">
        <f t="shared" si="3"/>
        <v>131.7500927995209</v>
      </c>
      <c r="J103" s="2">
        <f t="shared" si="4"/>
        <v>9.7389292700909493</v>
      </c>
      <c r="K103" s="15">
        <f t="shared" si="19"/>
        <v>0.45179843304843303</v>
      </c>
      <c r="L103" s="2">
        <f t="shared" si="14"/>
        <v>98</v>
      </c>
      <c r="M103" s="2">
        <f t="shared" si="15"/>
        <v>53.08</v>
      </c>
      <c r="N103" s="2">
        <v>12.5</v>
      </c>
      <c r="O103" s="2">
        <v>50.26548245743669</v>
      </c>
      <c r="P103" s="11">
        <f t="shared" si="5"/>
        <v>2.4867959858108648</v>
      </c>
      <c r="Q103" s="2">
        <f t="shared" si="6"/>
        <v>131.99913092684071</v>
      </c>
      <c r="R103" s="2">
        <f t="shared" si="7"/>
        <v>2.5094592101247941</v>
      </c>
      <c r="S103" s="2">
        <f t="shared" si="8"/>
        <v>133.20209487342407</v>
      </c>
      <c r="T103" s="2">
        <f t="shared" si="9"/>
        <v>1.2029639465833668</v>
      </c>
    </row>
    <row r="104" spans="1:20" x14ac:dyDescent="0.25">
      <c r="A104" s="14">
        <f t="shared" si="18"/>
        <v>0.47975427350427352</v>
      </c>
      <c r="B104" s="2">
        <f t="shared" si="11"/>
        <v>99</v>
      </c>
      <c r="C104" s="4">
        <f t="shared" si="12"/>
        <v>53.83</v>
      </c>
      <c r="D104" s="2">
        <v>11.5</v>
      </c>
      <c r="E104" s="2">
        <v>50.26548245743669</v>
      </c>
      <c r="F104" s="11">
        <f t="shared" si="0"/>
        <v>2.2878523069459957</v>
      </c>
      <c r="G104" s="2">
        <f t="shared" si="1"/>
        <v>123.15508968290294</v>
      </c>
      <c r="H104" s="2">
        <f t="shared" si="2"/>
        <v>2.4704686442812847</v>
      </c>
      <c r="I104" s="2">
        <f t="shared" si="3"/>
        <v>132.98532712166156</v>
      </c>
      <c r="J104" s="2">
        <f t="shared" si="4"/>
        <v>9.8302374387586156</v>
      </c>
      <c r="K104" s="15">
        <f t="shared" si="19"/>
        <v>0.45192307692307693</v>
      </c>
      <c r="L104" s="2">
        <f t="shared" si="14"/>
        <v>99</v>
      </c>
      <c r="M104" s="2">
        <f t="shared" si="15"/>
        <v>53.58</v>
      </c>
      <c r="N104" s="2">
        <v>11</v>
      </c>
      <c r="O104" s="2">
        <v>50.26548245743669</v>
      </c>
      <c r="P104" s="11">
        <f t="shared" si="5"/>
        <v>2.1883804675135607</v>
      </c>
      <c r="Q104" s="2">
        <f t="shared" si="6"/>
        <v>117.25342544937658</v>
      </c>
      <c r="R104" s="2">
        <f t="shared" si="7"/>
        <v>2.5094592101247941</v>
      </c>
      <c r="S104" s="2">
        <f t="shared" si="8"/>
        <v>134.45682447848645</v>
      </c>
      <c r="T104" s="2">
        <f t="shared" si="9"/>
        <v>17.203399029109875</v>
      </c>
    </row>
    <row r="105" spans="1:20" x14ac:dyDescent="0.25">
      <c r="A105" s="14">
        <f t="shared" si="18"/>
        <v>0.47991452991452993</v>
      </c>
      <c r="B105" s="2">
        <f t="shared" si="11"/>
        <v>100</v>
      </c>
      <c r="C105" s="4">
        <f t="shared" si="12"/>
        <v>54.33</v>
      </c>
      <c r="D105" s="2">
        <v>10</v>
      </c>
      <c r="E105" s="2">
        <v>50.26548245743669</v>
      </c>
      <c r="F105" s="11">
        <f t="shared" si="0"/>
        <v>1.9894367886486919</v>
      </c>
      <c r="G105" s="2">
        <f t="shared" si="1"/>
        <v>108.08610072728342</v>
      </c>
      <c r="H105" s="2">
        <f t="shared" si="2"/>
        <v>2.4704686442812847</v>
      </c>
      <c r="I105" s="2">
        <f t="shared" si="3"/>
        <v>134.22056144380218</v>
      </c>
      <c r="J105" s="2">
        <f t="shared" si="4"/>
        <v>26.13446071651876</v>
      </c>
      <c r="K105" s="15">
        <f t="shared" si="19"/>
        <v>0.45204772079772082</v>
      </c>
      <c r="L105" s="2">
        <f t="shared" si="14"/>
        <v>100</v>
      </c>
      <c r="M105" s="2">
        <f t="shared" si="15"/>
        <v>54.08</v>
      </c>
      <c r="N105" s="2">
        <v>10.5</v>
      </c>
      <c r="O105" s="2">
        <v>50.26548245743669</v>
      </c>
      <c r="P105" s="11">
        <f t="shared" si="5"/>
        <v>2.0889086280811267</v>
      </c>
      <c r="Q105" s="2">
        <f t="shared" si="6"/>
        <v>112.96817860662732</v>
      </c>
      <c r="R105" s="2">
        <f t="shared" si="7"/>
        <v>2.5094592101247941</v>
      </c>
      <c r="S105" s="2">
        <f t="shared" si="8"/>
        <v>135.71155408354886</v>
      </c>
      <c r="T105" s="2">
        <f t="shared" si="9"/>
        <v>22.743375476921543</v>
      </c>
    </row>
    <row r="106" spans="1:20" x14ac:dyDescent="0.25">
      <c r="A106" s="14">
        <f t="shared" si="18"/>
        <v>0.48007478632478634</v>
      </c>
      <c r="B106" s="2">
        <f t="shared" si="11"/>
        <v>101</v>
      </c>
      <c r="C106" s="4">
        <f t="shared" si="12"/>
        <v>54.83</v>
      </c>
      <c r="D106" s="2">
        <v>10</v>
      </c>
      <c r="E106" s="2">
        <v>50.26548245743669</v>
      </c>
      <c r="F106" s="11">
        <f t="shared" si="0"/>
        <v>1.9894367886486919</v>
      </c>
      <c r="G106" s="2">
        <f t="shared" si="1"/>
        <v>109.08081912160777</v>
      </c>
      <c r="H106" s="2">
        <f t="shared" si="2"/>
        <v>2.4704686442812847</v>
      </c>
      <c r="I106" s="2">
        <f t="shared" si="3"/>
        <v>135.45579576594284</v>
      </c>
      <c r="J106" s="2">
        <f t="shared" si="4"/>
        <v>26.374976644335064</v>
      </c>
      <c r="K106" s="15">
        <f t="shared" si="19"/>
        <v>0.45217236467236466</v>
      </c>
      <c r="L106" s="2">
        <f t="shared" si="14"/>
        <v>101</v>
      </c>
      <c r="M106" s="2">
        <f t="shared" si="15"/>
        <v>54.58</v>
      </c>
      <c r="N106" s="2">
        <v>10.5</v>
      </c>
      <c r="O106" s="2">
        <v>50.26548245743669</v>
      </c>
      <c r="P106" s="11">
        <f t="shared" si="5"/>
        <v>2.0889086280811267</v>
      </c>
      <c r="Q106" s="2">
        <f t="shared" si="6"/>
        <v>114.01263292066788</v>
      </c>
      <c r="R106" s="2">
        <f t="shared" si="7"/>
        <v>2.5094592101247941</v>
      </c>
      <c r="S106" s="2">
        <f t="shared" si="8"/>
        <v>136.96628368861127</v>
      </c>
      <c r="T106" s="2">
        <f t="shared" si="9"/>
        <v>22.953650767943387</v>
      </c>
    </row>
    <row r="107" spans="1:20" x14ac:dyDescent="0.25">
      <c r="A107" s="14">
        <f t="shared" si="18"/>
        <v>0.48023504273504275</v>
      </c>
      <c r="B107" s="2">
        <f t="shared" si="11"/>
        <v>102</v>
      </c>
      <c r="C107" s="4">
        <f t="shared" si="12"/>
        <v>55.33</v>
      </c>
      <c r="D107" s="2">
        <v>9.5</v>
      </c>
      <c r="E107" s="2">
        <v>50.26548245743669</v>
      </c>
      <c r="F107" s="11">
        <f t="shared" si="0"/>
        <v>1.8899649492162571</v>
      </c>
      <c r="G107" s="2">
        <f t="shared" si="1"/>
        <v>104.57176064013551</v>
      </c>
      <c r="H107" s="2">
        <f t="shared" si="2"/>
        <v>2.4704686442812847</v>
      </c>
      <c r="I107" s="2">
        <f t="shared" si="3"/>
        <v>136.69103008808347</v>
      </c>
      <c r="J107" s="2">
        <f t="shared" si="4"/>
        <v>32.119269447947957</v>
      </c>
      <c r="K107" s="15">
        <f t="shared" si="19"/>
        <v>0.45229700854700855</v>
      </c>
      <c r="L107" s="2">
        <f t="shared" si="14"/>
        <v>102</v>
      </c>
      <c r="M107" s="2">
        <f t="shared" si="15"/>
        <v>55.08</v>
      </c>
      <c r="N107" s="2">
        <v>9.5</v>
      </c>
      <c r="O107" s="2">
        <v>50.26548245743669</v>
      </c>
      <c r="P107" s="11">
        <f t="shared" si="5"/>
        <v>1.8899649492162571</v>
      </c>
      <c r="Q107" s="2">
        <f t="shared" si="6"/>
        <v>104.09926940283144</v>
      </c>
      <c r="R107" s="2">
        <f t="shared" si="7"/>
        <v>2.5094592101247941</v>
      </c>
      <c r="S107" s="2">
        <f t="shared" si="8"/>
        <v>138.22101329367365</v>
      </c>
      <c r="T107" s="2">
        <f t="shared" si="9"/>
        <v>34.121743890842211</v>
      </c>
    </row>
    <row r="108" spans="1:20" x14ac:dyDescent="0.25">
      <c r="A108" s="14">
        <f t="shared" si="18"/>
        <v>0.48039529914529916</v>
      </c>
      <c r="B108" s="2">
        <f t="shared" si="11"/>
        <v>103</v>
      </c>
      <c r="C108" s="4">
        <f t="shared" si="12"/>
        <v>55.83</v>
      </c>
      <c r="D108" s="2">
        <v>9</v>
      </c>
      <c r="E108" s="2">
        <v>50.26548245743669</v>
      </c>
      <c r="F108" s="11">
        <f t="shared" si="0"/>
        <v>1.7904931097838226</v>
      </c>
      <c r="G108" s="2">
        <f t="shared" si="1"/>
        <v>99.963230319230817</v>
      </c>
      <c r="H108" s="2">
        <f t="shared" si="2"/>
        <v>2.4704686442812847</v>
      </c>
      <c r="I108" s="2">
        <f t="shared" si="3"/>
        <v>137.92626441022412</v>
      </c>
      <c r="J108" s="2">
        <f t="shared" si="4"/>
        <v>37.963034090993304</v>
      </c>
      <c r="K108" s="15">
        <f t="shared" si="19"/>
        <v>0.45242165242165244</v>
      </c>
      <c r="L108" s="2">
        <f t="shared" si="14"/>
        <v>103</v>
      </c>
      <c r="M108" s="2">
        <f t="shared" si="15"/>
        <v>55.58</v>
      </c>
      <c r="N108" s="2">
        <v>11</v>
      </c>
      <c r="O108" s="2">
        <v>50.26548245743669</v>
      </c>
      <c r="P108" s="11">
        <f t="shared" si="5"/>
        <v>2.1883804675135607</v>
      </c>
      <c r="Q108" s="2">
        <f t="shared" si="6"/>
        <v>121.6301863844037</v>
      </c>
      <c r="R108" s="2">
        <f t="shared" si="7"/>
        <v>2.5094592101247941</v>
      </c>
      <c r="S108" s="2">
        <f t="shared" si="8"/>
        <v>139.47574289873606</v>
      </c>
      <c r="T108" s="2">
        <f t="shared" si="9"/>
        <v>17.845556514332358</v>
      </c>
    </row>
    <row r="109" spans="1:20" x14ac:dyDescent="0.25">
      <c r="A109" s="14">
        <f t="shared" si="18"/>
        <v>0.48055555555555557</v>
      </c>
      <c r="B109" s="21">
        <f t="shared" si="11"/>
        <v>104</v>
      </c>
      <c r="C109" s="22">
        <f t="shared" si="12"/>
        <v>56.33</v>
      </c>
      <c r="D109" s="21">
        <v>10.5</v>
      </c>
      <c r="E109" s="2">
        <v>50.26548245743669</v>
      </c>
      <c r="F109" s="11">
        <f t="shared" si="0"/>
        <v>2.0889086280811267</v>
      </c>
      <c r="G109" s="2">
        <f t="shared" si="1"/>
        <v>117.66822301980986</v>
      </c>
      <c r="H109" s="2">
        <f t="shared" si="2"/>
        <v>2.4704686442812847</v>
      </c>
      <c r="I109" s="2">
        <f t="shared" si="3"/>
        <v>139.16149873236475</v>
      </c>
      <c r="J109" s="2">
        <f t="shared" si="4"/>
        <v>21.49327571255489</v>
      </c>
      <c r="K109" s="15">
        <f t="shared" si="19"/>
        <v>0.45254629629629628</v>
      </c>
      <c r="L109" s="21">
        <f t="shared" si="14"/>
        <v>104</v>
      </c>
      <c r="M109" s="21">
        <f t="shared" si="15"/>
        <v>56.08</v>
      </c>
      <c r="N109" s="21">
        <v>10</v>
      </c>
      <c r="O109" s="2">
        <v>50.26548245743669</v>
      </c>
      <c r="P109" s="11">
        <f t="shared" si="5"/>
        <v>1.9894367886486919</v>
      </c>
      <c r="Q109" s="2">
        <f t="shared" si="6"/>
        <v>111.56761510741863</v>
      </c>
      <c r="R109" s="2">
        <f t="shared" si="7"/>
        <v>2.5094592101247941</v>
      </c>
      <c r="S109" s="2">
        <f t="shared" si="8"/>
        <v>140.73047250379844</v>
      </c>
      <c r="T109" s="2">
        <f t="shared" si="9"/>
        <v>29.162857396379806</v>
      </c>
    </row>
    <row r="110" spans="1:20" x14ac:dyDescent="0.25">
      <c r="A110" s="14">
        <f t="shared" si="18"/>
        <v>0.48071581196581198</v>
      </c>
      <c r="B110" s="21">
        <f t="shared" si="11"/>
        <v>105</v>
      </c>
      <c r="C110" s="22">
        <f>C109+1.5</f>
        <v>57.83</v>
      </c>
      <c r="D110" s="21">
        <v>9</v>
      </c>
      <c r="E110" s="2">
        <v>50.26548245743669</v>
      </c>
      <c r="F110" s="11">
        <f t="shared" si="0"/>
        <v>1.7904931097838226</v>
      </c>
      <c r="G110" s="2">
        <f t="shared" si="1"/>
        <v>103.54421653879845</v>
      </c>
      <c r="H110" s="2">
        <f t="shared" si="2"/>
        <v>2.4704686442812847</v>
      </c>
      <c r="I110" s="2">
        <f t="shared" si="3"/>
        <v>142.86720169878669</v>
      </c>
      <c r="J110" s="2">
        <f t="shared" si="4"/>
        <v>39.322985159988235</v>
      </c>
      <c r="K110" s="15">
        <f t="shared" si="19"/>
        <v>0.45267094017094017</v>
      </c>
      <c r="L110" s="21">
        <f t="shared" si="14"/>
        <v>105</v>
      </c>
      <c r="M110" s="21">
        <f>M109+1.5</f>
        <v>57.58</v>
      </c>
      <c r="N110" s="21">
        <v>9.5</v>
      </c>
      <c r="O110" s="2">
        <v>50.26548245743669</v>
      </c>
      <c r="P110" s="11">
        <f t="shared" si="5"/>
        <v>1.8899649492162571</v>
      </c>
      <c r="Q110" s="2">
        <f t="shared" si="6"/>
        <v>108.82418177587208</v>
      </c>
      <c r="R110" s="2">
        <f t="shared" si="7"/>
        <v>2.5094592101247941</v>
      </c>
      <c r="S110" s="2">
        <f t="shared" si="8"/>
        <v>144.49466131898564</v>
      </c>
      <c r="T110" s="2">
        <f t="shared" si="9"/>
        <v>35.670479543113558</v>
      </c>
    </row>
    <row r="111" spans="1:20" x14ac:dyDescent="0.25">
      <c r="A111" s="14">
        <f t="shared" si="18"/>
        <v>0.48087606837606839</v>
      </c>
      <c r="B111" s="21">
        <f t="shared" si="11"/>
        <v>106</v>
      </c>
      <c r="C111" s="22">
        <f t="shared" ref="C111:C162" si="20">C110+0.5</f>
        <v>58.33</v>
      </c>
      <c r="D111" s="21">
        <v>9.5</v>
      </c>
      <c r="E111" s="2">
        <v>50.26548245743669</v>
      </c>
      <c r="F111" s="11">
        <f t="shared" si="0"/>
        <v>1.8899649492162571</v>
      </c>
      <c r="G111" s="2">
        <f t="shared" si="1"/>
        <v>110.24165548778427</v>
      </c>
      <c r="H111" s="2">
        <f t="shared" si="2"/>
        <v>2.4704686442812847</v>
      </c>
      <c r="I111" s="2">
        <f t="shared" si="3"/>
        <v>144.10243602092734</v>
      </c>
      <c r="J111" s="2">
        <f t="shared" si="4"/>
        <v>33.860780533143071</v>
      </c>
      <c r="K111" s="15">
        <f t="shared" si="19"/>
        <v>0.45279558404558407</v>
      </c>
      <c r="L111" s="21">
        <f t="shared" si="14"/>
        <v>106</v>
      </c>
      <c r="M111" s="21">
        <f t="shared" ref="M111:M162" si="21">M110+0.5</f>
        <v>58.08</v>
      </c>
      <c r="N111" s="21">
        <v>9.5</v>
      </c>
      <c r="O111" s="2">
        <v>50.26548245743669</v>
      </c>
      <c r="P111" s="11">
        <f t="shared" si="5"/>
        <v>1.8899649492162571</v>
      </c>
      <c r="Q111" s="2">
        <f t="shared" si="6"/>
        <v>109.76916425048022</v>
      </c>
      <c r="R111" s="2">
        <f t="shared" si="7"/>
        <v>2.5094592101247941</v>
      </c>
      <c r="S111" s="2">
        <f t="shared" si="8"/>
        <v>145.74939092404804</v>
      </c>
      <c r="T111" s="2">
        <f t="shared" si="9"/>
        <v>35.980226673567827</v>
      </c>
    </row>
    <row r="112" spans="1:20" x14ac:dyDescent="0.25">
      <c r="A112" s="14">
        <f t="shared" si="18"/>
        <v>0.4810363247863248</v>
      </c>
      <c r="B112" s="2">
        <f t="shared" si="11"/>
        <v>107</v>
      </c>
      <c r="C112" s="4">
        <f t="shared" si="20"/>
        <v>58.83</v>
      </c>
      <c r="D112" s="2">
        <v>12.5</v>
      </c>
      <c r="E112" s="2">
        <v>50.26548245743669</v>
      </c>
      <c r="F112" s="11">
        <f t="shared" si="0"/>
        <v>2.4867959858108648</v>
      </c>
      <c r="G112" s="2">
        <f t="shared" si="1"/>
        <v>146.29820784525316</v>
      </c>
      <c r="H112" s="2">
        <f t="shared" si="2"/>
        <v>2.4704686442812847</v>
      </c>
      <c r="I112" s="2">
        <f t="shared" si="3"/>
        <v>145.33767034306797</v>
      </c>
      <c r="J112" s="2">
        <f t="shared" si="4"/>
        <v>0.96053750218518985</v>
      </c>
      <c r="K112" s="15">
        <f t="shared" si="19"/>
        <v>0.4529202279202279</v>
      </c>
      <c r="L112" s="2">
        <f t="shared" si="14"/>
        <v>107</v>
      </c>
      <c r="M112" s="2">
        <f t="shared" si="21"/>
        <v>58.58</v>
      </c>
      <c r="N112" s="2">
        <v>10.5</v>
      </c>
      <c r="O112" s="2">
        <v>50.26548245743669</v>
      </c>
      <c r="P112" s="11">
        <f t="shared" si="5"/>
        <v>2.0889086280811267</v>
      </c>
      <c r="Q112" s="2">
        <f t="shared" si="6"/>
        <v>122.3682674329924</v>
      </c>
      <c r="R112" s="2">
        <f t="shared" si="7"/>
        <v>2.5094592101247941</v>
      </c>
      <c r="S112" s="2">
        <f t="shared" si="8"/>
        <v>147.00412052911042</v>
      </c>
      <c r="T112" s="2">
        <f t="shared" si="9"/>
        <v>24.635853096118026</v>
      </c>
    </row>
    <row r="113" spans="1:20" x14ac:dyDescent="0.25">
      <c r="A113" s="14">
        <f t="shared" si="18"/>
        <v>0.48119658119658121</v>
      </c>
      <c r="B113" s="2">
        <f t="shared" si="11"/>
        <v>108</v>
      </c>
      <c r="C113" s="4">
        <f t="shared" si="20"/>
        <v>59.33</v>
      </c>
      <c r="D113" s="2">
        <v>11.5</v>
      </c>
      <c r="E113" s="2">
        <v>50.26548245743669</v>
      </c>
      <c r="F113" s="11">
        <f t="shared" si="0"/>
        <v>2.2878523069459957</v>
      </c>
      <c r="G113" s="2">
        <f t="shared" si="1"/>
        <v>135.73827737110591</v>
      </c>
      <c r="H113" s="2">
        <f t="shared" si="2"/>
        <v>2.4704686442812847</v>
      </c>
      <c r="I113" s="2">
        <f t="shared" si="3"/>
        <v>146.57290466520863</v>
      </c>
      <c r="J113" s="2">
        <f t="shared" si="4"/>
        <v>10.834627294102717</v>
      </c>
      <c r="K113" s="15">
        <f t="shared" si="19"/>
        <v>0.4530448717948718</v>
      </c>
      <c r="L113" s="2">
        <f t="shared" si="14"/>
        <v>108</v>
      </c>
      <c r="M113" s="2">
        <f t="shared" si="21"/>
        <v>59.08</v>
      </c>
      <c r="N113" s="2">
        <v>11</v>
      </c>
      <c r="O113" s="2">
        <v>50.26548245743669</v>
      </c>
      <c r="P113" s="11">
        <f t="shared" si="5"/>
        <v>2.1883804675135607</v>
      </c>
      <c r="Q113" s="2">
        <f t="shared" si="6"/>
        <v>129.28951802070117</v>
      </c>
      <c r="R113" s="2">
        <f t="shared" si="7"/>
        <v>2.5094592101247941</v>
      </c>
      <c r="S113" s="2">
        <f t="shared" si="8"/>
        <v>148.25885013417283</v>
      </c>
      <c r="T113" s="2">
        <f t="shared" si="9"/>
        <v>18.969332113471665</v>
      </c>
    </row>
    <row r="114" spans="1:20" x14ac:dyDescent="0.25">
      <c r="A114" s="14">
        <f t="shared" si="18"/>
        <v>0.48135683760683762</v>
      </c>
      <c r="B114" s="2">
        <f t="shared" si="11"/>
        <v>109</v>
      </c>
      <c r="C114" s="4">
        <f t="shared" si="20"/>
        <v>59.83</v>
      </c>
      <c r="D114" s="2">
        <v>10</v>
      </c>
      <c r="E114" s="2">
        <v>50.26548245743669</v>
      </c>
      <c r="F114" s="11">
        <f t="shared" si="0"/>
        <v>1.9894367886486919</v>
      </c>
      <c r="G114" s="2">
        <f t="shared" si="1"/>
        <v>119.02800306485123</v>
      </c>
      <c r="H114" s="2">
        <f t="shared" si="2"/>
        <v>2.4704686442812847</v>
      </c>
      <c r="I114" s="2">
        <f t="shared" si="3"/>
        <v>147.80813898734925</v>
      </c>
      <c r="J114" s="2">
        <f t="shared" si="4"/>
        <v>28.780135922498019</v>
      </c>
      <c r="K114" s="15">
        <f t="shared" si="19"/>
        <v>0.45316951566951569</v>
      </c>
      <c r="L114" s="2">
        <f t="shared" si="14"/>
        <v>109</v>
      </c>
      <c r="M114" s="2">
        <f t="shared" si="21"/>
        <v>59.58</v>
      </c>
      <c r="N114" s="2">
        <v>10.5</v>
      </c>
      <c r="O114" s="2">
        <v>50.26548245743669</v>
      </c>
      <c r="P114" s="11">
        <f t="shared" si="5"/>
        <v>2.0889086280811267</v>
      </c>
      <c r="Q114" s="2">
        <f t="shared" si="6"/>
        <v>124.45717606107353</v>
      </c>
      <c r="R114" s="2">
        <f t="shared" si="7"/>
        <v>2.5094592101247941</v>
      </c>
      <c r="S114" s="2">
        <f t="shared" si="8"/>
        <v>149.51357973923524</v>
      </c>
      <c r="T114" s="2">
        <f t="shared" si="9"/>
        <v>25.056403678161715</v>
      </c>
    </row>
    <row r="115" spans="1:20" x14ac:dyDescent="0.25">
      <c r="A115" s="14">
        <f t="shared" si="18"/>
        <v>0.48151709401709403</v>
      </c>
      <c r="B115" s="2">
        <f t="shared" si="11"/>
        <v>110</v>
      </c>
      <c r="C115" s="4">
        <f t="shared" si="20"/>
        <v>60.33</v>
      </c>
      <c r="D115" s="2">
        <v>9.5</v>
      </c>
      <c r="E115" s="2">
        <v>50.26548245743669</v>
      </c>
      <c r="F115" s="11">
        <f t="shared" si="0"/>
        <v>1.8899649492162571</v>
      </c>
      <c r="G115" s="2">
        <f t="shared" si="1"/>
        <v>114.02158538621678</v>
      </c>
      <c r="H115" s="2">
        <f t="shared" si="2"/>
        <v>2.4704686442812847</v>
      </c>
      <c r="I115" s="2">
        <f t="shared" si="3"/>
        <v>149.04337330948991</v>
      </c>
      <c r="J115" s="2">
        <f t="shared" si="4"/>
        <v>35.021787923273124</v>
      </c>
      <c r="K115" s="15">
        <f t="shared" si="19"/>
        <v>0.45329415954415953</v>
      </c>
      <c r="L115" s="2">
        <f t="shared" si="14"/>
        <v>110</v>
      </c>
      <c r="M115" s="2">
        <f t="shared" si="21"/>
        <v>60.08</v>
      </c>
      <c r="N115" s="2">
        <v>11</v>
      </c>
      <c r="O115" s="2">
        <v>50.26548245743669</v>
      </c>
      <c r="P115" s="11">
        <f t="shared" si="5"/>
        <v>2.1883804675135607</v>
      </c>
      <c r="Q115" s="2">
        <f t="shared" si="6"/>
        <v>131.47789848821472</v>
      </c>
      <c r="R115" s="2">
        <f t="shared" si="7"/>
        <v>2.5094592101247941</v>
      </c>
      <c r="S115" s="2">
        <f t="shared" si="8"/>
        <v>150.76830934429762</v>
      </c>
      <c r="T115" s="2">
        <f t="shared" si="9"/>
        <v>19.2904108560829</v>
      </c>
    </row>
    <row r="116" spans="1:20" x14ac:dyDescent="0.25">
      <c r="A116" s="14">
        <f t="shared" si="18"/>
        <v>0.48167735042735044</v>
      </c>
      <c r="B116" s="2">
        <f t="shared" si="11"/>
        <v>111</v>
      </c>
      <c r="C116" s="4">
        <f t="shared" si="20"/>
        <v>60.83</v>
      </c>
      <c r="D116" s="2">
        <v>10.5</v>
      </c>
      <c r="E116" s="2">
        <v>50.26548245743669</v>
      </c>
      <c r="F116" s="11">
        <f t="shared" si="0"/>
        <v>2.0889086280811267</v>
      </c>
      <c r="G116" s="2">
        <f t="shared" si="1"/>
        <v>127.06831184617494</v>
      </c>
      <c r="H116" s="2">
        <f t="shared" si="2"/>
        <v>2.4704686442812847</v>
      </c>
      <c r="I116" s="2">
        <f t="shared" si="3"/>
        <v>150.27860763163054</v>
      </c>
      <c r="J116" s="2">
        <f t="shared" si="4"/>
        <v>23.2102957854556</v>
      </c>
      <c r="K116" s="15">
        <f t="shared" si="19"/>
        <v>0.45341880341880342</v>
      </c>
      <c r="L116" s="2">
        <f t="shared" si="14"/>
        <v>111</v>
      </c>
      <c r="M116" s="2">
        <f t="shared" si="21"/>
        <v>60.58</v>
      </c>
      <c r="N116" s="2">
        <v>10</v>
      </c>
      <c r="O116" s="2">
        <v>50.26548245743669</v>
      </c>
      <c r="P116" s="11">
        <f t="shared" si="5"/>
        <v>1.9894367886486919</v>
      </c>
      <c r="Q116" s="2">
        <f t="shared" si="6"/>
        <v>120.52008065633775</v>
      </c>
      <c r="R116" s="2">
        <f t="shared" si="7"/>
        <v>2.5094592101247941</v>
      </c>
      <c r="S116" s="2">
        <f t="shared" si="8"/>
        <v>152.02303894936003</v>
      </c>
      <c r="T116" s="2">
        <f t="shared" si="9"/>
        <v>31.502958293022274</v>
      </c>
    </row>
    <row r="117" spans="1:20" x14ac:dyDescent="0.25">
      <c r="A117" s="14">
        <f t="shared" si="18"/>
        <v>0.48183760683760685</v>
      </c>
      <c r="B117" s="2">
        <f t="shared" si="11"/>
        <v>112</v>
      </c>
      <c r="C117" s="4">
        <f t="shared" si="20"/>
        <v>61.33</v>
      </c>
      <c r="D117" s="2">
        <v>11</v>
      </c>
      <c r="E117" s="2">
        <v>50.26548245743669</v>
      </c>
      <c r="F117" s="11">
        <f t="shared" si="0"/>
        <v>2.1883804675135607</v>
      </c>
      <c r="G117" s="2">
        <f t="shared" si="1"/>
        <v>134.21337407260668</v>
      </c>
      <c r="H117" s="2">
        <f t="shared" si="2"/>
        <v>2.4704686442812847</v>
      </c>
      <c r="I117" s="2">
        <f t="shared" si="3"/>
        <v>151.51384195377119</v>
      </c>
      <c r="J117" s="2">
        <f t="shared" si="4"/>
        <v>17.300467881164508</v>
      </c>
      <c r="K117" s="15">
        <f t="shared" si="19"/>
        <v>0.45354344729344731</v>
      </c>
      <c r="L117" s="2">
        <f t="shared" si="14"/>
        <v>112</v>
      </c>
      <c r="M117" s="2">
        <f t="shared" si="21"/>
        <v>61.08</v>
      </c>
      <c r="N117" s="2">
        <v>11</v>
      </c>
      <c r="O117" s="2">
        <v>50.26548245743669</v>
      </c>
      <c r="P117" s="11">
        <f t="shared" si="5"/>
        <v>2.1883804675135607</v>
      </c>
      <c r="Q117" s="2">
        <f t="shared" si="6"/>
        <v>133.66627895572827</v>
      </c>
      <c r="R117" s="2">
        <f t="shared" si="7"/>
        <v>2.5094592101247941</v>
      </c>
      <c r="S117" s="2">
        <f t="shared" si="8"/>
        <v>153.27776855442241</v>
      </c>
      <c r="T117" s="2">
        <f t="shared" si="9"/>
        <v>19.611489598694135</v>
      </c>
    </row>
    <row r="118" spans="1:20" x14ac:dyDescent="0.25">
      <c r="A118" s="14">
        <f t="shared" si="18"/>
        <v>0.48199786324786326</v>
      </c>
      <c r="B118" s="2">
        <f t="shared" si="11"/>
        <v>113</v>
      </c>
      <c r="C118" s="4">
        <f t="shared" si="20"/>
        <v>61.83</v>
      </c>
      <c r="D118" s="2">
        <v>11.5</v>
      </c>
      <c r="E118" s="2">
        <v>50.26548245743669</v>
      </c>
      <c r="F118" s="11">
        <f t="shared" si="0"/>
        <v>2.2878523069459957</v>
      </c>
      <c r="G118" s="2">
        <f t="shared" si="1"/>
        <v>141.45790813847091</v>
      </c>
      <c r="H118" s="2">
        <f t="shared" si="2"/>
        <v>2.4704686442812847</v>
      </c>
      <c r="I118" s="2">
        <f t="shared" si="3"/>
        <v>152.74907627591182</v>
      </c>
      <c r="J118" s="2">
        <f t="shared" si="4"/>
        <v>11.291168137440906</v>
      </c>
      <c r="K118" s="15">
        <f t="shared" si="19"/>
        <v>0.45366809116809115</v>
      </c>
      <c r="L118" s="2">
        <f t="shared" si="14"/>
        <v>113</v>
      </c>
      <c r="M118" s="2">
        <f t="shared" si="21"/>
        <v>61.58</v>
      </c>
      <c r="N118" s="2">
        <v>11</v>
      </c>
      <c r="O118" s="2">
        <v>50.26548245743669</v>
      </c>
      <c r="P118" s="11">
        <f t="shared" si="5"/>
        <v>2.1883804675135607</v>
      </c>
      <c r="Q118" s="2">
        <f t="shared" si="6"/>
        <v>134.76046918948506</v>
      </c>
      <c r="R118" s="2">
        <f t="shared" si="7"/>
        <v>2.5094592101247941</v>
      </c>
      <c r="S118" s="2">
        <f t="shared" si="8"/>
        <v>154.53249815948482</v>
      </c>
      <c r="T118" s="2">
        <f t="shared" si="9"/>
        <v>19.772028969999752</v>
      </c>
    </row>
    <row r="119" spans="1:20" x14ac:dyDescent="0.25">
      <c r="A119" s="14">
        <f t="shared" si="18"/>
        <v>0.48215811965811967</v>
      </c>
      <c r="B119" s="2">
        <f t="shared" si="11"/>
        <v>114</v>
      </c>
      <c r="C119" s="4">
        <f t="shared" si="20"/>
        <v>62.33</v>
      </c>
      <c r="D119" s="2">
        <v>10</v>
      </c>
      <c r="E119" s="2">
        <v>50.26548245743669</v>
      </c>
      <c r="F119" s="11">
        <f t="shared" si="0"/>
        <v>1.9894367886486919</v>
      </c>
      <c r="G119" s="2">
        <f t="shared" si="1"/>
        <v>124.00159503647296</v>
      </c>
      <c r="H119" s="2">
        <f t="shared" si="2"/>
        <v>2.4704686442812847</v>
      </c>
      <c r="I119" s="2">
        <f t="shared" si="3"/>
        <v>153.98431059805247</v>
      </c>
      <c r="J119" s="2">
        <f t="shared" si="4"/>
        <v>29.982715561579511</v>
      </c>
      <c r="K119" s="15">
        <f t="shared" si="19"/>
        <v>0.45379273504273504</v>
      </c>
      <c r="L119" s="2">
        <f t="shared" si="14"/>
        <v>114</v>
      </c>
      <c r="M119" s="2">
        <f t="shared" si="21"/>
        <v>62.08</v>
      </c>
      <c r="N119" s="2">
        <v>10.5</v>
      </c>
      <c r="O119" s="2">
        <v>50.26548245743669</v>
      </c>
      <c r="P119" s="11">
        <f t="shared" si="5"/>
        <v>2.0889086280811267</v>
      </c>
      <c r="Q119" s="2">
        <f t="shared" si="6"/>
        <v>129.67944763127633</v>
      </c>
      <c r="R119" s="2">
        <f t="shared" si="7"/>
        <v>2.5094592101247941</v>
      </c>
      <c r="S119" s="2">
        <f t="shared" si="8"/>
        <v>155.78722776454723</v>
      </c>
      <c r="T119" s="2">
        <f t="shared" si="9"/>
        <v>26.107780133270893</v>
      </c>
    </row>
    <row r="120" spans="1:20" x14ac:dyDescent="0.25">
      <c r="A120" s="14">
        <f t="shared" si="18"/>
        <v>0.48231837606837608</v>
      </c>
      <c r="B120" s="2">
        <f t="shared" si="11"/>
        <v>115</v>
      </c>
      <c r="C120" s="4">
        <f t="shared" si="20"/>
        <v>62.83</v>
      </c>
      <c r="D120" s="2">
        <v>11</v>
      </c>
      <c r="E120" s="2">
        <v>50.26548245743669</v>
      </c>
      <c r="F120" s="11">
        <f t="shared" si="0"/>
        <v>2.1883804675135607</v>
      </c>
      <c r="G120" s="2">
        <f t="shared" si="1"/>
        <v>137.49594477387703</v>
      </c>
      <c r="H120" s="2">
        <f t="shared" si="2"/>
        <v>2.4704686442812847</v>
      </c>
      <c r="I120" s="2">
        <f t="shared" si="3"/>
        <v>155.2195449201931</v>
      </c>
      <c r="J120" s="2">
        <f t="shared" si="4"/>
        <v>17.723600146316073</v>
      </c>
      <c r="K120" s="15">
        <f t="shared" si="19"/>
        <v>0.45391737891737893</v>
      </c>
      <c r="L120" s="2">
        <f t="shared" si="14"/>
        <v>115</v>
      </c>
      <c r="M120" s="2">
        <f t="shared" si="21"/>
        <v>62.58</v>
      </c>
      <c r="N120" s="2">
        <v>10</v>
      </c>
      <c r="O120" s="2">
        <v>50.26548245743669</v>
      </c>
      <c r="P120" s="11">
        <f t="shared" si="5"/>
        <v>1.9894367886486919</v>
      </c>
      <c r="Q120" s="2">
        <f t="shared" si="6"/>
        <v>124.49895423363513</v>
      </c>
      <c r="R120" s="2">
        <f t="shared" si="7"/>
        <v>2.5094592101247941</v>
      </c>
      <c r="S120" s="2">
        <f t="shared" si="8"/>
        <v>157.04195736960961</v>
      </c>
      <c r="T120" s="2">
        <f t="shared" si="9"/>
        <v>32.543003135974473</v>
      </c>
    </row>
    <row r="121" spans="1:20" x14ac:dyDescent="0.25">
      <c r="A121" s="14">
        <f t="shared" si="18"/>
        <v>0.48247863247863249</v>
      </c>
      <c r="B121" s="2">
        <f t="shared" si="11"/>
        <v>116</v>
      </c>
      <c r="C121" s="4">
        <f t="shared" si="20"/>
        <v>63.33</v>
      </c>
      <c r="D121" s="2">
        <v>10.5</v>
      </c>
      <c r="E121" s="2">
        <v>50.26548245743669</v>
      </c>
      <c r="F121" s="11">
        <f t="shared" si="0"/>
        <v>2.0889086280811267</v>
      </c>
      <c r="G121" s="2">
        <f t="shared" si="1"/>
        <v>132.29058341637776</v>
      </c>
      <c r="H121" s="2">
        <f t="shared" si="2"/>
        <v>2.4704686442812847</v>
      </c>
      <c r="I121" s="2">
        <f t="shared" si="3"/>
        <v>156.45477924233376</v>
      </c>
      <c r="J121" s="2">
        <f t="shared" si="4"/>
        <v>24.164195825956</v>
      </c>
      <c r="K121" s="15">
        <f t="shared" si="19"/>
        <v>0.45404202279202277</v>
      </c>
      <c r="L121" s="2">
        <f t="shared" si="14"/>
        <v>116</v>
      </c>
      <c r="M121" s="2">
        <f t="shared" si="21"/>
        <v>63.08</v>
      </c>
      <c r="N121" s="2">
        <v>13</v>
      </c>
      <c r="O121" s="2">
        <v>50.26548245743669</v>
      </c>
      <c r="P121" s="11">
        <f t="shared" si="5"/>
        <v>2.5862678252432989</v>
      </c>
      <c r="Q121" s="2">
        <f t="shared" si="6"/>
        <v>163.14177441634729</v>
      </c>
      <c r="R121" s="2">
        <f t="shared" si="7"/>
        <v>2.5094592101247941</v>
      </c>
      <c r="S121" s="2">
        <f t="shared" si="8"/>
        <v>158.29668697467201</v>
      </c>
      <c r="T121" s="2">
        <f t="shared" si="9"/>
        <v>4.8450874416752754</v>
      </c>
    </row>
    <row r="122" spans="1:20" x14ac:dyDescent="0.25">
      <c r="A122" s="10">
        <v>0.4826388888888889</v>
      </c>
      <c r="B122" s="2">
        <f t="shared" si="11"/>
        <v>117</v>
      </c>
      <c r="C122" s="4">
        <f t="shared" si="20"/>
        <v>63.83</v>
      </c>
      <c r="D122" s="2">
        <v>12</v>
      </c>
      <c r="E122" s="2">
        <v>50.26548245743669</v>
      </c>
      <c r="F122" s="11">
        <f t="shared" si="0"/>
        <v>2.3873241463784298</v>
      </c>
      <c r="G122" s="2">
        <f t="shared" si="1"/>
        <v>152.38290026333516</v>
      </c>
      <c r="H122" s="2">
        <f t="shared" si="2"/>
        <v>2.4704686442812847</v>
      </c>
      <c r="I122" s="2">
        <f t="shared" si="3"/>
        <v>157.69001356447438</v>
      </c>
      <c r="J122" s="2">
        <f t="shared" si="4"/>
        <v>5.3071133011392249</v>
      </c>
      <c r="K122" s="12">
        <v>0.45416666666666666</v>
      </c>
      <c r="L122" s="2">
        <f t="shared" si="14"/>
        <v>117</v>
      </c>
      <c r="M122" s="2">
        <f t="shared" si="21"/>
        <v>63.58</v>
      </c>
      <c r="N122" s="2">
        <v>12.5</v>
      </c>
      <c r="O122" s="2">
        <v>50.26548245743669</v>
      </c>
      <c r="P122" s="11">
        <f t="shared" si="5"/>
        <v>2.4867959858108648</v>
      </c>
      <c r="Q122" s="2">
        <f t="shared" si="6"/>
        <v>158.11048877785478</v>
      </c>
      <c r="R122" s="2">
        <f t="shared" si="7"/>
        <v>2.5094592101247941</v>
      </c>
      <c r="S122" s="2">
        <f t="shared" si="8"/>
        <v>159.55141657973439</v>
      </c>
      <c r="T122" s="2">
        <f t="shared" si="9"/>
        <v>1.4409278018796101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0.4827991452991453</v>
      </c>
      <c r="B123" s="2">
        <f t="shared" si="11"/>
        <v>118</v>
      </c>
      <c r="C123" s="4">
        <f t="shared" si="20"/>
        <v>64.33</v>
      </c>
      <c r="D123" s="2">
        <v>12.5</v>
      </c>
      <c r="E123" s="2">
        <v>50.26548245743669</v>
      </c>
      <c r="F123" s="11">
        <f t="shared" si="0"/>
        <v>2.4867959858108648</v>
      </c>
      <c r="G123" s="2">
        <f t="shared" si="1"/>
        <v>159.97558576721292</v>
      </c>
      <c r="H123" s="2">
        <f t="shared" si="2"/>
        <v>2.4704686442812847</v>
      </c>
      <c r="I123" s="2">
        <f t="shared" si="3"/>
        <v>158.92524788661504</v>
      </c>
      <c r="J123" s="2">
        <f t="shared" si="4"/>
        <v>1.0503378805978798</v>
      </c>
      <c r="K123" s="15">
        <f t="shared" ref="K123:K160" si="23">IF(AND($K$122&lt;&gt;"",$K$161&lt;&gt;""), $K$122 + (L123 - $L$122) * (($K$161 - $K$122) / ($L$161 - $L$122)), "")</f>
        <v>0.45436253561253559</v>
      </c>
      <c r="L123" s="2">
        <f t="shared" si="14"/>
        <v>118</v>
      </c>
      <c r="M123" s="2">
        <f t="shared" si="21"/>
        <v>64.08</v>
      </c>
      <c r="N123" s="2">
        <v>13.5</v>
      </c>
      <c r="O123" s="2">
        <v>50.26548245743669</v>
      </c>
      <c r="P123" s="11">
        <f t="shared" si="5"/>
        <v>2.6857396646757339</v>
      </c>
      <c r="Q123" s="2">
        <f t="shared" si="6"/>
        <v>172.10219771242103</v>
      </c>
      <c r="R123" s="2">
        <f t="shared" si="7"/>
        <v>2.5094592101247941</v>
      </c>
      <c r="S123" s="2">
        <f t="shared" si="8"/>
        <v>160.8061461847968</v>
      </c>
      <c r="T123" s="2">
        <f t="shared" si="9"/>
        <v>11.296051527624229</v>
      </c>
    </row>
    <row r="124" spans="1:20" x14ac:dyDescent="0.25">
      <c r="A124" s="14">
        <f t="shared" si="22"/>
        <v>0.48295940170940171</v>
      </c>
      <c r="B124" s="2">
        <f t="shared" si="11"/>
        <v>119</v>
      </c>
      <c r="C124" s="4">
        <f t="shared" si="20"/>
        <v>64.83</v>
      </c>
      <c r="D124" s="2">
        <v>12.5</v>
      </c>
      <c r="E124" s="2">
        <v>50.26548245743669</v>
      </c>
      <c r="F124" s="11">
        <f t="shared" si="0"/>
        <v>2.4867959858108648</v>
      </c>
      <c r="G124" s="2">
        <f t="shared" si="1"/>
        <v>161.21898376011836</v>
      </c>
      <c r="H124" s="2">
        <f t="shared" si="2"/>
        <v>2.4704686442812847</v>
      </c>
      <c r="I124" s="2">
        <f t="shared" si="3"/>
        <v>160.16048220875567</v>
      </c>
      <c r="J124" s="2">
        <f t="shared" si="4"/>
        <v>1.0585015513626956</v>
      </c>
      <c r="K124" s="15">
        <f t="shared" si="23"/>
        <v>0.45455840455840457</v>
      </c>
      <c r="L124" s="2">
        <f t="shared" si="14"/>
        <v>119</v>
      </c>
      <c r="M124" s="2">
        <f t="shared" si="21"/>
        <v>64.58</v>
      </c>
      <c r="N124" s="2">
        <v>13</v>
      </c>
      <c r="O124" s="2">
        <v>50.26548245743669</v>
      </c>
      <c r="P124" s="11">
        <f t="shared" si="5"/>
        <v>2.5862678252432989</v>
      </c>
      <c r="Q124" s="2">
        <f t="shared" si="6"/>
        <v>167.02117615421224</v>
      </c>
      <c r="R124" s="2">
        <f t="shared" si="7"/>
        <v>2.5094592101247941</v>
      </c>
      <c r="S124" s="2">
        <f t="shared" si="8"/>
        <v>162.06087578985921</v>
      </c>
      <c r="T124" s="2">
        <f t="shared" si="9"/>
        <v>4.9603003643530315</v>
      </c>
    </row>
    <row r="125" spans="1:20" x14ac:dyDescent="0.25">
      <c r="A125" s="14">
        <f t="shared" si="22"/>
        <v>0.48311965811965812</v>
      </c>
      <c r="B125" s="2">
        <f t="shared" si="11"/>
        <v>120</v>
      </c>
      <c r="C125" s="4">
        <f t="shared" si="20"/>
        <v>65.33</v>
      </c>
      <c r="D125" s="2">
        <v>13</v>
      </c>
      <c r="E125" s="2">
        <v>50.26548245743669</v>
      </c>
      <c r="F125" s="11">
        <f t="shared" si="0"/>
        <v>2.5862678252432989</v>
      </c>
      <c r="G125" s="2">
        <f t="shared" si="1"/>
        <v>168.96087702314472</v>
      </c>
      <c r="H125" s="2">
        <f t="shared" si="2"/>
        <v>2.4704686442812847</v>
      </c>
      <c r="I125" s="2">
        <f t="shared" si="3"/>
        <v>161.39571653089632</v>
      </c>
      <c r="J125" s="2">
        <f t="shared" si="4"/>
        <v>7.5651604922483955</v>
      </c>
      <c r="K125" s="15">
        <f t="shared" si="23"/>
        <v>0.4547542735042735</v>
      </c>
      <c r="L125" s="2">
        <f t="shared" si="14"/>
        <v>120</v>
      </c>
      <c r="M125" s="2">
        <f t="shared" si="21"/>
        <v>65.08</v>
      </c>
      <c r="N125" s="2">
        <v>13.5</v>
      </c>
      <c r="O125" s="2">
        <v>50.26548245743669</v>
      </c>
      <c r="P125" s="11">
        <f t="shared" si="5"/>
        <v>2.6857396646757339</v>
      </c>
      <c r="Q125" s="2">
        <f t="shared" si="6"/>
        <v>174.78793737709677</v>
      </c>
      <c r="R125" s="2">
        <f t="shared" si="7"/>
        <v>2.5094592101247941</v>
      </c>
      <c r="S125" s="2">
        <f t="shared" si="8"/>
        <v>163.31560539492159</v>
      </c>
      <c r="T125" s="2">
        <f t="shared" si="9"/>
        <v>11.472331982175177</v>
      </c>
    </row>
    <row r="126" spans="1:20" x14ac:dyDescent="0.25">
      <c r="A126" s="14">
        <f t="shared" si="22"/>
        <v>0.48327991452991453</v>
      </c>
      <c r="B126" s="2">
        <f t="shared" si="11"/>
        <v>121</v>
      </c>
      <c r="C126" s="4">
        <f t="shared" si="20"/>
        <v>65.83</v>
      </c>
      <c r="D126" s="2">
        <v>11.5</v>
      </c>
      <c r="E126" s="2">
        <v>50.26548245743669</v>
      </c>
      <c r="F126" s="11">
        <f t="shared" si="0"/>
        <v>2.2878523069459957</v>
      </c>
      <c r="G126" s="2">
        <f t="shared" si="1"/>
        <v>150.60931736625488</v>
      </c>
      <c r="H126" s="2">
        <f t="shared" si="2"/>
        <v>2.4704686442812847</v>
      </c>
      <c r="I126" s="2">
        <f t="shared" si="3"/>
        <v>162.63095085303698</v>
      </c>
      <c r="J126" s="2">
        <f t="shared" si="4"/>
        <v>12.021633486782093</v>
      </c>
      <c r="K126" s="15">
        <f t="shared" si="23"/>
        <v>0.45495014245014243</v>
      </c>
      <c r="L126" s="2">
        <f t="shared" si="14"/>
        <v>121</v>
      </c>
      <c r="M126" s="2">
        <f t="shared" si="21"/>
        <v>65.58</v>
      </c>
      <c r="N126" s="2">
        <v>14</v>
      </c>
      <c r="O126" s="2">
        <v>50.26548245743669</v>
      </c>
      <c r="P126" s="11">
        <f t="shared" si="5"/>
        <v>2.7852115041081689</v>
      </c>
      <c r="Q126" s="2">
        <f t="shared" si="6"/>
        <v>182.65417043941372</v>
      </c>
      <c r="R126" s="2">
        <f t="shared" si="7"/>
        <v>2.5094592101247941</v>
      </c>
      <c r="S126" s="2">
        <f t="shared" si="8"/>
        <v>164.570334999984</v>
      </c>
      <c r="T126" s="2">
        <f t="shared" si="9"/>
        <v>18.08383543942972</v>
      </c>
    </row>
    <row r="127" spans="1:20" x14ac:dyDescent="0.25">
      <c r="A127" s="14">
        <f t="shared" si="22"/>
        <v>0.48344017094017094</v>
      </c>
      <c r="B127" s="2">
        <f t="shared" si="11"/>
        <v>122</v>
      </c>
      <c r="C127" s="4">
        <f t="shared" si="20"/>
        <v>66.33</v>
      </c>
      <c r="D127" s="2">
        <v>13</v>
      </c>
      <c r="E127" s="2">
        <v>50.26548245743669</v>
      </c>
      <c r="F127" s="11">
        <f t="shared" si="0"/>
        <v>2.5862678252432989</v>
      </c>
      <c r="G127" s="2">
        <f t="shared" si="1"/>
        <v>171.547144848388</v>
      </c>
      <c r="H127" s="2">
        <f t="shared" si="2"/>
        <v>2.4704686442812847</v>
      </c>
      <c r="I127" s="2">
        <f t="shared" si="3"/>
        <v>163.86618517517761</v>
      </c>
      <c r="J127" s="2">
        <f t="shared" si="4"/>
        <v>7.6809596732103955</v>
      </c>
      <c r="K127" s="15">
        <f t="shared" si="23"/>
        <v>0.45514601139601141</v>
      </c>
      <c r="L127" s="2">
        <f t="shared" si="14"/>
        <v>122</v>
      </c>
      <c r="M127" s="2">
        <f t="shared" si="21"/>
        <v>66.08</v>
      </c>
      <c r="N127" s="2">
        <v>14.5</v>
      </c>
      <c r="O127" s="2">
        <v>50.26548245743669</v>
      </c>
      <c r="P127" s="11">
        <f t="shared" si="5"/>
        <v>2.8846833435406034</v>
      </c>
      <c r="Q127" s="2">
        <f t="shared" si="6"/>
        <v>190.61987534116307</v>
      </c>
      <c r="R127" s="2">
        <f t="shared" si="7"/>
        <v>2.5094592101247941</v>
      </c>
      <c r="S127" s="2">
        <f t="shared" si="8"/>
        <v>165.82506460504638</v>
      </c>
      <c r="T127" s="2">
        <f t="shared" si="9"/>
        <v>24.794810736116688</v>
      </c>
    </row>
    <row r="128" spans="1:20" x14ac:dyDescent="0.25">
      <c r="A128" s="14">
        <f t="shared" si="22"/>
        <v>0.48360042735042735</v>
      </c>
      <c r="B128" s="2">
        <f t="shared" si="11"/>
        <v>123</v>
      </c>
      <c r="C128" s="4">
        <f t="shared" si="20"/>
        <v>66.83</v>
      </c>
      <c r="D128" s="2">
        <v>14.5</v>
      </c>
      <c r="E128" s="2">
        <v>50.26548245743669</v>
      </c>
      <c r="F128" s="11">
        <f t="shared" si="0"/>
        <v>2.8846833435406034</v>
      </c>
      <c r="G128" s="2">
        <f t="shared" si="1"/>
        <v>192.78338784881853</v>
      </c>
      <c r="H128" s="2">
        <f t="shared" si="2"/>
        <v>2.4704686442812847</v>
      </c>
      <c r="I128" s="2">
        <f t="shared" si="3"/>
        <v>165.10141949731826</v>
      </c>
      <c r="J128" s="2">
        <f t="shared" si="4"/>
        <v>27.681968351500274</v>
      </c>
      <c r="K128" s="15">
        <f t="shared" si="23"/>
        <v>0.45534188034188033</v>
      </c>
      <c r="L128" s="2">
        <f t="shared" si="14"/>
        <v>123</v>
      </c>
      <c r="M128" s="2">
        <f t="shared" si="21"/>
        <v>66.58</v>
      </c>
      <c r="N128" s="2">
        <v>14.5</v>
      </c>
      <c r="O128" s="2">
        <v>50.26548245743669</v>
      </c>
      <c r="P128" s="11">
        <f t="shared" si="5"/>
        <v>2.8846833435406034</v>
      </c>
      <c r="Q128" s="2">
        <f t="shared" si="6"/>
        <v>192.06221701293336</v>
      </c>
      <c r="R128" s="2">
        <f t="shared" si="7"/>
        <v>2.5094592101247941</v>
      </c>
      <c r="S128" s="2">
        <f t="shared" si="8"/>
        <v>167.07979421010879</v>
      </c>
      <c r="T128" s="2">
        <f t="shared" si="9"/>
        <v>24.982422802824573</v>
      </c>
    </row>
    <row r="129" spans="1:20" x14ac:dyDescent="0.25">
      <c r="A129" s="14">
        <f t="shared" si="22"/>
        <v>0.48376068376068376</v>
      </c>
      <c r="B129" s="2">
        <f t="shared" si="11"/>
        <v>124</v>
      </c>
      <c r="C129" s="4">
        <f t="shared" si="20"/>
        <v>67.33</v>
      </c>
      <c r="D129" s="2">
        <v>16</v>
      </c>
      <c r="E129" s="2">
        <v>50.26548245743669</v>
      </c>
      <c r="F129" s="11">
        <f t="shared" si="0"/>
        <v>3.183098861837907</v>
      </c>
      <c r="G129" s="2">
        <f t="shared" si="1"/>
        <v>214.31804636754629</v>
      </c>
      <c r="H129" s="2">
        <f t="shared" si="2"/>
        <v>2.4704686442812847</v>
      </c>
      <c r="I129" s="2">
        <f t="shared" si="3"/>
        <v>166.33665381945889</v>
      </c>
      <c r="J129" s="2">
        <f t="shared" si="4"/>
        <v>47.981392548087399</v>
      </c>
      <c r="K129" s="15">
        <f t="shared" si="23"/>
        <v>0.45553774928774932</v>
      </c>
      <c r="L129" s="2">
        <f t="shared" si="14"/>
        <v>124</v>
      </c>
      <c r="M129" s="2">
        <f t="shared" si="21"/>
        <v>67.08</v>
      </c>
      <c r="N129" s="2">
        <v>13.5</v>
      </c>
      <c r="O129" s="2">
        <v>50.26548245743669</v>
      </c>
      <c r="P129" s="11">
        <f t="shared" si="5"/>
        <v>2.6857396646757339</v>
      </c>
      <c r="Q129" s="2">
        <f t="shared" si="6"/>
        <v>180.15941670644821</v>
      </c>
      <c r="R129" s="2">
        <f t="shared" si="7"/>
        <v>2.5094592101247941</v>
      </c>
      <c r="S129" s="2">
        <f t="shared" si="8"/>
        <v>168.3345238151712</v>
      </c>
      <c r="T129" s="2">
        <f t="shared" si="9"/>
        <v>11.824892891277017</v>
      </c>
    </row>
    <row r="130" spans="1:20" x14ac:dyDescent="0.25">
      <c r="A130" s="14">
        <f t="shared" si="22"/>
        <v>0.48392094017094017</v>
      </c>
      <c r="B130" s="2">
        <f t="shared" si="11"/>
        <v>125</v>
      </c>
      <c r="C130" s="4">
        <f t="shared" si="20"/>
        <v>67.83</v>
      </c>
      <c r="D130" s="2">
        <v>13.5</v>
      </c>
      <c r="E130" s="2">
        <v>50.26548245743669</v>
      </c>
      <c r="F130" s="11">
        <f t="shared" si="0"/>
        <v>2.6857396646757339</v>
      </c>
      <c r="G130" s="2">
        <f t="shared" si="1"/>
        <v>182.17372145495503</v>
      </c>
      <c r="H130" s="2">
        <f t="shared" si="2"/>
        <v>2.4704686442812847</v>
      </c>
      <c r="I130" s="2">
        <f t="shared" si="3"/>
        <v>167.57188814159954</v>
      </c>
      <c r="J130" s="2">
        <f t="shared" si="4"/>
        <v>14.601833313355485</v>
      </c>
      <c r="K130" s="15">
        <f t="shared" si="23"/>
        <v>0.45573361823361824</v>
      </c>
      <c r="L130" s="2">
        <f t="shared" si="14"/>
        <v>125</v>
      </c>
      <c r="M130" s="2">
        <f t="shared" si="21"/>
        <v>67.58</v>
      </c>
      <c r="N130" s="2">
        <v>14.5</v>
      </c>
      <c r="O130" s="2">
        <v>50.26548245743669</v>
      </c>
      <c r="P130" s="11">
        <f t="shared" si="5"/>
        <v>2.8846833435406034</v>
      </c>
      <c r="Q130" s="2">
        <f t="shared" si="6"/>
        <v>194.94690035647398</v>
      </c>
      <c r="R130" s="2">
        <f t="shared" si="7"/>
        <v>2.5094592101247941</v>
      </c>
      <c r="S130" s="2">
        <f t="shared" si="8"/>
        <v>169.58925342023358</v>
      </c>
      <c r="T130" s="2">
        <f t="shared" si="9"/>
        <v>25.3576469362404</v>
      </c>
    </row>
    <row r="131" spans="1:20" x14ac:dyDescent="0.25">
      <c r="A131" s="14">
        <f t="shared" si="22"/>
        <v>0.48408119658119658</v>
      </c>
      <c r="B131" s="2">
        <f t="shared" si="11"/>
        <v>126</v>
      </c>
      <c r="C131" s="4">
        <f t="shared" si="20"/>
        <v>68.33</v>
      </c>
      <c r="D131" s="2">
        <v>13</v>
      </c>
      <c r="E131" s="2">
        <v>50.26548245743669</v>
      </c>
      <c r="F131" s="11">
        <f t="shared" si="0"/>
        <v>2.5862678252432989</v>
      </c>
      <c r="G131" s="2">
        <f t="shared" si="1"/>
        <v>176.71968049887462</v>
      </c>
      <c r="H131" s="2">
        <f t="shared" si="2"/>
        <v>2.4704686442812847</v>
      </c>
      <c r="I131" s="2">
        <f t="shared" si="3"/>
        <v>168.80712246374017</v>
      </c>
      <c r="J131" s="2">
        <f t="shared" si="4"/>
        <v>7.9125580351344524</v>
      </c>
      <c r="K131" s="15">
        <f t="shared" si="23"/>
        <v>0.45592948717948717</v>
      </c>
      <c r="L131" s="2">
        <f t="shared" si="14"/>
        <v>126</v>
      </c>
      <c r="M131" s="2">
        <f t="shared" si="21"/>
        <v>68.08</v>
      </c>
      <c r="N131" s="2">
        <v>14</v>
      </c>
      <c r="O131" s="2">
        <v>50.26548245743669</v>
      </c>
      <c r="P131" s="11">
        <f t="shared" si="5"/>
        <v>2.7852115041081689</v>
      </c>
      <c r="Q131" s="2">
        <f t="shared" si="6"/>
        <v>189.61719919968414</v>
      </c>
      <c r="R131" s="2">
        <f t="shared" si="7"/>
        <v>2.5094592101247941</v>
      </c>
      <c r="S131" s="2">
        <f t="shared" si="8"/>
        <v>170.84398302529598</v>
      </c>
      <c r="T131" s="2">
        <f t="shared" si="9"/>
        <v>18.773216174388153</v>
      </c>
    </row>
    <row r="132" spans="1:20" x14ac:dyDescent="0.25">
      <c r="A132" s="14">
        <f t="shared" si="22"/>
        <v>0.48424145299145299</v>
      </c>
      <c r="B132" s="2">
        <f t="shared" si="11"/>
        <v>127</v>
      </c>
      <c r="C132" s="4">
        <f t="shared" si="20"/>
        <v>68.83</v>
      </c>
      <c r="D132" s="2">
        <v>13</v>
      </c>
      <c r="E132" s="2">
        <v>50.26548245743669</v>
      </c>
      <c r="F132" s="11">
        <f t="shared" si="0"/>
        <v>2.5862678252432989</v>
      </c>
      <c r="G132" s="2">
        <f t="shared" si="1"/>
        <v>178.01281441149627</v>
      </c>
      <c r="H132" s="2">
        <f t="shared" si="2"/>
        <v>2.4704686442812847</v>
      </c>
      <c r="I132" s="2">
        <f t="shared" si="3"/>
        <v>170.04235678588083</v>
      </c>
      <c r="J132" s="2">
        <f t="shared" si="4"/>
        <v>7.9704576256154382</v>
      </c>
      <c r="K132" s="15">
        <f t="shared" si="23"/>
        <v>0.45612535612535615</v>
      </c>
      <c r="L132" s="2">
        <f t="shared" si="14"/>
        <v>127</v>
      </c>
      <c r="M132" s="2">
        <f t="shared" si="21"/>
        <v>68.58</v>
      </c>
      <c r="N132" s="2">
        <v>14</v>
      </c>
      <c r="O132" s="2">
        <v>50.26548245743669</v>
      </c>
      <c r="P132" s="11">
        <f t="shared" si="5"/>
        <v>2.7852115041081689</v>
      </c>
      <c r="Q132" s="2">
        <f t="shared" si="6"/>
        <v>191.0098049517382</v>
      </c>
      <c r="R132" s="2">
        <f t="shared" si="7"/>
        <v>2.5094592101247941</v>
      </c>
      <c r="S132" s="2">
        <f t="shared" si="8"/>
        <v>172.09871263035836</v>
      </c>
      <c r="T132" s="2">
        <f t="shared" si="9"/>
        <v>18.91109232137984</v>
      </c>
    </row>
    <row r="133" spans="1:20" x14ac:dyDescent="0.25">
      <c r="A133" s="14">
        <f t="shared" si="22"/>
        <v>0.4844017094017094</v>
      </c>
      <c r="B133" s="2">
        <f t="shared" si="11"/>
        <v>128</v>
      </c>
      <c r="C133" s="4">
        <f t="shared" si="20"/>
        <v>69.33</v>
      </c>
      <c r="D133" s="2">
        <v>12.5</v>
      </c>
      <c r="E133" s="2">
        <v>50.26548245743669</v>
      </c>
      <c r="F133" s="11">
        <f t="shared" si="0"/>
        <v>2.4867959858108648</v>
      </c>
      <c r="G133" s="2">
        <f t="shared" si="1"/>
        <v>172.40956569626726</v>
      </c>
      <c r="H133" s="2">
        <f t="shared" si="2"/>
        <v>2.4704686442812847</v>
      </c>
      <c r="I133" s="2">
        <f t="shared" si="3"/>
        <v>171.27759110802145</v>
      </c>
      <c r="J133" s="2">
        <f t="shared" si="4"/>
        <v>1.1319745882458108</v>
      </c>
      <c r="K133" s="15">
        <f t="shared" si="23"/>
        <v>0.45632122507122508</v>
      </c>
      <c r="L133" s="2">
        <f t="shared" si="14"/>
        <v>128</v>
      </c>
      <c r="M133" s="2">
        <f t="shared" si="21"/>
        <v>69.08</v>
      </c>
      <c r="N133" s="2">
        <v>13.5</v>
      </c>
      <c r="O133" s="2">
        <v>50.26548245743669</v>
      </c>
      <c r="P133" s="11">
        <f t="shared" si="5"/>
        <v>2.6857396646757339</v>
      </c>
      <c r="Q133" s="2">
        <f t="shared" si="6"/>
        <v>185.53089603579969</v>
      </c>
      <c r="R133" s="2">
        <f t="shared" si="7"/>
        <v>2.5094592101247941</v>
      </c>
      <c r="S133" s="2">
        <f t="shared" si="8"/>
        <v>173.35344223542077</v>
      </c>
      <c r="T133" s="2">
        <f t="shared" si="9"/>
        <v>12.177453800378913</v>
      </c>
    </row>
    <row r="134" spans="1:20" x14ac:dyDescent="0.25">
      <c r="A134" s="14">
        <f t="shared" si="22"/>
        <v>0.48456196581196581</v>
      </c>
      <c r="B134" s="2">
        <f t="shared" si="11"/>
        <v>129</v>
      </c>
      <c r="C134" s="4">
        <f t="shared" si="20"/>
        <v>69.83</v>
      </c>
      <c r="D134" s="2">
        <v>11.5</v>
      </c>
      <c r="E134" s="2">
        <v>50.26548245743669</v>
      </c>
      <c r="F134" s="11">
        <f t="shared" si="0"/>
        <v>2.2878523069459957</v>
      </c>
      <c r="G134" s="2">
        <f t="shared" si="1"/>
        <v>159.76072659403889</v>
      </c>
      <c r="H134" s="2">
        <f t="shared" si="2"/>
        <v>2.4704686442812847</v>
      </c>
      <c r="I134" s="2">
        <f t="shared" si="3"/>
        <v>172.51282543016211</v>
      </c>
      <c r="J134" s="2">
        <f t="shared" si="4"/>
        <v>12.752098836123224</v>
      </c>
      <c r="K134" s="15">
        <f t="shared" si="23"/>
        <v>0.45651709401709401</v>
      </c>
      <c r="L134" s="2">
        <f t="shared" si="14"/>
        <v>129</v>
      </c>
      <c r="M134" s="2">
        <f t="shared" si="21"/>
        <v>69.58</v>
      </c>
      <c r="N134" s="2">
        <v>15</v>
      </c>
      <c r="O134" s="2">
        <v>50.26548245743669</v>
      </c>
      <c r="P134" s="11">
        <f t="shared" si="5"/>
        <v>2.9841551829730379</v>
      </c>
      <c r="Q134" s="2">
        <f t="shared" si="6"/>
        <v>207.63751763126396</v>
      </c>
      <c r="R134" s="2">
        <f t="shared" si="7"/>
        <v>2.5094592101247941</v>
      </c>
      <c r="S134" s="2">
        <f t="shared" si="8"/>
        <v>174.60817184048318</v>
      </c>
      <c r="T134" s="2">
        <f t="shared" si="9"/>
        <v>33.029345790780781</v>
      </c>
    </row>
    <row r="135" spans="1:20" x14ac:dyDescent="0.25">
      <c r="A135" s="14">
        <f t="shared" si="22"/>
        <v>0.48472222222222222</v>
      </c>
      <c r="B135" s="2">
        <f t="shared" si="11"/>
        <v>130</v>
      </c>
      <c r="C135" s="4">
        <f t="shared" si="20"/>
        <v>70.33</v>
      </c>
      <c r="D135" s="2">
        <v>12.5</v>
      </c>
      <c r="E135" s="2">
        <v>50.26548245743669</v>
      </c>
      <c r="F135" s="11">
        <f t="shared" si="0"/>
        <v>2.4867959858108648</v>
      </c>
      <c r="G135" s="2">
        <f t="shared" si="1"/>
        <v>174.89636168207812</v>
      </c>
      <c r="H135" s="2">
        <f t="shared" si="2"/>
        <v>2.4704686442812847</v>
      </c>
      <c r="I135" s="2">
        <f t="shared" si="3"/>
        <v>173.74805975230274</v>
      </c>
      <c r="J135" s="2">
        <f t="shared" si="4"/>
        <v>1.1483019297753856</v>
      </c>
      <c r="K135" s="15">
        <f t="shared" si="23"/>
        <v>0.45671296296296299</v>
      </c>
      <c r="L135" s="2">
        <f t="shared" si="14"/>
        <v>130</v>
      </c>
      <c r="M135" s="2">
        <f t="shared" si="21"/>
        <v>70.08</v>
      </c>
      <c r="N135" s="2">
        <v>13</v>
      </c>
      <c r="O135" s="2">
        <v>50.26548245743669</v>
      </c>
      <c r="P135" s="11">
        <f t="shared" si="5"/>
        <v>2.5862678252432989</v>
      </c>
      <c r="Q135" s="2">
        <f t="shared" si="6"/>
        <v>181.24564919305038</v>
      </c>
      <c r="R135" s="2">
        <f t="shared" si="7"/>
        <v>2.5094592101247941</v>
      </c>
      <c r="S135" s="2">
        <f t="shared" si="8"/>
        <v>175.86290144554556</v>
      </c>
      <c r="T135" s="2">
        <f t="shared" si="9"/>
        <v>5.3827477475048227</v>
      </c>
    </row>
    <row r="136" spans="1:20" x14ac:dyDescent="0.25">
      <c r="A136" s="14">
        <f t="shared" si="22"/>
        <v>0.48488247863247863</v>
      </c>
      <c r="B136" s="2">
        <f t="shared" si="11"/>
        <v>131</v>
      </c>
      <c r="C136" s="4">
        <f t="shared" si="20"/>
        <v>70.83</v>
      </c>
      <c r="D136" s="2">
        <v>12</v>
      </c>
      <c r="E136" s="2">
        <v>50.26548245743669</v>
      </c>
      <c r="F136" s="11">
        <f t="shared" si="0"/>
        <v>2.3873241463784298</v>
      </c>
      <c r="G136" s="2">
        <f t="shared" si="1"/>
        <v>169.09416928798419</v>
      </c>
      <c r="H136" s="2">
        <f t="shared" si="2"/>
        <v>2.4704686442812847</v>
      </c>
      <c r="I136" s="2">
        <f t="shared" si="3"/>
        <v>174.98329407444339</v>
      </c>
      <c r="J136" s="2">
        <f t="shared" si="4"/>
        <v>5.889124786459206</v>
      </c>
      <c r="K136" s="15">
        <f t="shared" si="23"/>
        <v>0.45690883190883191</v>
      </c>
      <c r="L136" s="2">
        <f t="shared" si="14"/>
        <v>131</v>
      </c>
      <c r="M136" s="2">
        <f t="shared" si="21"/>
        <v>70.58</v>
      </c>
      <c r="N136" s="2">
        <v>13.5</v>
      </c>
      <c r="O136" s="2">
        <v>50.26548245743669</v>
      </c>
      <c r="P136" s="11">
        <f t="shared" si="5"/>
        <v>2.6857396646757339</v>
      </c>
      <c r="Q136" s="2">
        <f t="shared" si="6"/>
        <v>189.55950553281329</v>
      </c>
      <c r="R136" s="2">
        <f t="shared" si="7"/>
        <v>2.5094592101247941</v>
      </c>
      <c r="S136" s="2">
        <f t="shared" si="8"/>
        <v>177.11763105060797</v>
      </c>
      <c r="T136" s="2">
        <f t="shared" si="9"/>
        <v>12.441874482205321</v>
      </c>
    </row>
    <row r="137" spans="1:20" x14ac:dyDescent="0.25">
      <c r="A137" s="14">
        <f t="shared" si="22"/>
        <v>0.48504273504273504</v>
      </c>
      <c r="B137" s="2">
        <f t="shared" si="11"/>
        <v>132</v>
      </c>
      <c r="C137" s="4">
        <f t="shared" si="20"/>
        <v>71.33</v>
      </c>
      <c r="D137" s="2">
        <v>12.5</v>
      </c>
      <c r="E137" s="2">
        <v>50.26548245743669</v>
      </c>
      <c r="F137" s="11">
        <f t="shared" si="0"/>
        <v>2.4867959858108648</v>
      </c>
      <c r="G137" s="2">
        <f t="shared" si="1"/>
        <v>177.38315766788898</v>
      </c>
      <c r="H137" s="2">
        <f t="shared" si="2"/>
        <v>2.4704686442812847</v>
      </c>
      <c r="I137" s="2">
        <f t="shared" si="3"/>
        <v>176.21852839658402</v>
      </c>
      <c r="J137" s="2">
        <f t="shared" si="4"/>
        <v>1.1646292713049604</v>
      </c>
      <c r="K137" s="15">
        <f t="shared" si="23"/>
        <v>0.45710470085470084</v>
      </c>
      <c r="L137" s="2">
        <f t="shared" si="14"/>
        <v>132</v>
      </c>
      <c r="M137" s="2">
        <f t="shared" si="21"/>
        <v>71.08</v>
      </c>
      <c r="N137" s="2">
        <v>14</v>
      </c>
      <c r="O137" s="2">
        <v>50.26548245743669</v>
      </c>
      <c r="P137" s="11">
        <f t="shared" si="5"/>
        <v>2.7852115041081689</v>
      </c>
      <c r="Q137" s="2">
        <f t="shared" si="6"/>
        <v>197.97283371200865</v>
      </c>
      <c r="R137" s="2">
        <f t="shared" si="7"/>
        <v>2.5094592101247941</v>
      </c>
      <c r="S137" s="2">
        <f t="shared" si="8"/>
        <v>178.37236065567035</v>
      </c>
      <c r="T137" s="2">
        <f t="shared" si="9"/>
        <v>19.600473056338302</v>
      </c>
    </row>
    <row r="138" spans="1:20" x14ac:dyDescent="0.25">
      <c r="A138" s="14">
        <f t="shared" si="22"/>
        <v>0.48520299145299145</v>
      </c>
      <c r="B138" s="2">
        <f t="shared" si="11"/>
        <v>133</v>
      </c>
      <c r="C138" s="4">
        <f t="shared" si="20"/>
        <v>71.83</v>
      </c>
      <c r="D138" s="2">
        <v>12.5</v>
      </c>
      <c r="E138" s="2">
        <v>50.26548245743669</v>
      </c>
      <c r="F138" s="11">
        <f t="shared" si="0"/>
        <v>2.4867959858108648</v>
      </c>
      <c r="G138" s="2">
        <f t="shared" si="1"/>
        <v>178.62655566079442</v>
      </c>
      <c r="H138" s="2">
        <f t="shared" si="2"/>
        <v>2.4704686442812847</v>
      </c>
      <c r="I138" s="2">
        <f t="shared" si="3"/>
        <v>177.45376271872468</v>
      </c>
      <c r="J138" s="2">
        <f t="shared" si="4"/>
        <v>1.1727929420697478</v>
      </c>
      <c r="K138" s="15">
        <f t="shared" si="23"/>
        <v>0.45730056980056982</v>
      </c>
      <c r="L138" s="2">
        <f t="shared" si="14"/>
        <v>133</v>
      </c>
      <c r="M138" s="2">
        <f t="shared" si="21"/>
        <v>71.58</v>
      </c>
      <c r="N138" s="2">
        <v>12.5</v>
      </c>
      <c r="O138" s="2">
        <v>50.26548245743669</v>
      </c>
      <c r="P138" s="11">
        <f t="shared" si="5"/>
        <v>2.4867959858108648</v>
      </c>
      <c r="Q138" s="2">
        <f t="shared" si="6"/>
        <v>178.0048566643417</v>
      </c>
      <c r="R138" s="2">
        <f t="shared" si="7"/>
        <v>2.5094592101247941</v>
      </c>
      <c r="S138" s="2">
        <f t="shared" si="8"/>
        <v>179.62709026073276</v>
      </c>
      <c r="T138" s="2">
        <f t="shared" si="9"/>
        <v>1.6222335963910552</v>
      </c>
    </row>
    <row r="139" spans="1:20" x14ac:dyDescent="0.25">
      <c r="A139" s="14">
        <f t="shared" si="22"/>
        <v>0.48536324786324786</v>
      </c>
      <c r="B139" s="2">
        <f t="shared" si="11"/>
        <v>134</v>
      </c>
      <c r="C139" s="4">
        <f t="shared" si="20"/>
        <v>72.33</v>
      </c>
      <c r="D139" s="2">
        <v>14.5</v>
      </c>
      <c r="E139" s="2">
        <v>50.26548245743669</v>
      </c>
      <c r="F139" s="11">
        <f t="shared" si="0"/>
        <v>2.8846833435406034</v>
      </c>
      <c r="G139" s="2">
        <f t="shared" si="1"/>
        <v>208.64914623829185</v>
      </c>
      <c r="H139" s="2">
        <f t="shared" si="2"/>
        <v>2.4704686442812847</v>
      </c>
      <c r="I139" s="2">
        <f t="shared" si="3"/>
        <v>178.6889970408653</v>
      </c>
      <c r="J139" s="2">
        <f t="shared" si="4"/>
        <v>29.960149197426546</v>
      </c>
      <c r="K139" s="15">
        <f t="shared" si="23"/>
        <v>0.45749643874643875</v>
      </c>
      <c r="L139" s="2">
        <f t="shared" si="14"/>
        <v>134</v>
      </c>
      <c r="M139" s="2">
        <f t="shared" si="21"/>
        <v>72.08</v>
      </c>
      <c r="N139" s="2">
        <v>13.5</v>
      </c>
      <c r="O139" s="2">
        <v>50.26548245743669</v>
      </c>
      <c r="P139" s="11">
        <f t="shared" si="5"/>
        <v>2.6857396646757339</v>
      </c>
      <c r="Q139" s="2">
        <f t="shared" si="6"/>
        <v>193.58811502982689</v>
      </c>
      <c r="R139" s="2">
        <f t="shared" si="7"/>
        <v>2.5094592101247941</v>
      </c>
      <c r="S139" s="2">
        <f t="shared" si="8"/>
        <v>180.88181986579517</v>
      </c>
      <c r="T139" s="2">
        <f t="shared" si="9"/>
        <v>12.706295164031729</v>
      </c>
    </row>
    <row r="140" spans="1:20" x14ac:dyDescent="0.25">
      <c r="A140" s="14">
        <f t="shared" si="22"/>
        <v>0.48552350427350427</v>
      </c>
      <c r="B140" s="2">
        <f t="shared" si="11"/>
        <v>135</v>
      </c>
      <c r="C140" s="4">
        <f t="shared" si="20"/>
        <v>72.83</v>
      </c>
      <c r="D140" s="2">
        <v>12</v>
      </c>
      <c r="E140" s="2">
        <v>50.26548245743669</v>
      </c>
      <c r="F140" s="11">
        <f t="shared" si="0"/>
        <v>2.3873241463784298</v>
      </c>
      <c r="G140" s="2">
        <f t="shared" si="1"/>
        <v>173.86881758074105</v>
      </c>
      <c r="H140" s="2">
        <f t="shared" si="2"/>
        <v>2.4704686442812847</v>
      </c>
      <c r="I140" s="2">
        <f t="shared" si="3"/>
        <v>179.92423136300596</v>
      </c>
      <c r="J140" s="2">
        <f t="shared" si="4"/>
        <v>6.0554137822649068</v>
      </c>
      <c r="K140" s="15">
        <f t="shared" si="23"/>
        <v>0.45769230769230768</v>
      </c>
      <c r="L140" s="2">
        <f t="shared" si="14"/>
        <v>135</v>
      </c>
      <c r="M140" s="2">
        <f t="shared" si="21"/>
        <v>72.58</v>
      </c>
      <c r="N140" s="2">
        <v>12.5</v>
      </c>
      <c r="O140" s="2">
        <v>50.26548245743669</v>
      </c>
      <c r="P140" s="11">
        <f t="shared" si="5"/>
        <v>2.4867959858108648</v>
      </c>
      <c r="Q140" s="2">
        <f t="shared" si="6"/>
        <v>180.49165265015256</v>
      </c>
      <c r="R140" s="2">
        <f t="shared" si="7"/>
        <v>2.5094592101247941</v>
      </c>
      <c r="S140" s="2">
        <f t="shared" si="8"/>
        <v>182.13654947085755</v>
      </c>
      <c r="T140" s="2">
        <f t="shared" si="9"/>
        <v>1.6448968207049859</v>
      </c>
    </row>
    <row r="141" spans="1:20" x14ac:dyDescent="0.25">
      <c r="A141" s="14">
        <f t="shared" si="22"/>
        <v>0.48568376068376068</v>
      </c>
      <c r="B141" s="2">
        <f t="shared" si="11"/>
        <v>136</v>
      </c>
      <c r="C141" s="4">
        <f t="shared" si="20"/>
        <v>73.33</v>
      </c>
      <c r="D141" s="2">
        <v>11.5</v>
      </c>
      <c r="E141" s="2">
        <v>50.26548245743669</v>
      </c>
      <c r="F141" s="11">
        <f t="shared" si="0"/>
        <v>2.2878523069459957</v>
      </c>
      <c r="G141" s="2">
        <f t="shared" si="1"/>
        <v>167.76820966834987</v>
      </c>
      <c r="H141" s="2">
        <f t="shared" si="2"/>
        <v>2.4704686442812847</v>
      </c>
      <c r="I141" s="2">
        <f t="shared" si="3"/>
        <v>181.15946568514659</v>
      </c>
      <c r="J141" s="2">
        <f t="shared" si="4"/>
        <v>13.391256016796717</v>
      </c>
      <c r="K141" s="15">
        <f t="shared" si="23"/>
        <v>0.45788817663817666</v>
      </c>
      <c r="L141" s="2">
        <f t="shared" si="14"/>
        <v>136</v>
      </c>
      <c r="M141" s="2">
        <f t="shared" si="21"/>
        <v>73.08</v>
      </c>
      <c r="N141" s="2">
        <v>12.5</v>
      </c>
      <c r="O141" s="2">
        <v>50.26548245743669</v>
      </c>
      <c r="P141" s="11">
        <f t="shared" si="5"/>
        <v>2.4867959858108648</v>
      </c>
      <c r="Q141" s="2">
        <f t="shared" si="6"/>
        <v>181.735050643058</v>
      </c>
      <c r="R141" s="2">
        <f t="shared" si="7"/>
        <v>2.5094592101247941</v>
      </c>
      <c r="S141" s="2">
        <f t="shared" si="8"/>
        <v>183.39127907591995</v>
      </c>
      <c r="T141" s="2">
        <f t="shared" si="9"/>
        <v>1.6562284328619512</v>
      </c>
    </row>
    <row r="142" spans="1:20" x14ac:dyDescent="0.25">
      <c r="A142" s="14">
        <f t="shared" si="22"/>
        <v>0.48584401709401709</v>
      </c>
      <c r="B142" s="2">
        <f t="shared" si="11"/>
        <v>137</v>
      </c>
      <c r="C142" s="4">
        <f t="shared" si="20"/>
        <v>73.83</v>
      </c>
      <c r="D142" s="2">
        <v>13</v>
      </c>
      <c r="E142" s="2">
        <v>50.26548245743669</v>
      </c>
      <c r="F142" s="11">
        <f t="shared" si="0"/>
        <v>2.5862678252432989</v>
      </c>
      <c r="G142" s="2">
        <f t="shared" si="1"/>
        <v>190.94415353771277</v>
      </c>
      <c r="H142" s="2">
        <f t="shared" si="2"/>
        <v>2.4704686442812847</v>
      </c>
      <c r="I142" s="2">
        <f t="shared" si="3"/>
        <v>182.39470000728724</v>
      </c>
      <c r="J142" s="2">
        <f t="shared" si="4"/>
        <v>8.5494535304255237</v>
      </c>
      <c r="K142" s="15">
        <f t="shared" si="23"/>
        <v>0.45808404558404558</v>
      </c>
      <c r="L142" s="2">
        <f t="shared" si="14"/>
        <v>137</v>
      </c>
      <c r="M142" s="2">
        <f t="shared" si="21"/>
        <v>73.58</v>
      </c>
      <c r="N142" s="2">
        <v>13.5</v>
      </c>
      <c r="O142" s="2">
        <v>50.26548245743669</v>
      </c>
      <c r="P142" s="11">
        <f t="shared" si="5"/>
        <v>2.6857396646757339</v>
      </c>
      <c r="Q142" s="2">
        <f t="shared" si="6"/>
        <v>197.6167245268405</v>
      </c>
      <c r="R142" s="2">
        <f t="shared" si="7"/>
        <v>2.5094592101247941</v>
      </c>
      <c r="S142" s="2">
        <f t="shared" si="8"/>
        <v>184.64600868098233</v>
      </c>
      <c r="T142" s="2">
        <f t="shared" si="9"/>
        <v>12.970715845858166</v>
      </c>
    </row>
    <row r="143" spans="1:20" x14ac:dyDescent="0.25">
      <c r="A143" s="14">
        <f t="shared" si="22"/>
        <v>0.4860042735042735</v>
      </c>
      <c r="B143" s="2">
        <f t="shared" si="11"/>
        <v>138</v>
      </c>
      <c r="C143" s="4">
        <f t="shared" si="20"/>
        <v>74.33</v>
      </c>
      <c r="D143" s="2">
        <v>12.5</v>
      </c>
      <c r="E143" s="2">
        <v>50.26548245743669</v>
      </c>
      <c r="F143" s="11">
        <f t="shared" si="0"/>
        <v>2.4867959858108648</v>
      </c>
      <c r="G143" s="2">
        <f t="shared" si="1"/>
        <v>184.84354562532158</v>
      </c>
      <c r="H143" s="2">
        <f t="shared" si="2"/>
        <v>2.4704686442812847</v>
      </c>
      <c r="I143" s="2">
        <f t="shared" si="3"/>
        <v>183.6299343294279</v>
      </c>
      <c r="J143" s="2">
        <f t="shared" si="4"/>
        <v>1.2136112958936849</v>
      </c>
      <c r="K143" s="15">
        <f t="shared" si="23"/>
        <v>0.45827991452991457</v>
      </c>
      <c r="L143" s="2">
        <f t="shared" si="14"/>
        <v>138</v>
      </c>
      <c r="M143" s="2">
        <f t="shared" si="21"/>
        <v>74.08</v>
      </c>
      <c r="N143" s="2">
        <v>13.5</v>
      </c>
      <c r="O143" s="2">
        <v>50.26548245743669</v>
      </c>
      <c r="P143" s="11">
        <f t="shared" si="5"/>
        <v>2.6857396646757339</v>
      </c>
      <c r="Q143" s="2">
        <f t="shared" si="6"/>
        <v>198.95959435917837</v>
      </c>
      <c r="R143" s="2">
        <f t="shared" si="7"/>
        <v>2.5094592101247941</v>
      </c>
      <c r="S143" s="2">
        <f t="shared" si="8"/>
        <v>185.90073828604474</v>
      </c>
      <c r="T143" s="2">
        <f t="shared" si="9"/>
        <v>13.058856073133626</v>
      </c>
    </row>
    <row r="144" spans="1:20" x14ac:dyDescent="0.25">
      <c r="A144" s="14">
        <f t="shared" si="22"/>
        <v>0.48616452991452991</v>
      </c>
      <c r="B144" s="2">
        <f t="shared" si="11"/>
        <v>139</v>
      </c>
      <c r="C144" s="4">
        <f t="shared" si="20"/>
        <v>74.83</v>
      </c>
      <c r="D144" s="2">
        <v>14</v>
      </c>
      <c r="E144" s="2">
        <v>50.26548245743669</v>
      </c>
      <c r="F144" s="11">
        <f t="shared" si="0"/>
        <v>2.7852115041081689</v>
      </c>
      <c r="G144" s="2">
        <f t="shared" si="1"/>
        <v>208.41737685241426</v>
      </c>
      <c r="H144" s="2">
        <f t="shared" si="2"/>
        <v>2.4704686442812847</v>
      </c>
      <c r="I144" s="2">
        <f t="shared" si="3"/>
        <v>184.86516865156852</v>
      </c>
      <c r="J144" s="2">
        <f t="shared" si="4"/>
        <v>23.55220820084574</v>
      </c>
      <c r="K144" s="15">
        <f t="shared" si="23"/>
        <v>0.45847578347578349</v>
      </c>
      <c r="L144" s="2">
        <f t="shared" si="14"/>
        <v>139</v>
      </c>
      <c r="M144" s="2">
        <f t="shared" si="21"/>
        <v>74.58</v>
      </c>
      <c r="N144" s="2">
        <v>13</v>
      </c>
      <c r="O144" s="2">
        <v>50.26548245743669</v>
      </c>
      <c r="P144" s="11">
        <f t="shared" si="5"/>
        <v>2.5862678252432989</v>
      </c>
      <c r="Q144" s="2">
        <f t="shared" si="6"/>
        <v>192.88385440664524</v>
      </c>
      <c r="R144" s="2">
        <f t="shared" si="7"/>
        <v>2.5094592101247941</v>
      </c>
      <c r="S144" s="2">
        <f t="shared" si="8"/>
        <v>187.15546789110715</v>
      </c>
      <c r="T144" s="2">
        <f t="shared" si="9"/>
        <v>5.7283865155380909</v>
      </c>
    </row>
    <row r="145" spans="1:20" x14ac:dyDescent="0.25">
      <c r="A145" s="14">
        <f t="shared" si="22"/>
        <v>0.48632478632478632</v>
      </c>
      <c r="B145" s="2">
        <f t="shared" si="11"/>
        <v>140</v>
      </c>
      <c r="C145" s="4">
        <f t="shared" si="20"/>
        <v>75.33</v>
      </c>
      <c r="D145" s="2">
        <v>11.5</v>
      </c>
      <c r="E145" s="2">
        <v>50.26548245743669</v>
      </c>
      <c r="F145" s="11">
        <f t="shared" si="0"/>
        <v>2.2878523069459957</v>
      </c>
      <c r="G145" s="2">
        <f t="shared" si="1"/>
        <v>172.34391428224185</v>
      </c>
      <c r="H145" s="2">
        <f t="shared" si="2"/>
        <v>2.4704686442812847</v>
      </c>
      <c r="I145" s="2">
        <f t="shared" si="3"/>
        <v>186.10040297370918</v>
      </c>
      <c r="J145" s="2">
        <f t="shared" si="4"/>
        <v>13.756488691467325</v>
      </c>
      <c r="K145" s="15">
        <f t="shared" si="23"/>
        <v>0.45867165242165242</v>
      </c>
      <c r="L145" s="2">
        <f t="shared" si="14"/>
        <v>140</v>
      </c>
      <c r="M145" s="2">
        <f t="shared" si="21"/>
        <v>75.08</v>
      </c>
      <c r="N145" s="2">
        <v>12</v>
      </c>
      <c r="O145" s="2">
        <v>50.26548245743669</v>
      </c>
      <c r="P145" s="11">
        <f t="shared" si="5"/>
        <v>2.3873241463784298</v>
      </c>
      <c r="Q145" s="2">
        <f t="shared" si="6"/>
        <v>179.2402969100925</v>
      </c>
      <c r="R145" s="2">
        <f t="shared" si="7"/>
        <v>2.5094592101247941</v>
      </c>
      <c r="S145" s="2">
        <f t="shared" si="8"/>
        <v>188.41019749616953</v>
      </c>
      <c r="T145" s="2">
        <f t="shared" si="9"/>
        <v>9.1699005860770342</v>
      </c>
    </row>
    <row r="146" spans="1:20" x14ac:dyDescent="0.25">
      <c r="A146" s="14">
        <f t="shared" si="22"/>
        <v>0.48648504273504273</v>
      </c>
      <c r="B146" s="2">
        <f t="shared" si="11"/>
        <v>141</v>
      </c>
      <c r="C146" s="4">
        <f t="shared" si="20"/>
        <v>75.83</v>
      </c>
      <c r="D146" s="2">
        <v>15.5</v>
      </c>
      <c r="E146" s="2">
        <v>50.26548245743669</v>
      </c>
      <c r="F146" s="11">
        <f t="shared" si="0"/>
        <v>3.0836270224054725</v>
      </c>
      <c r="G146" s="2">
        <f t="shared" si="1"/>
        <v>233.83143710900697</v>
      </c>
      <c r="H146" s="2">
        <f t="shared" si="2"/>
        <v>2.4704686442812847</v>
      </c>
      <c r="I146" s="2">
        <f t="shared" si="3"/>
        <v>187.33563729584981</v>
      </c>
      <c r="J146" s="2">
        <f t="shared" si="4"/>
        <v>46.495799813157163</v>
      </c>
      <c r="K146" s="15">
        <f t="shared" si="23"/>
        <v>0.4588675213675214</v>
      </c>
      <c r="L146" s="2">
        <f t="shared" si="14"/>
        <v>141</v>
      </c>
      <c r="M146" s="2">
        <f t="shared" si="21"/>
        <v>75.58</v>
      </c>
      <c r="N146" s="2">
        <v>13.5</v>
      </c>
      <c r="O146" s="2">
        <v>50.26548245743669</v>
      </c>
      <c r="P146" s="11">
        <f t="shared" si="5"/>
        <v>2.6857396646757339</v>
      </c>
      <c r="Q146" s="2">
        <f t="shared" si="6"/>
        <v>202.98820385619197</v>
      </c>
      <c r="R146" s="2">
        <f t="shared" si="7"/>
        <v>2.5094592101247941</v>
      </c>
      <c r="S146" s="2">
        <f t="shared" si="8"/>
        <v>189.66492710123194</v>
      </c>
      <c r="T146" s="2">
        <f t="shared" si="9"/>
        <v>13.323276754960034</v>
      </c>
    </row>
    <row r="147" spans="1:20" x14ac:dyDescent="0.25">
      <c r="A147" s="14">
        <f t="shared" si="22"/>
        <v>0.48664529914529914</v>
      </c>
      <c r="B147" s="2">
        <f t="shared" si="11"/>
        <v>142</v>
      </c>
      <c r="C147" s="4">
        <f t="shared" si="20"/>
        <v>76.33</v>
      </c>
      <c r="D147" s="2">
        <v>13</v>
      </c>
      <c r="E147" s="2">
        <v>50.26548245743669</v>
      </c>
      <c r="F147" s="11">
        <f t="shared" si="0"/>
        <v>2.5862678252432989</v>
      </c>
      <c r="G147" s="2">
        <f t="shared" si="1"/>
        <v>197.409823100821</v>
      </c>
      <c r="H147" s="2">
        <f t="shared" si="2"/>
        <v>2.4704686442812847</v>
      </c>
      <c r="I147" s="2">
        <f t="shared" si="3"/>
        <v>188.57087161799046</v>
      </c>
      <c r="J147" s="2">
        <f t="shared" si="4"/>
        <v>8.838951482830538</v>
      </c>
      <c r="K147" s="15">
        <f t="shared" si="23"/>
        <v>0.45906339031339033</v>
      </c>
      <c r="L147" s="2">
        <f t="shared" si="14"/>
        <v>142</v>
      </c>
      <c r="M147" s="2">
        <f t="shared" si="21"/>
        <v>76.08</v>
      </c>
      <c r="N147" s="2">
        <v>14.5</v>
      </c>
      <c r="O147" s="2">
        <v>50.26548245743669</v>
      </c>
      <c r="P147" s="11">
        <f t="shared" si="5"/>
        <v>2.8846833435406034</v>
      </c>
      <c r="Q147" s="2">
        <f t="shared" si="6"/>
        <v>219.46670877656911</v>
      </c>
      <c r="R147" s="2">
        <f t="shared" si="7"/>
        <v>2.5094592101247941</v>
      </c>
      <c r="S147" s="2">
        <f t="shared" si="8"/>
        <v>190.91965670629432</v>
      </c>
      <c r="T147" s="2">
        <f t="shared" si="9"/>
        <v>28.547052070274788</v>
      </c>
    </row>
    <row r="148" spans="1:20" x14ac:dyDescent="0.25">
      <c r="A148" s="14">
        <f t="shared" si="22"/>
        <v>0.48680555555555555</v>
      </c>
      <c r="B148" s="2">
        <f t="shared" si="11"/>
        <v>143</v>
      </c>
      <c r="C148" s="4">
        <f t="shared" si="20"/>
        <v>76.83</v>
      </c>
      <c r="D148" s="2">
        <v>13.5</v>
      </c>
      <c r="E148" s="2">
        <v>50.26548245743669</v>
      </c>
      <c r="F148" s="11">
        <f t="shared" si="0"/>
        <v>2.6857396646757339</v>
      </c>
      <c r="G148" s="2">
        <f t="shared" si="1"/>
        <v>206.34537843703663</v>
      </c>
      <c r="H148" s="2">
        <f t="shared" si="2"/>
        <v>2.4704686442812847</v>
      </c>
      <c r="I148" s="2">
        <f t="shared" si="3"/>
        <v>189.80610594013109</v>
      </c>
      <c r="J148" s="2">
        <f t="shared" si="4"/>
        <v>16.539272496905539</v>
      </c>
      <c r="K148" s="15">
        <f t="shared" si="23"/>
        <v>0.45925925925925926</v>
      </c>
      <c r="L148" s="2">
        <f t="shared" si="14"/>
        <v>143</v>
      </c>
      <c r="M148" s="2">
        <f t="shared" si="21"/>
        <v>76.58</v>
      </c>
      <c r="N148" s="2">
        <v>13.5</v>
      </c>
      <c r="O148" s="2">
        <v>50.26548245743669</v>
      </c>
      <c r="P148" s="11">
        <f t="shared" si="5"/>
        <v>2.6857396646757339</v>
      </c>
      <c r="Q148" s="2">
        <f t="shared" si="6"/>
        <v>205.67394352086771</v>
      </c>
      <c r="R148" s="2">
        <f t="shared" si="7"/>
        <v>2.5094592101247941</v>
      </c>
      <c r="S148" s="2">
        <f t="shared" si="8"/>
        <v>192.17438631135673</v>
      </c>
      <c r="T148" s="2">
        <f t="shared" si="9"/>
        <v>13.499557209510982</v>
      </c>
    </row>
    <row r="149" spans="1:20" x14ac:dyDescent="0.25">
      <c r="A149" s="14">
        <f t="shared" si="22"/>
        <v>0.48696581196581196</v>
      </c>
      <c r="B149" s="2">
        <f t="shared" si="11"/>
        <v>144</v>
      </c>
      <c r="C149" s="4">
        <f t="shared" si="20"/>
        <v>77.33</v>
      </c>
      <c r="D149" s="2">
        <v>12</v>
      </c>
      <c r="E149" s="2">
        <v>50.26548245743669</v>
      </c>
      <c r="F149" s="11">
        <f t="shared" si="0"/>
        <v>2.3873241463784298</v>
      </c>
      <c r="G149" s="2">
        <f t="shared" si="1"/>
        <v>184.61177623944397</v>
      </c>
      <c r="H149" s="2">
        <f t="shared" si="2"/>
        <v>2.4704686442812847</v>
      </c>
      <c r="I149" s="2">
        <f t="shared" si="3"/>
        <v>191.04134026227175</v>
      </c>
      <c r="J149" s="2">
        <f t="shared" si="4"/>
        <v>6.4295640228277762</v>
      </c>
      <c r="K149" s="15">
        <f t="shared" si="23"/>
        <v>0.45945512820512824</v>
      </c>
      <c r="L149" s="2">
        <f t="shared" si="14"/>
        <v>144</v>
      </c>
      <c r="M149" s="2">
        <f t="shared" si="21"/>
        <v>77.08</v>
      </c>
      <c r="N149" s="2">
        <v>14</v>
      </c>
      <c r="O149" s="2">
        <v>50.26548245743669</v>
      </c>
      <c r="P149" s="11">
        <f t="shared" si="5"/>
        <v>2.7852115041081689</v>
      </c>
      <c r="Q149" s="2">
        <f t="shared" si="6"/>
        <v>214.68410273665765</v>
      </c>
      <c r="R149" s="2">
        <f t="shared" si="7"/>
        <v>2.5094592101247941</v>
      </c>
      <c r="S149" s="2">
        <f t="shared" si="8"/>
        <v>193.42911591641914</v>
      </c>
      <c r="T149" s="2">
        <f t="shared" si="9"/>
        <v>21.254986820238514</v>
      </c>
    </row>
    <row r="150" spans="1:20" x14ac:dyDescent="0.25">
      <c r="A150" s="14">
        <f t="shared" si="22"/>
        <v>0.48712606837606837</v>
      </c>
      <c r="B150" s="2">
        <f t="shared" si="11"/>
        <v>145</v>
      </c>
      <c r="C150" s="4">
        <f t="shared" si="20"/>
        <v>77.83</v>
      </c>
      <c r="D150" s="2">
        <v>11.5</v>
      </c>
      <c r="E150" s="2">
        <v>50.26548245743669</v>
      </c>
      <c r="F150" s="11">
        <f t="shared" si="0"/>
        <v>2.2878523069459957</v>
      </c>
      <c r="G150" s="2">
        <f t="shared" si="1"/>
        <v>178.06354504960683</v>
      </c>
      <c r="H150" s="2">
        <f t="shared" si="2"/>
        <v>2.4704686442812847</v>
      </c>
      <c r="I150" s="2">
        <f t="shared" si="3"/>
        <v>192.27657458441237</v>
      </c>
      <c r="J150" s="2">
        <f t="shared" si="4"/>
        <v>14.213029534805543</v>
      </c>
      <c r="K150" s="15">
        <f t="shared" si="23"/>
        <v>0.45965099715099716</v>
      </c>
      <c r="L150" s="2">
        <f t="shared" si="14"/>
        <v>145</v>
      </c>
      <c r="M150" s="2">
        <f t="shared" si="21"/>
        <v>77.58</v>
      </c>
      <c r="N150" s="2">
        <v>13</v>
      </c>
      <c r="O150" s="2">
        <v>50.26548245743669</v>
      </c>
      <c r="P150" s="11">
        <f t="shared" si="5"/>
        <v>2.5862678252432989</v>
      </c>
      <c r="Q150" s="2">
        <f t="shared" si="6"/>
        <v>200.64265788237512</v>
      </c>
      <c r="R150" s="2">
        <f t="shared" si="7"/>
        <v>2.5094592101247941</v>
      </c>
      <c r="S150" s="2">
        <f t="shared" si="8"/>
        <v>194.68384552148152</v>
      </c>
      <c r="T150" s="2">
        <f t="shared" si="9"/>
        <v>5.958812360893603</v>
      </c>
    </row>
    <row r="151" spans="1:20" x14ac:dyDescent="0.25">
      <c r="A151" s="14">
        <f t="shared" si="22"/>
        <v>0.48728632478632478</v>
      </c>
      <c r="B151" s="2">
        <f t="shared" si="11"/>
        <v>146</v>
      </c>
      <c r="C151" s="4">
        <f t="shared" si="20"/>
        <v>78.33</v>
      </c>
      <c r="D151" s="2">
        <v>10.5</v>
      </c>
      <c r="E151" s="2">
        <v>50.26548245743669</v>
      </c>
      <c r="F151" s="11">
        <f t="shared" si="0"/>
        <v>2.0889086280811267</v>
      </c>
      <c r="G151" s="2">
        <f t="shared" si="1"/>
        <v>163.62421283759465</v>
      </c>
      <c r="H151" s="2">
        <f t="shared" si="2"/>
        <v>2.4704686442812847</v>
      </c>
      <c r="I151" s="2">
        <f t="shared" si="3"/>
        <v>193.51180890655303</v>
      </c>
      <c r="J151" s="2">
        <f t="shared" si="4"/>
        <v>29.887596068958374</v>
      </c>
      <c r="K151" s="15">
        <f t="shared" si="23"/>
        <v>0.45984686609686609</v>
      </c>
      <c r="L151" s="2">
        <f t="shared" si="14"/>
        <v>146</v>
      </c>
      <c r="M151" s="2">
        <f t="shared" si="21"/>
        <v>78.08</v>
      </c>
      <c r="N151" s="2">
        <v>16</v>
      </c>
      <c r="O151" s="2">
        <v>50.26548245743669</v>
      </c>
      <c r="P151" s="11">
        <f t="shared" si="5"/>
        <v>3.183098861837907</v>
      </c>
      <c r="Q151" s="2">
        <f t="shared" si="6"/>
        <v>248.53635913230377</v>
      </c>
      <c r="R151" s="2">
        <f t="shared" si="7"/>
        <v>2.5094592101247941</v>
      </c>
      <c r="S151" s="2">
        <f t="shared" si="8"/>
        <v>195.93857512654392</v>
      </c>
      <c r="T151" s="2">
        <f t="shared" si="9"/>
        <v>52.597784005759848</v>
      </c>
    </row>
    <row r="152" spans="1:20" x14ac:dyDescent="0.25">
      <c r="A152" s="14">
        <f t="shared" si="22"/>
        <v>0.48744658119658119</v>
      </c>
      <c r="B152" s="2">
        <f t="shared" si="11"/>
        <v>147</v>
      </c>
      <c r="C152" s="4">
        <f t="shared" si="20"/>
        <v>78.83</v>
      </c>
      <c r="D152" s="2">
        <v>12.5</v>
      </c>
      <c r="E152" s="2">
        <v>50.26548245743669</v>
      </c>
      <c r="F152" s="11">
        <f t="shared" si="0"/>
        <v>2.4867959858108648</v>
      </c>
      <c r="G152" s="2">
        <f t="shared" si="1"/>
        <v>196.03412756147046</v>
      </c>
      <c r="H152" s="2">
        <f t="shared" si="2"/>
        <v>2.4704686442812847</v>
      </c>
      <c r="I152" s="2">
        <f t="shared" si="3"/>
        <v>194.74704322869366</v>
      </c>
      <c r="J152" s="2">
        <f t="shared" si="4"/>
        <v>1.2870843327768</v>
      </c>
      <c r="K152" s="15">
        <f t="shared" si="23"/>
        <v>0.46004273504273507</v>
      </c>
      <c r="L152" s="2">
        <f t="shared" si="14"/>
        <v>147</v>
      </c>
      <c r="M152" s="2">
        <f t="shared" si="21"/>
        <v>78.58</v>
      </c>
      <c r="N152" s="2">
        <v>13.5</v>
      </c>
      <c r="O152" s="2">
        <v>50.26548245743669</v>
      </c>
      <c r="P152" s="11">
        <f t="shared" si="5"/>
        <v>2.6857396646757339</v>
      </c>
      <c r="Q152" s="2">
        <f t="shared" si="6"/>
        <v>211.04542285021915</v>
      </c>
      <c r="R152" s="2">
        <f t="shared" si="7"/>
        <v>2.5094592101247941</v>
      </c>
      <c r="S152" s="2">
        <f t="shared" si="8"/>
        <v>197.1933047316063</v>
      </c>
      <c r="T152" s="2">
        <f t="shared" si="9"/>
        <v>13.85211811861285</v>
      </c>
    </row>
    <row r="153" spans="1:20" x14ac:dyDescent="0.25">
      <c r="A153" s="14">
        <f t="shared" si="22"/>
        <v>0.4876068376068376</v>
      </c>
      <c r="B153" s="2">
        <f t="shared" si="11"/>
        <v>148</v>
      </c>
      <c r="C153" s="4">
        <f t="shared" si="20"/>
        <v>79.33</v>
      </c>
      <c r="D153" s="2">
        <v>12</v>
      </c>
      <c r="E153" s="2">
        <v>50.26548245743669</v>
      </c>
      <c r="F153" s="11">
        <f t="shared" si="0"/>
        <v>2.3873241463784298</v>
      </c>
      <c r="G153" s="2">
        <f t="shared" si="1"/>
        <v>189.38642453220083</v>
      </c>
      <c r="H153" s="2">
        <f t="shared" si="2"/>
        <v>2.4704686442812847</v>
      </c>
      <c r="I153" s="2">
        <f t="shared" si="3"/>
        <v>195.98227755083431</v>
      </c>
      <c r="J153" s="2">
        <f t="shared" si="4"/>
        <v>6.5958530186334769</v>
      </c>
      <c r="K153" s="15">
        <f t="shared" si="23"/>
        <v>0.460238603988604</v>
      </c>
      <c r="L153" s="2">
        <f t="shared" si="14"/>
        <v>148</v>
      </c>
      <c r="M153" s="2">
        <f t="shared" si="21"/>
        <v>79.08</v>
      </c>
      <c r="N153" s="2">
        <v>13.5</v>
      </c>
      <c r="O153" s="2">
        <v>50.26548245743669</v>
      </c>
      <c r="P153" s="11">
        <f t="shared" si="5"/>
        <v>2.6857396646757339</v>
      </c>
      <c r="Q153" s="2">
        <f t="shared" si="6"/>
        <v>212.38829268255702</v>
      </c>
      <c r="R153" s="2">
        <f t="shared" si="7"/>
        <v>2.5094592101247941</v>
      </c>
      <c r="S153" s="2">
        <f t="shared" si="8"/>
        <v>198.44803433666871</v>
      </c>
      <c r="T153" s="2">
        <f t="shared" si="9"/>
        <v>13.94025834588831</v>
      </c>
    </row>
    <row r="154" spans="1:20" x14ac:dyDescent="0.25">
      <c r="A154" s="14">
        <f t="shared" si="22"/>
        <v>0.48776709401709401</v>
      </c>
      <c r="B154" s="2">
        <f t="shared" si="11"/>
        <v>149</v>
      </c>
      <c r="C154" s="4">
        <f t="shared" si="20"/>
        <v>79.83</v>
      </c>
      <c r="D154" s="2">
        <v>14</v>
      </c>
      <c r="E154" s="2">
        <v>50.26548245743669</v>
      </c>
      <c r="F154" s="11">
        <f t="shared" si="0"/>
        <v>2.7852115041081689</v>
      </c>
      <c r="G154" s="2">
        <f t="shared" si="1"/>
        <v>222.34343437295513</v>
      </c>
      <c r="H154" s="2">
        <f t="shared" si="2"/>
        <v>2.4704686442812847</v>
      </c>
      <c r="I154" s="2">
        <f t="shared" si="3"/>
        <v>197.21751187297494</v>
      </c>
      <c r="J154" s="2">
        <f t="shared" si="4"/>
        <v>25.125922499980192</v>
      </c>
      <c r="K154" s="15">
        <f t="shared" si="23"/>
        <v>0.46043447293447293</v>
      </c>
      <c r="L154" s="2">
        <f t="shared" si="14"/>
        <v>149</v>
      </c>
      <c r="M154" s="2">
        <f t="shared" si="21"/>
        <v>79.58</v>
      </c>
      <c r="N154" s="2">
        <v>12.5</v>
      </c>
      <c r="O154" s="2">
        <v>50.26548245743669</v>
      </c>
      <c r="P154" s="11">
        <f t="shared" si="5"/>
        <v>2.4867959858108648</v>
      </c>
      <c r="Q154" s="2">
        <f t="shared" si="6"/>
        <v>197.89922455082862</v>
      </c>
      <c r="R154" s="2">
        <f t="shared" si="7"/>
        <v>2.5094592101247941</v>
      </c>
      <c r="S154" s="2">
        <f t="shared" si="8"/>
        <v>199.70276394173112</v>
      </c>
      <c r="T154" s="2">
        <f t="shared" si="9"/>
        <v>1.8035393909025004</v>
      </c>
    </row>
    <row r="155" spans="1:20" x14ac:dyDescent="0.25">
      <c r="A155" s="14">
        <f t="shared" si="22"/>
        <v>0.48792735042735041</v>
      </c>
      <c r="B155" s="2">
        <f t="shared" si="11"/>
        <v>150</v>
      </c>
      <c r="C155" s="4">
        <f t="shared" si="20"/>
        <v>80.33</v>
      </c>
      <c r="D155" s="2">
        <v>13</v>
      </c>
      <c r="E155" s="2">
        <v>50.26548245743669</v>
      </c>
      <c r="F155" s="11">
        <f t="shared" si="0"/>
        <v>2.5862678252432989</v>
      </c>
      <c r="G155" s="2">
        <f t="shared" si="1"/>
        <v>207.75489440179419</v>
      </c>
      <c r="H155" s="2">
        <f t="shared" si="2"/>
        <v>2.4704686442812847</v>
      </c>
      <c r="I155" s="2">
        <f t="shared" si="3"/>
        <v>198.45274619511559</v>
      </c>
      <c r="J155" s="2">
        <f t="shared" si="4"/>
        <v>9.302148206678595</v>
      </c>
      <c r="K155" s="15">
        <f t="shared" si="23"/>
        <v>0.46063034188034191</v>
      </c>
      <c r="L155" s="2">
        <f t="shared" si="14"/>
        <v>150</v>
      </c>
      <c r="M155" s="2">
        <f t="shared" si="21"/>
        <v>80.08</v>
      </c>
      <c r="N155" s="2">
        <v>16</v>
      </c>
      <c r="O155" s="2">
        <v>50.26548245743669</v>
      </c>
      <c r="P155" s="11">
        <f t="shared" si="5"/>
        <v>3.183098861837907</v>
      </c>
      <c r="Q155" s="2">
        <f t="shared" si="6"/>
        <v>254.90255685597958</v>
      </c>
      <c r="R155" s="2">
        <f t="shared" si="7"/>
        <v>2.5094592101247941</v>
      </c>
      <c r="S155" s="2">
        <f t="shared" si="8"/>
        <v>200.9574935467935</v>
      </c>
      <c r="T155" s="2">
        <f t="shared" si="9"/>
        <v>53.945063309186082</v>
      </c>
    </row>
    <row r="156" spans="1:20" x14ac:dyDescent="0.25">
      <c r="A156" s="14">
        <f t="shared" si="22"/>
        <v>0.48808760683760682</v>
      </c>
      <c r="B156" s="2">
        <f t="shared" si="11"/>
        <v>151</v>
      </c>
      <c r="C156" s="4">
        <f t="shared" si="20"/>
        <v>80.83</v>
      </c>
      <c r="D156" s="2">
        <v>13</v>
      </c>
      <c r="E156" s="2">
        <v>50.26548245743669</v>
      </c>
      <c r="F156" s="11">
        <f t="shared" si="0"/>
        <v>2.5862678252432989</v>
      </c>
      <c r="G156" s="2">
        <f t="shared" si="1"/>
        <v>209.04802831441586</v>
      </c>
      <c r="H156" s="2">
        <f t="shared" si="2"/>
        <v>2.4704686442812847</v>
      </c>
      <c r="I156" s="2">
        <f t="shared" si="3"/>
        <v>199.68798051725622</v>
      </c>
      <c r="J156" s="2">
        <f t="shared" si="4"/>
        <v>9.3600477971596376</v>
      </c>
      <c r="K156" s="15">
        <f t="shared" si="23"/>
        <v>0.46082621082621084</v>
      </c>
      <c r="L156" s="2">
        <f t="shared" si="14"/>
        <v>151</v>
      </c>
      <c r="M156" s="2">
        <f t="shared" si="21"/>
        <v>80.58</v>
      </c>
      <c r="N156" s="2">
        <v>14</v>
      </c>
      <c r="O156" s="2">
        <v>50.26548245743669</v>
      </c>
      <c r="P156" s="11">
        <f t="shared" si="5"/>
        <v>2.7852115041081689</v>
      </c>
      <c r="Q156" s="2">
        <f t="shared" si="6"/>
        <v>224.43234300103623</v>
      </c>
      <c r="R156" s="2">
        <f t="shared" si="7"/>
        <v>2.5094592101247941</v>
      </c>
      <c r="S156" s="2">
        <f t="shared" si="8"/>
        <v>202.21222315185591</v>
      </c>
      <c r="T156" s="2">
        <f t="shared" si="9"/>
        <v>22.220119849180321</v>
      </c>
    </row>
    <row r="157" spans="1:20" x14ac:dyDescent="0.25">
      <c r="A157" s="14">
        <f t="shared" si="22"/>
        <v>0.48824786324786323</v>
      </c>
      <c r="B157" s="2">
        <f t="shared" si="11"/>
        <v>152</v>
      </c>
      <c r="C157" s="4">
        <f t="shared" si="20"/>
        <v>81.33</v>
      </c>
      <c r="D157" s="2">
        <v>15</v>
      </c>
      <c r="E157" s="2">
        <v>50.26548245743669</v>
      </c>
      <c r="F157" s="11">
        <f t="shared" si="0"/>
        <v>2.9841551829730379</v>
      </c>
      <c r="G157" s="2">
        <f t="shared" si="1"/>
        <v>242.70134103119716</v>
      </c>
      <c r="H157" s="2">
        <f t="shared" si="2"/>
        <v>2.4704686442812847</v>
      </c>
      <c r="I157" s="2">
        <f t="shared" si="3"/>
        <v>200.92321483939688</v>
      </c>
      <c r="J157" s="2">
        <f t="shared" si="4"/>
        <v>41.778126191800283</v>
      </c>
      <c r="K157" s="15">
        <f t="shared" si="23"/>
        <v>0.46102207977207982</v>
      </c>
      <c r="L157" s="2">
        <f t="shared" si="14"/>
        <v>152</v>
      </c>
      <c r="M157" s="2">
        <f t="shared" si="21"/>
        <v>81.08</v>
      </c>
      <c r="N157" s="2">
        <v>14.5</v>
      </c>
      <c r="O157" s="2">
        <v>50.26548245743669</v>
      </c>
      <c r="P157" s="11">
        <f t="shared" si="5"/>
        <v>2.8846833435406034</v>
      </c>
      <c r="Q157" s="2">
        <f t="shared" si="6"/>
        <v>233.89012549427213</v>
      </c>
      <c r="R157" s="2">
        <f t="shared" si="7"/>
        <v>2.5094592101247941</v>
      </c>
      <c r="S157" s="2">
        <f t="shared" si="8"/>
        <v>203.46695275691829</v>
      </c>
      <c r="T157" s="2">
        <f t="shared" si="9"/>
        <v>30.423172737353838</v>
      </c>
    </row>
    <row r="158" spans="1:20" x14ac:dyDescent="0.25">
      <c r="A158" s="14">
        <f t="shared" si="22"/>
        <v>0.48840811965811964</v>
      </c>
      <c r="B158" s="2">
        <f t="shared" si="11"/>
        <v>153</v>
      </c>
      <c r="C158" s="4">
        <f t="shared" si="20"/>
        <v>81.83</v>
      </c>
      <c r="D158" s="2">
        <v>13</v>
      </c>
      <c r="E158" s="2">
        <v>50.26548245743669</v>
      </c>
      <c r="F158" s="11">
        <f t="shared" si="0"/>
        <v>2.5862678252432989</v>
      </c>
      <c r="G158" s="2">
        <f t="shared" si="1"/>
        <v>211.63429613965914</v>
      </c>
      <c r="H158" s="2">
        <f t="shared" si="2"/>
        <v>2.4704686442812847</v>
      </c>
      <c r="I158" s="2">
        <f t="shared" si="3"/>
        <v>202.15844916153753</v>
      </c>
      <c r="J158" s="2">
        <f t="shared" si="4"/>
        <v>9.4758469781216093</v>
      </c>
      <c r="K158" s="15">
        <f t="shared" si="23"/>
        <v>0.46121794871794874</v>
      </c>
      <c r="L158" s="2">
        <f t="shared" si="14"/>
        <v>153</v>
      </c>
      <c r="M158" s="2">
        <f t="shared" si="21"/>
        <v>81.58</v>
      </c>
      <c r="N158" s="2">
        <v>14.5</v>
      </c>
      <c r="O158" s="2">
        <v>50.26548245743669</v>
      </c>
      <c r="P158" s="11">
        <f t="shared" si="5"/>
        <v>2.8846833435406034</v>
      </c>
      <c r="Q158" s="2">
        <f t="shared" si="6"/>
        <v>235.33246716604242</v>
      </c>
      <c r="R158" s="2">
        <f t="shared" si="7"/>
        <v>2.5094592101247941</v>
      </c>
      <c r="S158" s="2">
        <f t="shared" si="8"/>
        <v>204.7216823619807</v>
      </c>
      <c r="T158" s="2">
        <f t="shared" si="9"/>
        <v>30.610784804061723</v>
      </c>
    </row>
    <row r="159" spans="1:20" x14ac:dyDescent="0.25">
      <c r="A159" s="14">
        <f t="shared" si="22"/>
        <v>0.48856837606837605</v>
      </c>
      <c r="B159" s="2">
        <f t="shared" si="11"/>
        <v>154</v>
      </c>
      <c r="C159" s="4">
        <f t="shared" si="20"/>
        <v>82.33</v>
      </c>
      <c r="D159" s="2">
        <v>15</v>
      </c>
      <c r="E159" s="2">
        <v>50.26548245743669</v>
      </c>
      <c r="F159" s="11">
        <f t="shared" si="0"/>
        <v>2.9841551829730379</v>
      </c>
      <c r="G159" s="2">
        <f t="shared" si="1"/>
        <v>245.6854962141702</v>
      </c>
      <c r="H159" s="2">
        <f t="shared" si="2"/>
        <v>2.4704686442812847</v>
      </c>
      <c r="I159" s="2">
        <f t="shared" si="3"/>
        <v>203.39368348367816</v>
      </c>
      <c r="J159" s="2">
        <f t="shared" si="4"/>
        <v>42.29181273049204</v>
      </c>
      <c r="K159" s="15">
        <f t="shared" si="23"/>
        <v>0.46141381766381767</v>
      </c>
      <c r="L159" s="2">
        <f t="shared" si="14"/>
        <v>154</v>
      </c>
      <c r="M159" s="2">
        <f t="shared" si="21"/>
        <v>82.08</v>
      </c>
      <c r="N159" s="2">
        <v>14.5</v>
      </c>
      <c r="O159" s="2">
        <v>50.26548245743669</v>
      </c>
      <c r="P159" s="11">
        <f t="shared" si="5"/>
        <v>2.8846833435406034</v>
      </c>
      <c r="Q159" s="2">
        <f t="shared" si="6"/>
        <v>236.77480883781271</v>
      </c>
      <c r="R159" s="2">
        <f t="shared" si="7"/>
        <v>2.5094592101247941</v>
      </c>
      <c r="S159" s="2">
        <f t="shared" si="8"/>
        <v>205.97641196704311</v>
      </c>
      <c r="T159" s="2">
        <f t="shared" si="9"/>
        <v>30.798396870769608</v>
      </c>
    </row>
    <row r="160" spans="1:20" x14ac:dyDescent="0.25">
      <c r="A160" s="14">
        <f t="shared" si="22"/>
        <v>0.48872863247863246</v>
      </c>
      <c r="B160" s="2">
        <f t="shared" si="11"/>
        <v>155</v>
      </c>
      <c r="C160" s="4">
        <f t="shared" si="20"/>
        <v>82.83</v>
      </c>
      <c r="D160" s="2">
        <v>13.5</v>
      </c>
      <c r="E160" s="2">
        <v>50.26548245743669</v>
      </c>
      <c r="F160" s="11">
        <f t="shared" si="0"/>
        <v>2.6857396646757339</v>
      </c>
      <c r="G160" s="2">
        <f t="shared" si="1"/>
        <v>222.45981642509102</v>
      </c>
      <c r="H160" s="2">
        <f t="shared" si="2"/>
        <v>2.4704686442812847</v>
      </c>
      <c r="I160" s="2">
        <f t="shared" si="3"/>
        <v>204.62891780581882</v>
      </c>
      <c r="J160" s="2">
        <f t="shared" si="4"/>
        <v>17.830898619272205</v>
      </c>
      <c r="K160" s="15">
        <f t="shared" si="23"/>
        <v>0.46160968660968665</v>
      </c>
      <c r="L160" s="2">
        <f t="shared" si="14"/>
        <v>155</v>
      </c>
      <c r="M160" s="2">
        <f t="shared" si="21"/>
        <v>82.58</v>
      </c>
      <c r="N160" s="2">
        <v>15</v>
      </c>
      <c r="O160" s="2">
        <v>50.26548245743669</v>
      </c>
      <c r="P160" s="11">
        <f t="shared" si="5"/>
        <v>2.9841551829730379</v>
      </c>
      <c r="Q160" s="2">
        <f t="shared" si="6"/>
        <v>246.43153500991346</v>
      </c>
      <c r="R160" s="2">
        <f t="shared" si="7"/>
        <v>2.5094592101247941</v>
      </c>
      <c r="S160" s="2">
        <f t="shared" si="8"/>
        <v>207.23114157210549</v>
      </c>
      <c r="T160" s="2">
        <f t="shared" si="9"/>
        <v>39.200393437807975</v>
      </c>
    </row>
    <row r="161" spans="1:20" x14ac:dyDescent="0.25">
      <c r="A161" s="10">
        <v>0.48888888888888887</v>
      </c>
      <c r="B161" s="2">
        <f t="shared" si="11"/>
        <v>156</v>
      </c>
      <c r="C161" s="4">
        <f t="shared" si="20"/>
        <v>83.33</v>
      </c>
      <c r="D161" s="2">
        <v>12.5</v>
      </c>
      <c r="E161" s="2">
        <v>50.26548245743669</v>
      </c>
      <c r="F161" s="11">
        <f t="shared" si="0"/>
        <v>2.4867959858108648</v>
      </c>
      <c r="G161" s="2">
        <f t="shared" si="1"/>
        <v>207.22470949761936</v>
      </c>
      <c r="H161" s="2">
        <f t="shared" si="2"/>
        <v>2.4704686442812847</v>
      </c>
      <c r="I161" s="2">
        <f t="shared" si="3"/>
        <v>205.86415212795944</v>
      </c>
      <c r="J161" s="2">
        <f t="shared" si="4"/>
        <v>1.3605573696599151</v>
      </c>
      <c r="K161" s="12">
        <v>0.46180555555555558</v>
      </c>
      <c r="L161" s="2">
        <f t="shared" si="14"/>
        <v>156</v>
      </c>
      <c r="M161" s="2">
        <f t="shared" si="21"/>
        <v>83.08</v>
      </c>
      <c r="N161" s="2">
        <v>14</v>
      </c>
      <c r="O161" s="2">
        <v>50.26548245743669</v>
      </c>
      <c r="P161" s="11">
        <f t="shared" si="5"/>
        <v>2.7852115041081689</v>
      </c>
      <c r="Q161" s="2">
        <f t="shared" si="6"/>
        <v>231.39537176130668</v>
      </c>
      <c r="R161" s="2">
        <f t="shared" si="7"/>
        <v>2.5094592101247941</v>
      </c>
      <c r="S161" s="2">
        <f t="shared" si="8"/>
        <v>208.48587117716789</v>
      </c>
      <c r="T161" s="2">
        <f t="shared" si="9"/>
        <v>22.909500584138783</v>
      </c>
    </row>
    <row r="162" spans="1:20" x14ac:dyDescent="0.25">
      <c r="A162" s="10">
        <v>0.48888888888888887</v>
      </c>
      <c r="B162" s="2">
        <f t="shared" si="11"/>
        <v>157</v>
      </c>
      <c r="C162" s="4">
        <f t="shared" si="20"/>
        <v>83.83</v>
      </c>
      <c r="D162" s="2">
        <v>13.5</v>
      </c>
      <c r="E162" s="2">
        <v>50.26548245743669</v>
      </c>
      <c r="F162" s="11">
        <f t="shared" si="0"/>
        <v>2.6857396646757339</v>
      </c>
      <c r="G162" s="2">
        <f t="shared" si="1"/>
        <v>225.14555608976676</v>
      </c>
      <c r="H162" s="2">
        <f t="shared" si="2"/>
        <v>2.4704686442812847</v>
      </c>
      <c r="I162" s="2">
        <f t="shared" si="3"/>
        <v>207.0993864501001</v>
      </c>
      <c r="J162" s="2">
        <f t="shared" si="4"/>
        <v>18.046169639666658</v>
      </c>
      <c r="K162" s="12">
        <v>0.46180555555555558</v>
      </c>
      <c r="L162" s="2">
        <f t="shared" si="14"/>
        <v>157</v>
      </c>
      <c r="M162" s="2">
        <f t="shared" si="21"/>
        <v>83.58</v>
      </c>
      <c r="N162" s="2">
        <v>12.5</v>
      </c>
      <c r="O162" s="2">
        <v>50.26548245743669</v>
      </c>
      <c r="P162" s="11">
        <f t="shared" si="5"/>
        <v>2.4867959858108648</v>
      </c>
      <c r="Q162" s="2">
        <f t="shared" si="6"/>
        <v>207.84640849407208</v>
      </c>
      <c r="R162" s="2">
        <f t="shared" si="7"/>
        <v>2.5094592101247941</v>
      </c>
      <c r="S162" s="2">
        <f t="shared" si="8"/>
        <v>209.74060078223027</v>
      </c>
      <c r="T162" s="2">
        <f t="shared" si="9"/>
        <v>1.8941922881581945</v>
      </c>
    </row>
    <row r="163" spans="1:20" x14ac:dyDescent="0.25">
      <c r="A163" s="10"/>
      <c r="C163" s="4"/>
      <c r="F163" s="11"/>
      <c r="K163" s="12"/>
      <c r="P163" s="11"/>
    </row>
    <row r="164" spans="1:20" x14ac:dyDescent="0.25">
      <c r="A164" s="10"/>
      <c r="C164" s="4"/>
      <c r="F164" s="11"/>
      <c r="K164" s="12"/>
      <c r="P164" s="11"/>
    </row>
    <row r="165" spans="1:20" x14ac:dyDescent="0.25">
      <c r="C165" s="4"/>
      <c r="F165" s="11"/>
      <c r="K165" s="25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29">
    <mergeCell ref="V23:X23"/>
    <mergeCell ref="V24:X24"/>
    <mergeCell ref="V25:X25"/>
    <mergeCell ref="V26:X26"/>
    <mergeCell ref="V11:W11"/>
    <mergeCell ref="V12:W12"/>
    <mergeCell ref="V13:W13"/>
    <mergeCell ref="V14:W14"/>
    <mergeCell ref="V15:W15"/>
    <mergeCell ref="V16:W16"/>
    <mergeCell ref="V17:W17"/>
    <mergeCell ref="V10:W10"/>
    <mergeCell ref="V18:W18"/>
    <mergeCell ref="V19:X19"/>
    <mergeCell ref="W20:X20"/>
    <mergeCell ref="V21:W21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E4:F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X174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17896.341704503233</v>
      </c>
      <c r="G2" s="4">
        <f>SUM(C6:C174)</f>
        <v>6934.3099999999931</v>
      </c>
      <c r="H2" s="2">
        <f>F2/G2</f>
        <v>2.5808395794972032</v>
      </c>
      <c r="I2" s="2">
        <f>SUM(J6:J174)</f>
        <v>2386.1889440890723</v>
      </c>
      <c r="J2" s="2">
        <f>(1-(I2/(F2)))*100</f>
        <v>86.66661050907048</v>
      </c>
      <c r="K2" s="1"/>
      <c r="L2" s="1"/>
      <c r="M2" s="1"/>
      <c r="N2" s="1"/>
      <c r="O2" s="1"/>
      <c r="P2" s="2">
        <f>SUM(Q6:Q174)</f>
        <v>18439.391301671909</v>
      </c>
      <c r="Q2" s="2">
        <f>SUM(M6:M174)</f>
        <v>6895.0599999999931</v>
      </c>
      <c r="R2" s="2">
        <f>P2/Q2</f>
        <v>2.6742901877100311</v>
      </c>
      <c r="S2" s="2">
        <f>SUM(T6:T174)</f>
        <v>2021.8528583161551</v>
      </c>
      <c r="T2" s="2">
        <f>(1-(S2/(P2)))*100</f>
        <v>89.035143160431588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48" t="s">
        <v>74</v>
      </c>
      <c r="F4" s="32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48" t="s">
        <v>74</v>
      </c>
      <c r="P4" s="32"/>
      <c r="V4" s="34" t="s">
        <v>12</v>
      </c>
      <c r="W4" s="36"/>
      <c r="X4" s="6" t="s">
        <v>74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45790</v>
      </c>
    </row>
    <row r="6" spans="1:24" x14ac:dyDescent="0.25">
      <c r="A6" s="10">
        <v>0.6069444444444444</v>
      </c>
      <c r="B6" s="2">
        <v>1</v>
      </c>
      <c r="C6" s="4">
        <v>4.83</v>
      </c>
      <c r="D6" s="2">
        <v>1</v>
      </c>
      <c r="E6" s="2">
        <v>50.26548245743669</v>
      </c>
      <c r="F6" s="11">
        <f t="shared" ref="F6:F162" si="0">(D6/E6)*10</f>
        <v>0.19894367886486919</v>
      </c>
      <c r="G6" s="2">
        <f t="shared" ref="G6:G162" si="1">F6*C6</f>
        <v>0.96089796891731816</v>
      </c>
      <c r="H6" s="2">
        <f t="shared" ref="H6:H162" si="2">$H$2</f>
        <v>2.5808395794972032</v>
      </c>
      <c r="I6" s="2">
        <f t="shared" ref="I6:I162" si="3">H6*C6</f>
        <v>12.465455168971491</v>
      </c>
      <c r="J6" s="2">
        <f t="shared" ref="J6:J162" si="4">ABS(G6-I6)</f>
        <v>11.504557200054172</v>
      </c>
      <c r="K6" s="12">
        <v>0.57986111111111116</v>
      </c>
      <c r="L6" s="2">
        <v>1</v>
      </c>
      <c r="M6" s="2">
        <v>4.58</v>
      </c>
      <c r="N6" s="2">
        <v>1</v>
      </c>
      <c r="O6" s="2">
        <v>50.26548245743669</v>
      </c>
      <c r="P6" s="11">
        <f t="shared" ref="P6:P162" si="5">(N6/O6)*10</f>
        <v>0.19894367886486919</v>
      </c>
      <c r="Q6" s="2">
        <f t="shared" ref="Q6:Q162" si="6">P6*M6</f>
        <v>0.91116204920110089</v>
      </c>
      <c r="R6" s="2">
        <f t="shared" ref="R6:R162" si="7">$R$2</f>
        <v>2.6742901877100311</v>
      </c>
      <c r="S6" s="2">
        <f t="shared" ref="S6:S162" si="8">R6*M6</f>
        <v>12.248249059711943</v>
      </c>
      <c r="T6" s="2">
        <f t="shared" ref="T6:T162" si="9">ABS(Q6-S6)</f>
        <v>11.337087010510842</v>
      </c>
      <c r="V6" s="37" t="s">
        <v>23</v>
      </c>
      <c r="W6" s="36"/>
      <c r="X6" s="13" t="s">
        <v>75</v>
      </c>
    </row>
    <row r="7" spans="1:24" x14ac:dyDescent="0.25">
      <c r="A7" s="30">
        <f t="shared" ref="A7:A43" si="10">IF(AND($A$6&lt;&gt;"",$A$44&lt;&gt;""), $A$6 + (B7 - $B$6) * (($A$44 - $A$6) / ($B$44 - $B$6)), "")</f>
        <v>0.60709064327485374</v>
      </c>
      <c r="B7" s="2">
        <f t="shared" ref="B7:B162" si="11">B6+1</f>
        <v>2</v>
      </c>
      <c r="C7" s="4">
        <f t="shared" ref="C7:C109" si="12">C6+0.5</f>
        <v>5.33</v>
      </c>
      <c r="D7" s="2">
        <v>4</v>
      </c>
      <c r="E7" s="2">
        <v>50.26548245743669</v>
      </c>
      <c r="F7" s="11">
        <f t="shared" si="0"/>
        <v>0.79577471545947676</v>
      </c>
      <c r="G7" s="2">
        <f t="shared" si="1"/>
        <v>4.2414792333990112</v>
      </c>
      <c r="H7" s="2">
        <f t="shared" si="2"/>
        <v>2.5808395794972032</v>
      </c>
      <c r="I7" s="2">
        <f t="shared" si="3"/>
        <v>13.755874958720094</v>
      </c>
      <c r="J7" s="2">
        <f t="shared" si="4"/>
        <v>9.5143957253210836</v>
      </c>
      <c r="K7" s="15">
        <f t="shared" ref="K7:K43" si="13">IF(AND($K$6&lt;&gt;"",$K$44&lt;&gt;""), $K$6 + (L7 - $L$6) * (($K$44 - $K$6) / ($L$44 - $L$6)), "")</f>
        <v>0.58008040935672522</v>
      </c>
      <c r="L7" s="2">
        <f t="shared" ref="L7:L162" si="14">L6+1</f>
        <v>2</v>
      </c>
      <c r="M7" s="2">
        <f t="shared" ref="M7:M109" si="15">M6+0.5</f>
        <v>5.08</v>
      </c>
      <c r="N7" s="2">
        <v>2.5</v>
      </c>
      <c r="O7" s="2">
        <v>50.26548245743669</v>
      </c>
      <c r="P7" s="11">
        <f t="shared" si="5"/>
        <v>0.49735919716217297</v>
      </c>
      <c r="Q7" s="2">
        <f t="shared" si="6"/>
        <v>2.5265847215838386</v>
      </c>
      <c r="R7" s="2">
        <f t="shared" si="7"/>
        <v>2.6742901877100311</v>
      </c>
      <c r="S7" s="2">
        <f t="shared" si="8"/>
        <v>13.585394153566959</v>
      </c>
      <c r="T7" s="2">
        <f t="shared" si="9"/>
        <v>11.058809431983121</v>
      </c>
      <c r="V7" s="37" t="s">
        <v>24</v>
      </c>
      <c r="W7" s="36"/>
      <c r="X7" s="6" t="s">
        <v>76</v>
      </c>
    </row>
    <row r="8" spans="1:24" x14ac:dyDescent="0.25">
      <c r="A8" s="30">
        <f t="shared" si="10"/>
        <v>0.60723684210526307</v>
      </c>
      <c r="B8" s="2">
        <f t="shared" si="11"/>
        <v>3</v>
      </c>
      <c r="C8" s="4">
        <f t="shared" si="12"/>
        <v>5.83</v>
      </c>
      <c r="D8" s="2">
        <v>6.5</v>
      </c>
      <c r="E8" s="2">
        <v>50.26548245743669</v>
      </c>
      <c r="F8" s="11">
        <f t="shared" si="0"/>
        <v>1.2931339126216495</v>
      </c>
      <c r="G8" s="2">
        <f t="shared" si="1"/>
        <v>7.5389707105842163</v>
      </c>
      <c r="H8" s="2">
        <f t="shared" si="2"/>
        <v>2.5808395794972032</v>
      </c>
      <c r="I8" s="2">
        <f t="shared" si="3"/>
        <v>15.046294748468695</v>
      </c>
      <c r="J8" s="2">
        <f t="shared" si="4"/>
        <v>7.5073240378844783</v>
      </c>
      <c r="K8" s="15">
        <f t="shared" si="13"/>
        <v>0.58029970760233918</v>
      </c>
      <c r="L8" s="2">
        <f t="shared" si="14"/>
        <v>3</v>
      </c>
      <c r="M8" s="2">
        <f t="shared" si="15"/>
        <v>5.58</v>
      </c>
      <c r="N8" s="2">
        <v>5.5</v>
      </c>
      <c r="O8" s="2">
        <v>50.26548245743669</v>
      </c>
      <c r="P8" s="11">
        <f t="shared" si="5"/>
        <v>1.0941902337567804</v>
      </c>
      <c r="Q8" s="2">
        <f t="shared" si="6"/>
        <v>6.105581504362835</v>
      </c>
      <c r="R8" s="2">
        <f t="shared" si="7"/>
        <v>2.6742901877100311</v>
      </c>
      <c r="S8" s="2">
        <f t="shared" si="8"/>
        <v>14.922539247421973</v>
      </c>
      <c r="T8" s="2">
        <f t="shared" si="9"/>
        <v>8.8169577430591382</v>
      </c>
      <c r="V8" s="34" t="s">
        <v>25</v>
      </c>
      <c r="W8" s="35"/>
      <c r="X8" s="36"/>
    </row>
    <row r="9" spans="1:24" x14ac:dyDescent="0.25">
      <c r="A9" s="30">
        <f t="shared" si="10"/>
        <v>0.60738304093567252</v>
      </c>
      <c r="B9" s="2">
        <f t="shared" si="11"/>
        <v>4</v>
      </c>
      <c r="C9" s="4">
        <f t="shared" si="12"/>
        <v>6.33</v>
      </c>
      <c r="D9" s="2">
        <v>8</v>
      </c>
      <c r="E9" s="2">
        <v>50.26548245743669</v>
      </c>
      <c r="F9" s="11">
        <f t="shared" si="0"/>
        <v>1.5915494309189535</v>
      </c>
      <c r="G9" s="2">
        <f t="shared" si="1"/>
        <v>10.074507897716975</v>
      </c>
      <c r="H9" s="2">
        <f t="shared" si="2"/>
        <v>2.5808395794972032</v>
      </c>
      <c r="I9" s="2">
        <f t="shared" si="3"/>
        <v>16.336714538217297</v>
      </c>
      <c r="J9" s="2">
        <f t="shared" si="4"/>
        <v>6.2622066405003221</v>
      </c>
      <c r="K9" s="15">
        <f t="shared" si="13"/>
        <v>0.58051900584795324</v>
      </c>
      <c r="L9" s="2">
        <f t="shared" si="14"/>
        <v>4</v>
      </c>
      <c r="M9" s="2">
        <f t="shared" si="15"/>
        <v>6.08</v>
      </c>
      <c r="N9" s="2">
        <v>7.5</v>
      </c>
      <c r="O9" s="2">
        <v>50.26548245743669</v>
      </c>
      <c r="P9" s="11">
        <f t="shared" si="5"/>
        <v>1.492077591486519</v>
      </c>
      <c r="Q9" s="2">
        <f t="shared" si="6"/>
        <v>9.0718317562380353</v>
      </c>
      <c r="R9" s="2">
        <f t="shared" si="7"/>
        <v>2.6742901877100311</v>
      </c>
      <c r="S9" s="2">
        <f t="shared" si="8"/>
        <v>16.259684341276991</v>
      </c>
      <c r="T9" s="2">
        <f t="shared" si="9"/>
        <v>7.1878525850389554</v>
      </c>
      <c r="V9" s="34" t="s">
        <v>26</v>
      </c>
      <c r="W9" s="36"/>
      <c r="X9" s="16">
        <v>0.54027777777777775</v>
      </c>
    </row>
    <row r="10" spans="1:24" x14ac:dyDescent="0.25">
      <c r="A10" s="30">
        <f t="shared" si="10"/>
        <v>0.60752923976608186</v>
      </c>
      <c r="B10" s="2">
        <f t="shared" si="11"/>
        <v>5</v>
      </c>
      <c r="C10" s="4">
        <f t="shared" si="12"/>
        <v>6.83</v>
      </c>
      <c r="D10" s="2">
        <v>9.5</v>
      </c>
      <c r="E10" s="2">
        <v>50.26548245743669</v>
      </c>
      <c r="F10" s="11">
        <f t="shared" si="0"/>
        <v>1.8899649492162571</v>
      </c>
      <c r="G10" s="2">
        <f t="shared" si="1"/>
        <v>12.908460603147036</v>
      </c>
      <c r="H10" s="2">
        <f t="shared" si="2"/>
        <v>2.5808395794972032</v>
      </c>
      <c r="I10" s="2">
        <f t="shared" si="3"/>
        <v>17.627134327965898</v>
      </c>
      <c r="J10" s="2">
        <f t="shared" si="4"/>
        <v>4.7186737248188617</v>
      </c>
      <c r="K10" s="15">
        <f t="shared" si="13"/>
        <v>0.5807383040935673</v>
      </c>
      <c r="L10" s="2">
        <f t="shared" si="14"/>
        <v>5</v>
      </c>
      <c r="M10" s="2">
        <f t="shared" si="15"/>
        <v>6.58</v>
      </c>
      <c r="N10" s="2">
        <v>9</v>
      </c>
      <c r="O10" s="2">
        <v>50.26548245743669</v>
      </c>
      <c r="P10" s="11">
        <f t="shared" si="5"/>
        <v>1.7904931097838226</v>
      </c>
      <c r="Q10" s="2">
        <f t="shared" si="6"/>
        <v>11.781444662377552</v>
      </c>
      <c r="R10" s="2">
        <f t="shared" si="7"/>
        <v>2.6742901877100311</v>
      </c>
      <c r="S10" s="2">
        <f t="shared" si="8"/>
        <v>17.596829435132005</v>
      </c>
      <c r="T10" s="2">
        <f t="shared" si="9"/>
        <v>5.8153847727544523</v>
      </c>
      <c r="V10" s="34" t="s">
        <v>27</v>
      </c>
      <c r="W10" s="36"/>
      <c r="X10" s="6">
        <v>50</v>
      </c>
    </row>
    <row r="11" spans="1:24" x14ac:dyDescent="0.25">
      <c r="A11" s="30">
        <f t="shared" si="10"/>
        <v>0.6076754385964912</v>
      </c>
      <c r="B11" s="2">
        <f t="shared" si="11"/>
        <v>6</v>
      </c>
      <c r="C11" s="4">
        <f t="shared" si="12"/>
        <v>7.33</v>
      </c>
      <c r="D11" s="2">
        <v>11.5</v>
      </c>
      <c r="E11" s="2">
        <v>50.26548245743669</v>
      </c>
      <c r="F11" s="11">
        <f t="shared" si="0"/>
        <v>2.2878523069459957</v>
      </c>
      <c r="G11" s="2">
        <f t="shared" si="1"/>
        <v>16.769957409914149</v>
      </c>
      <c r="H11" s="2">
        <f t="shared" si="2"/>
        <v>2.5808395794972032</v>
      </c>
      <c r="I11" s="2">
        <f t="shared" si="3"/>
        <v>18.917554117714499</v>
      </c>
      <c r="J11" s="2">
        <f t="shared" si="4"/>
        <v>2.1475967078003499</v>
      </c>
      <c r="K11" s="15">
        <f t="shared" si="13"/>
        <v>0.58095760233918137</v>
      </c>
      <c r="L11" s="2">
        <f t="shared" si="14"/>
        <v>6</v>
      </c>
      <c r="M11" s="2">
        <f t="shared" si="15"/>
        <v>7.08</v>
      </c>
      <c r="N11" s="2">
        <v>10</v>
      </c>
      <c r="O11" s="2">
        <v>50.26548245743669</v>
      </c>
      <c r="P11" s="11">
        <f t="shared" si="5"/>
        <v>1.9894367886486919</v>
      </c>
      <c r="Q11" s="2">
        <f t="shared" si="6"/>
        <v>14.08521246363274</v>
      </c>
      <c r="R11" s="2">
        <f t="shared" si="7"/>
        <v>2.6742901877100311</v>
      </c>
      <c r="S11" s="2">
        <f t="shared" si="8"/>
        <v>18.933974528987022</v>
      </c>
      <c r="T11" s="2">
        <f t="shared" si="9"/>
        <v>4.8487620653542827</v>
      </c>
      <c r="V11" s="34" t="s">
        <v>28</v>
      </c>
      <c r="W11" s="36"/>
      <c r="X11" s="6">
        <v>50</v>
      </c>
    </row>
    <row r="12" spans="1:24" x14ac:dyDescent="0.25">
      <c r="A12" s="30">
        <f t="shared" si="10"/>
        <v>0.60782163742690054</v>
      </c>
      <c r="B12" s="2">
        <f t="shared" si="11"/>
        <v>7</v>
      </c>
      <c r="C12" s="4">
        <f t="shared" si="12"/>
        <v>7.83</v>
      </c>
      <c r="D12" s="23">
        <v>15.5</v>
      </c>
      <c r="E12" s="2">
        <v>50.26548245743669</v>
      </c>
      <c r="F12" s="11">
        <f t="shared" si="0"/>
        <v>3.0836270224054725</v>
      </c>
      <c r="G12" s="2">
        <f t="shared" si="1"/>
        <v>24.14479958543485</v>
      </c>
      <c r="H12" s="2">
        <f t="shared" si="2"/>
        <v>2.5808395794972032</v>
      </c>
      <c r="I12" s="2">
        <f t="shared" si="3"/>
        <v>20.207973907463103</v>
      </c>
      <c r="J12" s="2">
        <f t="shared" si="4"/>
        <v>3.936825677971747</v>
      </c>
      <c r="K12" s="15">
        <f t="shared" si="13"/>
        <v>0.58117690058479532</v>
      </c>
      <c r="L12" s="2">
        <f t="shared" si="14"/>
        <v>7</v>
      </c>
      <c r="M12" s="2">
        <f t="shared" si="15"/>
        <v>7.58</v>
      </c>
      <c r="N12" s="23">
        <v>15</v>
      </c>
      <c r="O12" s="2">
        <v>50.26548245743669</v>
      </c>
      <c r="P12" s="11">
        <f t="shared" si="5"/>
        <v>2.9841551829730379</v>
      </c>
      <c r="Q12" s="2">
        <f t="shared" si="6"/>
        <v>22.619896286935628</v>
      </c>
      <c r="R12" s="2">
        <f t="shared" si="7"/>
        <v>2.6742901877100311</v>
      </c>
      <c r="S12" s="2">
        <f t="shared" si="8"/>
        <v>20.271119622842036</v>
      </c>
      <c r="T12" s="2">
        <f t="shared" si="9"/>
        <v>2.3487766640935916</v>
      </c>
      <c r="V12" s="34" t="s">
        <v>29</v>
      </c>
      <c r="W12" s="36"/>
      <c r="X12" s="6">
        <v>50</v>
      </c>
    </row>
    <row r="13" spans="1:24" x14ac:dyDescent="0.25">
      <c r="A13" s="30">
        <f t="shared" si="10"/>
        <v>0.60796783625730988</v>
      </c>
      <c r="B13" s="2">
        <f t="shared" si="11"/>
        <v>8</v>
      </c>
      <c r="C13" s="4">
        <f t="shared" si="12"/>
        <v>8.33</v>
      </c>
      <c r="D13" s="2">
        <v>15</v>
      </c>
      <c r="E13" s="2">
        <v>50.26548245743669</v>
      </c>
      <c r="F13" s="11">
        <f t="shared" si="0"/>
        <v>2.9841551829730379</v>
      </c>
      <c r="G13" s="2">
        <f t="shared" si="1"/>
        <v>24.858012674165405</v>
      </c>
      <c r="H13" s="2">
        <f t="shared" si="2"/>
        <v>2.5808395794972032</v>
      </c>
      <c r="I13" s="2">
        <f t="shared" si="3"/>
        <v>21.498393697211704</v>
      </c>
      <c r="J13" s="2">
        <f t="shared" si="4"/>
        <v>3.3596189769537013</v>
      </c>
      <c r="K13" s="15">
        <f t="shared" si="13"/>
        <v>0.58139619883040938</v>
      </c>
      <c r="L13" s="2">
        <f t="shared" si="14"/>
        <v>8</v>
      </c>
      <c r="M13" s="2">
        <f t="shared" si="15"/>
        <v>8.08</v>
      </c>
      <c r="N13" s="2">
        <v>16</v>
      </c>
      <c r="O13" s="2">
        <v>50.26548245743669</v>
      </c>
      <c r="P13" s="11">
        <f t="shared" si="5"/>
        <v>3.183098861837907</v>
      </c>
      <c r="Q13" s="2">
        <f t="shared" si="6"/>
        <v>25.719438803650288</v>
      </c>
      <c r="R13" s="2">
        <f t="shared" si="7"/>
        <v>2.6742901877100311</v>
      </c>
      <c r="S13" s="2">
        <f t="shared" si="8"/>
        <v>21.60826471669705</v>
      </c>
      <c r="T13" s="2">
        <f t="shared" si="9"/>
        <v>4.1111740869532376</v>
      </c>
      <c r="V13" s="34" t="s">
        <v>30</v>
      </c>
      <c r="W13" s="36"/>
      <c r="X13" s="16">
        <v>0.64375000000000004</v>
      </c>
    </row>
    <row r="14" spans="1:24" x14ac:dyDescent="0.25">
      <c r="A14" s="30">
        <f t="shared" si="10"/>
        <v>0.60811403508771922</v>
      </c>
      <c r="B14" s="2">
        <f t="shared" si="11"/>
        <v>9</v>
      </c>
      <c r="C14" s="4">
        <f t="shared" si="12"/>
        <v>8.83</v>
      </c>
      <c r="D14" s="2">
        <v>17</v>
      </c>
      <c r="E14" s="2">
        <v>50.26548245743669</v>
      </c>
      <c r="F14" s="11">
        <f t="shared" si="0"/>
        <v>3.3820425407027761</v>
      </c>
      <c r="G14" s="2">
        <f t="shared" si="1"/>
        <v>29.863435634405512</v>
      </c>
      <c r="H14" s="2">
        <f t="shared" si="2"/>
        <v>2.5808395794972032</v>
      </c>
      <c r="I14" s="2">
        <f t="shared" si="3"/>
        <v>22.788813486960304</v>
      </c>
      <c r="J14" s="2">
        <f t="shared" si="4"/>
        <v>7.0746221474452078</v>
      </c>
      <c r="K14" s="15">
        <f t="shared" si="13"/>
        <v>0.58161549707602345</v>
      </c>
      <c r="L14" s="2">
        <f t="shared" si="14"/>
        <v>9</v>
      </c>
      <c r="M14" s="2">
        <f t="shared" si="15"/>
        <v>8.58</v>
      </c>
      <c r="N14" s="2">
        <v>16.5</v>
      </c>
      <c r="O14" s="2">
        <v>50.26548245743669</v>
      </c>
      <c r="P14" s="11">
        <f t="shared" si="5"/>
        <v>3.2825707012703416</v>
      </c>
      <c r="Q14" s="2">
        <f t="shared" si="6"/>
        <v>28.164456616899532</v>
      </c>
      <c r="R14" s="2">
        <f t="shared" si="7"/>
        <v>2.6742901877100311</v>
      </c>
      <c r="S14" s="2">
        <f t="shared" si="8"/>
        <v>22.945409810552068</v>
      </c>
      <c r="T14" s="2">
        <f t="shared" si="9"/>
        <v>5.219046806347464</v>
      </c>
      <c r="V14" s="34" t="s">
        <v>31</v>
      </c>
      <c r="W14" s="36"/>
      <c r="X14" s="6">
        <v>46</v>
      </c>
    </row>
    <row r="15" spans="1:24" x14ac:dyDescent="0.25">
      <c r="A15" s="30">
        <f t="shared" si="10"/>
        <v>0.60826023391812867</v>
      </c>
      <c r="B15" s="2">
        <f t="shared" si="11"/>
        <v>10</v>
      </c>
      <c r="C15" s="4">
        <f t="shared" si="12"/>
        <v>9.33</v>
      </c>
      <c r="D15" s="2">
        <v>18</v>
      </c>
      <c r="E15" s="2">
        <v>50.26548245743669</v>
      </c>
      <c r="F15" s="11">
        <f t="shared" si="0"/>
        <v>3.5809862195676452</v>
      </c>
      <c r="G15" s="2">
        <f t="shared" si="1"/>
        <v>33.410601428566132</v>
      </c>
      <c r="H15" s="2">
        <f t="shared" si="2"/>
        <v>2.5808395794972032</v>
      </c>
      <c r="I15" s="2">
        <f t="shared" si="3"/>
        <v>24.079233276708905</v>
      </c>
      <c r="J15" s="2">
        <f t="shared" si="4"/>
        <v>9.3313681518572267</v>
      </c>
      <c r="K15" s="15">
        <f t="shared" si="13"/>
        <v>0.58183479532163751</v>
      </c>
      <c r="L15" s="2">
        <f t="shared" si="14"/>
        <v>10</v>
      </c>
      <c r="M15" s="2">
        <f t="shared" si="15"/>
        <v>9.08</v>
      </c>
      <c r="N15" s="2">
        <v>17.5</v>
      </c>
      <c r="O15" s="2">
        <v>50.26548245743669</v>
      </c>
      <c r="P15" s="11">
        <f t="shared" si="5"/>
        <v>3.4815143801352106</v>
      </c>
      <c r="Q15" s="2">
        <f t="shared" si="6"/>
        <v>31.612150571627712</v>
      </c>
      <c r="R15" s="2">
        <f t="shared" si="7"/>
        <v>2.6742901877100311</v>
      </c>
      <c r="S15" s="2">
        <f t="shared" si="8"/>
        <v>24.282554904407082</v>
      </c>
      <c r="T15" s="2">
        <f t="shared" si="9"/>
        <v>7.3295956672206302</v>
      </c>
      <c r="V15" s="34" t="s">
        <v>32</v>
      </c>
      <c r="W15" s="36"/>
      <c r="X15" s="6">
        <v>47</v>
      </c>
    </row>
    <row r="16" spans="1:24" x14ac:dyDescent="0.25">
      <c r="A16" s="30">
        <f t="shared" si="10"/>
        <v>0.60840643274853801</v>
      </c>
      <c r="B16" s="2">
        <f t="shared" si="11"/>
        <v>11</v>
      </c>
      <c r="C16" s="4">
        <f t="shared" si="12"/>
        <v>9.83</v>
      </c>
      <c r="D16" s="2">
        <v>22</v>
      </c>
      <c r="E16" s="2">
        <v>50.26548245743669</v>
      </c>
      <c r="F16" s="11">
        <f t="shared" si="0"/>
        <v>4.3767609350271215</v>
      </c>
      <c r="G16" s="2">
        <f t="shared" si="1"/>
        <v>43.023559991316603</v>
      </c>
      <c r="H16" s="2">
        <f t="shared" si="2"/>
        <v>2.5808395794972032</v>
      </c>
      <c r="I16" s="2">
        <f t="shared" si="3"/>
        <v>25.369653066457509</v>
      </c>
      <c r="J16" s="2">
        <f t="shared" si="4"/>
        <v>17.653906924859093</v>
      </c>
      <c r="K16" s="15">
        <f t="shared" si="13"/>
        <v>0.58205409356725146</v>
      </c>
      <c r="L16" s="2">
        <f t="shared" si="14"/>
        <v>11</v>
      </c>
      <c r="M16" s="2">
        <f t="shared" si="15"/>
        <v>9.58</v>
      </c>
      <c r="N16" s="2">
        <v>18.5</v>
      </c>
      <c r="O16" s="2">
        <v>50.26548245743669</v>
      </c>
      <c r="P16" s="11">
        <f t="shared" si="5"/>
        <v>3.6804580590000797</v>
      </c>
      <c r="Q16" s="2">
        <f t="shared" si="6"/>
        <v>35.258788205220768</v>
      </c>
      <c r="R16" s="2">
        <f t="shared" si="7"/>
        <v>2.6742901877100311</v>
      </c>
      <c r="S16" s="2">
        <f t="shared" si="8"/>
        <v>25.619699998262099</v>
      </c>
      <c r="T16" s="2">
        <f t="shared" si="9"/>
        <v>9.6390882069586681</v>
      </c>
      <c r="V16" s="34" t="s">
        <v>33</v>
      </c>
      <c r="W16" s="36"/>
      <c r="X16" s="6">
        <v>46.5</v>
      </c>
    </row>
    <row r="17" spans="1:24" x14ac:dyDescent="0.25">
      <c r="A17" s="30">
        <f t="shared" si="10"/>
        <v>0.60855263157894735</v>
      </c>
      <c r="B17" s="2">
        <f t="shared" si="11"/>
        <v>12</v>
      </c>
      <c r="C17" s="4">
        <f t="shared" si="12"/>
        <v>10.33</v>
      </c>
      <c r="D17" s="2">
        <v>20.5</v>
      </c>
      <c r="E17" s="2">
        <v>50.26548245743669</v>
      </c>
      <c r="F17" s="11">
        <f t="shared" si="0"/>
        <v>4.0783454167298183</v>
      </c>
      <c r="G17" s="2">
        <f t="shared" si="1"/>
        <v>42.129308154819022</v>
      </c>
      <c r="H17" s="2">
        <f t="shared" si="2"/>
        <v>2.5808395794972032</v>
      </c>
      <c r="I17" s="2">
        <f t="shared" si="3"/>
        <v>26.66007285620611</v>
      </c>
      <c r="J17" s="2">
        <f t="shared" si="4"/>
        <v>15.469235298612912</v>
      </c>
      <c r="K17" s="15">
        <f t="shared" si="13"/>
        <v>0.58227339181286553</v>
      </c>
      <c r="L17" s="2">
        <f t="shared" si="14"/>
        <v>12</v>
      </c>
      <c r="M17" s="2">
        <f t="shared" si="15"/>
        <v>10.08</v>
      </c>
      <c r="N17" s="2">
        <v>21</v>
      </c>
      <c r="O17" s="2">
        <v>50.26548245743669</v>
      </c>
      <c r="P17" s="11">
        <f t="shared" si="5"/>
        <v>4.1778172561622533</v>
      </c>
      <c r="Q17" s="2">
        <f t="shared" si="6"/>
        <v>42.112397942115514</v>
      </c>
      <c r="R17" s="2">
        <f t="shared" si="7"/>
        <v>2.6742901877100311</v>
      </c>
      <c r="S17" s="2">
        <f t="shared" si="8"/>
        <v>26.956845092117113</v>
      </c>
      <c r="T17" s="2">
        <f t="shared" si="9"/>
        <v>15.155552849998401</v>
      </c>
      <c r="V17" s="38" t="s">
        <v>34</v>
      </c>
      <c r="W17" s="36"/>
      <c r="X17" s="17">
        <f>((X10-X14)+(X11-X15)+(X12-X16))/3</f>
        <v>3.5</v>
      </c>
    </row>
    <row r="18" spans="1:24" x14ac:dyDescent="0.25">
      <c r="A18" s="30">
        <f t="shared" si="10"/>
        <v>0.60869883040935668</v>
      </c>
      <c r="B18" s="2">
        <f t="shared" si="11"/>
        <v>13</v>
      </c>
      <c r="C18" s="4">
        <f t="shared" si="12"/>
        <v>10.83</v>
      </c>
      <c r="D18" s="2">
        <v>19.5</v>
      </c>
      <c r="E18" s="2">
        <v>50.26548245743669</v>
      </c>
      <c r="F18" s="11">
        <f t="shared" si="0"/>
        <v>3.8794017378649488</v>
      </c>
      <c r="G18" s="2">
        <f t="shared" si="1"/>
        <v>42.013920821077399</v>
      </c>
      <c r="H18" s="2">
        <f t="shared" si="2"/>
        <v>2.5808395794972032</v>
      </c>
      <c r="I18" s="2">
        <f t="shared" si="3"/>
        <v>27.950492645954711</v>
      </c>
      <c r="J18" s="2">
        <f t="shared" si="4"/>
        <v>14.063428175122688</v>
      </c>
      <c r="K18" s="15">
        <f t="shared" si="13"/>
        <v>0.58249269005847959</v>
      </c>
      <c r="L18" s="2">
        <f t="shared" si="14"/>
        <v>13</v>
      </c>
      <c r="M18" s="2">
        <f t="shared" si="15"/>
        <v>10.58</v>
      </c>
      <c r="N18" s="2">
        <v>19</v>
      </c>
      <c r="O18" s="2">
        <v>50.26548245743669</v>
      </c>
      <c r="P18" s="11">
        <f t="shared" si="5"/>
        <v>3.7799298984325143</v>
      </c>
      <c r="Q18" s="2">
        <f t="shared" si="6"/>
        <v>39.991658325416005</v>
      </c>
      <c r="R18" s="2">
        <f t="shared" si="7"/>
        <v>2.6742901877100311</v>
      </c>
      <c r="S18" s="2">
        <f t="shared" si="8"/>
        <v>28.293990185972131</v>
      </c>
      <c r="T18" s="2">
        <f t="shared" si="9"/>
        <v>11.697668139443874</v>
      </c>
      <c r="V18" s="38" t="s">
        <v>35</v>
      </c>
      <c r="W18" s="36"/>
      <c r="X18" s="18" t="s">
        <v>41</v>
      </c>
    </row>
    <row r="19" spans="1:24" x14ac:dyDescent="0.25">
      <c r="A19" s="30">
        <f t="shared" si="10"/>
        <v>0.60884502923976602</v>
      </c>
      <c r="B19" s="2">
        <f t="shared" si="11"/>
        <v>14</v>
      </c>
      <c r="C19" s="4">
        <f t="shared" si="12"/>
        <v>11.33</v>
      </c>
      <c r="D19" s="2">
        <v>19.5</v>
      </c>
      <c r="E19" s="2">
        <v>50.26548245743669</v>
      </c>
      <c r="F19" s="11">
        <f t="shared" si="0"/>
        <v>3.8794017378649488</v>
      </c>
      <c r="G19" s="2">
        <f t="shared" si="1"/>
        <v>43.953621690009868</v>
      </c>
      <c r="H19" s="2">
        <f t="shared" si="2"/>
        <v>2.5808395794972032</v>
      </c>
      <c r="I19" s="2">
        <f t="shared" si="3"/>
        <v>29.240912435703311</v>
      </c>
      <c r="J19" s="2">
        <f t="shared" si="4"/>
        <v>14.712709254306557</v>
      </c>
      <c r="K19" s="15">
        <f t="shared" si="13"/>
        <v>0.58271198830409365</v>
      </c>
      <c r="L19" s="2">
        <f t="shared" si="14"/>
        <v>14</v>
      </c>
      <c r="M19" s="2">
        <f t="shared" si="15"/>
        <v>11.08</v>
      </c>
      <c r="N19" s="2">
        <v>18</v>
      </c>
      <c r="O19" s="2">
        <v>50.26548245743669</v>
      </c>
      <c r="P19" s="11">
        <f t="shared" si="5"/>
        <v>3.5809862195676452</v>
      </c>
      <c r="Q19" s="2">
        <f t="shared" si="6"/>
        <v>39.67732731280951</v>
      </c>
      <c r="R19" s="2">
        <f t="shared" si="7"/>
        <v>2.6742901877100311</v>
      </c>
      <c r="S19" s="2">
        <f t="shared" si="8"/>
        <v>29.631135279827145</v>
      </c>
      <c r="T19" s="2">
        <f t="shared" si="9"/>
        <v>10.046192032982365</v>
      </c>
      <c r="V19" s="39" t="s">
        <v>37</v>
      </c>
      <c r="W19" s="35"/>
      <c r="X19" s="36"/>
    </row>
    <row r="20" spans="1:24" x14ac:dyDescent="0.25">
      <c r="A20" s="30">
        <f t="shared" si="10"/>
        <v>0.60899122807017547</v>
      </c>
      <c r="B20" s="2">
        <f t="shared" si="11"/>
        <v>15</v>
      </c>
      <c r="C20" s="4">
        <f t="shared" si="12"/>
        <v>11.83</v>
      </c>
      <c r="D20" s="2">
        <v>19</v>
      </c>
      <c r="E20" s="2">
        <v>50.26548245743669</v>
      </c>
      <c r="F20" s="11">
        <f t="shared" si="0"/>
        <v>3.7799298984325143</v>
      </c>
      <c r="G20" s="2">
        <f t="shared" si="1"/>
        <v>44.716570698456643</v>
      </c>
      <c r="H20" s="2">
        <f t="shared" si="2"/>
        <v>2.5808395794972032</v>
      </c>
      <c r="I20" s="2">
        <f t="shared" si="3"/>
        <v>30.531332225451916</v>
      </c>
      <c r="J20" s="2">
        <f t="shared" si="4"/>
        <v>14.185238473004727</v>
      </c>
      <c r="K20" s="15">
        <f t="shared" si="13"/>
        <v>0.58293128654970761</v>
      </c>
      <c r="L20" s="2">
        <f t="shared" si="14"/>
        <v>15</v>
      </c>
      <c r="M20" s="2">
        <f t="shared" si="15"/>
        <v>11.58</v>
      </c>
      <c r="N20" s="2">
        <v>18</v>
      </c>
      <c r="O20" s="2">
        <v>50.26548245743669</v>
      </c>
      <c r="P20" s="11">
        <f t="shared" si="5"/>
        <v>3.5809862195676452</v>
      </c>
      <c r="Q20" s="2">
        <f t="shared" si="6"/>
        <v>41.467820422593334</v>
      </c>
      <c r="R20" s="2">
        <f t="shared" si="7"/>
        <v>2.6742901877100311</v>
      </c>
      <c r="S20" s="2">
        <f t="shared" si="8"/>
        <v>30.968280373682159</v>
      </c>
      <c r="T20" s="2">
        <f t="shared" si="9"/>
        <v>10.499540048911175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30">
        <f t="shared" si="10"/>
        <v>0.60913742690058481</v>
      </c>
      <c r="B21" s="2">
        <f t="shared" si="11"/>
        <v>16</v>
      </c>
      <c r="C21" s="4">
        <f t="shared" si="12"/>
        <v>12.33</v>
      </c>
      <c r="D21" s="2">
        <v>16.5</v>
      </c>
      <c r="E21" s="2">
        <v>50.26548245743669</v>
      </c>
      <c r="F21" s="11">
        <f t="shared" si="0"/>
        <v>3.2825707012703416</v>
      </c>
      <c r="G21" s="2">
        <f t="shared" si="1"/>
        <v>40.474096746663314</v>
      </c>
      <c r="H21" s="2">
        <f t="shared" si="2"/>
        <v>2.5808395794972032</v>
      </c>
      <c r="I21" s="2">
        <f t="shared" si="3"/>
        <v>31.821752015200516</v>
      </c>
      <c r="J21" s="2">
        <f t="shared" si="4"/>
        <v>8.6523447314627973</v>
      </c>
      <c r="K21" s="15">
        <f t="shared" si="13"/>
        <v>0.58315058479532167</v>
      </c>
      <c r="L21" s="2">
        <f t="shared" si="14"/>
        <v>16</v>
      </c>
      <c r="M21" s="2">
        <f t="shared" si="15"/>
        <v>12.08</v>
      </c>
      <c r="N21" s="2">
        <v>20</v>
      </c>
      <c r="O21" s="2">
        <v>50.26548245743669</v>
      </c>
      <c r="P21" s="11">
        <f t="shared" si="5"/>
        <v>3.9788735772973838</v>
      </c>
      <c r="Q21" s="2">
        <f t="shared" si="6"/>
        <v>48.064792813752398</v>
      </c>
      <c r="R21" s="2">
        <f t="shared" si="7"/>
        <v>2.6742901877100311</v>
      </c>
      <c r="S21" s="2">
        <f t="shared" si="8"/>
        <v>32.305425467537177</v>
      </c>
      <c r="T21" s="2">
        <f t="shared" si="9"/>
        <v>15.759367346215221</v>
      </c>
      <c r="V21" s="39" t="s">
        <v>39</v>
      </c>
      <c r="W21" s="36"/>
      <c r="X21" s="20">
        <f>(J2+T2)/2</f>
        <v>87.850876834751034</v>
      </c>
    </row>
    <row r="22" spans="1:24" x14ac:dyDescent="0.25">
      <c r="A22" s="30">
        <f t="shared" si="10"/>
        <v>0.60928362573099415</v>
      </c>
      <c r="B22" s="2">
        <f t="shared" si="11"/>
        <v>17</v>
      </c>
      <c r="C22" s="4">
        <f t="shared" si="12"/>
        <v>12.83</v>
      </c>
      <c r="D22" s="2">
        <v>15</v>
      </c>
      <c r="E22" s="2">
        <v>50.26548245743669</v>
      </c>
      <c r="F22" s="11">
        <f t="shared" si="0"/>
        <v>2.9841551829730379</v>
      </c>
      <c r="G22" s="2">
        <f t="shared" si="1"/>
        <v>38.286710997544077</v>
      </c>
      <c r="H22" s="2">
        <f t="shared" si="2"/>
        <v>2.5808395794972032</v>
      </c>
      <c r="I22" s="2">
        <f t="shared" si="3"/>
        <v>33.112171804949121</v>
      </c>
      <c r="J22" s="2">
        <f t="shared" si="4"/>
        <v>5.1745391925949562</v>
      </c>
      <c r="K22" s="15">
        <f t="shared" si="13"/>
        <v>0.58336988304093573</v>
      </c>
      <c r="L22" s="2">
        <f t="shared" si="14"/>
        <v>17</v>
      </c>
      <c r="M22" s="2">
        <f t="shared" si="15"/>
        <v>12.58</v>
      </c>
      <c r="N22" s="2">
        <v>15.5</v>
      </c>
      <c r="O22" s="2">
        <v>50.26548245743669</v>
      </c>
      <c r="P22" s="11">
        <f t="shared" si="5"/>
        <v>3.0836270224054725</v>
      </c>
      <c r="Q22" s="2">
        <f t="shared" si="6"/>
        <v>38.792027941860844</v>
      </c>
      <c r="R22" s="2">
        <f t="shared" si="7"/>
        <v>2.6742901877100311</v>
      </c>
      <c r="S22" s="2">
        <f t="shared" si="8"/>
        <v>33.642570561392191</v>
      </c>
      <c r="T22" s="2">
        <f t="shared" si="9"/>
        <v>5.1494573804686539</v>
      </c>
      <c r="V22" s="27"/>
      <c r="W22" s="27"/>
      <c r="X22" s="28"/>
    </row>
    <row r="23" spans="1:24" x14ac:dyDescent="0.25">
      <c r="A23" s="30">
        <f t="shared" si="10"/>
        <v>0.60942982456140349</v>
      </c>
      <c r="B23" s="2">
        <f t="shared" si="11"/>
        <v>18</v>
      </c>
      <c r="C23" s="4">
        <f t="shared" si="12"/>
        <v>13.33</v>
      </c>
      <c r="D23" s="2">
        <v>14.5</v>
      </c>
      <c r="E23" s="2">
        <v>50.26548245743669</v>
      </c>
      <c r="F23" s="11">
        <f t="shared" si="0"/>
        <v>2.8846833435406034</v>
      </c>
      <c r="G23" s="2">
        <f t="shared" si="1"/>
        <v>38.452828969396244</v>
      </c>
      <c r="H23" s="2">
        <f t="shared" si="2"/>
        <v>2.5808395794972032</v>
      </c>
      <c r="I23" s="2">
        <f t="shared" si="3"/>
        <v>34.402591594697718</v>
      </c>
      <c r="J23" s="2">
        <f t="shared" si="4"/>
        <v>4.0502373746985256</v>
      </c>
      <c r="K23" s="15">
        <f t="shared" si="13"/>
        <v>0.5835891812865498</v>
      </c>
      <c r="L23" s="2">
        <f t="shared" si="14"/>
        <v>18</v>
      </c>
      <c r="M23" s="2">
        <f t="shared" si="15"/>
        <v>13.08</v>
      </c>
      <c r="N23" s="2">
        <v>16</v>
      </c>
      <c r="O23" s="2">
        <v>50.26548245743669</v>
      </c>
      <c r="P23" s="11">
        <f t="shared" si="5"/>
        <v>3.183098861837907</v>
      </c>
      <c r="Q23" s="2">
        <f t="shared" si="6"/>
        <v>41.634933112839825</v>
      </c>
      <c r="R23" s="2">
        <f t="shared" si="7"/>
        <v>2.6742901877100311</v>
      </c>
      <c r="S23" s="2">
        <f t="shared" si="8"/>
        <v>34.979715655247205</v>
      </c>
      <c r="T23" s="2">
        <f t="shared" si="9"/>
        <v>6.6552174575926202</v>
      </c>
      <c r="V23" s="34" t="s">
        <v>45</v>
      </c>
      <c r="W23" s="35"/>
      <c r="X23" s="36"/>
    </row>
    <row r="24" spans="1:24" x14ac:dyDescent="0.25">
      <c r="A24" s="30">
        <f t="shared" si="10"/>
        <v>0.60957602339181283</v>
      </c>
      <c r="B24" s="2">
        <f t="shared" si="11"/>
        <v>19</v>
      </c>
      <c r="C24" s="4">
        <f t="shared" si="12"/>
        <v>13.83</v>
      </c>
      <c r="D24" s="2">
        <v>17</v>
      </c>
      <c r="E24" s="2">
        <v>50.26548245743669</v>
      </c>
      <c r="F24" s="11">
        <f t="shared" si="0"/>
        <v>3.3820425407027761</v>
      </c>
      <c r="G24" s="2">
        <f t="shared" si="1"/>
        <v>46.773648337919397</v>
      </c>
      <c r="H24" s="2">
        <f t="shared" si="2"/>
        <v>2.5808395794972032</v>
      </c>
      <c r="I24" s="2">
        <f t="shared" si="3"/>
        <v>35.693011384446322</v>
      </c>
      <c r="J24" s="2">
        <f t="shared" si="4"/>
        <v>11.080636953473075</v>
      </c>
      <c r="K24" s="15">
        <f t="shared" si="13"/>
        <v>0.58380847953216375</v>
      </c>
      <c r="L24" s="2">
        <f t="shared" si="14"/>
        <v>19</v>
      </c>
      <c r="M24" s="2">
        <f t="shared" si="15"/>
        <v>13.58</v>
      </c>
      <c r="N24" s="2">
        <v>15</v>
      </c>
      <c r="O24" s="2">
        <v>50.26548245743669</v>
      </c>
      <c r="P24" s="11">
        <f t="shared" si="5"/>
        <v>2.9841551829730379</v>
      </c>
      <c r="Q24" s="2">
        <f t="shared" si="6"/>
        <v>40.524827384773857</v>
      </c>
      <c r="R24" s="2">
        <f t="shared" si="7"/>
        <v>2.6742901877100311</v>
      </c>
      <c r="S24" s="2">
        <f t="shared" si="8"/>
        <v>36.316860749102226</v>
      </c>
      <c r="T24" s="2">
        <f t="shared" si="9"/>
        <v>4.2079666356716316</v>
      </c>
      <c r="V24" s="49" t="s">
        <v>46</v>
      </c>
      <c r="W24" s="35"/>
      <c r="X24" s="36"/>
    </row>
    <row r="25" spans="1:24" x14ac:dyDescent="0.25">
      <c r="A25" s="30">
        <f t="shared" si="10"/>
        <v>0.60972222222222228</v>
      </c>
      <c r="B25" s="2">
        <f t="shared" si="11"/>
        <v>20</v>
      </c>
      <c r="C25" s="4">
        <f t="shared" si="12"/>
        <v>14.33</v>
      </c>
      <c r="D25" s="2">
        <v>15.5</v>
      </c>
      <c r="E25" s="2">
        <v>50.26548245743669</v>
      </c>
      <c r="F25" s="11">
        <f t="shared" si="0"/>
        <v>3.0836270224054725</v>
      </c>
      <c r="G25" s="2">
        <f t="shared" si="1"/>
        <v>44.188375231070424</v>
      </c>
      <c r="H25" s="2">
        <f t="shared" si="2"/>
        <v>2.5808395794972032</v>
      </c>
      <c r="I25" s="2">
        <f t="shared" si="3"/>
        <v>36.983431174194919</v>
      </c>
      <c r="J25" s="2">
        <f t="shared" si="4"/>
        <v>7.2049440568755045</v>
      </c>
      <c r="K25" s="15">
        <f t="shared" si="13"/>
        <v>0.58402777777777781</v>
      </c>
      <c r="L25" s="2">
        <f t="shared" si="14"/>
        <v>20</v>
      </c>
      <c r="M25" s="2">
        <f t="shared" si="15"/>
        <v>14.08</v>
      </c>
      <c r="N25" s="2">
        <v>16.5</v>
      </c>
      <c r="O25" s="2">
        <v>50.26548245743669</v>
      </c>
      <c r="P25" s="11">
        <f t="shared" si="5"/>
        <v>3.2825707012703416</v>
      </c>
      <c r="Q25" s="2">
        <f t="shared" si="6"/>
        <v>46.21859547388641</v>
      </c>
      <c r="R25" s="2">
        <f t="shared" si="7"/>
        <v>2.6742901877100311</v>
      </c>
      <c r="S25" s="2">
        <f t="shared" si="8"/>
        <v>37.65400584295724</v>
      </c>
      <c r="T25" s="2">
        <f t="shared" si="9"/>
        <v>8.56458963092917</v>
      </c>
      <c r="V25" s="34" t="s">
        <v>47</v>
      </c>
      <c r="W25" s="35"/>
      <c r="X25" s="36"/>
    </row>
    <row r="26" spans="1:24" x14ac:dyDescent="0.25">
      <c r="A26" s="30">
        <f t="shared" si="10"/>
        <v>0.60986842105263162</v>
      </c>
      <c r="B26" s="2">
        <f t="shared" si="11"/>
        <v>21</v>
      </c>
      <c r="C26" s="4">
        <f t="shared" si="12"/>
        <v>14.83</v>
      </c>
      <c r="D26" s="2">
        <v>15</v>
      </c>
      <c r="E26" s="2">
        <v>50.26548245743669</v>
      </c>
      <c r="F26" s="11">
        <f t="shared" si="0"/>
        <v>2.9841551829730379</v>
      </c>
      <c r="G26" s="2">
        <f t="shared" si="1"/>
        <v>44.255021363490151</v>
      </c>
      <c r="H26" s="2">
        <f t="shared" si="2"/>
        <v>2.5808395794972032</v>
      </c>
      <c r="I26" s="2">
        <f t="shared" si="3"/>
        <v>38.273850963943524</v>
      </c>
      <c r="J26" s="2">
        <f t="shared" si="4"/>
        <v>5.9811703995466274</v>
      </c>
      <c r="K26" s="15">
        <f t="shared" si="13"/>
        <v>0.58424707602339188</v>
      </c>
      <c r="L26" s="2">
        <f t="shared" si="14"/>
        <v>21</v>
      </c>
      <c r="M26" s="2">
        <f t="shared" si="15"/>
        <v>14.58</v>
      </c>
      <c r="N26" s="2">
        <v>13.5</v>
      </c>
      <c r="O26" s="2">
        <v>50.26548245743669</v>
      </c>
      <c r="P26" s="11">
        <f t="shared" si="5"/>
        <v>2.6857396646757339</v>
      </c>
      <c r="Q26" s="2">
        <f t="shared" si="6"/>
        <v>39.1580843109722</v>
      </c>
      <c r="R26" s="2">
        <f t="shared" si="7"/>
        <v>2.6742901877100311</v>
      </c>
      <c r="S26" s="2">
        <f t="shared" si="8"/>
        <v>38.991150936812254</v>
      </c>
      <c r="T26" s="2">
        <f t="shared" si="9"/>
        <v>0.16693337415994591</v>
      </c>
      <c r="V26" s="49" t="s">
        <v>48</v>
      </c>
      <c r="W26" s="35"/>
      <c r="X26" s="36"/>
    </row>
    <row r="27" spans="1:24" x14ac:dyDescent="0.25">
      <c r="A27" s="30">
        <f t="shared" si="10"/>
        <v>0.61001461988304095</v>
      </c>
      <c r="B27" s="2">
        <f t="shared" si="11"/>
        <v>22</v>
      </c>
      <c r="C27" s="4">
        <f t="shared" si="12"/>
        <v>15.33</v>
      </c>
      <c r="D27" s="2">
        <v>14</v>
      </c>
      <c r="E27" s="2">
        <v>50.26548245743669</v>
      </c>
      <c r="F27" s="11">
        <f t="shared" si="0"/>
        <v>2.7852115041081689</v>
      </c>
      <c r="G27" s="2">
        <f t="shared" si="1"/>
        <v>42.697292357978228</v>
      </c>
      <c r="H27" s="2">
        <f t="shared" si="2"/>
        <v>2.5808395794972032</v>
      </c>
      <c r="I27" s="2">
        <f t="shared" si="3"/>
        <v>39.564270753692128</v>
      </c>
      <c r="J27" s="2">
        <f t="shared" si="4"/>
        <v>3.1330216042860997</v>
      </c>
      <c r="K27" s="15">
        <f t="shared" si="13"/>
        <v>0.58446637426900583</v>
      </c>
      <c r="L27" s="2">
        <f t="shared" si="14"/>
        <v>22</v>
      </c>
      <c r="M27" s="2">
        <f t="shared" si="15"/>
        <v>15.08</v>
      </c>
      <c r="N27" s="2">
        <v>14</v>
      </c>
      <c r="O27" s="2">
        <v>50.26548245743669</v>
      </c>
      <c r="P27" s="11">
        <f t="shared" si="5"/>
        <v>2.7852115041081689</v>
      </c>
      <c r="Q27" s="2">
        <f t="shared" si="6"/>
        <v>42.000989481951187</v>
      </c>
      <c r="R27" s="2">
        <f t="shared" si="7"/>
        <v>2.6742901877100311</v>
      </c>
      <c r="S27" s="2">
        <f t="shared" si="8"/>
        <v>40.328296030667268</v>
      </c>
      <c r="T27" s="2">
        <f t="shared" si="9"/>
        <v>1.6726934512839193</v>
      </c>
      <c r="V27" s="29"/>
      <c r="W27" s="29"/>
      <c r="X27" s="29"/>
    </row>
    <row r="28" spans="1:24" x14ac:dyDescent="0.25">
      <c r="A28" s="30">
        <f t="shared" si="10"/>
        <v>0.61016081871345029</v>
      </c>
      <c r="B28" s="2">
        <f t="shared" si="11"/>
        <v>23</v>
      </c>
      <c r="C28" s="4">
        <f t="shared" si="12"/>
        <v>15.83</v>
      </c>
      <c r="D28" s="2">
        <v>13.5</v>
      </c>
      <c r="E28" s="2">
        <v>50.26548245743669</v>
      </c>
      <c r="F28" s="11">
        <f t="shared" si="0"/>
        <v>2.6857396646757339</v>
      </c>
      <c r="G28" s="2">
        <f t="shared" si="1"/>
        <v>42.51525889181687</v>
      </c>
      <c r="H28" s="2">
        <f t="shared" si="2"/>
        <v>2.5808395794972032</v>
      </c>
      <c r="I28" s="2">
        <f t="shared" si="3"/>
        <v>40.854690543440725</v>
      </c>
      <c r="J28" s="2">
        <f t="shared" si="4"/>
        <v>1.6605683483761453</v>
      </c>
      <c r="K28" s="15">
        <f t="shared" si="13"/>
        <v>0.58468567251461989</v>
      </c>
      <c r="L28" s="2">
        <f t="shared" si="14"/>
        <v>23</v>
      </c>
      <c r="M28" s="2">
        <f t="shared" si="15"/>
        <v>15.58</v>
      </c>
      <c r="N28" s="2">
        <v>14</v>
      </c>
      <c r="O28" s="2">
        <v>50.26548245743669</v>
      </c>
      <c r="P28" s="11">
        <f t="shared" si="5"/>
        <v>2.7852115041081689</v>
      </c>
      <c r="Q28" s="2">
        <f t="shared" si="6"/>
        <v>43.393595234005268</v>
      </c>
      <c r="R28" s="2">
        <f t="shared" si="7"/>
        <v>2.6742901877100311</v>
      </c>
      <c r="S28" s="2">
        <f t="shared" si="8"/>
        <v>41.665441124522282</v>
      </c>
      <c r="T28" s="2">
        <f t="shared" si="9"/>
        <v>1.7281541094829862</v>
      </c>
      <c r="V28" s="24" t="s">
        <v>49</v>
      </c>
      <c r="W28" s="24" t="s">
        <v>50</v>
      </c>
      <c r="X28" s="29"/>
    </row>
    <row r="29" spans="1:24" x14ac:dyDescent="0.25">
      <c r="A29" s="30">
        <f t="shared" si="10"/>
        <v>0.61030701754385963</v>
      </c>
      <c r="B29" s="2">
        <f t="shared" si="11"/>
        <v>24</v>
      </c>
      <c r="C29" s="4">
        <f t="shared" si="12"/>
        <v>16.329999999999998</v>
      </c>
      <c r="D29" s="2">
        <v>25</v>
      </c>
      <c r="E29" s="2">
        <v>50.26548245743669</v>
      </c>
      <c r="F29" s="11">
        <f t="shared" si="0"/>
        <v>4.9735919716217296</v>
      </c>
      <c r="G29" s="2">
        <f t="shared" si="1"/>
        <v>81.218756896582832</v>
      </c>
      <c r="H29" s="2">
        <f t="shared" si="2"/>
        <v>2.5808395794972032</v>
      </c>
      <c r="I29" s="2">
        <f t="shared" si="3"/>
        <v>42.145110333189322</v>
      </c>
      <c r="J29" s="2">
        <f t="shared" si="4"/>
        <v>39.07364656339351</v>
      </c>
      <c r="K29" s="15">
        <f t="shared" si="13"/>
        <v>0.58490497076023396</v>
      </c>
      <c r="L29" s="2">
        <f t="shared" si="14"/>
        <v>24</v>
      </c>
      <c r="M29" s="2">
        <f t="shared" si="15"/>
        <v>16.079999999999998</v>
      </c>
      <c r="N29" s="2">
        <v>14</v>
      </c>
      <c r="O29" s="2">
        <v>50.26548245743669</v>
      </c>
      <c r="P29" s="11">
        <f t="shared" si="5"/>
        <v>2.7852115041081689</v>
      </c>
      <c r="Q29" s="2">
        <f t="shared" si="6"/>
        <v>44.786200986059349</v>
      </c>
      <c r="R29" s="2">
        <f t="shared" si="7"/>
        <v>2.6742901877100311</v>
      </c>
      <c r="S29" s="2">
        <f t="shared" si="8"/>
        <v>43.002586218377296</v>
      </c>
      <c r="T29" s="2">
        <f t="shared" si="9"/>
        <v>1.7836147676820531</v>
      </c>
      <c r="V29" s="24">
        <f>MAX(D4:D160)</f>
        <v>26</v>
      </c>
      <c r="W29" s="24">
        <f>MAX(N4:N160)</f>
        <v>26</v>
      </c>
      <c r="X29" s="29"/>
    </row>
    <row r="30" spans="1:24" x14ac:dyDescent="0.25">
      <c r="A30" s="30">
        <f t="shared" si="10"/>
        <v>0.61045321637426897</v>
      </c>
      <c r="B30" s="2">
        <f t="shared" si="11"/>
        <v>25</v>
      </c>
      <c r="C30" s="4">
        <f t="shared" si="12"/>
        <v>16.829999999999998</v>
      </c>
      <c r="D30" s="2">
        <v>11.5</v>
      </c>
      <c r="E30" s="2">
        <v>50.26548245743669</v>
      </c>
      <c r="F30" s="11">
        <f t="shared" si="0"/>
        <v>2.2878523069459957</v>
      </c>
      <c r="G30" s="2">
        <f t="shared" si="1"/>
        <v>38.504554325901104</v>
      </c>
      <c r="H30" s="2">
        <f t="shared" si="2"/>
        <v>2.5808395794972032</v>
      </c>
      <c r="I30" s="2">
        <f t="shared" si="3"/>
        <v>43.435530122937926</v>
      </c>
      <c r="J30" s="2">
        <f t="shared" si="4"/>
        <v>4.9309757970368224</v>
      </c>
      <c r="K30" s="15">
        <f t="shared" si="13"/>
        <v>0.58512426900584802</v>
      </c>
      <c r="L30" s="2">
        <f t="shared" si="14"/>
        <v>25</v>
      </c>
      <c r="M30" s="2">
        <f t="shared" si="15"/>
        <v>16.579999999999998</v>
      </c>
      <c r="N30" s="2">
        <v>15</v>
      </c>
      <c r="O30" s="2">
        <v>50.26548245743669</v>
      </c>
      <c r="P30" s="11">
        <f t="shared" si="5"/>
        <v>2.9841551829730379</v>
      </c>
      <c r="Q30" s="2">
        <f t="shared" si="6"/>
        <v>49.477292933692965</v>
      </c>
      <c r="R30" s="2">
        <f t="shared" si="7"/>
        <v>2.6742901877100311</v>
      </c>
      <c r="S30" s="2">
        <f t="shared" si="8"/>
        <v>44.33973131223231</v>
      </c>
      <c r="T30" s="2">
        <f t="shared" si="9"/>
        <v>5.1375616214606552</v>
      </c>
      <c r="V30" s="24" t="s">
        <v>14</v>
      </c>
      <c r="W30" s="24" t="s">
        <v>14</v>
      </c>
      <c r="X30" s="29"/>
    </row>
    <row r="31" spans="1:24" x14ac:dyDescent="0.25">
      <c r="A31" s="30">
        <f t="shared" si="10"/>
        <v>0.61059941520467842</v>
      </c>
      <c r="B31" s="2">
        <f t="shared" si="11"/>
        <v>26</v>
      </c>
      <c r="C31" s="4">
        <f t="shared" si="12"/>
        <v>17.329999999999998</v>
      </c>
      <c r="D31" s="2">
        <v>12.5</v>
      </c>
      <c r="E31" s="2">
        <v>50.26548245743669</v>
      </c>
      <c r="F31" s="11">
        <f t="shared" si="0"/>
        <v>2.4867959858108648</v>
      </c>
      <c r="G31" s="2">
        <f t="shared" si="1"/>
        <v>43.096174434102281</v>
      </c>
      <c r="H31" s="2">
        <f t="shared" si="2"/>
        <v>2.5808395794972032</v>
      </c>
      <c r="I31" s="2">
        <f t="shared" si="3"/>
        <v>44.725949912686531</v>
      </c>
      <c r="J31" s="2">
        <f t="shared" si="4"/>
        <v>1.62977547858425</v>
      </c>
      <c r="K31" s="15">
        <f t="shared" si="13"/>
        <v>0.58534356725146197</v>
      </c>
      <c r="L31" s="2">
        <f t="shared" si="14"/>
        <v>26</v>
      </c>
      <c r="M31" s="2">
        <f t="shared" si="15"/>
        <v>17.079999999999998</v>
      </c>
      <c r="N31" s="2">
        <v>13</v>
      </c>
      <c r="O31" s="2">
        <v>50.26548245743669</v>
      </c>
      <c r="P31" s="11">
        <f t="shared" si="5"/>
        <v>2.5862678252432989</v>
      </c>
      <c r="Q31" s="2">
        <f t="shared" si="6"/>
        <v>44.173454455155543</v>
      </c>
      <c r="R31" s="2">
        <f t="shared" si="7"/>
        <v>2.6742901877100311</v>
      </c>
      <c r="S31" s="2">
        <f t="shared" si="8"/>
        <v>45.676876406087324</v>
      </c>
      <c r="T31" s="2">
        <f t="shared" si="9"/>
        <v>1.5034219509317808</v>
      </c>
      <c r="V31" s="24">
        <f t="array" ref="V31">INDEX(B4:B160, MATCH(MAX(D4:D160), D4:D160, 0))</f>
        <v>28</v>
      </c>
      <c r="W31" s="24">
        <f t="array" ref="W31">INDEX(L4:L160, MATCH(MAX(N4:N160), N4:N160, 0))</f>
        <v>33</v>
      </c>
      <c r="X31" s="29"/>
    </row>
    <row r="32" spans="1:24" x14ac:dyDescent="0.25">
      <c r="A32" s="30">
        <f t="shared" si="10"/>
        <v>0.61074561403508776</v>
      </c>
      <c r="B32" s="2">
        <f t="shared" si="11"/>
        <v>27</v>
      </c>
      <c r="C32" s="4">
        <f t="shared" si="12"/>
        <v>17.829999999999998</v>
      </c>
      <c r="D32" s="2">
        <v>12.5</v>
      </c>
      <c r="E32" s="2">
        <v>50.26548245743669</v>
      </c>
      <c r="F32" s="11">
        <f t="shared" si="0"/>
        <v>2.4867959858108648</v>
      </c>
      <c r="G32" s="2">
        <f t="shared" si="1"/>
        <v>44.339572427007717</v>
      </c>
      <c r="H32" s="2">
        <f t="shared" si="2"/>
        <v>2.5808395794972032</v>
      </c>
      <c r="I32" s="2">
        <f t="shared" si="3"/>
        <v>46.016369702435128</v>
      </c>
      <c r="J32" s="2">
        <f t="shared" si="4"/>
        <v>1.6767972754274112</v>
      </c>
      <c r="K32" s="15">
        <f t="shared" si="13"/>
        <v>0.58556286549707603</v>
      </c>
      <c r="L32" s="2">
        <f t="shared" si="14"/>
        <v>27</v>
      </c>
      <c r="M32" s="2">
        <f t="shared" si="15"/>
        <v>17.579999999999998</v>
      </c>
      <c r="N32" s="2">
        <v>13</v>
      </c>
      <c r="O32" s="2">
        <v>50.26548245743669</v>
      </c>
      <c r="P32" s="11">
        <f t="shared" si="5"/>
        <v>2.5862678252432989</v>
      </c>
      <c r="Q32" s="2">
        <f t="shared" si="6"/>
        <v>45.466588367777192</v>
      </c>
      <c r="R32" s="2">
        <f t="shared" si="7"/>
        <v>2.6742901877100311</v>
      </c>
      <c r="S32" s="2">
        <f t="shared" si="8"/>
        <v>47.014021499942345</v>
      </c>
      <c r="T32" s="2">
        <f t="shared" si="9"/>
        <v>1.5474331321651533</v>
      </c>
    </row>
    <row r="33" spans="1:20" x14ac:dyDescent="0.25">
      <c r="A33" s="30">
        <f t="shared" si="10"/>
        <v>0.6108918128654971</v>
      </c>
      <c r="B33" s="2">
        <f t="shared" si="11"/>
        <v>28</v>
      </c>
      <c r="C33" s="4">
        <f t="shared" si="12"/>
        <v>18.329999999999998</v>
      </c>
      <c r="D33" s="2">
        <v>26</v>
      </c>
      <c r="E33" s="2">
        <v>50.26548245743669</v>
      </c>
      <c r="F33" s="11">
        <f t="shared" si="0"/>
        <v>5.1725356504865978</v>
      </c>
      <c r="G33" s="2">
        <f t="shared" si="1"/>
        <v>94.812578473419336</v>
      </c>
      <c r="H33" s="2">
        <f t="shared" si="2"/>
        <v>2.5808395794972032</v>
      </c>
      <c r="I33" s="2">
        <f t="shared" si="3"/>
        <v>47.306789492183732</v>
      </c>
      <c r="J33" s="2">
        <f t="shared" si="4"/>
        <v>47.505788981235604</v>
      </c>
      <c r="K33" s="15">
        <f t="shared" si="13"/>
        <v>0.5857821637426901</v>
      </c>
      <c r="L33" s="2">
        <f t="shared" si="14"/>
        <v>28</v>
      </c>
      <c r="M33" s="2">
        <f t="shared" si="15"/>
        <v>18.079999999999998</v>
      </c>
      <c r="N33" s="2">
        <v>14</v>
      </c>
      <c r="O33" s="2">
        <v>50.26548245743669</v>
      </c>
      <c r="P33" s="11">
        <f t="shared" si="5"/>
        <v>2.7852115041081689</v>
      </c>
      <c r="Q33" s="2">
        <f t="shared" si="6"/>
        <v>50.356623994275687</v>
      </c>
      <c r="R33" s="2">
        <f t="shared" si="7"/>
        <v>2.6742901877100311</v>
      </c>
      <c r="S33" s="2">
        <f t="shared" si="8"/>
        <v>48.351166593797359</v>
      </c>
      <c r="T33" s="2">
        <f t="shared" si="9"/>
        <v>2.0054574004783277</v>
      </c>
    </row>
    <row r="34" spans="1:20" x14ac:dyDescent="0.25">
      <c r="A34" s="30">
        <f t="shared" si="10"/>
        <v>0.61103801169590644</v>
      </c>
      <c r="B34" s="2">
        <f t="shared" si="11"/>
        <v>29</v>
      </c>
      <c r="C34" s="4">
        <f t="shared" si="12"/>
        <v>18.829999999999998</v>
      </c>
      <c r="D34" s="2">
        <v>15</v>
      </c>
      <c r="E34" s="2">
        <v>50.26548245743669</v>
      </c>
      <c r="F34" s="11">
        <f t="shared" si="0"/>
        <v>2.9841551829730379</v>
      </c>
      <c r="G34" s="2">
        <f t="shared" si="1"/>
        <v>56.191642095382299</v>
      </c>
      <c r="H34" s="2">
        <f t="shared" si="2"/>
        <v>2.5808395794972032</v>
      </c>
      <c r="I34" s="2">
        <f t="shared" si="3"/>
        <v>48.597209281932329</v>
      </c>
      <c r="J34" s="2">
        <f t="shared" si="4"/>
        <v>7.5944328134499699</v>
      </c>
      <c r="K34" s="15">
        <f t="shared" si="13"/>
        <v>0.58600146198830416</v>
      </c>
      <c r="L34" s="2">
        <f t="shared" si="14"/>
        <v>29</v>
      </c>
      <c r="M34" s="2">
        <f t="shared" si="15"/>
        <v>18.579999999999998</v>
      </c>
      <c r="N34" s="2">
        <v>16</v>
      </c>
      <c r="O34" s="2">
        <v>50.26548245743669</v>
      </c>
      <c r="P34" s="11">
        <f t="shared" si="5"/>
        <v>3.183098861837907</v>
      </c>
      <c r="Q34" s="2">
        <f t="shared" si="6"/>
        <v>59.141976852948304</v>
      </c>
      <c r="R34" s="2">
        <f t="shared" si="7"/>
        <v>2.6742901877100311</v>
      </c>
      <c r="S34" s="2">
        <f t="shared" si="8"/>
        <v>49.688311687652373</v>
      </c>
      <c r="T34" s="2">
        <f t="shared" si="9"/>
        <v>9.4536651652959307</v>
      </c>
    </row>
    <row r="35" spans="1:20" x14ac:dyDescent="0.25">
      <c r="A35" s="30">
        <f t="shared" si="10"/>
        <v>0.61118421052631577</v>
      </c>
      <c r="B35" s="2">
        <f t="shared" si="11"/>
        <v>30</v>
      </c>
      <c r="C35" s="4">
        <f t="shared" si="12"/>
        <v>19.329999999999998</v>
      </c>
      <c r="D35" s="2">
        <v>12.5</v>
      </c>
      <c r="E35" s="2">
        <v>50.26548245743669</v>
      </c>
      <c r="F35" s="11">
        <f t="shared" si="0"/>
        <v>2.4867959858108648</v>
      </c>
      <c r="G35" s="2">
        <f t="shared" si="1"/>
        <v>48.06976640572401</v>
      </c>
      <c r="H35" s="2">
        <f t="shared" si="2"/>
        <v>2.5808395794972032</v>
      </c>
      <c r="I35" s="2">
        <f t="shared" si="3"/>
        <v>49.887629071680934</v>
      </c>
      <c r="J35" s="2">
        <f t="shared" si="4"/>
        <v>1.8178626659569233</v>
      </c>
      <c r="K35" s="15">
        <f t="shared" si="13"/>
        <v>0.58622076023391811</v>
      </c>
      <c r="L35" s="2">
        <f t="shared" si="14"/>
        <v>30</v>
      </c>
      <c r="M35" s="2">
        <f t="shared" si="15"/>
        <v>19.079999999999998</v>
      </c>
      <c r="N35" s="2">
        <v>14.5</v>
      </c>
      <c r="O35" s="2">
        <v>50.26548245743669</v>
      </c>
      <c r="P35" s="11">
        <f t="shared" si="5"/>
        <v>2.8846833435406034</v>
      </c>
      <c r="Q35" s="2">
        <f t="shared" si="6"/>
        <v>55.039758194754711</v>
      </c>
      <c r="R35" s="2">
        <f t="shared" si="7"/>
        <v>2.6742901877100311</v>
      </c>
      <c r="S35" s="2">
        <f t="shared" si="8"/>
        <v>51.025456781507387</v>
      </c>
      <c r="T35" s="2">
        <f t="shared" si="9"/>
        <v>4.014301413247324</v>
      </c>
    </row>
    <row r="36" spans="1:20" x14ac:dyDescent="0.25">
      <c r="A36" s="30">
        <f t="shared" si="10"/>
        <v>0.61133040935672522</v>
      </c>
      <c r="B36" s="2">
        <f t="shared" si="11"/>
        <v>31</v>
      </c>
      <c r="C36" s="4">
        <f t="shared" si="12"/>
        <v>19.829999999999998</v>
      </c>
      <c r="D36" s="2">
        <v>14</v>
      </c>
      <c r="E36" s="2">
        <v>50.26548245743669</v>
      </c>
      <c r="F36" s="11">
        <f t="shared" si="0"/>
        <v>2.7852115041081689</v>
      </c>
      <c r="G36" s="2">
        <f t="shared" si="1"/>
        <v>55.230744126464984</v>
      </c>
      <c r="H36" s="2">
        <f t="shared" si="2"/>
        <v>2.5808395794972032</v>
      </c>
      <c r="I36" s="2">
        <f t="shared" si="3"/>
        <v>51.178048861429538</v>
      </c>
      <c r="J36" s="2">
        <f t="shared" si="4"/>
        <v>4.052695265035446</v>
      </c>
      <c r="K36" s="15">
        <f t="shared" si="13"/>
        <v>0.58644005847953218</v>
      </c>
      <c r="L36" s="2">
        <f t="shared" si="14"/>
        <v>31</v>
      </c>
      <c r="M36" s="2">
        <f t="shared" si="15"/>
        <v>19.579999999999998</v>
      </c>
      <c r="N36" s="2">
        <v>13</v>
      </c>
      <c r="O36" s="2">
        <v>50.26548245743669</v>
      </c>
      <c r="P36" s="11">
        <f t="shared" si="5"/>
        <v>2.5862678252432989</v>
      </c>
      <c r="Q36" s="2">
        <f t="shared" si="6"/>
        <v>50.639124018263786</v>
      </c>
      <c r="R36" s="2">
        <f t="shared" si="7"/>
        <v>2.6742901877100311</v>
      </c>
      <c r="S36" s="2">
        <f t="shared" si="8"/>
        <v>52.362601875362408</v>
      </c>
      <c r="T36" s="2">
        <f t="shared" si="9"/>
        <v>1.7234778570986222</v>
      </c>
    </row>
    <row r="37" spans="1:20" x14ac:dyDescent="0.25">
      <c r="A37" s="30">
        <f t="shared" si="10"/>
        <v>0.61147660818713456</v>
      </c>
      <c r="B37" s="2">
        <f t="shared" si="11"/>
        <v>32</v>
      </c>
      <c r="C37" s="4">
        <f t="shared" si="12"/>
        <v>20.329999999999998</v>
      </c>
      <c r="D37" s="23">
        <v>13.5</v>
      </c>
      <c r="E37" s="2">
        <v>50.26548245743669</v>
      </c>
      <c r="F37" s="11">
        <f t="shared" si="0"/>
        <v>2.6857396646757339</v>
      </c>
      <c r="G37" s="2">
        <f t="shared" si="1"/>
        <v>54.601087382857663</v>
      </c>
      <c r="H37" s="2">
        <f t="shared" si="2"/>
        <v>2.5808395794972032</v>
      </c>
      <c r="I37" s="2">
        <f t="shared" si="3"/>
        <v>52.468468651178135</v>
      </c>
      <c r="J37" s="2">
        <f t="shared" si="4"/>
        <v>2.1326187316795284</v>
      </c>
      <c r="K37" s="15">
        <f t="shared" si="13"/>
        <v>0.58665935672514624</v>
      </c>
      <c r="L37" s="23">
        <f t="shared" si="14"/>
        <v>32</v>
      </c>
      <c r="M37" s="23">
        <f t="shared" si="15"/>
        <v>20.079999999999998</v>
      </c>
      <c r="N37" s="23">
        <v>14.5</v>
      </c>
      <c r="O37" s="2">
        <v>50.26548245743669</v>
      </c>
      <c r="P37" s="11">
        <f t="shared" si="5"/>
        <v>2.8846833435406034</v>
      </c>
      <c r="Q37" s="2">
        <f t="shared" si="6"/>
        <v>57.924441538295312</v>
      </c>
      <c r="R37" s="2">
        <f t="shared" si="7"/>
        <v>2.6742901877100311</v>
      </c>
      <c r="S37" s="2">
        <f t="shared" si="8"/>
        <v>53.699746969217422</v>
      </c>
      <c r="T37" s="2">
        <f t="shared" si="9"/>
        <v>4.2246945690778901</v>
      </c>
    </row>
    <row r="38" spans="1:20" x14ac:dyDescent="0.25">
      <c r="A38" s="30">
        <f t="shared" si="10"/>
        <v>0.6116228070175439</v>
      </c>
      <c r="B38" s="2">
        <f t="shared" si="11"/>
        <v>33</v>
      </c>
      <c r="C38" s="4">
        <f t="shared" si="12"/>
        <v>20.83</v>
      </c>
      <c r="D38" s="2">
        <v>14</v>
      </c>
      <c r="E38" s="2">
        <v>50.26548245743669</v>
      </c>
      <c r="F38" s="11">
        <f t="shared" si="0"/>
        <v>2.7852115041081689</v>
      </c>
      <c r="G38" s="2">
        <f t="shared" si="1"/>
        <v>58.015955630573153</v>
      </c>
      <c r="H38" s="2">
        <f t="shared" si="2"/>
        <v>2.5808395794972032</v>
      </c>
      <c r="I38" s="2">
        <f t="shared" si="3"/>
        <v>53.758888440926739</v>
      </c>
      <c r="J38" s="2">
        <f t="shared" si="4"/>
        <v>4.2570671896464134</v>
      </c>
      <c r="K38" s="15">
        <f t="shared" si="13"/>
        <v>0.58687865497076031</v>
      </c>
      <c r="L38" s="2">
        <f t="shared" si="14"/>
        <v>33</v>
      </c>
      <c r="M38" s="2">
        <f t="shared" si="15"/>
        <v>20.58</v>
      </c>
      <c r="N38" s="2">
        <v>26</v>
      </c>
      <c r="O38" s="2">
        <v>50.26548245743669</v>
      </c>
      <c r="P38" s="11">
        <f t="shared" si="5"/>
        <v>5.1725356504865978</v>
      </c>
      <c r="Q38" s="2">
        <f t="shared" si="6"/>
        <v>106.45078368701418</v>
      </c>
      <c r="R38" s="2">
        <f t="shared" si="7"/>
        <v>2.6742901877100311</v>
      </c>
      <c r="S38" s="2">
        <f t="shared" si="8"/>
        <v>55.036892063072436</v>
      </c>
      <c r="T38" s="2">
        <f t="shared" si="9"/>
        <v>51.413891623941744</v>
      </c>
    </row>
    <row r="39" spans="1:20" x14ac:dyDescent="0.25">
      <c r="A39" s="30">
        <f t="shared" si="10"/>
        <v>0.61176900584795324</v>
      </c>
      <c r="B39" s="2">
        <f t="shared" si="11"/>
        <v>34</v>
      </c>
      <c r="C39" s="4">
        <f t="shared" si="12"/>
        <v>21.33</v>
      </c>
      <c r="D39" s="2">
        <v>14</v>
      </c>
      <c r="E39" s="2">
        <v>50.26548245743669</v>
      </c>
      <c r="F39" s="11">
        <f t="shared" si="0"/>
        <v>2.7852115041081689</v>
      </c>
      <c r="G39" s="2">
        <f t="shared" si="1"/>
        <v>59.408561382627241</v>
      </c>
      <c r="H39" s="2">
        <f t="shared" si="2"/>
        <v>2.5808395794972032</v>
      </c>
      <c r="I39" s="2">
        <f t="shared" si="3"/>
        <v>55.049308230675344</v>
      </c>
      <c r="J39" s="2">
        <f t="shared" si="4"/>
        <v>4.3592531519518971</v>
      </c>
      <c r="K39" s="15">
        <f t="shared" si="13"/>
        <v>0.58709795321637426</v>
      </c>
      <c r="L39" s="2">
        <f t="shared" si="14"/>
        <v>34</v>
      </c>
      <c r="M39" s="2">
        <f t="shared" si="15"/>
        <v>21.08</v>
      </c>
      <c r="N39" s="2">
        <v>15.5</v>
      </c>
      <c r="O39" s="2">
        <v>50.26548245743669</v>
      </c>
      <c r="P39" s="11">
        <f t="shared" si="5"/>
        <v>3.0836270224054725</v>
      </c>
      <c r="Q39" s="2">
        <f t="shared" si="6"/>
        <v>65.002857632307354</v>
      </c>
      <c r="R39" s="2">
        <f t="shared" si="7"/>
        <v>2.6742901877100311</v>
      </c>
      <c r="S39" s="2">
        <f t="shared" si="8"/>
        <v>56.37403715692745</v>
      </c>
      <c r="T39" s="2">
        <f t="shared" si="9"/>
        <v>8.6288204753799036</v>
      </c>
    </row>
    <row r="40" spans="1:20" x14ac:dyDescent="0.25">
      <c r="A40" s="30">
        <f t="shared" si="10"/>
        <v>0.61191520467836258</v>
      </c>
      <c r="B40" s="2">
        <f t="shared" si="11"/>
        <v>35</v>
      </c>
      <c r="C40" s="4">
        <f t="shared" si="12"/>
        <v>21.83</v>
      </c>
      <c r="D40" s="2">
        <v>14</v>
      </c>
      <c r="E40" s="2">
        <v>50.26548245743669</v>
      </c>
      <c r="F40" s="11">
        <f t="shared" si="0"/>
        <v>2.7852115041081689</v>
      </c>
      <c r="G40" s="2">
        <f t="shared" si="1"/>
        <v>60.801167134681322</v>
      </c>
      <c r="H40" s="2">
        <f t="shared" si="2"/>
        <v>2.5808395794972032</v>
      </c>
      <c r="I40" s="2">
        <f t="shared" si="3"/>
        <v>56.339728020423941</v>
      </c>
      <c r="J40" s="2">
        <f t="shared" si="4"/>
        <v>4.4614391142573808</v>
      </c>
      <c r="K40" s="15">
        <f t="shared" si="13"/>
        <v>0.58731725146198832</v>
      </c>
      <c r="L40" s="2">
        <f t="shared" si="14"/>
        <v>35</v>
      </c>
      <c r="M40" s="2">
        <f t="shared" si="15"/>
        <v>21.58</v>
      </c>
      <c r="N40" s="2">
        <v>13.5</v>
      </c>
      <c r="O40" s="2">
        <v>50.26548245743669</v>
      </c>
      <c r="P40" s="11">
        <f t="shared" si="5"/>
        <v>2.6857396646757339</v>
      </c>
      <c r="Q40" s="2">
        <f t="shared" si="6"/>
        <v>57.958261963702334</v>
      </c>
      <c r="R40" s="2">
        <f t="shared" si="7"/>
        <v>2.6742901877100311</v>
      </c>
      <c r="S40" s="2">
        <f t="shared" si="8"/>
        <v>57.711182250782464</v>
      </c>
      <c r="T40" s="2">
        <f t="shared" si="9"/>
        <v>0.24707971291987008</v>
      </c>
    </row>
    <row r="41" spans="1:20" x14ac:dyDescent="0.25">
      <c r="A41" s="30">
        <f t="shared" si="10"/>
        <v>0.61206140350877192</v>
      </c>
      <c r="B41" s="2">
        <f t="shared" si="11"/>
        <v>36</v>
      </c>
      <c r="C41" s="4">
        <f t="shared" si="12"/>
        <v>22.33</v>
      </c>
      <c r="D41" s="2">
        <v>13.5</v>
      </c>
      <c r="E41" s="2">
        <v>50.26548245743669</v>
      </c>
      <c r="F41" s="11">
        <f t="shared" si="0"/>
        <v>2.6857396646757339</v>
      </c>
      <c r="G41" s="2">
        <f t="shared" si="1"/>
        <v>59.972566712209137</v>
      </c>
      <c r="H41" s="2">
        <f t="shared" si="2"/>
        <v>2.5808395794972032</v>
      </c>
      <c r="I41" s="2">
        <f t="shared" si="3"/>
        <v>57.630147810172545</v>
      </c>
      <c r="J41" s="2">
        <f t="shared" si="4"/>
        <v>2.3424189020365915</v>
      </c>
      <c r="K41" s="15">
        <f t="shared" si="13"/>
        <v>0.58753654970760238</v>
      </c>
      <c r="L41" s="2">
        <f t="shared" si="14"/>
        <v>36</v>
      </c>
      <c r="M41" s="2">
        <f t="shared" si="15"/>
        <v>22.08</v>
      </c>
      <c r="N41" s="2">
        <v>13</v>
      </c>
      <c r="O41" s="2">
        <v>50.26548245743669</v>
      </c>
      <c r="P41" s="11">
        <f t="shared" si="5"/>
        <v>2.5862678252432989</v>
      </c>
      <c r="Q41" s="2">
        <f t="shared" si="6"/>
        <v>57.104793581372036</v>
      </c>
      <c r="R41" s="2">
        <f t="shared" si="7"/>
        <v>2.6742901877100311</v>
      </c>
      <c r="S41" s="2">
        <f t="shared" si="8"/>
        <v>59.048327344637485</v>
      </c>
      <c r="T41" s="2">
        <f t="shared" si="9"/>
        <v>1.9435337632654495</v>
      </c>
    </row>
    <row r="42" spans="1:20" x14ac:dyDescent="0.25">
      <c r="A42" s="30">
        <f t="shared" si="10"/>
        <v>0.61220760233918137</v>
      </c>
      <c r="B42" s="2">
        <f t="shared" si="11"/>
        <v>37</v>
      </c>
      <c r="C42" s="4">
        <f t="shared" si="12"/>
        <v>22.83</v>
      </c>
      <c r="D42" s="2">
        <v>14</v>
      </c>
      <c r="E42" s="2">
        <v>50.26548245743669</v>
      </c>
      <c r="F42" s="11">
        <f t="shared" si="0"/>
        <v>2.7852115041081689</v>
      </c>
      <c r="G42" s="2">
        <f t="shared" si="1"/>
        <v>63.58637863878949</v>
      </c>
      <c r="H42" s="2">
        <f t="shared" si="2"/>
        <v>2.5808395794972032</v>
      </c>
      <c r="I42" s="2">
        <f t="shared" si="3"/>
        <v>58.920567599921142</v>
      </c>
      <c r="J42" s="2">
        <f t="shared" si="4"/>
        <v>4.6658110388683482</v>
      </c>
      <c r="K42" s="15">
        <f t="shared" si="13"/>
        <v>0.58775584795321645</v>
      </c>
      <c r="L42" s="2">
        <f t="shared" si="14"/>
        <v>37</v>
      </c>
      <c r="M42" s="2">
        <f t="shared" si="15"/>
        <v>22.58</v>
      </c>
      <c r="N42" s="2">
        <v>13.5</v>
      </c>
      <c r="O42" s="2">
        <v>50.26548245743669</v>
      </c>
      <c r="P42" s="11">
        <f t="shared" si="5"/>
        <v>2.6857396646757339</v>
      </c>
      <c r="Q42" s="2">
        <f t="shared" si="6"/>
        <v>60.644001628378064</v>
      </c>
      <c r="R42" s="2">
        <f t="shared" si="7"/>
        <v>2.6742901877100311</v>
      </c>
      <c r="S42" s="2">
        <f t="shared" si="8"/>
        <v>60.385472438492499</v>
      </c>
      <c r="T42" s="2">
        <f t="shared" si="9"/>
        <v>0.25852918988556439</v>
      </c>
    </row>
    <row r="43" spans="1:20" x14ac:dyDescent="0.25">
      <c r="A43" s="30">
        <f t="shared" si="10"/>
        <v>0.61235380116959071</v>
      </c>
      <c r="B43" s="2">
        <f t="shared" si="11"/>
        <v>38</v>
      </c>
      <c r="C43" s="4">
        <f t="shared" si="12"/>
        <v>23.33</v>
      </c>
      <c r="D43" s="2">
        <v>12.5</v>
      </c>
      <c r="E43" s="2">
        <v>50.26548245743669</v>
      </c>
      <c r="F43" s="11">
        <f t="shared" si="0"/>
        <v>2.4867959858108648</v>
      </c>
      <c r="G43" s="2">
        <f t="shared" si="1"/>
        <v>58.01695034896747</v>
      </c>
      <c r="H43" s="2">
        <f t="shared" si="2"/>
        <v>2.5808395794972032</v>
      </c>
      <c r="I43" s="2">
        <f t="shared" si="3"/>
        <v>60.210987389669747</v>
      </c>
      <c r="J43" s="2">
        <f t="shared" si="4"/>
        <v>2.1940370407022769</v>
      </c>
      <c r="K43" s="15">
        <f t="shared" si="13"/>
        <v>0.5879751461988304</v>
      </c>
      <c r="L43" s="2">
        <f t="shared" si="14"/>
        <v>38</v>
      </c>
      <c r="M43" s="2">
        <f t="shared" si="15"/>
        <v>23.08</v>
      </c>
      <c r="N43" s="2">
        <v>14.5</v>
      </c>
      <c r="O43" s="2">
        <v>50.26548245743669</v>
      </c>
      <c r="P43" s="11">
        <f t="shared" si="5"/>
        <v>2.8846833435406034</v>
      </c>
      <c r="Q43" s="2">
        <f t="shared" si="6"/>
        <v>66.578491568917116</v>
      </c>
      <c r="R43" s="2">
        <f t="shared" si="7"/>
        <v>2.6742901877100311</v>
      </c>
      <c r="S43" s="2">
        <f t="shared" si="8"/>
        <v>61.722617532347513</v>
      </c>
      <c r="T43" s="2">
        <f t="shared" si="9"/>
        <v>4.8558740365696025</v>
      </c>
    </row>
    <row r="44" spans="1:20" x14ac:dyDescent="0.25">
      <c r="A44" s="10">
        <v>0.61250000000000004</v>
      </c>
      <c r="B44" s="2">
        <f t="shared" si="11"/>
        <v>39</v>
      </c>
      <c r="C44" s="4">
        <f t="shared" si="12"/>
        <v>23.83</v>
      </c>
      <c r="D44" s="2">
        <v>12.5</v>
      </c>
      <c r="E44" s="2">
        <v>50.26548245743669</v>
      </c>
      <c r="F44" s="11">
        <f t="shared" si="0"/>
        <v>2.4867959858108648</v>
      </c>
      <c r="G44" s="2">
        <f t="shared" si="1"/>
        <v>59.260348341872906</v>
      </c>
      <c r="H44" s="2">
        <f t="shared" si="2"/>
        <v>2.5808395794972032</v>
      </c>
      <c r="I44" s="2">
        <f t="shared" si="3"/>
        <v>61.501407179418351</v>
      </c>
      <c r="J44" s="2">
        <f t="shared" si="4"/>
        <v>2.2410588375454452</v>
      </c>
      <c r="K44" s="12">
        <v>0.58819444444444446</v>
      </c>
      <c r="L44" s="2">
        <f t="shared" si="14"/>
        <v>39</v>
      </c>
      <c r="M44" s="2">
        <f t="shared" si="15"/>
        <v>23.58</v>
      </c>
      <c r="N44" s="2">
        <v>12</v>
      </c>
      <c r="O44" s="2">
        <v>50.26548245743669</v>
      </c>
      <c r="P44" s="11">
        <f t="shared" si="5"/>
        <v>2.3873241463784298</v>
      </c>
      <c r="Q44" s="2">
        <f t="shared" si="6"/>
        <v>56.293103371603372</v>
      </c>
      <c r="R44" s="2">
        <f t="shared" si="7"/>
        <v>2.6742901877100311</v>
      </c>
      <c r="S44" s="2">
        <f t="shared" si="8"/>
        <v>63.059762626202527</v>
      </c>
      <c r="T44" s="2">
        <f t="shared" si="9"/>
        <v>6.7666592545991548</v>
      </c>
    </row>
    <row r="45" spans="1:20" x14ac:dyDescent="0.25">
      <c r="A45" s="14">
        <f t="shared" ref="A45:A82" si="16">IF(AND($A$44&lt;&gt;"",$A$83&lt;&gt;""), $A$44 + (B45 - $B$44) * (($A$83 - $A$44) / ($B$83 - $B$44)), "")</f>
        <v>0.61266025641025645</v>
      </c>
      <c r="B45" s="2">
        <f t="shared" si="11"/>
        <v>40</v>
      </c>
      <c r="C45" s="4">
        <f t="shared" si="12"/>
        <v>24.33</v>
      </c>
      <c r="D45" s="2">
        <v>13.5</v>
      </c>
      <c r="E45" s="2">
        <v>50.26548245743669</v>
      </c>
      <c r="F45" s="11">
        <f t="shared" si="0"/>
        <v>2.6857396646757339</v>
      </c>
      <c r="G45" s="2">
        <f t="shared" si="1"/>
        <v>65.344046041560603</v>
      </c>
      <c r="H45" s="2">
        <f t="shared" si="2"/>
        <v>2.5808395794972032</v>
      </c>
      <c r="I45" s="2">
        <f t="shared" si="3"/>
        <v>62.791826969166948</v>
      </c>
      <c r="J45" s="2">
        <f t="shared" si="4"/>
        <v>2.5522190723936546</v>
      </c>
      <c r="K45" s="15">
        <f t="shared" ref="K45:K82" si="17">IF(AND($K$44&lt;&gt;"",$K$83&lt;&gt;""), $K$44 + (L45 - $L$44) * (($K$83 - $K$44) / ($L$83 - $L$44)), "")</f>
        <v>0.58833689458689464</v>
      </c>
      <c r="L45" s="2">
        <f t="shared" si="14"/>
        <v>40</v>
      </c>
      <c r="M45" s="2">
        <f t="shared" si="15"/>
        <v>24.08</v>
      </c>
      <c r="N45" s="2">
        <v>13</v>
      </c>
      <c r="O45" s="2">
        <v>50.26548245743669</v>
      </c>
      <c r="P45" s="11">
        <f t="shared" si="5"/>
        <v>2.5862678252432989</v>
      </c>
      <c r="Q45" s="2">
        <f t="shared" si="6"/>
        <v>62.27732923185863</v>
      </c>
      <c r="R45" s="2">
        <f t="shared" si="7"/>
        <v>2.6742901877100311</v>
      </c>
      <c r="S45" s="2">
        <f t="shared" si="8"/>
        <v>64.396907720057541</v>
      </c>
      <c r="T45" s="2">
        <f t="shared" si="9"/>
        <v>2.1195784881989113</v>
      </c>
    </row>
    <row r="46" spans="1:20" x14ac:dyDescent="0.25">
      <c r="A46" s="14">
        <f t="shared" si="16"/>
        <v>0.61282051282051286</v>
      </c>
      <c r="B46" s="2">
        <f t="shared" si="11"/>
        <v>41</v>
      </c>
      <c r="C46" s="4">
        <f t="shared" si="12"/>
        <v>24.83</v>
      </c>
      <c r="D46" s="2">
        <v>20</v>
      </c>
      <c r="E46" s="2">
        <v>50.26548245743669</v>
      </c>
      <c r="F46" s="11">
        <f t="shared" si="0"/>
        <v>3.9788735772973838</v>
      </c>
      <c r="G46" s="2">
        <f t="shared" si="1"/>
        <v>98.795430924294038</v>
      </c>
      <c r="H46" s="2">
        <f t="shared" si="2"/>
        <v>2.5808395794972032</v>
      </c>
      <c r="I46" s="2">
        <f t="shared" si="3"/>
        <v>64.082246758915545</v>
      </c>
      <c r="J46" s="2">
        <f t="shared" si="4"/>
        <v>34.713184165378493</v>
      </c>
      <c r="K46" s="15">
        <f t="shared" si="17"/>
        <v>0.58847934472934471</v>
      </c>
      <c r="L46" s="2">
        <f t="shared" si="14"/>
        <v>41</v>
      </c>
      <c r="M46" s="2">
        <f t="shared" si="15"/>
        <v>24.58</v>
      </c>
      <c r="N46" s="2">
        <v>14</v>
      </c>
      <c r="O46" s="2">
        <v>50.26548245743669</v>
      </c>
      <c r="P46" s="11">
        <f t="shared" si="5"/>
        <v>2.7852115041081689</v>
      </c>
      <c r="Q46" s="2">
        <f t="shared" si="6"/>
        <v>68.460498770978788</v>
      </c>
      <c r="R46" s="2">
        <f t="shared" si="7"/>
        <v>2.6742901877100311</v>
      </c>
      <c r="S46" s="2">
        <f t="shared" si="8"/>
        <v>65.734052813912555</v>
      </c>
      <c r="T46" s="2">
        <f t="shared" si="9"/>
        <v>2.7264459570662325</v>
      </c>
    </row>
    <row r="47" spans="1:20" x14ac:dyDescent="0.25">
      <c r="A47" s="14">
        <f t="shared" si="16"/>
        <v>0.61298076923076927</v>
      </c>
      <c r="B47" s="2">
        <f t="shared" si="11"/>
        <v>42</v>
      </c>
      <c r="C47" s="4">
        <f t="shared" si="12"/>
        <v>25.33</v>
      </c>
      <c r="D47" s="2">
        <v>14</v>
      </c>
      <c r="E47" s="2">
        <v>50.26548245743669</v>
      </c>
      <c r="F47" s="11">
        <f t="shared" si="0"/>
        <v>2.7852115041081689</v>
      </c>
      <c r="G47" s="2">
        <f t="shared" si="1"/>
        <v>70.549407399059916</v>
      </c>
      <c r="H47" s="2">
        <f t="shared" si="2"/>
        <v>2.5808395794972032</v>
      </c>
      <c r="I47" s="2">
        <f t="shared" si="3"/>
        <v>65.372666548664156</v>
      </c>
      <c r="J47" s="2">
        <f t="shared" si="4"/>
        <v>5.1767408503957597</v>
      </c>
      <c r="K47" s="15">
        <f t="shared" si="17"/>
        <v>0.58862179487179489</v>
      </c>
      <c r="L47" s="2">
        <f t="shared" si="14"/>
        <v>42</v>
      </c>
      <c r="M47" s="2">
        <f t="shared" si="15"/>
        <v>25.08</v>
      </c>
      <c r="N47" s="2">
        <v>15</v>
      </c>
      <c r="O47" s="2">
        <v>50.26548245743669</v>
      </c>
      <c r="P47" s="11">
        <f t="shared" si="5"/>
        <v>2.9841551829730379</v>
      </c>
      <c r="Q47" s="2">
        <f t="shared" si="6"/>
        <v>74.842611988963782</v>
      </c>
      <c r="R47" s="2">
        <f t="shared" si="7"/>
        <v>2.6742901877100311</v>
      </c>
      <c r="S47" s="2">
        <f t="shared" si="8"/>
        <v>67.071197907767569</v>
      </c>
      <c r="T47" s="2">
        <f t="shared" si="9"/>
        <v>7.7714140811962125</v>
      </c>
    </row>
    <row r="48" spans="1:20" x14ac:dyDescent="0.25">
      <c r="A48" s="14">
        <f t="shared" si="16"/>
        <v>0.61314102564102568</v>
      </c>
      <c r="B48" s="2">
        <f t="shared" si="11"/>
        <v>43</v>
      </c>
      <c r="C48" s="4">
        <f t="shared" si="12"/>
        <v>25.83</v>
      </c>
      <c r="D48" s="2">
        <v>12.5</v>
      </c>
      <c r="E48" s="2">
        <v>50.26548245743669</v>
      </c>
      <c r="F48" s="11">
        <f t="shared" si="0"/>
        <v>2.4867959858108648</v>
      </c>
      <c r="G48" s="2">
        <f t="shared" si="1"/>
        <v>64.233940313494628</v>
      </c>
      <c r="H48" s="2">
        <f t="shared" si="2"/>
        <v>2.5808395794972032</v>
      </c>
      <c r="I48" s="2">
        <f t="shared" si="3"/>
        <v>66.663086338412754</v>
      </c>
      <c r="J48" s="2">
        <f t="shared" si="4"/>
        <v>2.4291460249181256</v>
      </c>
      <c r="K48" s="15">
        <f t="shared" si="17"/>
        <v>0.58876424501424507</v>
      </c>
      <c r="L48" s="2">
        <f t="shared" si="14"/>
        <v>43</v>
      </c>
      <c r="M48" s="2">
        <f t="shared" si="15"/>
        <v>25.58</v>
      </c>
      <c r="N48" s="2">
        <v>14</v>
      </c>
      <c r="O48" s="2">
        <v>50.26548245743669</v>
      </c>
      <c r="P48" s="11">
        <f t="shared" si="5"/>
        <v>2.7852115041081689</v>
      </c>
      <c r="Q48" s="2">
        <f t="shared" si="6"/>
        <v>71.24571027508695</v>
      </c>
      <c r="R48" s="2">
        <f t="shared" si="7"/>
        <v>2.6742901877100311</v>
      </c>
      <c r="S48" s="2">
        <f t="shared" si="8"/>
        <v>68.408343001622598</v>
      </c>
      <c r="T48" s="2">
        <f t="shared" si="9"/>
        <v>2.837367273464352</v>
      </c>
    </row>
    <row r="49" spans="1:20" x14ac:dyDescent="0.25">
      <c r="A49" s="14">
        <f t="shared" si="16"/>
        <v>0.61330128205128209</v>
      </c>
      <c r="B49" s="2">
        <f t="shared" si="11"/>
        <v>44</v>
      </c>
      <c r="C49" s="4">
        <f t="shared" si="12"/>
        <v>26.33</v>
      </c>
      <c r="D49" s="2">
        <v>12.5</v>
      </c>
      <c r="E49" s="2">
        <v>50.26548245743669</v>
      </c>
      <c r="F49" s="11">
        <f t="shared" si="0"/>
        <v>2.4867959858108648</v>
      </c>
      <c r="G49" s="2">
        <f t="shared" si="1"/>
        <v>65.477338306400071</v>
      </c>
      <c r="H49" s="2">
        <f t="shared" si="2"/>
        <v>2.5808395794972032</v>
      </c>
      <c r="I49" s="2">
        <f t="shared" si="3"/>
        <v>67.953506128161351</v>
      </c>
      <c r="J49" s="2">
        <f t="shared" si="4"/>
        <v>2.4761678217612797</v>
      </c>
      <c r="K49" s="15">
        <f t="shared" si="17"/>
        <v>0.58890669515669514</v>
      </c>
      <c r="L49" s="2">
        <f t="shared" si="14"/>
        <v>44</v>
      </c>
      <c r="M49" s="2">
        <f t="shared" si="15"/>
        <v>26.08</v>
      </c>
      <c r="N49" s="2">
        <v>13.5</v>
      </c>
      <c r="O49" s="2">
        <v>50.26548245743669</v>
      </c>
      <c r="P49" s="11">
        <f t="shared" si="5"/>
        <v>2.6857396646757339</v>
      </c>
      <c r="Q49" s="2">
        <f t="shared" si="6"/>
        <v>70.044090454743142</v>
      </c>
      <c r="R49" s="2">
        <f t="shared" si="7"/>
        <v>2.6742901877100311</v>
      </c>
      <c r="S49" s="2">
        <f t="shared" si="8"/>
        <v>69.745488095477612</v>
      </c>
      <c r="T49" s="2">
        <f t="shared" si="9"/>
        <v>0.29860235926553003</v>
      </c>
    </row>
    <row r="50" spans="1:20" x14ac:dyDescent="0.25">
      <c r="A50" s="14">
        <f t="shared" si="16"/>
        <v>0.6134615384615385</v>
      </c>
      <c r="B50" s="2">
        <f t="shared" si="11"/>
        <v>45</v>
      </c>
      <c r="C50" s="4">
        <f t="shared" si="12"/>
        <v>26.83</v>
      </c>
      <c r="D50" s="2">
        <v>16.5</v>
      </c>
      <c r="E50" s="2">
        <v>50.26548245743669</v>
      </c>
      <c r="F50" s="11">
        <f t="shared" si="0"/>
        <v>3.2825707012703416</v>
      </c>
      <c r="G50" s="2">
        <f t="shared" si="1"/>
        <v>88.071371915083262</v>
      </c>
      <c r="H50" s="2">
        <f t="shared" si="2"/>
        <v>2.5808395794972032</v>
      </c>
      <c r="I50" s="2">
        <f t="shared" si="3"/>
        <v>69.243925917909962</v>
      </c>
      <c r="J50" s="2">
        <f t="shared" si="4"/>
        <v>18.827445997173299</v>
      </c>
      <c r="K50" s="15">
        <f t="shared" si="17"/>
        <v>0.58904914529914532</v>
      </c>
      <c r="L50" s="2">
        <f t="shared" si="14"/>
        <v>45</v>
      </c>
      <c r="M50" s="2">
        <f t="shared" si="15"/>
        <v>26.58</v>
      </c>
      <c r="N50" s="2">
        <v>13</v>
      </c>
      <c r="O50" s="2">
        <v>50.26548245743669</v>
      </c>
      <c r="P50" s="11">
        <f t="shared" si="5"/>
        <v>2.5862678252432989</v>
      </c>
      <c r="Q50" s="2">
        <f t="shared" si="6"/>
        <v>68.74299879496688</v>
      </c>
      <c r="R50" s="2">
        <f t="shared" si="7"/>
        <v>2.6742901877100311</v>
      </c>
      <c r="S50" s="2">
        <f t="shared" si="8"/>
        <v>71.082633189332626</v>
      </c>
      <c r="T50" s="2">
        <f t="shared" si="9"/>
        <v>2.3396343943657456</v>
      </c>
    </row>
    <row r="51" spans="1:20" x14ac:dyDescent="0.25">
      <c r="A51" s="14">
        <f t="shared" si="16"/>
        <v>0.61362179487179491</v>
      </c>
      <c r="B51" s="2">
        <f t="shared" si="11"/>
        <v>46</v>
      </c>
      <c r="C51" s="4">
        <f t="shared" si="12"/>
        <v>27.33</v>
      </c>
      <c r="D51" s="2">
        <v>14</v>
      </c>
      <c r="E51" s="2">
        <v>50.26548245743669</v>
      </c>
      <c r="F51" s="11">
        <f t="shared" si="0"/>
        <v>2.7852115041081689</v>
      </c>
      <c r="G51" s="2">
        <f t="shared" si="1"/>
        <v>76.119830407276254</v>
      </c>
      <c r="H51" s="2">
        <f t="shared" si="2"/>
        <v>2.5808395794972032</v>
      </c>
      <c r="I51" s="2">
        <f t="shared" si="3"/>
        <v>70.534345707658559</v>
      </c>
      <c r="J51" s="2">
        <f t="shared" si="4"/>
        <v>5.5854846996176946</v>
      </c>
      <c r="K51" s="15">
        <f t="shared" si="17"/>
        <v>0.58919159544159549</v>
      </c>
      <c r="L51" s="2">
        <f t="shared" si="14"/>
        <v>46</v>
      </c>
      <c r="M51" s="2">
        <f t="shared" si="15"/>
        <v>27.08</v>
      </c>
      <c r="N51" s="2">
        <v>15</v>
      </c>
      <c r="O51" s="2">
        <v>50.26548245743669</v>
      </c>
      <c r="P51" s="11">
        <f t="shared" si="5"/>
        <v>2.9841551829730379</v>
      </c>
      <c r="Q51" s="2">
        <f t="shared" si="6"/>
        <v>80.810922354909863</v>
      </c>
      <c r="R51" s="2">
        <f t="shared" si="7"/>
        <v>2.6742901877100311</v>
      </c>
      <c r="S51" s="2">
        <f t="shared" si="8"/>
        <v>72.41977828318764</v>
      </c>
      <c r="T51" s="2">
        <f t="shared" si="9"/>
        <v>8.3911440717222234</v>
      </c>
    </row>
    <row r="52" spans="1:20" x14ac:dyDescent="0.25">
      <c r="A52" s="14">
        <f t="shared" si="16"/>
        <v>0.61378205128205132</v>
      </c>
      <c r="B52" s="2">
        <f t="shared" si="11"/>
        <v>47</v>
      </c>
      <c r="C52" s="4">
        <f t="shared" si="12"/>
        <v>27.83</v>
      </c>
      <c r="D52" s="2">
        <v>13.5</v>
      </c>
      <c r="E52" s="2">
        <v>50.26548245743669</v>
      </c>
      <c r="F52" s="11">
        <f t="shared" si="0"/>
        <v>2.6857396646757339</v>
      </c>
      <c r="G52" s="2">
        <f t="shared" si="1"/>
        <v>74.744134867925666</v>
      </c>
      <c r="H52" s="2">
        <f t="shared" si="2"/>
        <v>2.5808395794972032</v>
      </c>
      <c r="I52" s="2">
        <f t="shared" si="3"/>
        <v>71.824765497407157</v>
      </c>
      <c r="J52" s="2">
        <f t="shared" si="4"/>
        <v>2.9193693705185098</v>
      </c>
      <c r="K52" s="15">
        <f t="shared" si="17"/>
        <v>0.58933404558404556</v>
      </c>
      <c r="L52" s="2">
        <f t="shared" si="14"/>
        <v>47</v>
      </c>
      <c r="M52" s="2">
        <f t="shared" si="15"/>
        <v>27.58</v>
      </c>
      <c r="N52" s="2">
        <v>14.5</v>
      </c>
      <c r="O52" s="2">
        <v>50.26548245743669</v>
      </c>
      <c r="P52" s="11">
        <f t="shared" si="5"/>
        <v>2.8846833435406034</v>
      </c>
      <c r="Q52" s="2">
        <f t="shared" si="6"/>
        <v>79.559566614849842</v>
      </c>
      <c r="R52" s="2">
        <f t="shared" si="7"/>
        <v>2.6742901877100311</v>
      </c>
      <c r="S52" s="2">
        <f t="shared" si="8"/>
        <v>73.756923377042654</v>
      </c>
      <c r="T52" s="2">
        <f t="shared" si="9"/>
        <v>5.8026432378071888</v>
      </c>
    </row>
    <row r="53" spans="1:20" x14ac:dyDescent="0.25">
      <c r="A53" s="14">
        <f t="shared" si="16"/>
        <v>0.61394230769230773</v>
      </c>
      <c r="B53" s="2">
        <f t="shared" si="11"/>
        <v>48</v>
      </c>
      <c r="C53" s="4">
        <f t="shared" si="12"/>
        <v>28.33</v>
      </c>
      <c r="D53" s="2">
        <v>13.5</v>
      </c>
      <c r="E53" s="2">
        <v>50.26548245743669</v>
      </c>
      <c r="F53" s="11">
        <f t="shared" si="0"/>
        <v>2.6857396646757339</v>
      </c>
      <c r="G53" s="2">
        <f t="shared" si="1"/>
        <v>76.087004700263535</v>
      </c>
      <c r="H53" s="2">
        <f t="shared" si="2"/>
        <v>2.5808395794972032</v>
      </c>
      <c r="I53" s="2">
        <f t="shared" si="3"/>
        <v>73.115185287155768</v>
      </c>
      <c r="J53" s="2">
        <f t="shared" si="4"/>
        <v>2.9718194131077666</v>
      </c>
      <c r="K53" s="15">
        <f t="shared" si="17"/>
        <v>0.58947649572649574</v>
      </c>
      <c r="L53" s="2">
        <f t="shared" si="14"/>
        <v>48</v>
      </c>
      <c r="M53" s="2">
        <f t="shared" si="15"/>
        <v>28.08</v>
      </c>
      <c r="N53" s="2">
        <v>13.5</v>
      </c>
      <c r="O53" s="2">
        <v>50.26548245743669</v>
      </c>
      <c r="P53" s="11">
        <f t="shared" si="5"/>
        <v>2.6857396646757339</v>
      </c>
      <c r="Q53" s="2">
        <f t="shared" si="6"/>
        <v>75.4155697840946</v>
      </c>
      <c r="R53" s="2">
        <f t="shared" si="7"/>
        <v>2.6742901877100311</v>
      </c>
      <c r="S53" s="2">
        <f t="shared" si="8"/>
        <v>75.094068470897668</v>
      </c>
      <c r="T53" s="2">
        <f t="shared" si="9"/>
        <v>0.32150131319693287</v>
      </c>
    </row>
    <row r="54" spans="1:20" x14ac:dyDescent="0.25">
      <c r="A54" s="14">
        <f t="shared" si="16"/>
        <v>0.61410256410256414</v>
      </c>
      <c r="B54" s="2">
        <f t="shared" si="11"/>
        <v>49</v>
      </c>
      <c r="C54" s="4">
        <f t="shared" si="12"/>
        <v>28.83</v>
      </c>
      <c r="D54" s="2">
        <v>14.5</v>
      </c>
      <c r="E54" s="2">
        <v>50.26548245743669</v>
      </c>
      <c r="F54" s="11">
        <f t="shared" si="0"/>
        <v>2.8846833435406034</v>
      </c>
      <c r="G54" s="2">
        <f t="shared" si="1"/>
        <v>83.16542079427559</v>
      </c>
      <c r="H54" s="2">
        <f t="shared" si="2"/>
        <v>2.5808395794972032</v>
      </c>
      <c r="I54" s="2">
        <f t="shared" si="3"/>
        <v>74.405605076904365</v>
      </c>
      <c r="J54" s="2">
        <f t="shared" si="4"/>
        <v>8.7598157173712252</v>
      </c>
      <c r="K54" s="15">
        <f t="shared" si="17"/>
        <v>0.58961894586894592</v>
      </c>
      <c r="L54" s="2">
        <f t="shared" si="14"/>
        <v>49</v>
      </c>
      <c r="M54" s="2">
        <f t="shared" si="15"/>
        <v>28.58</v>
      </c>
      <c r="N54" s="2">
        <v>14</v>
      </c>
      <c r="O54" s="2">
        <v>50.26548245743669</v>
      </c>
      <c r="P54" s="11">
        <f t="shared" si="5"/>
        <v>2.7852115041081689</v>
      </c>
      <c r="Q54" s="2">
        <f t="shared" si="6"/>
        <v>79.601344787411463</v>
      </c>
      <c r="R54" s="2">
        <f t="shared" si="7"/>
        <v>2.6742901877100311</v>
      </c>
      <c r="S54" s="2">
        <f t="shared" si="8"/>
        <v>76.431213564752682</v>
      </c>
      <c r="T54" s="2">
        <f t="shared" si="9"/>
        <v>3.1701312226587817</v>
      </c>
    </row>
    <row r="55" spans="1:20" x14ac:dyDescent="0.25">
      <c r="A55" s="14">
        <f t="shared" si="16"/>
        <v>0.61426282051282055</v>
      </c>
      <c r="B55" s="2">
        <f t="shared" si="11"/>
        <v>50</v>
      </c>
      <c r="C55" s="4">
        <f t="shared" si="12"/>
        <v>29.33</v>
      </c>
      <c r="D55" s="2">
        <v>16</v>
      </c>
      <c r="E55" s="2">
        <v>50.26548245743669</v>
      </c>
      <c r="F55" s="11">
        <f t="shared" si="0"/>
        <v>3.183098861837907</v>
      </c>
      <c r="G55" s="2">
        <f t="shared" si="1"/>
        <v>93.360289617705803</v>
      </c>
      <c r="H55" s="2">
        <f t="shared" si="2"/>
        <v>2.5808395794972032</v>
      </c>
      <c r="I55" s="2">
        <f t="shared" si="3"/>
        <v>75.696024866652962</v>
      </c>
      <c r="J55" s="2">
        <f t="shared" si="4"/>
        <v>17.664264751052841</v>
      </c>
      <c r="K55" s="15">
        <f t="shared" si="17"/>
        <v>0.58976139601139599</v>
      </c>
      <c r="L55" s="2">
        <f t="shared" si="14"/>
        <v>50</v>
      </c>
      <c r="M55" s="2">
        <f t="shared" si="15"/>
        <v>29.08</v>
      </c>
      <c r="N55" s="2">
        <v>16.5</v>
      </c>
      <c r="O55" s="2">
        <v>50.26548245743669</v>
      </c>
      <c r="P55" s="11">
        <f t="shared" si="5"/>
        <v>3.2825707012703416</v>
      </c>
      <c r="Q55" s="2">
        <f t="shared" si="6"/>
        <v>95.457155992941523</v>
      </c>
      <c r="R55" s="2">
        <f t="shared" si="7"/>
        <v>2.6742901877100311</v>
      </c>
      <c r="S55" s="2">
        <f t="shared" si="8"/>
        <v>77.768358658607696</v>
      </c>
      <c r="T55" s="2">
        <f t="shared" si="9"/>
        <v>17.688797334333827</v>
      </c>
    </row>
    <row r="56" spans="1:20" x14ac:dyDescent="0.25">
      <c r="A56" s="14">
        <f t="shared" si="16"/>
        <v>0.61442307692307696</v>
      </c>
      <c r="B56" s="2">
        <f t="shared" si="11"/>
        <v>51</v>
      </c>
      <c r="C56" s="4">
        <f t="shared" si="12"/>
        <v>29.83</v>
      </c>
      <c r="D56" s="2">
        <v>13.5</v>
      </c>
      <c r="E56" s="2">
        <v>50.26548245743669</v>
      </c>
      <c r="F56" s="11">
        <f t="shared" si="0"/>
        <v>2.6857396646757339</v>
      </c>
      <c r="G56" s="2">
        <f t="shared" si="1"/>
        <v>80.115614197277139</v>
      </c>
      <c r="H56" s="2">
        <f t="shared" si="2"/>
        <v>2.5808395794972032</v>
      </c>
      <c r="I56" s="2">
        <f t="shared" si="3"/>
        <v>76.986444656401574</v>
      </c>
      <c r="J56" s="2">
        <f t="shared" si="4"/>
        <v>3.1291695408755658</v>
      </c>
      <c r="K56" s="15">
        <f t="shared" si="17"/>
        <v>0.58990384615384617</v>
      </c>
      <c r="L56" s="2">
        <f t="shared" si="14"/>
        <v>51</v>
      </c>
      <c r="M56" s="2">
        <f t="shared" si="15"/>
        <v>29.58</v>
      </c>
      <c r="N56" s="2">
        <v>14.5</v>
      </c>
      <c r="O56" s="2">
        <v>50.26548245743669</v>
      </c>
      <c r="P56" s="11">
        <f t="shared" si="5"/>
        <v>2.8846833435406034</v>
      </c>
      <c r="Q56" s="2">
        <f t="shared" si="6"/>
        <v>85.328933301931045</v>
      </c>
      <c r="R56" s="2">
        <f t="shared" si="7"/>
        <v>2.6742901877100311</v>
      </c>
      <c r="S56" s="2">
        <f t="shared" si="8"/>
        <v>79.10550375246271</v>
      </c>
      <c r="T56" s="2">
        <f t="shared" si="9"/>
        <v>6.2234295494683352</v>
      </c>
    </row>
    <row r="57" spans="1:20" x14ac:dyDescent="0.25">
      <c r="A57" s="14">
        <f t="shared" si="16"/>
        <v>0.61458333333333337</v>
      </c>
      <c r="B57" s="2">
        <f t="shared" si="11"/>
        <v>52</v>
      </c>
      <c r="C57" s="4">
        <f t="shared" si="12"/>
        <v>30.33</v>
      </c>
      <c r="D57" s="2">
        <v>12.5</v>
      </c>
      <c r="E57" s="2">
        <v>50.26548245743669</v>
      </c>
      <c r="F57" s="11">
        <f t="shared" si="0"/>
        <v>2.4867959858108648</v>
      </c>
      <c r="G57" s="2">
        <f t="shared" si="1"/>
        <v>75.42452224964353</v>
      </c>
      <c r="H57" s="2">
        <f t="shared" si="2"/>
        <v>2.5808395794972032</v>
      </c>
      <c r="I57" s="2">
        <f t="shared" si="3"/>
        <v>78.276864446150171</v>
      </c>
      <c r="J57" s="2">
        <f t="shared" si="4"/>
        <v>2.8523421965066404</v>
      </c>
      <c r="K57" s="15">
        <f t="shared" si="17"/>
        <v>0.59004629629629635</v>
      </c>
      <c r="L57" s="2">
        <f t="shared" si="14"/>
        <v>52</v>
      </c>
      <c r="M57" s="2">
        <f t="shared" si="15"/>
        <v>30.08</v>
      </c>
      <c r="N57" s="2">
        <v>13.5</v>
      </c>
      <c r="O57" s="2">
        <v>50.26548245743669</v>
      </c>
      <c r="P57" s="11">
        <f t="shared" si="5"/>
        <v>2.6857396646757339</v>
      </c>
      <c r="Q57" s="2">
        <f t="shared" si="6"/>
        <v>80.787049113446074</v>
      </c>
      <c r="R57" s="2">
        <f t="shared" si="7"/>
        <v>2.6742901877100311</v>
      </c>
      <c r="S57" s="2">
        <f t="shared" si="8"/>
        <v>80.442648846317738</v>
      </c>
      <c r="T57" s="2">
        <f t="shared" si="9"/>
        <v>0.34440026712833571</v>
      </c>
    </row>
    <row r="58" spans="1:20" x14ac:dyDescent="0.25">
      <c r="A58" s="14">
        <f t="shared" si="16"/>
        <v>0.61474358974358978</v>
      </c>
      <c r="B58" s="2">
        <f t="shared" si="11"/>
        <v>53</v>
      </c>
      <c r="C58" s="4">
        <f t="shared" si="12"/>
        <v>30.83</v>
      </c>
      <c r="D58" s="2">
        <v>12.5</v>
      </c>
      <c r="E58" s="2">
        <v>50.26548245743669</v>
      </c>
      <c r="F58" s="11">
        <f t="shared" si="0"/>
        <v>2.4867959858108648</v>
      </c>
      <c r="G58" s="2">
        <f t="shared" si="1"/>
        <v>76.667920242548959</v>
      </c>
      <c r="H58" s="2">
        <f t="shared" si="2"/>
        <v>2.5808395794972032</v>
      </c>
      <c r="I58" s="2">
        <f t="shared" si="3"/>
        <v>79.567284235898768</v>
      </c>
      <c r="J58" s="2">
        <f t="shared" si="4"/>
        <v>2.8993639933498088</v>
      </c>
      <c r="K58" s="15">
        <f t="shared" si="17"/>
        <v>0.59018874643874641</v>
      </c>
      <c r="L58" s="2">
        <f t="shared" si="14"/>
        <v>53</v>
      </c>
      <c r="M58" s="2">
        <f t="shared" si="15"/>
        <v>30.58</v>
      </c>
      <c r="N58" s="2">
        <v>13.5</v>
      </c>
      <c r="O58" s="2">
        <v>50.26548245743669</v>
      </c>
      <c r="P58" s="11">
        <f t="shared" si="5"/>
        <v>2.6857396646757339</v>
      </c>
      <c r="Q58" s="2">
        <f t="shared" si="6"/>
        <v>82.129918945783942</v>
      </c>
      <c r="R58" s="2">
        <f t="shared" si="7"/>
        <v>2.6742901877100311</v>
      </c>
      <c r="S58" s="2">
        <f t="shared" si="8"/>
        <v>81.779793940172752</v>
      </c>
      <c r="T58" s="2">
        <f t="shared" si="9"/>
        <v>0.35012500561118998</v>
      </c>
    </row>
    <row r="59" spans="1:20" x14ac:dyDescent="0.25">
      <c r="A59" s="14">
        <f t="shared" si="16"/>
        <v>0.61490384615384619</v>
      </c>
      <c r="B59" s="2">
        <f t="shared" si="11"/>
        <v>54</v>
      </c>
      <c r="C59" s="4">
        <f t="shared" si="12"/>
        <v>31.33</v>
      </c>
      <c r="D59" s="2">
        <v>14</v>
      </c>
      <c r="E59" s="2">
        <v>50.26548245743669</v>
      </c>
      <c r="F59" s="11">
        <f t="shared" si="0"/>
        <v>2.7852115041081689</v>
      </c>
      <c r="G59" s="2">
        <f t="shared" si="1"/>
        <v>87.260676423708929</v>
      </c>
      <c r="H59" s="2">
        <f t="shared" si="2"/>
        <v>2.5808395794972032</v>
      </c>
      <c r="I59" s="2">
        <f t="shared" si="3"/>
        <v>80.857704025647379</v>
      </c>
      <c r="J59" s="2">
        <f t="shared" si="4"/>
        <v>6.4029723980615501</v>
      </c>
      <c r="K59" s="15">
        <f t="shared" si="17"/>
        <v>0.59033119658119659</v>
      </c>
      <c r="L59" s="2">
        <f t="shared" si="14"/>
        <v>54</v>
      </c>
      <c r="M59" s="2">
        <f t="shared" si="15"/>
        <v>31.08</v>
      </c>
      <c r="N59" s="2">
        <v>13.5</v>
      </c>
      <c r="O59" s="2">
        <v>50.26548245743669</v>
      </c>
      <c r="P59" s="11">
        <f t="shared" si="5"/>
        <v>2.6857396646757339</v>
      </c>
      <c r="Q59" s="2">
        <f t="shared" si="6"/>
        <v>83.47278877812181</v>
      </c>
      <c r="R59" s="2">
        <f t="shared" si="7"/>
        <v>2.6742901877100311</v>
      </c>
      <c r="S59" s="2">
        <f t="shared" si="8"/>
        <v>83.116939034027766</v>
      </c>
      <c r="T59" s="2">
        <f t="shared" si="9"/>
        <v>0.35584974409404424</v>
      </c>
    </row>
    <row r="60" spans="1:20" x14ac:dyDescent="0.25">
      <c r="A60" s="14">
        <f t="shared" si="16"/>
        <v>0.6150641025641026</v>
      </c>
      <c r="B60" s="2">
        <f t="shared" si="11"/>
        <v>55</v>
      </c>
      <c r="C60" s="4">
        <f t="shared" si="12"/>
        <v>31.83</v>
      </c>
      <c r="D60" s="2">
        <v>12.5</v>
      </c>
      <c r="E60" s="2">
        <v>50.26548245743669</v>
      </c>
      <c r="F60" s="11">
        <f t="shared" si="0"/>
        <v>2.4867959858108648</v>
      </c>
      <c r="G60" s="2">
        <f t="shared" si="1"/>
        <v>79.154716228359817</v>
      </c>
      <c r="H60" s="2">
        <f t="shared" si="2"/>
        <v>2.5808395794972032</v>
      </c>
      <c r="I60" s="2">
        <f t="shared" si="3"/>
        <v>82.148123815395977</v>
      </c>
      <c r="J60" s="2">
        <f t="shared" si="4"/>
        <v>2.9934075870361596</v>
      </c>
      <c r="K60" s="15">
        <f t="shared" si="17"/>
        <v>0.59047364672364677</v>
      </c>
      <c r="L60" s="2">
        <f t="shared" si="14"/>
        <v>55</v>
      </c>
      <c r="M60" s="2">
        <f t="shared" si="15"/>
        <v>31.58</v>
      </c>
      <c r="N60" s="2">
        <v>13.5</v>
      </c>
      <c r="O60" s="2">
        <v>50.26548245743669</v>
      </c>
      <c r="P60" s="11">
        <f t="shared" si="5"/>
        <v>2.6857396646757339</v>
      </c>
      <c r="Q60" s="2">
        <f t="shared" si="6"/>
        <v>84.815658610459678</v>
      </c>
      <c r="R60" s="2">
        <f t="shared" si="7"/>
        <v>2.6742901877100311</v>
      </c>
      <c r="S60" s="2">
        <f t="shared" si="8"/>
        <v>84.45408412788278</v>
      </c>
      <c r="T60" s="2">
        <f t="shared" si="9"/>
        <v>0.3615744825768985</v>
      </c>
    </row>
    <row r="61" spans="1:20" x14ac:dyDescent="0.25">
      <c r="A61" s="14">
        <f t="shared" si="16"/>
        <v>0.61522435897435901</v>
      </c>
      <c r="B61" s="2">
        <f t="shared" si="11"/>
        <v>56</v>
      </c>
      <c r="C61" s="4">
        <f t="shared" si="12"/>
        <v>32.33</v>
      </c>
      <c r="D61" s="2">
        <v>17</v>
      </c>
      <c r="E61" s="2">
        <v>50.26548245743669</v>
      </c>
      <c r="F61" s="11">
        <f t="shared" si="0"/>
        <v>3.3820425407027761</v>
      </c>
      <c r="G61" s="2">
        <f t="shared" si="1"/>
        <v>109.34143534092074</v>
      </c>
      <c r="H61" s="2">
        <f t="shared" si="2"/>
        <v>2.5808395794972032</v>
      </c>
      <c r="I61" s="2">
        <f t="shared" si="3"/>
        <v>83.438543605144574</v>
      </c>
      <c r="J61" s="2">
        <f t="shared" si="4"/>
        <v>25.902891735776166</v>
      </c>
      <c r="K61" s="15">
        <f t="shared" si="17"/>
        <v>0.59061609686609684</v>
      </c>
      <c r="L61" s="2">
        <f t="shared" si="14"/>
        <v>56</v>
      </c>
      <c r="M61" s="2">
        <f t="shared" si="15"/>
        <v>32.08</v>
      </c>
      <c r="N61" s="2">
        <v>13.5</v>
      </c>
      <c r="O61" s="2">
        <v>50.26548245743669</v>
      </c>
      <c r="P61" s="11">
        <f t="shared" si="5"/>
        <v>2.6857396646757339</v>
      </c>
      <c r="Q61" s="2">
        <f t="shared" si="6"/>
        <v>86.158528442797532</v>
      </c>
      <c r="R61" s="2">
        <f t="shared" si="7"/>
        <v>2.6742901877100311</v>
      </c>
      <c r="S61" s="2">
        <f t="shared" si="8"/>
        <v>85.791229221737794</v>
      </c>
      <c r="T61" s="2">
        <f t="shared" si="9"/>
        <v>0.36729922105973856</v>
      </c>
    </row>
    <row r="62" spans="1:20" x14ac:dyDescent="0.25">
      <c r="A62" s="14">
        <f t="shared" si="16"/>
        <v>0.61538461538461542</v>
      </c>
      <c r="B62" s="2">
        <f t="shared" si="11"/>
        <v>57</v>
      </c>
      <c r="C62" s="4">
        <f t="shared" si="12"/>
        <v>32.83</v>
      </c>
      <c r="D62" s="2">
        <v>14</v>
      </c>
      <c r="E62" s="2">
        <v>50.26548245743669</v>
      </c>
      <c r="F62" s="11">
        <f t="shared" si="0"/>
        <v>2.7852115041081689</v>
      </c>
      <c r="G62" s="2">
        <f t="shared" si="1"/>
        <v>91.438493679871186</v>
      </c>
      <c r="H62" s="2">
        <f t="shared" si="2"/>
        <v>2.5808395794972032</v>
      </c>
      <c r="I62" s="2">
        <f t="shared" si="3"/>
        <v>84.728963394893171</v>
      </c>
      <c r="J62" s="2">
        <f t="shared" si="4"/>
        <v>6.7095302849780154</v>
      </c>
      <c r="K62" s="15">
        <f t="shared" si="17"/>
        <v>0.59075854700854702</v>
      </c>
      <c r="L62" s="2">
        <f t="shared" si="14"/>
        <v>57</v>
      </c>
      <c r="M62" s="2">
        <f t="shared" si="15"/>
        <v>32.58</v>
      </c>
      <c r="N62" s="2">
        <v>12.5</v>
      </c>
      <c r="O62" s="2">
        <v>50.26548245743669</v>
      </c>
      <c r="P62" s="11">
        <f t="shared" si="5"/>
        <v>2.4867959858108648</v>
      </c>
      <c r="Q62" s="2">
        <f t="shared" si="6"/>
        <v>81.019813217717967</v>
      </c>
      <c r="R62" s="2">
        <f t="shared" si="7"/>
        <v>2.6742901877100311</v>
      </c>
      <c r="S62" s="2">
        <f t="shared" si="8"/>
        <v>87.128374315592808</v>
      </c>
      <c r="T62" s="2">
        <f t="shared" si="9"/>
        <v>6.1085610978748406</v>
      </c>
    </row>
    <row r="63" spans="1:20" x14ac:dyDescent="0.25">
      <c r="A63" s="14">
        <f t="shared" si="16"/>
        <v>0.61554487179487183</v>
      </c>
      <c r="B63" s="2">
        <f t="shared" si="11"/>
        <v>58</v>
      </c>
      <c r="C63" s="4">
        <f t="shared" si="12"/>
        <v>33.33</v>
      </c>
      <c r="D63" s="2">
        <v>14</v>
      </c>
      <c r="E63" s="2">
        <v>50.26548245743669</v>
      </c>
      <c r="F63" s="11">
        <f t="shared" si="0"/>
        <v>2.7852115041081689</v>
      </c>
      <c r="G63" s="2">
        <f t="shared" si="1"/>
        <v>92.831099431925267</v>
      </c>
      <c r="H63" s="2">
        <f t="shared" si="2"/>
        <v>2.5808395794972032</v>
      </c>
      <c r="I63" s="2">
        <f t="shared" si="3"/>
        <v>86.019383184641782</v>
      </c>
      <c r="J63" s="2">
        <f t="shared" si="4"/>
        <v>6.8117162472834849</v>
      </c>
      <c r="K63" s="15">
        <f t="shared" si="17"/>
        <v>0.5909009971509972</v>
      </c>
      <c r="L63" s="2">
        <f t="shared" si="14"/>
        <v>58</v>
      </c>
      <c r="M63" s="2">
        <f t="shared" si="15"/>
        <v>33.08</v>
      </c>
      <c r="N63" s="2">
        <v>15</v>
      </c>
      <c r="O63" s="2">
        <v>50.26548245743669</v>
      </c>
      <c r="P63" s="11">
        <f t="shared" si="5"/>
        <v>2.9841551829730379</v>
      </c>
      <c r="Q63" s="2">
        <f t="shared" si="6"/>
        <v>98.715853452748092</v>
      </c>
      <c r="R63" s="2">
        <f t="shared" si="7"/>
        <v>2.6742901877100311</v>
      </c>
      <c r="S63" s="2">
        <f t="shared" si="8"/>
        <v>88.465519409447822</v>
      </c>
      <c r="T63" s="2">
        <f t="shared" si="9"/>
        <v>10.250334043300271</v>
      </c>
    </row>
    <row r="64" spans="1:20" x14ac:dyDescent="0.25">
      <c r="A64" s="14">
        <f t="shared" si="16"/>
        <v>0.61570512820512824</v>
      </c>
      <c r="B64" s="2">
        <f t="shared" si="11"/>
        <v>59</v>
      </c>
      <c r="C64" s="4">
        <f t="shared" si="12"/>
        <v>33.83</v>
      </c>
      <c r="D64" s="2">
        <v>12.5</v>
      </c>
      <c r="E64" s="2">
        <v>50.26548245743669</v>
      </c>
      <c r="F64" s="11">
        <f t="shared" si="0"/>
        <v>2.4867959858108648</v>
      </c>
      <c r="G64" s="2">
        <f t="shared" si="1"/>
        <v>84.128308199981547</v>
      </c>
      <c r="H64" s="2">
        <f t="shared" si="2"/>
        <v>2.5808395794972032</v>
      </c>
      <c r="I64" s="2">
        <f t="shared" si="3"/>
        <v>87.309802974390379</v>
      </c>
      <c r="J64" s="2">
        <f t="shared" si="4"/>
        <v>3.1814947744088329</v>
      </c>
      <c r="K64" s="15">
        <f t="shared" si="17"/>
        <v>0.59104344729344727</v>
      </c>
      <c r="L64" s="2">
        <f t="shared" si="14"/>
        <v>59</v>
      </c>
      <c r="M64" s="2">
        <f t="shared" si="15"/>
        <v>33.58</v>
      </c>
      <c r="N64" s="2">
        <v>14</v>
      </c>
      <c r="O64" s="2">
        <v>50.26548245743669</v>
      </c>
      <c r="P64" s="11">
        <f t="shared" si="5"/>
        <v>2.7852115041081689</v>
      </c>
      <c r="Q64" s="2">
        <f t="shared" si="6"/>
        <v>93.5274023079523</v>
      </c>
      <c r="R64" s="2">
        <f t="shared" si="7"/>
        <v>2.6742901877100311</v>
      </c>
      <c r="S64" s="2">
        <f t="shared" si="8"/>
        <v>89.802664503302836</v>
      </c>
      <c r="T64" s="2">
        <f t="shared" si="9"/>
        <v>3.7247378046494646</v>
      </c>
    </row>
    <row r="65" spans="1:20" x14ac:dyDescent="0.25">
      <c r="A65" s="14">
        <f t="shared" si="16"/>
        <v>0.61586538461538465</v>
      </c>
      <c r="B65" s="2">
        <f t="shared" si="11"/>
        <v>60</v>
      </c>
      <c r="C65" s="4">
        <f t="shared" si="12"/>
        <v>34.33</v>
      </c>
      <c r="D65" s="2">
        <v>13</v>
      </c>
      <c r="E65" s="2">
        <v>50.26548245743669</v>
      </c>
      <c r="F65" s="11">
        <f t="shared" si="0"/>
        <v>2.5862678252432989</v>
      </c>
      <c r="G65" s="2">
        <f t="shared" si="1"/>
        <v>88.78657444060245</v>
      </c>
      <c r="H65" s="2">
        <f t="shared" si="2"/>
        <v>2.5808395794972032</v>
      </c>
      <c r="I65" s="2">
        <f t="shared" si="3"/>
        <v>88.600222764138977</v>
      </c>
      <c r="J65" s="2">
        <f t="shared" si="4"/>
        <v>0.18635167646347384</v>
      </c>
      <c r="K65" s="15">
        <f t="shared" si="17"/>
        <v>0.59118589743589745</v>
      </c>
      <c r="L65" s="2">
        <f t="shared" si="14"/>
        <v>60</v>
      </c>
      <c r="M65" s="2">
        <f t="shared" si="15"/>
        <v>34.08</v>
      </c>
      <c r="N65" s="2">
        <v>13.5</v>
      </c>
      <c r="O65" s="2">
        <v>50.26548245743669</v>
      </c>
      <c r="P65" s="11">
        <f t="shared" si="5"/>
        <v>2.6857396646757339</v>
      </c>
      <c r="Q65" s="2">
        <f t="shared" si="6"/>
        <v>91.530007772149006</v>
      </c>
      <c r="R65" s="2">
        <f t="shared" si="7"/>
        <v>2.6742901877100311</v>
      </c>
      <c r="S65" s="2">
        <f t="shared" si="8"/>
        <v>91.13980959715785</v>
      </c>
      <c r="T65" s="2">
        <f t="shared" si="9"/>
        <v>0.39019817499115561</v>
      </c>
    </row>
    <row r="66" spans="1:20" x14ac:dyDescent="0.25">
      <c r="A66" s="14">
        <f t="shared" si="16"/>
        <v>0.61602564102564106</v>
      </c>
      <c r="B66" s="2">
        <f t="shared" si="11"/>
        <v>61</v>
      </c>
      <c r="C66" s="4">
        <f t="shared" si="12"/>
        <v>34.83</v>
      </c>
      <c r="D66" s="2">
        <v>13.5</v>
      </c>
      <c r="E66" s="2">
        <v>50.26548245743669</v>
      </c>
      <c r="F66" s="11">
        <f t="shared" si="0"/>
        <v>2.6857396646757339</v>
      </c>
      <c r="G66" s="2">
        <f t="shared" si="1"/>
        <v>93.544312520655808</v>
      </c>
      <c r="H66" s="2">
        <f t="shared" si="2"/>
        <v>2.5808395794972032</v>
      </c>
      <c r="I66" s="2">
        <f t="shared" si="3"/>
        <v>89.890642553887588</v>
      </c>
      <c r="J66" s="2">
        <f t="shared" si="4"/>
        <v>3.65366996676822</v>
      </c>
      <c r="K66" s="15">
        <f t="shared" si="17"/>
        <v>0.59132834757834762</v>
      </c>
      <c r="L66" s="2">
        <f t="shared" si="14"/>
        <v>61</v>
      </c>
      <c r="M66" s="2">
        <f t="shared" si="15"/>
        <v>34.58</v>
      </c>
      <c r="N66" s="2">
        <v>14.5</v>
      </c>
      <c r="O66" s="2">
        <v>50.26548245743669</v>
      </c>
      <c r="P66" s="11">
        <f t="shared" si="5"/>
        <v>2.8846833435406034</v>
      </c>
      <c r="Q66" s="2">
        <f t="shared" si="6"/>
        <v>99.752350019634065</v>
      </c>
      <c r="R66" s="2">
        <f t="shared" si="7"/>
        <v>2.6742901877100311</v>
      </c>
      <c r="S66" s="2">
        <f t="shared" si="8"/>
        <v>92.476954691012878</v>
      </c>
      <c r="T66" s="2">
        <f t="shared" si="9"/>
        <v>7.2753953286211868</v>
      </c>
    </row>
    <row r="67" spans="1:20" x14ac:dyDescent="0.25">
      <c r="A67" s="14">
        <f t="shared" si="16"/>
        <v>0.61618589743589747</v>
      </c>
      <c r="B67" s="2">
        <f t="shared" si="11"/>
        <v>62</v>
      </c>
      <c r="C67" s="4">
        <f t="shared" si="12"/>
        <v>35.33</v>
      </c>
      <c r="D67" s="2">
        <v>13</v>
      </c>
      <c r="E67" s="2">
        <v>50.26548245743669</v>
      </c>
      <c r="F67" s="11">
        <f t="shared" si="0"/>
        <v>2.5862678252432989</v>
      </c>
      <c r="G67" s="2">
        <f t="shared" si="1"/>
        <v>91.372842265845748</v>
      </c>
      <c r="H67" s="2">
        <f t="shared" si="2"/>
        <v>2.5808395794972032</v>
      </c>
      <c r="I67" s="2">
        <f t="shared" si="3"/>
        <v>91.181062343636185</v>
      </c>
      <c r="J67" s="2">
        <f t="shared" si="4"/>
        <v>0.19177992220956241</v>
      </c>
      <c r="K67" s="15">
        <f t="shared" si="17"/>
        <v>0.59147079772079769</v>
      </c>
      <c r="L67" s="2">
        <f t="shared" si="14"/>
        <v>62</v>
      </c>
      <c r="M67" s="2">
        <f t="shared" si="15"/>
        <v>35.08</v>
      </c>
      <c r="N67" s="2">
        <v>13.5</v>
      </c>
      <c r="O67" s="2">
        <v>50.26548245743669</v>
      </c>
      <c r="P67" s="11">
        <f t="shared" si="5"/>
        <v>2.6857396646757339</v>
      </c>
      <c r="Q67" s="2">
        <f t="shared" si="6"/>
        <v>94.215747436824742</v>
      </c>
      <c r="R67" s="2">
        <f t="shared" si="7"/>
        <v>2.6742901877100311</v>
      </c>
      <c r="S67" s="2">
        <f t="shared" si="8"/>
        <v>93.814099784867892</v>
      </c>
      <c r="T67" s="2">
        <f t="shared" si="9"/>
        <v>0.40164765195684993</v>
      </c>
    </row>
    <row r="68" spans="1:20" x14ac:dyDescent="0.25">
      <c r="A68" s="14">
        <f t="shared" si="16"/>
        <v>0.61634615384615388</v>
      </c>
      <c r="B68" s="2">
        <f t="shared" si="11"/>
        <v>63</v>
      </c>
      <c r="C68" s="4">
        <f t="shared" si="12"/>
        <v>35.83</v>
      </c>
      <c r="D68" s="2">
        <v>13</v>
      </c>
      <c r="E68" s="2">
        <v>50.26548245743669</v>
      </c>
      <c r="F68" s="11">
        <f t="shared" si="0"/>
        <v>2.5862678252432989</v>
      </c>
      <c r="G68" s="2">
        <f t="shared" si="1"/>
        <v>92.665976178467389</v>
      </c>
      <c r="H68" s="2">
        <f t="shared" si="2"/>
        <v>2.5808395794972032</v>
      </c>
      <c r="I68" s="2">
        <f t="shared" si="3"/>
        <v>92.471482133384782</v>
      </c>
      <c r="J68" s="2">
        <f t="shared" si="4"/>
        <v>0.1944940450826067</v>
      </c>
      <c r="K68" s="15">
        <f t="shared" si="17"/>
        <v>0.59161324786324787</v>
      </c>
      <c r="L68" s="2">
        <f t="shared" si="14"/>
        <v>63</v>
      </c>
      <c r="M68" s="2">
        <f t="shared" si="15"/>
        <v>35.58</v>
      </c>
      <c r="N68" s="2">
        <v>14.5</v>
      </c>
      <c r="O68" s="2">
        <v>50.26548245743669</v>
      </c>
      <c r="P68" s="11">
        <f t="shared" si="5"/>
        <v>2.8846833435406034</v>
      </c>
      <c r="Q68" s="2">
        <f t="shared" si="6"/>
        <v>102.63703336317467</v>
      </c>
      <c r="R68" s="2">
        <f t="shared" si="7"/>
        <v>2.6742901877100311</v>
      </c>
      <c r="S68" s="2">
        <f t="shared" si="8"/>
        <v>95.151244878722906</v>
      </c>
      <c r="T68" s="2">
        <f t="shared" si="9"/>
        <v>7.4857884844517599</v>
      </c>
    </row>
    <row r="69" spans="1:20" x14ac:dyDescent="0.25">
      <c r="A69" s="14">
        <f t="shared" si="16"/>
        <v>0.61650641025641029</v>
      </c>
      <c r="B69" s="2">
        <f t="shared" si="11"/>
        <v>64</v>
      </c>
      <c r="C69" s="4">
        <f t="shared" si="12"/>
        <v>36.33</v>
      </c>
      <c r="D69" s="2">
        <v>14.5</v>
      </c>
      <c r="E69" s="2">
        <v>50.26548245743669</v>
      </c>
      <c r="F69" s="11">
        <f t="shared" si="0"/>
        <v>2.8846833435406034</v>
      </c>
      <c r="G69" s="2">
        <f t="shared" si="1"/>
        <v>104.80054587083012</v>
      </c>
      <c r="H69" s="2">
        <f t="shared" si="2"/>
        <v>2.5808395794972032</v>
      </c>
      <c r="I69" s="2">
        <f t="shared" si="3"/>
        <v>93.761901923133394</v>
      </c>
      <c r="J69" s="2">
        <f t="shared" si="4"/>
        <v>11.038643947696727</v>
      </c>
      <c r="K69" s="15">
        <f t="shared" si="17"/>
        <v>0.59175569800569805</v>
      </c>
      <c r="L69" s="2">
        <f t="shared" si="14"/>
        <v>64</v>
      </c>
      <c r="M69" s="2">
        <f t="shared" si="15"/>
        <v>36.08</v>
      </c>
      <c r="N69" s="2">
        <v>15.5</v>
      </c>
      <c r="O69" s="2">
        <v>50.26548245743669</v>
      </c>
      <c r="P69" s="11">
        <f t="shared" si="5"/>
        <v>3.0836270224054725</v>
      </c>
      <c r="Q69" s="2">
        <f t="shared" si="6"/>
        <v>111.25726296838944</v>
      </c>
      <c r="R69" s="2">
        <f t="shared" si="7"/>
        <v>2.6742901877100311</v>
      </c>
      <c r="S69" s="2">
        <f t="shared" si="8"/>
        <v>96.48838997257792</v>
      </c>
      <c r="T69" s="2">
        <f t="shared" si="9"/>
        <v>14.76887299581152</v>
      </c>
    </row>
    <row r="70" spans="1:20" x14ac:dyDescent="0.25">
      <c r="A70" s="14">
        <f t="shared" si="16"/>
        <v>0.6166666666666667</v>
      </c>
      <c r="B70" s="2">
        <f t="shared" si="11"/>
        <v>65</v>
      </c>
      <c r="C70" s="4">
        <f t="shared" si="12"/>
        <v>36.83</v>
      </c>
      <c r="D70" s="2">
        <v>13</v>
      </c>
      <c r="E70" s="2">
        <v>50.26548245743669</v>
      </c>
      <c r="F70" s="11">
        <f t="shared" si="0"/>
        <v>2.5862678252432989</v>
      </c>
      <c r="G70" s="2">
        <f t="shared" si="1"/>
        <v>95.2522440037107</v>
      </c>
      <c r="H70" s="2">
        <f t="shared" si="2"/>
        <v>2.5808395794972032</v>
      </c>
      <c r="I70" s="2">
        <f t="shared" si="3"/>
        <v>95.052321712881991</v>
      </c>
      <c r="J70" s="2">
        <f t="shared" si="4"/>
        <v>0.19992229082870949</v>
      </c>
      <c r="K70" s="15">
        <f t="shared" si="17"/>
        <v>0.59189814814814812</v>
      </c>
      <c r="L70" s="2">
        <f t="shared" si="14"/>
        <v>65</v>
      </c>
      <c r="M70" s="2">
        <f t="shared" si="15"/>
        <v>36.58</v>
      </c>
      <c r="N70" s="2">
        <v>14.5</v>
      </c>
      <c r="O70" s="2">
        <v>50.26548245743669</v>
      </c>
      <c r="P70" s="11">
        <f t="shared" si="5"/>
        <v>2.8846833435406034</v>
      </c>
      <c r="Q70" s="2">
        <f t="shared" si="6"/>
        <v>105.52171670671527</v>
      </c>
      <c r="R70" s="2">
        <f t="shared" si="7"/>
        <v>2.6742901877100311</v>
      </c>
      <c r="S70" s="2">
        <f t="shared" si="8"/>
        <v>97.825535066432934</v>
      </c>
      <c r="T70" s="2">
        <f t="shared" si="9"/>
        <v>7.6961816402823331</v>
      </c>
    </row>
    <row r="71" spans="1:20" x14ac:dyDescent="0.25">
      <c r="A71" s="14">
        <f t="shared" si="16"/>
        <v>0.61682692307692311</v>
      </c>
      <c r="B71" s="2">
        <f t="shared" si="11"/>
        <v>66</v>
      </c>
      <c r="C71" s="4">
        <f t="shared" si="12"/>
        <v>37.33</v>
      </c>
      <c r="D71" s="2">
        <v>15</v>
      </c>
      <c r="E71" s="2">
        <v>50.26548245743669</v>
      </c>
      <c r="F71" s="11">
        <f t="shared" si="0"/>
        <v>2.9841551829730379</v>
      </c>
      <c r="G71" s="2">
        <f t="shared" si="1"/>
        <v>111.3985129803835</v>
      </c>
      <c r="H71" s="2">
        <f t="shared" si="2"/>
        <v>2.5808395794972032</v>
      </c>
      <c r="I71" s="2">
        <f t="shared" si="3"/>
        <v>96.342741502630588</v>
      </c>
      <c r="J71" s="2">
        <f t="shared" si="4"/>
        <v>15.055771477752913</v>
      </c>
      <c r="K71" s="15">
        <f t="shared" si="17"/>
        <v>0.5920405982905983</v>
      </c>
      <c r="L71" s="2">
        <f t="shared" si="14"/>
        <v>66</v>
      </c>
      <c r="M71" s="2">
        <f t="shared" si="15"/>
        <v>37.08</v>
      </c>
      <c r="N71" s="2">
        <v>14</v>
      </c>
      <c r="O71" s="2">
        <v>50.26548245743669</v>
      </c>
      <c r="P71" s="11">
        <f t="shared" si="5"/>
        <v>2.7852115041081689</v>
      </c>
      <c r="Q71" s="2">
        <f t="shared" si="6"/>
        <v>103.2756425723309</v>
      </c>
      <c r="R71" s="2">
        <f t="shared" si="7"/>
        <v>2.6742901877100311</v>
      </c>
      <c r="S71" s="2">
        <f t="shared" si="8"/>
        <v>99.162680160287948</v>
      </c>
      <c r="T71" s="2">
        <f t="shared" si="9"/>
        <v>4.1129624120429469</v>
      </c>
    </row>
    <row r="72" spans="1:20" x14ac:dyDescent="0.25">
      <c r="A72" s="14">
        <f t="shared" si="16"/>
        <v>0.61698717948717952</v>
      </c>
      <c r="B72" s="2">
        <f t="shared" si="11"/>
        <v>67</v>
      </c>
      <c r="C72" s="4">
        <f t="shared" si="12"/>
        <v>37.83</v>
      </c>
      <c r="D72" s="2">
        <v>15</v>
      </c>
      <c r="E72" s="2">
        <v>50.26548245743669</v>
      </c>
      <c r="F72" s="11">
        <f t="shared" si="0"/>
        <v>2.9841551829730379</v>
      </c>
      <c r="G72" s="2">
        <f t="shared" si="1"/>
        <v>112.89059057187002</v>
      </c>
      <c r="H72" s="2">
        <f t="shared" si="2"/>
        <v>2.5808395794972032</v>
      </c>
      <c r="I72" s="2">
        <f t="shared" si="3"/>
        <v>97.633161292379199</v>
      </c>
      <c r="J72" s="2">
        <f t="shared" si="4"/>
        <v>15.257429279490822</v>
      </c>
      <c r="K72" s="15">
        <f t="shared" si="17"/>
        <v>0.59218304843304848</v>
      </c>
      <c r="L72" s="2">
        <f t="shared" si="14"/>
        <v>67</v>
      </c>
      <c r="M72" s="2">
        <f t="shared" si="15"/>
        <v>37.58</v>
      </c>
      <c r="N72" s="2">
        <v>19</v>
      </c>
      <c r="O72" s="2">
        <v>50.26548245743669</v>
      </c>
      <c r="P72" s="11">
        <f t="shared" si="5"/>
        <v>3.7799298984325143</v>
      </c>
      <c r="Q72" s="2">
        <f t="shared" si="6"/>
        <v>142.04976558309389</v>
      </c>
      <c r="R72" s="2">
        <f t="shared" si="7"/>
        <v>2.6742901877100311</v>
      </c>
      <c r="S72" s="2">
        <f t="shared" si="8"/>
        <v>100.49982525414296</v>
      </c>
      <c r="T72" s="2">
        <f t="shared" si="9"/>
        <v>41.549940328950925</v>
      </c>
    </row>
    <row r="73" spans="1:20" x14ac:dyDescent="0.25">
      <c r="A73" s="14">
        <f t="shared" si="16"/>
        <v>0.61714743589743593</v>
      </c>
      <c r="B73" s="2">
        <f t="shared" si="11"/>
        <v>68</v>
      </c>
      <c r="C73" s="4">
        <f t="shared" si="12"/>
        <v>38.33</v>
      </c>
      <c r="D73" s="2">
        <v>14</v>
      </c>
      <c r="E73" s="2">
        <v>50.26548245743669</v>
      </c>
      <c r="F73" s="11">
        <f t="shared" si="0"/>
        <v>2.7852115041081689</v>
      </c>
      <c r="G73" s="2">
        <f t="shared" si="1"/>
        <v>106.7571569524661</v>
      </c>
      <c r="H73" s="2">
        <f t="shared" si="2"/>
        <v>2.5808395794972032</v>
      </c>
      <c r="I73" s="2">
        <f t="shared" si="3"/>
        <v>98.923581082127797</v>
      </c>
      <c r="J73" s="2">
        <f t="shared" si="4"/>
        <v>7.8335758703383078</v>
      </c>
      <c r="K73" s="15">
        <f t="shared" si="17"/>
        <v>0.59232549857549854</v>
      </c>
      <c r="L73" s="2">
        <f t="shared" si="14"/>
        <v>68</v>
      </c>
      <c r="M73" s="2">
        <f t="shared" si="15"/>
        <v>38.08</v>
      </c>
      <c r="N73" s="2">
        <v>14.5</v>
      </c>
      <c r="O73" s="2">
        <v>50.26548245743669</v>
      </c>
      <c r="P73" s="11">
        <f t="shared" si="5"/>
        <v>2.8846833435406034</v>
      </c>
      <c r="Q73" s="2">
        <f t="shared" si="6"/>
        <v>109.84874172202618</v>
      </c>
      <c r="R73" s="2">
        <f t="shared" si="7"/>
        <v>2.6742901877100311</v>
      </c>
      <c r="S73" s="2">
        <f t="shared" si="8"/>
        <v>101.83697034799798</v>
      </c>
      <c r="T73" s="2">
        <f t="shared" si="9"/>
        <v>8.0117713740281999</v>
      </c>
    </row>
    <row r="74" spans="1:20" x14ac:dyDescent="0.25">
      <c r="A74" s="14">
        <f t="shared" si="16"/>
        <v>0.61730769230769234</v>
      </c>
      <c r="B74" s="2">
        <f t="shared" si="11"/>
        <v>69</v>
      </c>
      <c r="C74" s="4">
        <f t="shared" si="12"/>
        <v>38.83</v>
      </c>
      <c r="D74" s="2">
        <v>14.5</v>
      </c>
      <c r="E74" s="2">
        <v>50.26548245743669</v>
      </c>
      <c r="F74" s="11">
        <f t="shared" si="0"/>
        <v>2.8846833435406034</v>
      </c>
      <c r="G74" s="2">
        <f t="shared" si="1"/>
        <v>112.01225422968163</v>
      </c>
      <c r="H74" s="2">
        <f t="shared" si="2"/>
        <v>2.5808395794972032</v>
      </c>
      <c r="I74" s="2">
        <f t="shared" si="3"/>
        <v>100.21400087187639</v>
      </c>
      <c r="J74" s="2">
        <f t="shared" si="4"/>
        <v>11.798253357805237</v>
      </c>
      <c r="K74" s="15">
        <f t="shared" si="17"/>
        <v>0.59246794871794872</v>
      </c>
      <c r="L74" s="2">
        <f t="shared" si="14"/>
        <v>69</v>
      </c>
      <c r="M74" s="2">
        <f t="shared" si="15"/>
        <v>38.58</v>
      </c>
      <c r="N74" s="2">
        <v>14</v>
      </c>
      <c r="O74" s="2">
        <v>50.26548245743669</v>
      </c>
      <c r="P74" s="11">
        <f t="shared" si="5"/>
        <v>2.7852115041081689</v>
      </c>
      <c r="Q74" s="2">
        <f t="shared" si="6"/>
        <v>107.45345982849315</v>
      </c>
      <c r="R74" s="2">
        <f t="shared" si="7"/>
        <v>2.6742901877100311</v>
      </c>
      <c r="S74" s="2">
        <f t="shared" si="8"/>
        <v>103.17411544185299</v>
      </c>
      <c r="T74" s="2">
        <f t="shared" si="9"/>
        <v>4.2793443866401617</v>
      </c>
    </row>
    <row r="75" spans="1:20" x14ac:dyDescent="0.25">
      <c r="A75" s="14">
        <f t="shared" si="16"/>
        <v>0.61746794871794874</v>
      </c>
      <c r="B75" s="2">
        <f t="shared" si="11"/>
        <v>70</v>
      </c>
      <c r="C75" s="4">
        <f t="shared" si="12"/>
        <v>39.33</v>
      </c>
      <c r="D75" s="2">
        <v>13</v>
      </c>
      <c r="E75" s="2">
        <v>50.26548245743669</v>
      </c>
      <c r="F75" s="11">
        <f t="shared" si="0"/>
        <v>2.5862678252432989</v>
      </c>
      <c r="G75" s="2">
        <f t="shared" si="1"/>
        <v>101.71791356681894</v>
      </c>
      <c r="H75" s="2">
        <f t="shared" si="2"/>
        <v>2.5808395794972032</v>
      </c>
      <c r="I75" s="2">
        <f t="shared" si="3"/>
        <v>101.50442066162501</v>
      </c>
      <c r="J75" s="2">
        <f t="shared" si="4"/>
        <v>0.21349290519393094</v>
      </c>
      <c r="K75" s="15">
        <f t="shared" si="17"/>
        <v>0.5926103988603989</v>
      </c>
      <c r="L75" s="2">
        <f t="shared" si="14"/>
        <v>70</v>
      </c>
      <c r="M75" s="2">
        <f t="shared" si="15"/>
        <v>39.08</v>
      </c>
      <c r="N75" s="2">
        <v>14.5</v>
      </c>
      <c r="O75" s="2">
        <v>50.26548245743669</v>
      </c>
      <c r="P75" s="11">
        <f t="shared" si="5"/>
        <v>2.8846833435406034</v>
      </c>
      <c r="Q75" s="2">
        <f t="shared" si="6"/>
        <v>112.73342506556678</v>
      </c>
      <c r="R75" s="2">
        <f t="shared" si="7"/>
        <v>2.6742901877100311</v>
      </c>
      <c r="S75" s="2">
        <f t="shared" si="8"/>
        <v>104.51126053570802</v>
      </c>
      <c r="T75" s="2">
        <f t="shared" si="9"/>
        <v>8.2221645298587589</v>
      </c>
    </row>
    <row r="76" spans="1:20" x14ac:dyDescent="0.25">
      <c r="A76" s="14">
        <f t="shared" si="16"/>
        <v>0.61762820512820515</v>
      </c>
      <c r="B76" s="2">
        <f t="shared" si="11"/>
        <v>71</v>
      </c>
      <c r="C76" s="4">
        <f t="shared" si="12"/>
        <v>39.83</v>
      </c>
      <c r="D76" s="2">
        <v>13</v>
      </c>
      <c r="E76" s="2">
        <v>50.26548245743669</v>
      </c>
      <c r="F76" s="11">
        <f t="shared" si="0"/>
        <v>2.5862678252432989</v>
      </c>
      <c r="G76" s="2">
        <f t="shared" si="1"/>
        <v>103.01104747944059</v>
      </c>
      <c r="H76" s="2">
        <f t="shared" si="2"/>
        <v>2.5808395794972032</v>
      </c>
      <c r="I76" s="2">
        <f t="shared" si="3"/>
        <v>102.7948404513736</v>
      </c>
      <c r="J76" s="2">
        <f t="shared" si="4"/>
        <v>0.21620702806698944</v>
      </c>
      <c r="K76" s="15">
        <f t="shared" si="17"/>
        <v>0.59275284900284897</v>
      </c>
      <c r="L76" s="2">
        <f t="shared" si="14"/>
        <v>71</v>
      </c>
      <c r="M76" s="2">
        <f t="shared" si="15"/>
        <v>39.58</v>
      </c>
      <c r="N76" s="2">
        <v>15</v>
      </c>
      <c r="O76" s="2">
        <v>50.26548245743669</v>
      </c>
      <c r="P76" s="11">
        <f t="shared" si="5"/>
        <v>2.9841551829730379</v>
      </c>
      <c r="Q76" s="2">
        <f t="shared" si="6"/>
        <v>118.11286214207284</v>
      </c>
      <c r="R76" s="2">
        <f t="shared" si="7"/>
        <v>2.6742901877100311</v>
      </c>
      <c r="S76" s="2">
        <f t="shared" si="8"/>
        <v>105.84840562956303</v>
      </c>
      <c r="T76" s="2">
        <f t="shared" si="9"/>
        <v>12.26445651250981</v>
      </c>
    </row>
    <row r="77" spans="1:20" x14ac:dyDescent="0.25">
      <c r="A77" s="14">
        <f t="shared" si="16"/>
        <v>0.61778846153846156</v>
      </c>
      <c r="B77" s="2">
        <f t="shared" si="11"/>
        <v>72</v>
      </c>
      <c r="C77" s="4">
        <f t="shared" si="12"/>
        <v>40.33</v>
      </c>
      <c r="D77" s="2">
        <v>14.5</v>
      </c>
      <c r="E77" s="2">
        <v>50.26548245743669</v>
      </c>
      <c r="F77" s="11">
        <f t="shared" si="0"/>
        <v>2.8846833435406034</v>
      </c>
      <c r="G77" s="2">
        <f t="shared" si="1"/>
        <v>116.33927924499253</v>
      </c>
      <c r="H77" s="2">
        <f t="shared" si="2"/>
        <v>2.5808395794972032</v>
      </c>
      <c r="I77" s="2">
        <f t="shared" si="3"/>
        <v>104.0852602411222</v>
      </c>
      <c r="J77" s="2">
        <f t="shared" si="4"/>
        <v>12.254019003870326</v>
      </c>
      <c r="K77" s="15">
        <f t="shared" si="17"/>
        <v>0.59289529914529915</v>
      </c>
      <c r="L77" s="2">
        <f t="shared" si="14"/>
        <v>72</v>
      </c>
      <c r="M77" s="2">
        <f t="shared" si="15"/>
        <v>40.08</v>
      </c>
      <c r="N77" s="2">
        <v>13.5</v>
      </c>
      <c r="O77" s="2">
        <v>50.26548245743669</v>
      </c>
      <c r="P77" s="11">
        <f t="shared" si="5"/>
        <v>2.6857396646757339</v>
      </c>
      <c r="Q77" s="2">
        <f t="shared" si="6"/>
        <v>107.64444576020341</v>
      </c>
      <c r="R77" s="2">
        <f t="shared" si="7"/>
        <v>2.6742901877100311</v>
      </c>
      <c r="S77" s="2">
        <f t="shared" si="8"/>
        <v>107.18555072341805</v>
      </c>
      <c r="T77" s="2">
        <f t="shared" si="9"/>
        <v>0.45889503678536414</v>
      </c>
    </row>
    <row r="78" spans="1:20" x14ac:dyDescent="0.25">
      <c r="A78" s="14">
        <f t="shared" si="16"/>
        <v>0.61794871794871797</v>
      </c>
      <c r="B78" s="2">
        <f t="shared" si="11"/>
        <v>73</v>
      </c>
      <c r="C78" s="4">
        <f t="shared" si="12"/>
        <v>40.83</v>
      </c>
      <c r="D78" s="2">
        <v>13</v>
      </c>
      <c r="E78" s="2">
        <v>50.26548245743669</v>
      </c>
      <c r="F78" s="11">
        <f t="shared" si="0"/>
        <v>2.5862678252432989</v>
      </c>
      <c r="G78" s="2">
        <f t="shared" si="1"/>
        <v>105.59731530468389</v>
      </c>
      <c r="H78" s="2">
        <f t="shared" si="2"/>
        <v>2.5808395794972032</v>
      </c>
      <c r="I78" s="2">
        <f t="shared" si="3"/>
        <v>105.3756800308708</v>
      </c>
      <c r="J78" s="2">
        <f t="shared" si="4"/>
        <v>0.22163527381309223</v>
      </c>
      <c r="K78" s="15">
        <f t="shared" si="17"/>
        <v>0.59303774928774933</v>
      </c>
      <c r="L78" s="2">
        <f t="shared" si="14"/>
        <v>73</v>
      </c>
      <c r="M78" s="2">
        <f t="shared" si="15"/>
        <v>40.58</v>
      </c>
      <c r="N78" s="2">
        <v>14.5</v>
      </c>
      <c r="O78" s="2">
        <v>50.26548245743669</v>
      </c>
      <c r="P78" s="11">
        <f t="shared" si="5"/>
        <v>2.8846833435406034</v>
      </c>
      <c r="Q78" s="2">
        <f t="shared" si="6"/>
        <v>117.06045008087769</v>
      </c>
      <c r="R78" s="2">
        <f t="shared" si="7"/>
        <v>2.6742901877100311</v>
      </c>
      <c r="S78" s="2">
        <f t="shared" si="8"/>
        <v>108.52269581727306</v>
      </c>
      <c r="T78" s="2">
        <f t="shared" si="9"/>
        <v>8.5377542636046257</v>
      </c>
    </row>
    <row r="79" spans="1:20" x14ac:dyDescent="0.25">
      <c r="A79" s="14">
        <f t="shared" si="16"/>
        <v>0.61810897435897438</v>
      </c>
      <c r="B79" s="2">
        <f t="shared" si="11"/>
        <v>74</v>
      </c>
      <c r="C79" s="4">
        <f t="shared" si="12"/>
        <v>41.33</v>
      </c>
      <c r="D79" s="2">
        <v>13</v>
      </c>
      <c r="E79" s="2">
        <v>50.26548245743669</v>
      </c>
      <c r="F79" s="11">
        <f t="shared" si="0"/>
        <v>2.5862678252432989</v>
      </c>
      <c r="G79" s="2">
        <f t="shared" si="1"/>
        <v>106.89044921730554</v>
      </c>
      <c r="H79" s="2">
        <f t="shared" si="2"/>
        <v>2.5808395794972032</v>
      </c>
      <c r="I79" s="2">
        <f t="shared" si="3"/>
        <v>106.66609982061941</v>
      </c>
      <c r="J79" s="2">
        <f t="shared" si="4"/>
        <v>0.22434939668613652</v>
      </c>
      <c r="K79" s="15">
        <f t="shared" si="17"/>
        <v>0.5931801994301994</v>
      </c>
      <c r="L79" s="2">
        <f t="shared" si="14"/>
        <v>74</v>
      </c>
      <c r="M79" s="2">
        <f t="shared" si="15"/>
        <v>41.08</v>
      </c>
      <c r="N79" s="2">
        <v>13.5</v>
      </c>
      <c r="O79" s="2">
        <v>50.26548245743669</v>
      </c>
      <c r="P79" s="11">
        <f t="shared" si="5"/>
        <v>2.6857396646757339</v>
      </c>
      <c r="Q79" s="2">
        <f t="shared" si="6"/>
        <v>110.33018542487915</v>
      </c>
      <c r="R79" s="2">
        <f t="shared" si="7"/>
        <v>2.6742901877100311</v>
      </c>
      <c r="S79" s="2">
        <f t="shared" si="8"/>
        <v>109.85984091112807</v>
      </c>
      <c r="T79" s="2">
        <f t="shared" si="9"/>
        <v>0.47034451375107267</v>
      </c>
    </row>
    <row r="80" spans="1:20" x14ac:dyDescent="0.25">
      <c r="A80" s="14">
        <f t="shared" si="16"/>
        <v>0.61826923076923079</v>
      </c>
      <c r="B80" s="2">
        <f t="shared" si="11"/>
        <v>75</v>
      </c>
      <c r="C80" s="4">
        <f t="shared" si="12"/>
        <v>41.83</v>
      </c>
      <c r="D80" s="2">
        <v>17</v>
      </c>
      <c r="E80" s="2">
        <v>50.26548245743669</v>
      </c>
      <c r="F80" s="11">
        <f t="shared" si="0"/>
        <v>3.3820425407027761</v>
      </c>
      <c r="G80" s="2">
        <f t="shared" si="1"/>
        <v>141.47083947759711</v>
      </c>
      <c r="H80" s="2">
        <f t="shared" si="2"/>
        <v>2.5808395794972032</v>
      </c>
      <c r="I80" s="2">
        <f t="shared" si="3"/>
        <v>107.95651961036801</v>
      </c>
      <c r="J80" s="2">
        <f t="shared" si="4"/>
        <v>33.514319867229105</v>
      </c>
      <c r="K80" s="15">
        <f t="shared" si="17"/>
        <v>0.59332264957264957</v>
      </c>
      <c r="L80" s="2">
        <f t="shared" si="14"/>
        <v>75</v>
      </c>
      <c r="M80" s="2">
        <f t="shared" si="15"/>
        <v>41.58</v>
      </c>
      <c r="N80" s="2">
        <v>15</v>
      </c>
      <c r="O80" s="2">
        <v>50.26548245743669</v>
      </c>
      <c r="P80" s="11">
        <f t="shared" si="5"/>
        <v>2.9841551829730379</v>
      </c>
      <c r="Q80" s="2">
        <f t="shared" si="6"/>
        <v>124.08117250801891</v>
      </c>
      <c r="R80" s="2">
        <f t="shared" si="7"/>
        <v>2.6742901877100311</v>
      </c>
      <c r="S80" s="2">
        <f t="shared" si="8"/>
        <v>111.19698600498309</v>
      </c>
      <c r="T80" s="2">
        <f t="shared" si="9"/>
        <v>12.884186503035821</v>
      </c>
    </row>
    <row r="81" spans="1:20" x14ac:dyDescent="0.25">
      <c r="A81" s="14">
        <f t="shared" si="16"/>
        <v>0.6184294871794872</v>
      </c>
      <c r="B81" s="2">
        <f t="shared" si="11"/>
        <v>76</v>
      </c>
      <c r="C81" s="4">
        <f t="shared" si="12"/>
        <v>42.33</v>
      </c>
      <c r="D81" s="2">
        <v>13.5</v>
      </c>
      <c r="E81" s="2">
        <v>50.26548245743669</v>
      </c>
      <c r="F81" s="11">
        <f t="shared" si="0"/>
        <v>2.6857396646757339</v>
      </c>
      <c r="G81" s="2">
        <f t="shared" si="1"/>
        <v>113.68736000572382</v>
      </c>
      <c r="H81" s="2">
        <f t="shared" si="2"/>
        <v>2.5808395794972032</v>
      </c>
      <c r="I81" s="2">
        <f t="shared" si="3"/>
        <v>109.2469394001166</v>
      </c>
      <c r="J81" s="2">
        <f t="shared" si="4"/>
        <v>4.4404206056072155</v>
      </c>
      <c r="K81" s="15">
        <f t="shared" si="17"/>
        <v>0.59346509971509975</v>
      </c>
      <c r="L81" s="2">
        <f t="shared" si="14"/>
        <v>76</v>
      </c>
      <c r="M81" s="2">
        <f t="shared" si="15"/>
        <v>42.08</v>
      </c>
      <c r="N81" s="2">
        <v>14</v>
      </c>
      <c r="O81" s="2">
        <v>50.26548245743669</v>
      </c>
      <c r="P81" s="11">
        <f t="shared" si="5"/>
        <v>2.7852115041081689</v>
      </c>
      <c r="Q81" s="2">
        <f t="shared" si="6"/>
        <v>117.20170009287175</v>
      </c>
      <c r="R81" s="2">
        <f t="shared" si="7"/>
        <v>2.6742901877100311</v>
      </c>
      <c r="S81" s="2">
        <f t="shared" si="8"/>
        <v>112.5341310988381</v>
      </c>
      <c r="T81" s="2">
        <f t="shared" si="9"/>
        <v>4.667568994033644</v>
      </c>
    </row>
    <row r="82" spans="1:20" x14ac:dyDescent="0.25">
      <c r="A82" s="14">
        <f t="shared" si="16"/>
        <v>0.61858974358974361</v>
      </c>
      <c r="B82" s="2">
        <f t="shared" si="11"/>
        <v>77</v>
      </c>
      <c r="C82" s="4">
        <f t="shared" si="12"/>
        <v>42.83</v>
      </c>
      <c r="D82" s="2">
        <v>13.5</v>
      </c>
      <c r="E82" s="2">
        <v>50.26548245743669</v>
      </c>
      <c r="F82" s="11">
        <f t="shared" si="0"/>
        <v>2.6857396646757339</v>
      </c>
      <c r="G82" s="2">
        <f t="shared" si="1"/>
        <v>115.03022983806167</v>
      </c>
      <c r="H82" s="2">
        <f t="shared" si="2"/>
        <v>2.5808395794972032</v>
      </c>
      <c r="I82" s="2">
        <f t="shared" si="3"/>
        <v>110.53735918986521</v>
      </c>
      <c r="J82" s="2">
        <f t="shared" si="4"/>
        <v>4.4928706481964582</v>
      </c>
      <c r="K82" s="15">
        <f t="shared" si="17"/>
        <v>0.59360754985754982</v>
      </c>
      <c r="L82" s="2">
        <f t="shared" si="14"/>
        <v>77</v>
      </c>
      <c r="M82" s="2">
        <f t="shared" si="15"/>
        <v>42.58</v>
      </c>
      <c r="N82" s="2">
        <v>13.5</v>
      </c>
      <c r="O82" s="2">
        <v>50.26548245743669</v>
      </c>
      <c r="P82" s="11">
        <f t="shared" si="5"/>
        <v>2.6857396646757339</v>
      </c>
      <c r="Q82" s="2">
        <f t="shared" si="6"/>
        <v>114.35879492189274</v>
      </c>
      <c r="R82" s="2">
        <f t="shared" si="7"/>
        <v>2.6742901877100311</v>
      </c>
      <c r="S82" s="2">
        <f t="shared" si="8"/>
        <v>113.87127619269312</v>
      </c>
      <c r="T82" s="2">
        <f t="shared" si="9"/>
        <v>0.48751872919962125</v>
      </c>
    </row>
    <row r="83" spans="1:20" x14ac:dyDescent="0.25">
      <c r="A83" s="10">
        <v>0.61875000000000002</v>
      </c>
      <c r="B83" s="2">
        <f t="shared" si="11"/>
        <v>78</v>
      </c>
      <c r="C83" s="4">
        <f t="shared" si="12"/>
        <v>43.33</v>
      </c>
      <c r="D83" s="2">
        <v>13</v>
      </c>
      <c r="E83" s="2">
        <v>50.26548245743669</v>
      </c>
      <c r="F83" s="11">
        <f t="shared" si="0"/>
        <v>2.5862678252432989</v>
      </c>
      <c r="G83" s="2">
        <f t="shared" si="1"/>
        <v>112.06298486779214</v>
      </c>
      <c r="H83" s="2">
        <f t="shared" si="2"/>
        <v>2.5808395794972032</v>
      </c>
      <c r="I83" s="2">
        <f t="shared" si="3"/>
        <v>111.82777897961381</v>
      </c>
      <c r="J83" s="2">
        <f t="shared" si="4"/>
        <v>0.23520588817832788</v>
      </c>
      <c r="K83" s="12">
        <v>0.59375</v>
      </c>
      <c r="L83" s="2">
        <f t="shared" si="14"/>
        <v>78</v>
      </c>
      <c r="M83" s="2">
        <f t="shared" si="15"/>
        <v>43.08</v>
      </c>
      <c r="N83" s="2">
        <v>14.5</v>
      </c>
      <c r="O83" s="2">
        <v>50.26548245743669</v>
      </c>
      <c r="P83" s="11">
        <f t="shared" si="5"/>
        <v>2.8846833435406034</v>
      </c>
      <c r="Q83" s="2">
        <f t="shared" si="6"/>
        <v>124.2721584397292</v>
      </c>
      <c r="R83" s="2">
        <f t="shared" si="7"/>
        <v>2.6742901877100311</v>
      </c>
      <c r="S83" s="2">
        <f t="shared" si="8"/>
        <v>115.20842128654813</v>
      </c>
      <c r="T83" s="2">
        <f t="shared" si="9"/>
        <v>9.0637371531810658</v>
      </c>
    </row>
    <row r="84" spans="1:20" x14ac:dyDescent="0.25">
      <c r="A84" s="14">
        <f t="shared" ref="A84:A121" si="18">IF(AND($A$83&lt;&gt;"",$A$122&lt;&gt;""), $A$83 + (B84 - $B$83) * (($A$122 - $A$83) / ($B$122 - $B$83)), "")</f>
        <v>0.61915954415954422</v>
      </c>
      <c r="B84" s="2">
        <f t="shared" si="11"/>
        <v>79</v>
      </c>
      <c r="C84" s="4">
        <f t="shared" si="12"/>
        <v>43.83</v>
      </c>
      <c r="D84" s="2">
        <v>13.5</v>
      </c>
      <c r="E84" s="2">
        <v>50.26548245743669</v>
      </c>
      <c r="F84" s="11">
        <f t="shared" si="0"/>
        <v>2.6857396646757339</v>
      </c>
      <c r="G84" s="2">
        <f t="shared" si="1"/>
        <v>117.71596950273741</v>
      </c>
      <c r="H84" s="2">
        <f t="shared" si="2"/>
        <v>2.5808395794972032</v>
      </c>
      <c r="I84" s="2">
        <f t="shared" si="3"/>
        <v>113.11819876936241</v>
      </c>
      <c r="J84" s="2">
        <f t="shared" si="4"/>
        <v>4.5977707333750004</v>
      </c>
      <c r="K84" s="15">
        <f t="shared" ref="K84:K121" si="19">IF(AND($K$83&lt;&gt;"",$K$122&lt;&gt;""), $K$83 + (L84 - $L$83) * (($K$122 - $K$83) / ($L$122 - $L$83)), "")</f>
        <v>0.59391025641025641</v>
      </c>
      <c r="L84" s="2">
        <f t="shared" si="14"/>
        <v>79</v>
      </c>
      <c r="M84" s="2">
        <f t="shared" si="15"/>
        <v>43.58</v>
      </c>
      <c r="N84" s="2">
        <v>13.5</v>
      </c>
      <c r="O84" s="2">
        <v>50.26548245743669</v>
      </c>
      <c r="P84" s="11">
        <f t="shared" si="5"/>
        <v>2.6857396646757339</v>
      </c>
      <c r="Q84" s="2">
        <f t="shared" si="6"/>
        <v>117.04453458656847</v>
      </c>
      <c r="R84" s="2">
        <f t="shared" si="7"/>
        <v>2.6742901877100311</v>
      </c>
      <c r="S84" s="2">
        <f t="shared" si="8"/>
        <v>116.54556638040316</v>
      </c>
      <c r="T84" s="2">
        <f t="shared" si="9"/>
        <v>0.49896820616531556</v>
      </c>
    </row>
    <row r="85" spans="1:20" x14ac:dyDescent="0.25">
      <c r="A85" s="14">
        <f t="shared" si="18"/>
        <v>0.6195690883190883</v>
      </c>
      <c r="B85" s="2">
        <f t="shared" si="11"/>
        <v>80</v>
      </c>
      <c r="C85" s="4">
        <f t="shared" si="12"/>
        <v>44.33</v>
      </c>
      <c r="D85" s="2">
        <v>13.5</v>
      </c>
      <c r="E85" s="2">
        <v>50.26548245743669</v>
      </c>
      <c r="F85" s="11">
        <f t="shared" si="0"/>
        <v>2.6857396646757339</v>
      </c>
      <c r="G85" s="2">
        <f t="shared" si="1"/>
        <v>119.05883933507528</v>
      </c>
      <c r="H85" s="2">
        <f t="shared" si="2"/>
        <v>2.5808395794972032</v>
      </c>
      <c r="I85" s="2">
        <f t="shared" si="3"/>
        <v>114.40861855911102</v>
      </c>
      <c r="J85" s="2">
        <f t="shared" si="4"/>
        <v>4.6502207759642573</v>
      </c>
      <c r="K85" s="15">
        <f t="shared" si="19"/>
        <v>0.59407051282051282</v>
      </c>
      <c r="L85" s="2">
        <f t="shared" si="14"/>
        <v>80</v>
      </c>
      <c r="M85" s="2">
        <f t="shared" si="15"/>
        <v>44.08</v>
      </c>
      <c r="N85" s="2">
        <v>15.5</v>
      </c>
      <c r="O85" s="2">
        <v>50.26548245743669</v>
      </c>
      <c r="P85" s="11">
        <f t="shared" si="5"/>
        <v>3.0836270224054725</v>
      </c>
      <c r="Q85" s="2">
        <f t="shared" si="6"/>
        <v>135.92627914763321</v>
      </c>
      <c r="R85" s="2">
        <f t="shared" si="7"/>
        <v>2.6742901877100311</v>
      </c>
      <c r="S85" s="2">
        <f t="shared" si="8"/>
        <v>117.88271147425817</v>
      </c>
      <c r="T85" s="2">
        <f t="shared" si="9"/>
        <v>18.043567673375037</v>
      </c>
    </row>
    <row r="86" spans="1:20" x14ac:dyDescent="0.25">
      <c r="A86" s="14">
        <f t="shared" si="18"/>
        <v>0.6199786324786325</v>
      </c>
      <c r="B86" s="2">
        <f t="shared" si="11"/>
        <v>81</v>
      </c>
      <c r="C86" s="4">
        <f t="shared" si="12"/>
        <v>44.83</v>
      </c>
      <c r="D86" s="2">
        <v>14</v>
      </c>
      <c r="E86" s="2">
        <v>50.26548245743669</v>
      </c>
      <c r="F86" s="11">
        <f t="shared" si="0"/>
        <v>2.7852115041081689</v>
      </c>
      <c r="G86" s="2">
        <f t="shared" si="1"/>
        <v>124.86103172916921</v>
      </c>
      <c r="H86" s="2">
        <f t="shared" si="2"/>
        <v>2.5808395794972032</v>
      </c>
      <c r="I86" s="2">
        <f t="shared" si="3"/>
        <v>115.69903834885962</v>
      </c>
      <c r="J86" s="2">
        <f t="shared" si="4"/>
        <v>9.1619933803095961</v>
      </c>
      <c r="K86" s="15">
        <f t="shared" si="19"/>
        <v>0.59423076923076923</v>
      </c>
      <c r="L86" s="2">
        <f t="shared" si="14"/>
        <v>81</v>
      </c>
      <c r="M86" s="2">
        <f t="shared" si="15"/>
        <v>44.58</v>
      </c>
      <c r="N86" s="2">
        <v>14.5</v>
      </c>
      <c r="O86" s="2">
        <v>50.26548245743669</v>
      </c>
      <c r="P86" s="11">
        <f t="shared" si="5"/>
        <v>2.8846833435406034</v>
      </c>
      <c r="Q86" s="2">
        <f t="shared" si="6"/>
        <v>128.59918345504011</v>
      </c>
      <c r="R86" s="2">
        <f t="shared" si="7"/>
        <v>2.6742901877100311</v>
      </c>
      <c r="S86" s="2">
        <f t="shared" si="8"/>
        <v>119.21985656811319</v>
      </c>
      <c r="T86" s="2">
        <f t="shared" si="9"/>
        <v>9.3793268869269184</v>
      </c>
    </row>
    <row r="87" spans="1:20" x14ac:dyDescent="0.25">
      <c r="A87" s="14">
        <f t="shared" si="18"/>
        <v>0.62038817663817669</v>
      </c>
      <c r="B87" s="2">
        <f t="shared" si="11"/>
        <v>82</v>
      </c>
      <c r="C87" s="4">
        <f t="shared" si="12"/>
        <v>45.33</v>
      </c>
      <c r="D87" s="2">
        <v>14</v>
      </c>
      <c r="E87" s="2">
        <v>50.26548245743669</v>
      </c>
      <c r="F87" s="11">
        <f t="shared" si="0"/>
        <v>2.7852115041081689</v>
      </c>
      <c r="G87" s="2">
        <f t="shared" si="1"/>
        <v>126.25363748122329</v>
      </c>
      <c r="H87" s="2">
        <f t="shared" si="2"/>
        <v>2.5808395794972032</v>
      </c>
      <c r="I87" s="2">
        <f t="shared" si="3"/>
        <v>116.98945813860821</v>
      </c>
      <c r="J87" s="2">
        <f t="shared" si="4"/>
        <v>9.2641793426150798</v>
      </c>
      <c r="K87" s="15">
        <f t="shared" si="19"/>
        <v>0.59439102564102564</v>
      </c>
      <c r="L87" s="2">
        <f t="shared" si="14"/>
        <v>82</v>
      </c>
      <c r="M87" s="2">
        <f t="shared" si="15"/>
        <v>45.08</v>
      </c>
      <c r="N87" s="2">
        <v>14</v>
      </c>
      <c r="O87" s="2">
        <v>50.26548245743669</v>
      </c>
      <c r="P87" s="11">
        <f t="shared" si="5"/>
        <v>2.7852115041081689</v>
      </c>
      <c r="Q87" s="2">
        <f t="shared" si="6"/>
        <v>125.55733460519625</v>
      </c>
      <c r="R87" s="2">
        <f t="shared" si="7"/>
        <v>2.6742901877100311</v>
      </c>
      <c r="S87" s="2">
        <f t="shared" si="8"/>
        <v>120.5570016619682</v>
      </c>
      <c r="T87" s="2">
        <f t="shared" si="9"/>
        <v>5.0003329432280452</v>
      </c>
    </row>
    <row r="88" spans="1:20" x14ac:dyDescent="0.25">
      <c r="A88" s="14">
        <f t="shared" si="18"/>
        <v>0.62079772079772078</v>
      </c>
      <c r="B88" s="2">
        <f t="shared" si="11"/>
        <v>83</v>
      </c>
      <c r="C88" s="4">
        <f t="shared" si="12"/>
        <v>45.83</v>
      </c>
      <c r="D88" s="2">
        <v>13</v>
      </c>
      <c r="E88" s="2">
        <v>50.26548245743669</v>
      </c>
      <c r="F88" s="11">
        <f t="shared" si="0"/>
        <v>2.5862678252432989</v>
      </c>
      <c r="G88" s="2">
        <f t="shared" si="1"/>
        <v>118.52865443090039</v>
      </c>
      <c r="H88" s="2">
        <f t="shared" si="2"/>
        <v>2.5808395794972032</v>
      </c>
      <c r="I88" s="2">
        <f t="shared" si="3"/>
        <v>118.27987792835683</v>
      </c>
      <c r="J88" s="2">
        <f t="shared" si="4"/>
        <v>0.24877650254356354</v>
      </c>
      <c r="K88" s="15">
        <f t="shared" si="19"/>
        <v>0.59455128205128205</v>
      </c>
      <c r="L88" s="2">
        <f t="shared" si="14"/>
        <v>83</v>
      </c>
      <c r="M88" s="2">
        <f t="shared" si="15"/>
        <v>45.58</v>
      </c>
      <c r="N88" s="2">
        <v>14</v>
      </c>
      <c r="O88" s="2">
        <v>50.26548245743669</v>
      </c>
      <c r="P88" s="11">
        <f t="shared" si="5"/>
        <v>2.7852115041081689</v>
      </c>
      <c r="Q88" s="2">
        <f t="shared" si="6"/>
        <v>126.94994035725033</v>
      </c>
      <c r="R88" s="2">
        <f t="shared" si="7"/>
        <v>2.6742901877100311</v>
      </c>
      <c r="S88" s="2">
        <f t="shared" si="8"/>
        <v>121.89414675582321</v>
      </c>
      <c r="T88" s="2">
        <f t="shared" si="9"/>
        <v>5.0557936014271121</v>
      </c>
    </row>
    <row r="89" spans="1:20" x14ac:dyDescent="0.25">
      <c r="A89" s="14">
        <f t="shared" si="18"/>
        <v>0.62120726495726497</v>
      </c>
      <c r="B89" s="2">
        <f t="shared" si="11"/>
        <v>84</v>
      </c>
      <c r="C89" s="4">
        <f t="shared" si="12"/>
        <v>46.33</v>
      </c>
      <c r="D89" s="2">
        <v>13</v>
      </c>
      <c r="E89" s="2">
        <v>50.26548245743669</v>
      </c>
      <c r="F89" s="11">
        <f t="shared" si="0"/>
        <v>2.5862678252432989</v>
      </c>
      <c r="G89" s="2">
        <f t="shared" si="1"/>
        <v>119.82178834352203</v>
      </c>
      <c r="H89" s="2">
        <f t="shared" si="2"/>
        <v>2.5808395794972032</v>
      </c>
      <c r="I89" s="2">
        <f t="shared" si="3"/>
        <v>119.57029771810542</v>
      </c>
      <c r="J89" s="2">
        <f t="shared" si="4"/>
        <v>0.25149062541660783</v>
      </c>
      <c r="K89" s="15">
        <f t="shared" si="19"/>
        <v>0.59471153846153846</v>
      </c>
      <c r="L89" s="2">
        <f t="shared" si="14"/>
        <v>84</v>
      </c>
      <c r="M89" s="2">
        <f t="shared" si="15"/>
        <v>46.08</v>
      </c>
      <c r="N89" s="2">
        <v>14</v>
      </c>
      <c r="O89" s="2">
        <v>50.26548245743669</v>
      </c>
      <c r="P89" s="11">
        <f t="shared" si="5"/>
        <v>2.7852115041081689</v>
      </c>
      <c r="Q89" s="2">
        <f t="shared" si="6"/>
        <v>128.34254610930441</v>
      </c>
      <c r="R89" s="2">
        <f t="shared" si="7"/>
        <v>2.6742901877100311</v>
      </c>
      <c r="S89" s="2">
        <f t="shared" si="8"/>
        <v>123.23129184967823</v>
      </c>
      <c r="T89" s="2">
        <f t="shared" si="9"/>
        <v>5.111254259626179</v>
      </c>
    </row>
    <row r="90" spans="1:20" x14ac:dyDescent="0.25">
      <c r="A90" s="14">
        <f t="shared" si="18"/>
        <v>0.62161680911680917</v>
      </c>
      <c r="B90" s="2">
        <f t="shared" si="11"/>
        <v>85</v>
      </c>
      <c r="C90" s="4">
        <f t="shared" si="12"/>
        <v>46.83</v>
      </c>
      <c r="D90" s="2">
        <v>10.5</v>
      </c>
      <c r="E90" s="2">
        <v>50.26548245743669</v>
      </c>
      <c r="F90" s="11">
        <f t="shared" si="0"/>
        <v>2.0889086280811267</v>
      </c>
      <c r="G90" s="2">
        <f t="shared" si="1"/>
        <v>97.823591053039152</v>
      </c>
      <c r="H90" s="2">
        <f t="shared" si="2"/>
        <v>2.5808395794972032</v>
      </c>
      <c r="I90" s="2">
        <f t="shared" si="3"/>
        <v>120.86071750785402</v>
      </c>
      <c r="J90" s="2">
        <f t="shared" si="4"/>
        <v>23.037126454814867</v>
      </c>
      <c r="K90" s="15">
        <f t="shared" si="19"/>
        <v>0.59487179487179487</v>
      </c>
      <c r="L90" s="2">
        <f t="shared" si="14"/>
        <v>85</v>
      </c>
      <c r="M90" s="2">
        <f t="shared" si="15"/>
        <v>46.58</v>
      </c>
      <c r="N90" s="2">
        <v>13</v>
      </c>
      <c r="O90" s="2">
        <v>50.26548245743669</v>
      </c>
      <c r="P90" s="11">
        <f t="shared" si="5"/>
        <v>2.5862678252432989</v>
      </c>
      <c r="Q90" s="2">
        <f t="shared" si="6"/>
        <v>120.46835529983287</v>
      </c>
      <c r="R90" s="2">
        <f t="shared" si="7"/>
        <v>2.6742901877100311</v>
      </c>
      <c r="S90" s="2">
        <f t="shared" si="8"/>
        <v>124.56843694353324</v>
      </c>
      <c r="T90" s="2">
        <f t="shared" si="9"/>
        <v>4.1000816437003778</v>
      </c>
    </row>
    <row r="91" spans="1:20" x14ac:dyDescent="0.25">
      <c r="A91" s="14">
        <f t="shared" si="18"/>
        <v>0.62202635327635325</v>
      </c>
      <c r="B91" s="2">
        <f t="shared" si="11"/>
        <v>86</v>
      </c>
      <c r="C91" s="4">
        <f t="shared" si="12"/>
        <v>47.33</v>
      </c>
      <c r="D91" s="2">
        <v>10.5</v>
      </c>
      <c r="E91" s="2">
        <v>50.26548245743669</v>
      </c>
      <c r="F91" s="11">
        <f t="shared" si="0"/>
        <v>2.0889086280811267</v>
      </c>
      <c r="G91" s="2">
        <f t="shared" si="1"/>
        <v>98.868045367079716</v>
      </c>
      <c r="H91" s="2">
        <f t="shared" si="2"/>
        <v>2.5808395794972032</v>
      </c>
      <c r="I91" s="2">
        <f t="shared" si="3"/>
        <v>122.15113729760263</v>
      </c>
      <c r="J91" s="2">
        <f t="shared" si="4"/>
        <v>23.283091930522914</v>
      </c>
      <c r="K91" s="15">
        <f t="shared" si="19"/>
        <v>0.59503205128205128</v>
      </c>
      <c r="L91" s="2">
        <f t="shared" si="14"/>
        <v>86</v>
      </c>
      <c r="M91" s="2">
        <f t="shared" si="15"/>
        <v>47.08</v>
      </c>
      <c r="N91" s="2">
        <v>13.5</v>
      </c>
      <c r="O91" s="2">
        <v>50.26548245743669</v>
      </c>
      <c r="P91" s="11">
        <f t="shared" si="5"/>
        <v>2.6857396646757339</v>
      </c>
      <c r="Q91" s="2">
        <f t="shared" si="6"/>
        <v>126.44462341293355</v>
      </c>
      <c r="R91" s="2">
        <f t="shared" si="7"/>
        <v>2.6742901877100311</v>
      </c>
      <c r="S91" s="2">
        <f t="shared" si="8"/>
        <v>125.90558203738826</v>
      </c>
      <c r="T91" s="2">
        <f t="shared" si="9"/>
        <v>0.53904137554529541</v>
      </c>
    </row>
    <row r="92" spans="1:20" x14ac:dyDescent="0.25">
      <c r="A92" s="14">
        <f t="shared" si="18"/>
        <v>0.62243589743589745</v>
      </c>
      <c r="B92" s="2">
        <f t="shared" si="11"/>
        <v>87</v>
      </c>
      <c r="C92" s="4">
        <f t="shared" si="12"/>
        <v>47.83</v>
      </c>
      <c r="D92" s="2">
        <v>10.5</v>
      </c>
      <c r="E92" s="2">
        <v>50.26548245743669</v>
      </c>
      <c r="F92" s="11">
        <f t="shared" si="0"/>
        <v>2.0889086280811267</v>
      </c>
      <c r="G92" s="2">
        <f t="shared" si="1"/>
        <v>99.912499681120281</v>
      </c>
      <c r="H92" s="2">
        <f t="shared" si="2"/>
        <v>2.5808395794972032</v>
      </c>
      <c r="I92" s="2">
        <f t="shared" si="3"/>
        <v>123.44155708735123</v>
      </c>
      <c r="J92" s="2">
        <f t="shared" si="4"/>
        <v>23.529057406230947</v>
      </c>
      <c r="K92" s="15">
        <f t="shared" si="19"/>
        <v>0.59519230769230769</v>
      </c>
      <c r="L92" s="2">
        <f t="shared" si="14"/>
        <v>87</v>
      </c>
      <c r="M92" s="2">
        <f t="shared" si="15"/>
        <v>47.58</v>
      </c>
      <c r="N92" s="2">
        <v>11.5</v>
      </c>
      <c r="O92" s="2">
        <v>50.26548245743669</v>
      </c>
      <c r="P92" s="11">
        <f t="shared" si="5"/>
        <v>2.2878523069459957</v>
      </c>
      <c r="Q92" s="2">
        <f t="shared" si="6"/>
        <v>108.85601276449047</v>
      </c>
      <c r="R92" s="2">
        <f t="shared" si="7"/>
        <v>2.6742901877100311</v>
      </c>
      <c r="S92" s="2">
        <f t="shared" si="8"/>
        <v>127.24272713124327</v>
      </c>
      <c r="T92" s="2">
        <f t="shared" si="9"/>
        <v>18.386714366752798</v>
      </c>
    </row>
    <row r="93" spans="1:20" x14ac:dyDescent="0.25">
      <c r="A93" s="14">
        <f t="shared" si="18"/>
        <v>0.62284544159544164</v>
      </c>
      <c r="B93" s="2">
        <f t="shared" si="11"/>
        <v>88</v>
      </c>
      <c r="C93" s="4">
        <f t="shared" si="12"/>
        <v>48.33</v>
      </c>
      <c r="D93" s="2">
        <v>14.5</v>
      </c>
      <c r="E93" s="2">
        <v>50.26548245743669</v>
      </c>
      <c r="F93" s="11">
        <f t="shared" si="0"/>
        <v>2.8846833435406034</v>
      </c>
      <c r="G93" s="2">
        <f t="shared" si="1"/>
        <v>139.41674599331736</v>
      </c>
      <c r="H93" s="2">
        <f t="shared" si="2"/>
        <v>2.5808395794972032</v>
      </c>
      <c r="I93" s="2">
        <f t="shared" si="3"/>
        <v>124.73197687709983</v>
      </c>
      <c r="J93" s="2">
        <f t="shared" si="4"/>
        <v>14.684769116217538</v>
      </c>
      <c r="K93" s="15">
        <f t="shared" si="19"/>
        <v>0.5953525641025641</v>
      </c>
      <c r="L93" s="2">
        <f t="shared" si="14"/>
        <v>88</v>
      </c>
      <c r="M93" s="2">
        <f t="shared" si="15"/>
        <v>48.08</v>
      </c>
      <c r="N93" s="2">
        <v>11</v>
      </c>
      <c r="O93" s="2">
        <v>50.26548245743669</v>
      </c>
      <c r="P93" s="11">
        <f t="shared" si="5"/>
        <v>2.1883804675135607</v>
      </c>
      <c r="Q93" s="2">
        <f t="shared" si="6"/>
        <v>105.21733287805199</v>
      </c>
      <c r="R93" s="2">
        <f t="shared" si="7"/>
        <v>2.6742901877100311</v>
      </c>
      <c r="S93" s="2">
        <f t="shared" si="8"/>
        <v>128.57987222509828</v>
      </c>
      <c r="T93" s="2">
        <f t="shared" si="9"/>
        <v>23.362539347046294</v>
      </c>
    </row>
    <row r="94" spans="1:20" x14ac:dyDescent="0.25">
      <c r="A94" s="14">
        <f t="shared" si="18"/>
        <v>0.62325498575498572</v>
      </c>
      <c r="B94" s="2">
        <f t="shared" si="11"/>
        <v>89</v>
      </c>
      <c r="C94" s="4">
        <f t="shared" si="12"/>
        <v>48.83</v>
      </c>
      <c r="D94" s="2">
        <v>10.5</v>
      </c>
      <c r="E94" s="2">
        <v>50.26548245743669</v>
      </c>
      <c r="F94" s="11">
        <f t="shared" si="0"/>
        <v>2.0889086280811267</v>
      </c>
      <c r="G94" s="2">
        <f t="shared" si="1"/>
        <v>102.00140830920141</v>
      </c>
      <c r="H94" s="2">
        <f t="shared" si="2"/>
        <v>2.5808395794972032</v>
      </c>
      <c r="I94" s="2">
        <f t="shared" si="3"/>
        <v>126.02239666684842</v>
      </c>
      <c r="J94" s="2">
        <f t="shared" si="4"/>
        <v>24.020988357647013</v>
      </c>
      <c r="K94" s="15">
        <f t="shared" si="19"/>
        <v>0.59551282051282051</v>
      </c>
      <c r="L94" s="2">
        <f t="shared" si="14"/>
        <v>89</v>
      </c>
      <c r="M94" s="2">
        <f t="shared" si="15"/>
        <v>48.58</v>
      </c>
      <c r="N94" s="2">
        <v>12</v>
      </c>
      <c r="O94" s="2">
        <v>50.26548245743669</v>
      </c>
      <c r="P94" s="11">
        <f t="shared" si="5"/>
        <v>2.3873241463784298</v>
      </c>
      <c r="Q94" s="2">
        <f t="shared" si="6"/>
        <v>115.97620703106412</v>
      </c>
      <c r="R94" s="2">
        <f t="shared" si="7"/>
        <v>2.6742901877100311</v>
      </c>
      <c r="S94" s="2">
        <f t="shared" si="8"/>
        <v>129.9170173189533</v>
      </c>
      <c r="T94" s="2">
        <f t="shared" si="9"/>
        <v>13.940810287889178</v>
      </c>
    </row>
    <row r="95" spans="1:20" x14ac:dyDescent="0.25">
      <c r="A95" s="14">
        <f t="shared" si="18"/>
        <v>0.62366452991452992</v>
      </c>
      <c r="B95" s="2">
        <f t="shared" si="11"/>
        <v>90</v>
      </c>
      <c r="C95" s="4">
        <f t="shared" si="12"/>
        <v>49.33</v>
      </c>
      <c r="D95" s="2">
        <v>9.5</v>
      </c>
      <c r="E95" s="2">
        <v>50.26548245743669</v>
      </c>
      <c r="F95" s="11">
        <f t="shared" si="0"/>
        <v>1.8899649492162571</v>
      </c>
      <c r="G95" s="2">
        <f t="shared" si="1"/>
        <v>93.231970944837954</v>
      </c>
      <c r="H95" s="2">
        <f t="shared" si="2"/>
        <v>2.5808395794972032</v>
      </c>
      <c r="I95" s="2">
        <f t="shared" si="3"/>
        <v>127.31281645659703</v>
      </c>
      <c r="J95" s="2">
        <f t="shared" si="4"/>
        <v>34.08084551175908</v>
      </c>
      <c r="K95" s="15">
        <f t="shared" si="19"/>
        <v>0.59567307692307692</v>
      </c>
      <c r="L95" s="2">
        <f t="shared" si="14"/>
        <v>90</v>
      </c>
      <c r="M95" s="2">
        <f t="shared" si="15"/>
        <v>49.08</v>
      </c>
      <c r="N95" s="2">
        <v>10.5</v>
      </c>
      <c r="O95" s="2">
        <v>50.26548245743669</v>
      </c>
      <c r="P95" s="11">
        <f t="shared" si="5"/>
        <v>2.0889086280811267</v>
      </c>
      <c r="Q95" s="2">
        <f t="shared" si="6"/>
        <v>102.52363546622169</v>
      </c>
      <c r="R95" s="2">
        <f t="shared" si="7"/>
        <v>2.6742901877100311</v>
      </c>
      <c r="S95" s="2">
        <f t="shared" si="8"/>
        <v>131.25416241280831</v>
      </c>
      <c r="T95" s="2">
        <f t="shared" si="9"/>
        <v>28.730526946586622</v>
      </c>
    </row>
    <row r="96" spans="1:20" x14ac:dyDescent="0.25">
      <c r="A96" s="14">
        <f t="shared" si="18"/>
        <v>0.62407407407407411</v>
      </c>
      <c r="B96" s="2">
        <f t="shared" si="11"/>
        <v>91</v>
      </c>
      <c r="C96" s="4">
        <f t="shared" si="12"/>
        <v>49.83</v>
      </c>
      <c r="D96" s="2">
        <v>8.5</v>
      </c>
      <c r="E96" s="2">
        <v>50.26548245743669</v>
      </c>
      <c r="F96" s="11">
        <f t="shared" si="0"/>
        <v>1.6910212703513881</v>
      </c>
      <c r="G96" s="2">
        <f t="shared" si="1"/>
        <v>84.263589901609663</v>
      </c>
      <c r="H96" s="2">
        <f t="shared" si="2"/>
        <v>2.5808395794972032</v>
      </c>
      <c r="I96" s="2">
        <f t="shared" si="3"/>
        <v>128.60323624634563</v>
      </c>
      <c r="J96" s="2">
        <f t="shared" si="4"/>
        <v>44.339646344735968</v>
      </c>
      <c r="K96" s="15">
        <f t="shared" si="19"/>
        <v>0.59583333333333333</v>
      </c>
      <c r="L96" s="2">
        <f t="shared" si="14"/>
        <v>91</v>
      </c>
      <c r="M96" s="2">
        <f t="shared" si="15"/>
        <v>49.58</v>
      </c>
      <c r="N96" s="2">
        <v>11</v>
      </c>
      <c r="O96" s="2">
        <v>50.26548245743669</v>
      </c>
      <c r="P96" s="11">
        <f t="shared" si="5"/>
        <v>2.1883804675135607</v>
      </c>
      <c r="Q96" s="2">
        <f t="shared" si="6"/>
        <v>108.49990357932234</v>
      </c>
      <c r="R96" s="2">
        <f t="shared" si="7"/>
        <v>2.6742901877100311</v>
      </c>
      <c r="S96" s="2">
        <f t="shared" si="8"/>
        <v>132.59130750666333</v>
      </c>
      <c r="T96" s="2">
        <f t="shared" si="9"/>
        <v>24.091403927340991</v>
      </c>
    </row>
    <row r="97" spans="1:20" x14ac:dyDescent="0.25">
      <c r="A97" s="14">
        <f t="shared" si="18"/>
        <v>0.6244836182336182</v>
      </c>
      <c r="B97" s="2">
        <f t="shared" si="11"/>
        <v>92</v>
      </c>
      <c r="C97" s="4">
        <f t="shared" si="12"/>
        <v>50.33</v>
      </c>
      <c r="D97" s="2">
        <v>10</v>
      </c>
      <c r="E97" s="2">
        <v>50.26548245743669</v>
      </c>
      <c r="F97" s="11">
        <f t="shared" si="0"/>
        <v>1.9894367886486919</v>
      </c>
      <c r="G97" s="2">
        <f t="shared" si="1"/>
        <v>100.12835357268865</v>
      </c>
      <c r="H97" s="2">
        <f t="shared" si="2"/>
        <v>2.5808395794972032</v>
      </c>
      <c r="I97" s="2">
        <f t="shared" si="3"/>
        <v>129.89365603609423</v>
      </c>
      <c r="J97" s="2">
        <f t="shared" si="4"/>
        <v>29.765302463405575</v>
      </c>
      <c r="K97" s="15">
        <f t="shared" si="19"/>
        <v>0.59599358974358974</v>
      </c>
      <c r="L97" s="2">
        <f t="shared" si="14"/>
        <v>92</v>
      </c>
      <c r="M97" s="2">
        <f t="shared" si="15"/>
        <v>50.08</v>
      </c>
      <c r="N97" s="2">
        <v>10</v>
      </c>
      <c r="O97" s="2">
        <v>50.26548245743669</v>
      </c>
      <c r="P97" s="11">
        <f t="shared" si="5"/>
        <v>1.9894367886486919</v>
      </c>
      <c r="Q97" s="2">
        <f t="shared" si="6"/>
        <v>99.630994375526484</v>
      </c>
      <c r="R97" s="2">
        <f t="shared" si="7"/>
        <v>2.6742901877100311</v>
      </c>
      <c r="S97" s="2">
        <f t="shared" si="8"/>
        <v>133.92845260051834</v>
      </c>
      <c r="T97" s="2">
        <f t="shared" si="9"/>
        <v>34.297458224991857</v>
      </c>
    </row>
    <row r="98" spans="1:20" x14ac:dyDescent="0.25">
      <c r="A98" s="14">
        <f t="shared" si="18"/>
        <v>0.62489316239316239</v>
      </c>
      <c r="B98" s="2">
        <f t="shared" si="11"/>
        <v>93</v>
      </c>
      <c r="C98" s="4">
        <f t="shared" si="12"/>
        <v>50.83</v>
      </c>
      <c r="D98" s="2">
        <v>9</v>
      </c>
      <c r="E98" s="2">
        <v>50.26548245743669</v>
      </c>
      <c r="F98" s="11">
        <f t="shared" si="0"/>
        <v>1.7904931097838226</v>
      </c>
      <c r="G98" s="2">
        <f t="shared" si="1"/>
        <v>91.010764770311695</v>
      </c>
      <c r="H98" s="2">
        <f t="shared" si="2"/>
        <v>2.5808395794972032</v>
      </c>
      <c r="I98" s="2">
        <f t="shared" si="3"/>
        <v>131.18407582584283</v>
      </c>
      <c r="J98" s="2">
        <f t="shared" si="4"/>
        <v>40.17331105553113</v>
      </c>
      <c r="K98" s="15">
        <f t="shared" si="19"/>
        <v>0.59615384615384615</v>
      </c>
      <c r="L98" s="2">
        <f t="shared" si="14"/>
        <v>93</v>
      </c>
      <c r="M98" s="2">
        <f t="shared" si="15"/>
        <v>50.58</v>
      </c>
      <c r="N98" s="2">
        <v>11</v>
      </c>
      <c r="O98" s="2">
        <v>50.26548245743669</v>
      </c>
      <c r="P98" s="11">
        <f t="shared" si="5"/>
        <v>2.1883804675135607</v>
      </c>
      <c r="Q98" s="2">
        <f t="shared" si="6"/>
        <v>110.6882840468359</v>
      </c>
      <c r="R98" s="2">
        <f t="shared" si="7"/>
        <v>2.6742901877100311</v>
      </c>
      <c r="S98" s="2">
        <f t="shared" si="8"/>
        <v>135.26559769437338</v>
      </c>
      <c r="T98" s="2">
        <f t="shared" si="9"/>
        <v>24.57731364753748</v>
      </c>
    </row>
    <row r="99" spans="1:20" x14ac:dyDescent="0.25">
      <c r="A99" s="14">
        <f t="shared" si="18"/>
        <v>0.62530270655270659</v>
      </c>
      <c r="B99" s="2">
        <f t="shared" si="11"/>
        <v>94</v>
      </c>
      <c r="C99" s="4">
        <f t="shared" si="12"/>
        <v>51.33</v>
      </c>
      <c r="D99" s="2">
        <v>9.5</v>
      </c>
      <c r="E99" s="2">
        <v>50.26548245743669</v>
      </c>
      <c r="F99" s="11">
        <f t="shared" si="0"/>
        <v>1.8899649492162571</v>
      </c>
      <c r="G99" s="2">
        <f t="shared" si="1"/>
        <v>97.011900843270482</v>
      </c>
      <c r="H99" s="2">
        <f t="shared" si="2"/>
        <v>2.5808395794972032</v>
      </c>
      <c r="I99" s="2">
        <f t="shared" si="3"/>
        <v>132.47449561559145</v>
      </c>
      <c r="J99" s="2">
        <f t="shared" si="4"/>
        <v>35.462594772320969</v>
      </c>
      <c r="K99" s="15">
        <f t="shared" si="19"/>
        <v>0.59631410256410255</v>
      </c>
      <c r="L99" s="2">
        <f t="shared" si="14"/>
        <v>94</v>
      </c>
      <c r="M99" s="2">
        <f t="shared" si="15"/>
        <v>51.08</v>
      </c>
      <c r="N99" s="2">
        <v>10.5</v>
      </c>
      <c r="O99" s="2">
        <v>50.26548245743669</v>
      </c>
      <c r="P99" s="11">
        <f t="shared" si="5"/>
        <v>2.0889086280811267</v>
      </c>
      <c r="Q99" s="2">
        <f t="shared" si="6"/>
        <v>106.70145272238395</v>
      </c>
      <c r="R99" s="2">
        <f t="shared" si="7"/>
        <v>2.6742901877100311</v>
      </c>
      <c r="S99" s="2">
        <f t="shared" si="8"/>
        <v>136.6027427882284</v>
      </c>
      <c r="T99" s="2">
        <f t="shared" si="9"/>
        <v>29.901290065844449</v>
      </c>
    </row>
    <row r="100" spans="1:20" x14ac:dyDescent="0.25">
      <c r="A100" s="14">
        <f t="shared" si="18"/>
        <v>0.62571225071225067</v>
      </c>
      <c r="B100" s="2">
        <f t="shared" si="11"/>
        <v>95</v>
      </c>
      <c r="C100" s="4">
        <f t="shared" si="12"/>
        <v>51.83</v>
      </c>
      <c r="D100" s="2">
        <v>9.5</v>
      </c>
      <c r="E100" s="2">
        <v>50.26548245743669</v>
      </c>
      <c r="F100" s="11">
        <f t="shared" si="0"/>
        <v>1.8899649492162571</v>
      </c>
      <c r="G100" s="2">
        <f t="shared" si="1"/>
        <v>97.956883317878606</v>
      </c>
      <c r="H100" s="2">
        <f t="shared" si="2"/>
        <v>2.5808395794972032</v>
      </c>
      <c r="I100" s="2">
        <f t="shared" si="3"/>
        <v>133.76491540534005</v>
      </c>
      <c r="J100" s="2">
        <f t="shared" si="4"/>
        <v>35.808032087461442</v>
      </c>
      <c r="K100" s="15">
        <f t="shared" si="19"/>
        <v>0.59647435897435896</v>
      </c>
      <c r="L100" s="2">
        <f t="shared" si="14"/>
        <v>95</v>
      </c>
      <c r="M100" s="2">
        <f t="shared" si="15"/>
        <v>51.58</v>
      </c>
      <c r="N100" s="2">
        <v>11.5</v>
      </c>
      <c r="O100" s="2">
        <v>50.26548245743669</v>
      </c>
      <c r="P100" s="11">
        <f t="shared" si="5"/>
        <v>2.2878523069459957</v>
      </c>
      <c r="Q100" s="2">
        <f t="shared" si="6"/>
        <v>118.00742199227446</v>
      </c>
      <c r="R100" s="2">
        <f t="shared" si="7"/>
        <v>2.6742901877100311</v>
      </c>
      <c r="S100" s="2">
        <f t="shared" si="8"/>
        <v>137.93988788208341</v>
      </c>
      <c r="T100" s="2">
        <f t="shared" si="9"/>
        <v>19.932465889808952</v>
      </c>
    </row>
    <row r="101" spans="1:20" x14ac:dyDescent="0.25">
      <c r="A101" s="14">
        <f t="shared" si="18"/>
        <v>0.62612179487179487</v>
      </c>
      <c r="B101" s="2">
        <f t="shared" si="11"/>
        <v>96</v>
      </c>
      <c r="C101" s="4">
        <f t="shared" si="12"/>
        <v>52.33</v>
      </c>
      <c r="D101" s="2">
        <v>9.5</v>
      </c>
      <c r="E101" s="2">
        <v>50.26548245743669</v>
      </c>
      <c r="F101" s="11">
        <f t="shared" si="0"/>
        <v>1.8899649492162571</v>
      </c>
      <c r="G101" s="2">
        <f t="shared" si="1"/>
        <v>98.901865792486731</v>
      </c>
      <c r="H101" s="2">
        <f t="shared" si="2"/>
        <v>2.5808395794972032</v>
      </c>
      <c r="I101" s="2">
        <f t="shared" si="3"/>
        <v>135.05533519508865</v>
      </c>
      <c r="J101" s="2">
        <f t="shared" si="4"/>
        <v>36.153469402601914</v>
      </c>
      <c r="K101" s="15">
        <f t="shared" si="19"/>
        <v>0.59663461538461537</v>
      </c>
      <c r="L101" s="2">
        <f t="shared" si="14"/>
        <v>96</v>
      </c>
      <c r="M101" s="2">
        <f t="shared" si="15"/>
        <v>52.08</v>
      </c>
      <c r="N101" s="2">
        <v>11</v>
      </c>
      <c r="O101" s="2">
        <v>50.26548245743669</v>
      </c>
      <c r="P101" s="11">
        <f t="shared" si="5"/>
        <v>2.1883804675135607</v>
      </c>
      <c r="Q101" s="2">
        <f t="shared" si="6"/>
        <v>113.97085474810623</v>
      </c>
      <c r="R101" s="2">
        <f t="shared" si="7"/>
        <v>2.6742901877100311</v>
      </c>
      <c r="S101" s="2">
        <f t="shared" si="8"/>
        <v>139.27703297593843</v>
      </c>
      <c r="T101" s="2">
        <f t="shared" si="9"/>
        <v>25.306178227832191</v>
      </c>
    </row>
    <row r="102" spans="1:20" x14ac:dyDescent="0.25">
      <c r="A102" s="14">
        <f t="shared" si="18"/>
        <v>0.62653133903133906</v>
      </c>
      <c r="B102" s="2">
        <f t="shared" si="11"/>
        <v>97</v>
      </c>
      <c r="C102" s="4">
        <f t="shared" si="12"/>
        <v>52.83</v>
      </c>
      <c r="D102" s="2">
        <v>8.5</v>
      </c>
      <c r="E102" s="2">
        <v>50.26548245743669</v>
      </c>
      <c r="F102" s="11">
        <f t="shared" si="0"/>
        <v>1.6910212703513881</v>
      </c>
      <c r="G102" s="2">
        <f t="shared" si="1"/>
        <v>89.336653712663832</v>
      </c>
      <c r="H102" s="2">
        <f t="shared" si="2"/>
        <v>2.5808395794972032</v>
      </c>
      <c r="I102" s="2">
        <f t="shared" si="3"/>
        <v>136.34575498483724</v>
      </c>
      <c r="J102" s="2">
        <f t="shared" si="4"/>
        <v>47.00910127217341</v>
      </c>
      <c r="K102" s="15">
        <f t="shared" si="19"/>
        <v>0.59679487179487178</v>
      </c>
      <c r="L102" s="2">
        <f t="shared" si="14"/>
        <v>97</v>
      </c>
      <c r="M102" s="2">
        <f t="shared" si="15"/>
        <v>52.58</v>
      </c>
      <c r="N102" s="2">
        <v>12.5</v>
      </c>
      <c r="O102" s="2">
        <v>50.26548245743669</v>
      </c>
      <c r="P102" s="11">
        <f t="shared" si="5"/>
        <v>2.4867959858108648</v>
      </c>
      <c r="Q102" s="2">
        <f t="shared" si="6"/>
        <v>130.75573293393526</v>
      </c>
      <c r="R102" s="2">
        <f t="shared" si="7"/>
        <v>2.6742901877100311</v>
      </c>
      <c r="S102" s="2">
        <f t="shared" si="8"/>
        <v>140.61417806979344</v>
      </c>
      <c r="T102" s="2">
        <f t="shared" si="9"/>
        <v>9.8584451358581759</v>
      </c>
    </row>
    <row r="103" spans="1:20" x14ac:dyDescent="0.25">
      <c r="A103" s="14">
        <f t="shared" si="18"/>
        <v>0.62694088319088315</v>
      </c>
      <c r="B103" s="2">
        <f t="shared" si="11"/>
        <v>98</v>
      </c>
      <c r="C103" s="4">
        <f t="shared" si="12"/>
        <v>53.33</v>
      </c>
      <c r="D103" s="2">
        <v>8</v>
      </c>
      <c r="E103" s="2">
        <v>50.26548245743669</v>
      </c>
      <c r="F103" s="11">
        <f t="shared" si="0"/>
        <v>1.5915494309189535</v>
      </c>
      <c r="G103" s="2">
        <f t="shared" si="1"/>
        <v>84.877331150907793</v>
      </c>
      <c r="H103" s="2">
        <f t="shared" si="2"/>
        <v>2.5808395794972032</v>
      </c>
      <c r="I103" s="2">
        <f t="shared" si="3"/>
        <v>137.63617477458584</v>
      </c>
      <c r="J103" s="2">
        <f t="shared" si="4"/>
        <v>52.758843623678047</v>
      </c>
      <c r="K103" s="15">
        <f t="shared" si="19"/>
        <v>0.59695512820512819</v>
      </c>
      <c r="L103" s="2">
        <f t="shared" si="14"/>
        <v>98</v>
      </c>
      <c r="M103" s="2">
        <f t="shared" si="15"/>
        <v>53.08</v>
      </c>
      <c r="N103" s="2">
        <v>9</v>
      </c>
      <c r="O103" s="2">
        <v>50.26548245743669</v>
      </c>
      <c r="P103" s="11">
        <f t="shared" si="5"/>
        <v>1.7904931097838226</v>
      </c>
      <c r="Q103" s="2">
        <f t="shared" si="6"/>
        <v>95.0393742673253</v>
      </c>
      <c r="R103" s="2">
        <f t="shared" si="7"/>
        <v>2.6742901877100311</v>
      </c>
      <c r="S103" s="2">
        <f t="shared" si="8"/>
        <v>141.95132316364845</v>
      </c>
      <c r="T103" s="2">
        <f t="shared" si="9"/>
        <v>46.911948896323153</v>
      </c>
    </row>
    <row r="104" spans="1:20" x14ac:dyDescent="0.25">
      <c r="A104" s="14">
        <f t="shared" si="18"/>
        <v>0.62735042735042734</v>
      </c>
      <c r="B104" s="2">
        <f t="shared" si="11"/>
        <v>99</v>
      </c>
      <c r="C104" s="4">
        <f t="shared" si="12"/>
        <v>53.83</v>
      </c>
      <c r="D104" s="2">
        <v>7</v>
      </c>
      <c r="E104" s="2">
        <v>50.26548245743669</v>
      </c>
      <c r="F104" s="11">
        <f t="shared" si="0"/>
        <v>1.3926057520540844</v>
      </c>
      <c r="G104" s="2">
        <f t="shared" si="1"/>
        <v>74.963967633071363</v>
      </c>
      <c r="H104" s="2">
        <f t="shared" si="2"/>
        <v>2.5808395794972032</v>
      </c>
      <c r="I104" s="2">
        <f t="shared" si="3"/>
        <v>138.92659456433444</v>
      </c>
      <c r="J104" s="2">
        <f t="shared" si="4"/>
        <v>63.962626931263074</v>
      </c>
      <c r="K104" s="15">
        <f t="shared" si="19"/>
        <v>0.5971153846153846</v>
      </c>
      <c r="L104" s="2">
        <f t="shared" si="14"/>
        <v>99</v>
      </c>
      <c r="M104" s="2">
        <f t="shared" si="15"/>
        <v>53.58</v>
      </c>
      <c r="N104" s="2">
        <v>8</v>
      </c>
      <c r="O104" s="2">
        <v>50.26548245743669</v>
      </c>
      <c r="P104" s="11">
        <f t="shared" si="5"/>
        <v>1.5915494309189535</v>
      </c>
      <c r="Q104" s="2">
        <f t="shared" si="6"/>
        <v>85.275218508637522</v>
      </c>
      <c r="R104" s="2">
        <f t="shared" si="7"/>
        <v>2.6742901877100311</v>
      </c>
      <c r="S104" s="2">
        <f t="shared" si="8"/>
        <v>143.28846825750347</v>
      </c>
      <c r="T104" s="2">
        <f t="shared" si="9"/>
        <v>58.013249748865945</v>
      </c>
    </row>
    <row r="105" spans="1:20" x14ac:dyDescent="0.25">
      <c r="A105" s="14">
        <f t="shared" si="18"/>
        <v>0.62775997150997154</v>
      </c>
      <c r="B105" s="2">
        <f t="shared" si="11"/>
        <v>100</v>
      </c>
      <c r="C105" s="4">
        <f t="shared" si="12"/>
        <v>54.33</v>
      </c>
      <c r="D105" s="2">
        <v>7.5</v>
      </c>
      <c r="E105" s="2">
        <v>50.26548245743669</v>
      </c>
      <c r="F105" s="11">
        <f t="shared" si="0"/>
        <v>1.492077591486519</v>
      </c>
      <c r="G105" s="2">
        <f t="shared" si="1"/>
        <v>81.064575545462574</v>
      </c>
      <c r="H105" s="2">
        <f t="shared" si="2"/>
        <v>2.5808395794972032</v>
      </c>
      <c r="I105" s="2">
        <f t="shared" si="3"/>
        <v>140.21701435408303</v>
      </c>
      <c r="J105" s="2">
        <f t="shared" si="4"/>
        <v>59.15243880862046</v>
      </c>
      <c r="K105" s="15">
        <f t="shared" si="19"/>
        <v>0.59727564102564101</v>
      </c>
      <c r="L105" s="2">
        <f t="shared" si="14"/>
        <v>100</v>
      </c>
      <c r="M105" s="2">
        <f t="shared" si="15"/>
        <v>54.08</v>
      </c>
      <c r="N105" s="2">
        <v>8</v>
      </c>
      <c r="O105" s="2">
        <v>50.26548245743669</v>
      </c>
      <c r="P105" s="11">
        <f t="shared" si="5"/>
        <v>1.5915494309189535</v>
      </c>
      <c r="Q105" s="2">
        <f t="shared" si="6"/>
        <v>86.070993224097009</v>
      </c>
      <c r="R105" s="2">
        <f t="shared" si="7"/>
        <v>2.6742901877100311</v>
      </c>
      <c r="S105" s="2">
        <f t="shared" si="8"/>
        <v>144.62561335135848</v>
      </c>
      <c r="T105" s="2">
        <f t="shared" si="9"/>
        <v>58.554620127261472</v>
      </c>
    </row>
    <row r="106" spans="1:20" x14ac:dyDescent="0.25">
      <c r="A106" s="14">
        <f t="shared" si="18"/>
        <v>0.62816951566951562</v>
      </c>
      <c r="B106" s="2">
        <f t="shared" si="11"/>
        <v>101</v>
      </c>
      <c r="C106" s="4">
        <f t="shared" si="12"/>
        <v>54.83</v>
      </c>
      <c r="D106" s="2">
        <v>6.5</v>
      </c>
      <c r="E106" s="2">
        <v>50.26548245743669</v>
      </c>
      <c r="F106" s="11">
        <f t="shared" si="0"/>
        <v>1.2931339126216495</v>
      </c>
      <c r="G106" s="2">
        <f t="shared" si="1"/>
        <v>70.902532429045038</v>
      </c>
      <c r="H106" s="2">
        <f t="shared" si="2"/>
        <v>2.5808395794972032</v>
      </c>
      <c r="I106" s="2">
        <f t="shared" si="3"/>
        <v>141.50743414383166</v>
      </c>
      <c r="J106" s="2">
        <f t="shared" si="4"/>
        <v>70.604901714786621</v>
      </c>
      <c r="K106" s="15">
        <f t="shared" si="19"/>
        <v>0.59743589743589742</v>
      </c>
      <c r="L106" s="2">
        <f t="shared" si="14"/>
        <v>101</v>
      </c>
      <c r="M106" s="2">
        <f t="shared" si="15"/>
        <v>54.58</v>
      </c>
      <c r="N106" s="2">
        <v>10</v>
      </c>
      <c r="O106" s="2">
        <v>50.26548245743669</v>
      </c>
      <c r="P106" s="11">
        <f t="shared" si="5"/>
        <v>1.9894367886486919</v>
      </c>
      <c r="Q106" s="2">
        <f t="shared" si="6"/>
        <v>108.58345992444561</v>
      </c>
      <c r="R106" s="2">
        <f t="shared" si="7"/>
        <v>2.6742901877100311</v>
      </c>
      <c r="S106" s="2">
        <f t="shared" si="8"/>
        <v>145.9627584452135</v>
      </c>
      <c r="T106" s="2">
        <f t="shared" si="9"/>
        <v>37.37929852076789</v>
      </c>
    </row>
    <row r="107" spans="1:20" x14ac:dyDescent="0.25">
      <c r="A107" s="14">
        <f t="shared" si="18"/>
        <v>0.62857905982905982</v>
      </c>
      <c r="B107" s="2">
        <f t="shared" si="11"/>
        <v>102</v>
      </c>
      <c r="C107" s="4">
        <f t="shared" si="12"/>
        <v>55.33</v>
      </c>
      <c r="D107" s="2">
        <v>7.5</v>
      </c>
      <c r="E107" s="2">
        <v>50.26548245743669</v>
      </c>
      <c r="F107" s="11">
        <f t="shared" si="0"/>
        <v>1.492077591486519</v>
      </c>
      <c r="G107" s="2">
        <f t="shared" si="1"/>
        <v>82.556653136949095</v>
      </c>
      <c r="H107" s="2">
        <f t="shared" si="2"/>
        <v>2.5808395794972032</v>
      </c>
      <c r="I107" s="2">
        <f t="shared" si="3"/>
        <v>142.79785393358026</v>
      </c>
      <c r="J107" s="2">
        <f t="shared" si="4"/>
        <v>60.241200796631162</v>
      </c>
      <c r="K107" s="15">
        <f t="shared" si="19"/>
        <v>0.59759615384615383</v>
      </c>
      <c r="L107" s="2">
        <f t="shared" si="14"/>
        <v>102</v>
      </c>
      <c r="M107" s="2">
        <f t="shared" si="15"/>
        <v>55.08</v>
      </c>
      <c r="N107" s="2">
        <v>8</v>
      </c>
      <c r="O107" s="2">
        <v>50.26548245743669</v>
      </c>
      <c r="P107" s="11">
        <f t="shared" si="5"/>
        <v>1.5915494309189535</v>
      </c>
      <c r="Q107" s="2">
        <f t="shared" si="6"/>
        <v>87.662542655015955</v>
      </c>
      <c r="R107" s="2">
        <f t="shared" si="7"/>
        <v>2.6742901877100311</v>
      </c>
      <c r="S107" s="2">
        <f t="shared" si="8"/>
        <v>147.29990353906851</v>
      </c>
      <c r="T107" s="2">
        <f t="shared" si="9"/>
        <v>59.637360884052555</v>
      </c>
    </row>
    <row r="108" spans="1:20" x14ac:dyDescent="0.25">
      <c r="A108" s="14">
        <f t="shared" si="18"/>
        <v>0.62898860398860401</v>
      </c>
      <c r="B108" s="2">
        <f t="shared" si="11"/>
        <v>103</v>
      </c>
      <c r="C108" s="4">
        <f t="shared" si="12"/>
        <v>55.83</v>
      </c>
      <c r="D108" s="2">
        <v>7.5</v>
      </c>
      <c r="E108" s="2">
        <v>50.26548245743669</v>
      </c>
      <c r="F108" s="11">
        <f t="shared" si="0"/>
        <v>1.492077591486519</v>
      </c>
      <c r="G108" s="2">
        <f t="shared" si="1"/>
        <v>83.302691932692355</v>
      </c>
      <c r="H108" s="2">
        <f t="shared" si="2"/>
        <v>2.5808395794972032</v>
      </c>
      <c r="I108" s="2">
        <f t="shared" si="3"/>
        <v>144.08827372332885</v>
      </c>
      <c r="J108" s="2">
        <f t="shared" si="4"/>
        <v>60.785581790636499</v>
      </c>
      <c r="K108" s="15">
        <f t="shared" si="19"/>
        <v>0.59775641025641024</v>
      </c>
      <c r="L108" s="2">
        <f t="shared" si="14"/>
        <v>103</v>
      </c>
      <c r="M108" s="2">
        <f t="shared" si="15"/>
        <v>55.58</v>
      </c>
      <c r="N108" s="2">
        <v>8.5</v>
      </c>
      <c r="O108" s="2">
        <v>50.26548245743669</v>
      </c>
      <c r="P108" s="11">
        <f t="shared" si="5"/>
        <v>1.6910212703513881</v>
      </c>
      <c r="Q108" s="2">
        <f t="shared" si="6"/>
        <v>93.986962206130144</v>
      </c>
      <c r="R108" s="2">
        <f t="shared" si="7"/>
        <v>2.6742901877100311</v>
      </c>
      <c r="S108" s="2">
        <f t="shared" si="8"/>
        <v>148.63704863292352</v>
      </c>
      <c r="T108" s="2">
        <f t="shared" si="9"/>
        <v>54.650086426793379</v>
      </c>
    </row>
    <row r="109" spans="1:20" x14ac:dyDescent="0.25">
      <c r="A109" s="14">
        <f t="shared" si="18"/>
        <v>0.6293981481481481</v>
      </c>
      <c r="B109" s="21">
        <f t="shared" si="11"/>
        <v>104</v>
      </c>
      <c r="C109" s="22">
        <f t="shared" si="12"/>
        <v>56.33</v>
      </c>
      <c r="D109" s="21">
        <v>9.5</v>
      </c>
      <c r="E109" s="2">
        <v>50.26548245743669</v>
      </c>
      <c r="F109" s="11">
        <f t="shared" si="0"/>
        <v>1.8899649492162571</v>
      </c>
      <c r="G109" s="2">
        <f t="shared" si="1"/>
        <v>106.46172558935176</v>
      </c>
      <c r="H109" s="2">
        <f t="shared" si="2"/>
        <v>2.5808395794972032</v>
      </c>
      <c r="I109" s="2">
        <f t="shared" si="3"/>
        <v>145.37869351307745</v>
      </c>
      <c r="J109" s="2">
        <f t="shared" si="4"/>
        <v>38.916967923725693</v>
      </c>
      <c r="K109" s="15">
        <f t="shared" si="19"/>
        <v>0.59791666666666665</v>
      </c>
      <c r="L109" s="21">
        <f t="shared" si="14"/>
        <v>104</v>
      </c>
      <c r="M109" s="21">
        <f t="shared" si="15"/>
        <v>56.08</v>
      </c>
      <c r="N109" s="21">
        <v>10</v>
      </c>
      <c r="O109" s="2">
        <v>50.26548245743669</v>
      </c>
      <c r="P109" s="11">
        <f t="shared" si="5"/>
        <v>1.9894367886486919</v>
      </c>
      <c r="Q109" s="2">
        <f t="shared" si="6"/>
        <v>111.56761510741863</v>
      </c>
      <c r="R109" s="2">
        <f t="shared" si="7"/>
        <v>2.6742901877100311</v>
      </c>
      <c r="S109" s="2">
        <f t="shared" si="8"/>
        <v>149.97419372677854</v>
      </c>
      <c r="T109" s="2">
        <f t="shared" si="9"/>
        <v>38.406578619359905</v>
      </c>
    </row>
    <row r="110" spans="1:20" x14ac:dyDescent="0.25">
      <c r="A110" s="14">
        <f t="shared" si="18"/>
        <v>0.62980769230769229</v>
      </c>
      <c r="B110" s="21">
        <f t="shared" si="11"/>
        <v>105</v>
      </c>
      <c r="C110" s="22">
        <f>C109+1.5</f>
        <v>57.83</v>
      </c>
      <c r="D110" s="21">
        <v>9.5</v>
      </c>
      <c r="E110" s="2">
        <v>50.26548245743669</v>
      </c>
      <c r="F110" s="11">
        <f t="shared" si="0"/>
        <v>1.8899649492162571</v>
      </c>
      <c r="G110" s="2">
        <f t="shared" si="1"/>
        <v>109.29667301317615</v>
      </c>
      <c r="H110" s="2">
        <f t="shared" si="2"/>
        <v>2.5808395794972032</v>
      </c>
      <c r="I110" s="2">
        <f t="shared" si="3"/>
        <v>149.24995288232327</v>
      </c>
      <c r="J110" s="2">
        <f t="shared" si="4"/>
        <v>39.953279869147124</v>
      </c>
      <c r="K110" s="15">
        <f t="shared" si="19"/>
        <v>0.59807692307692306</v>
      </c>
      <c r="L110" s="21">
        <f t="shared" si="14"/>
        <v>105</v>
      </c>
      <c r="M110" s="21">
        <f>M109+1.5</f>
        <v>57.58</v>
      </c>
      <c r="N110" s="21">
        <v>10.5</v>
      </c>
      <c r="O110" s="2">
        <v>50.26548245743669</v>
      </c>
      <c r="P110" s="11">
        <f t="shared" si="5"/>
        <v>2.0889086280811267</v>
      </c>
      <c r="Q110" s="2">
        <f t="shared" si="6"/>
        <v>120.27935880491127</v>
      </c>
      <c r="R110" s="2">
        <f t="shared" si="7"/>
        <v>2.6742901877100311</v>
      </c>
      <c r="S110" s="2">
        <f t="shared" si="8"/>
        <v>153.98562900834358</v>
      </c>
      <c r="T110" s="2">
        <f t="shared" si="9"/>
        <v>33.706270203432311</v>
      </c>
    </row>
    <row r="111" spans="1:20" x14ac:dyDescent="0.25">
      <c r="A111" s="14">
        <f t="shared" si="18"/>
        <v>0.63021723646723649</v>
      </c>
      <c r="B111" s="21">
        <f t="shared" si="11"/>
        <v>106</v>
      </c>
      <c r="C111" s="22">
        <f t="shared" ref="C111:C162" si="20">C110+0.5</f>
        <v>58.33</v>
      </c>
      <c r="D111" s="21">
        <v>11</v>
      </c>
      <c r="E111" s="2">
        <v>50.26548245743669</v>
      </c>
      <c r="F111" s="11">
        <f t="shared" si="0"/>
        <v>2.1883804675135607</v>
      </c>
      <c r="G111" s="2">
        <f t="shared" si="1"/>
        <v>127.64823267006599</v>
      </c>
      <c r="H111" s="2">
        <f t="shared" si="2"/>
        <v>2.5808395794972032</v>
      </c>
      <c r="I111" s="2">
        <f t="shared" si="3"/>
        <v>150.54037267207187</v>
      </c>
      <c r="J111" s="2">
        <f t="shared" si="4"/>
        <v>22.892140002005874</v>
      </c>
      <c r="K111" s="15">
        <f t="shared" si="19"/>
        <v>0.59823717948717947</v>
      </c>
      <c r="L111" s="21">
        <f t="shared" si="14"/>
        <v>106</v>
      </c>
      <c r="M111" s="21">
        <f t="shared" ref="M111:M162" si="21">M110+0.5</f>
        <v>58.08</v>
      </c>
      <c r="N111" s="21">
        <v>11</v>
      </c>
      <c r="O111" s="2">
        <v>50.26548245743669</v>
      </c>
      <c r="P111" s="11">
        <f t="shared" si="5"/>
        <v>2.1883804675135607</v>
      </c>
      <c r="Q111" s="2">
        <f t="shared" si="6"/>
        <v>127.1011375531876</v>
      </c>
      <c r="R111" s="2">
        <f t="shared" si="7"/>
        <v>2.6742901877100311</v>
      </c>
      <c r="S111" s="2">
        <f t="shared" si="8"/>
        <v>155.32277410219859</v>
      </c>
      <c r="T111" s="2">
        <f t="shared" si="9"/>
        <v>28.221636549010995</v>
      </c>
    </row>
    <row r="112" spans="1:20" x14ac:dyDescent="0.25">
      <c r="A112" s="14">
        <f t="shared" si="18"/>
        <v>0.63062678062678057</v>
      </c>
      <c r="B112" s="2">
        <f t="shared" si="11"/>
        <v>107</v>
      </c>
      <c r="C112" s="4">
        <f t="shared" si="20"/>
        <v>58.83</v>
      </c>
      <c r="D112" s="2">
        <v>13</v>
      </c>
      <c r="E112" s="2">
        <v>50.26548245743669</v>
      </c>
      <c r="F112" s="11">
        <f t="shared" si="0"/>
        <v>2.5862678252432989</v>
      </c>
      <c r="G112" s="2">
        <f t="shared" si="1"/>
        <v>152.15013615906327</v>
      </c>
      <c r="H112" s="2">
        <f t="shared" si="2"/>
        <v>2.5808395794972032</v>
      </c>
      <c r="I112" s="2">
        <f t="shared" si="3"/>
        <v>151.83079246182047</v>
      </c>
      <c r="J112" s="2">
        <f t="shared" si="4"/>
        <v>0.31934369724280032</v>
      </c>
      <c r="K112" s="15">
        <f t="shared" si="19"/>
        <v>0.59839743589743588</v>
      </c>
      <c r="L112" s="2">
        <f t="shared" si="14"/>
        <v>107</v>
      </c>
      <c r="M112" s="2">
        <f t="shared" si="21"/>
        <v>58.58</v>
      </c>
      <c r="N112" s="2">
        <v>10.5</v>
      </c>
      <c r="O112" s="2">
        <v>50.26548245743669</v>
      </c>
      <c r="P112" s="11">
        <f t="shared" si="5"/>
        <v>2.0889086280811267</v>
      </c>
      <c r="Q112" s="2">
        <f t="shared" si="6"/>
        <v>122.3682674329924</v>
      </c>
      <c r="R112" s="2">
        <f t="shared" si="7"/>
        <v>2.6742901877100311</v>
      </c>
      <c r="S112" s="2">
        <f t="shared" si="8"/>
        <v>156.65991919605361</v>
      </c>
      <c r="T112" s="2">
        <f t="shared" si="9"/>
        <v>34.291651763061211</v>
      </c>
    </row>
    <row r="113" spans="1:20" x14ac:dyDescent="0.25">
      <c r="A113" s="14">
        <f t="shared" si="18"/>
        <v>0.63103632478632476</v>
      </c>
      <c r="B113" s="2">
        <f t="shared" si="11"/>
        <v>108</v>
      </c>
      <c r="C113" s="4">
        <f t="shared" si="20"/>
        <v>59.33</v>
      </c>
      <c r="D113" s="2">
        <v>11</v>
      </c>
      <c r="E113" s="2">
        <v>50.26548245743669</v>
      </c>
      <c r="F113" s="11">
        <f t="shared" si="0"/>
        <v>2.1883804675135607</v>
      </c>
      <c r="G113" s="2">
        <f t="shared" si="1"/>
        <v>129.83661313757955</v>
      </c>
      <c r="H113" s="2">
        <f t="shared" si="2"/>
        <v>2.5808395794972032</v>
      </c>
      <c r="I113" s="2">
        <f t="shared" si="3"/>
        <v>153.12121225156906</v>
      </c>
      <c r="J113" s="2">
        <f t="shared" si="4"/>
        <v>23.284599113989515</v>
      </c>
      <c r="K113" s="15">
        <f t="shared" si="19"/>
        <v>0.59855769230769229</v>
      </c>
      <c r="L113" s="2">
        <f t="shared" si="14"/>
        <v>108</v>
      </c>
      <c r="M113" s="2">
        <f t="shared" si="21"/>
        <v>59.08</v>
      </c>
      <c r="N113" s="2">
        <v>11.5</v>
      </c>
      <c r="O113" s="2">
        <v>50.26548245743669</v>
      </c>
      <c r="P113" s="11">
        <f t="shared" si="5"/>
        <v>2.2878523069459957</v>
      </c>
      <c r="Q113" s="2">
        <f t="shared" si="6"/>
        <v>135.16631429436941</v>
      </c>
      <c r="R113" s="2">
        <f t="shared" si="7"/>
        <v>2.6742901877100311</v>
      </c>
      <c r="S113" s="2">
        <f t="shared" si="8"/>
        <v>157.99706428990862</v>
      </c>
      <c r="T113" s="2">
        <f t="shared" si="9"/>
        <v>22.830749995539207</v>
      </c>
    </row>
    <row r="114" spans="1:20" x14ac:dyDescent="0.25">
      <c r="A114" s="14">
        <f t="shared" si="18"/>
        <v>0.63144586894586896</v>
      </c>
      <c r="B114" s="2">
        <f t="shared" si="11"/>
        <v>109</v>
      </c>
      <c r="C114" s="4">
        <f t="shared" si="20"/>
        <v>59.83</v>
      </c>
      <c r="D114" s="2">
        <v>9.5</v>
      </c>
      <c r="E114" s="2">
        <v>50.26548245743669</v>
      </c>
      <c r="F114" s="11">
        <f t="shared" si="0"/>
        <v>1.8899649492162571</v>
      </c>
      <c r="G114" s="2">
        <f t="shared" si="1"/>
        <v>113.07660291160866</v>
      </c>
      <c r="H114" s="2">
        <f t="shared" si="2"/>
        <v>2.5808395794972032</v>
      </c>
      <c r="I114" s="2">
        <f t="shared" si="3"/>
        <v>154.41163204131766</v>
      </c>
      <c r="J114" s="2">
        <f t="shared" si="4"/>
        <v>41.335029129709</v>
      </c>
      <c r="K114" s="15">
        <f t="shared" si="19"/>
        <v>0.5987179487179487</v>
      </c>
      <c r="L114" s="2">
        <f t="shared" si="14"/>
        <v>109</v>
      </c>
      <c r="M114" s="2">
        <f t="shared" si="21"/>
        <v>59.58</v>
      </c>
      <c r="N114" s="2">
        <v>12</v>
      </c>
      <c r="O114" s="2">
        <v>50.26548245743669</v>
      </c>
      <c r="P114" s="11">
        <f t="shared" si="5"/>
        <v>2.3873241463784298</v>
      </c>
      <c r="Q114" s="2">
        <f t="shared" si="6"/>
        <v>142.23677264122685</v>
      </c>
      <c r="R114" s="2">
        <f t="shared" si="7"/>
        <v>2.6742901877100311</v>
      </c>
      <c r="S114" s="2">
        <f t="shared" si="8"/>
        <v>159.33420938376366</v>
      </c>
      <c r="T114" s="2">
        <f t="shared" si="9"/>
        <v>17.097436742536814</v>
      </c>
    </row>
    <row r="115" spans="1:20" x14ac:dyDescent="0.25">
      <c r="A115" s="14">
        <f t="shared" si="18"/>
        <v>0.63185541310541304</v>
      </c>
      <c r="B115" s="2">
        <f t="shared" si="11"/>
        <v>110</v>
      </c>
      <c r="C115" s="4">
        <f t="shared" si="20"/>
        <v>60.33</v>
      </c>
      <c r="D115" s="2">
        <v>10</v>
      </c>
      <c r="E115" s="2">
        <v>50.26548245743669</v>
      </c>
      <c r="F115" s="11">
        <f t="shared" si="0"/>
        <v>1.9894367886486919</v>
      </c>
      <c r="G115" s="2">
        <f t="shared" si="1"/>
        <v>120.02272145917559</v>
      </c>
      <c r="H115" s="2">
        <f t="shared" si="2"/>
        <v>2.5808395794972032</v>
      </c>
      <c r="I115" s="2">
        <f t="shared" si="3"/>
        <v>155.70205183106626</v>
      </c>
      <c r="J115" s="2">
        <f t="shared" si="4"/>
        <v>35.679330371890671</v>
      </c>
      <c r="K115" s="15">
        <f t="shared" si="19"/>
        <v>0.59887820512820511</v>
      </c>
      <c r="L115" s="2">
        <f t="shared" si="14"/>
        <v>110</v>
      </c>
      <c r="M115" s="2">
        <f t="shared" si="21"/>
        <v>60.08</v>
      </c>
      <c r="N115" s="2">
        <v>12</v>
      </c>
      <c r="O115" s="2">
        <v>50.26548245743669</v>
      </c>
      <c r="P115" s="11">
        <f t="shared" si="5"/>
        <v>2.3873241463784298</v>
      </c>
      <c r="Q115" s="2">
        <f t="shared" si="6"/>
        <v>143.43043471441607</v>
      </c>
      <c r="R115" s="2">
        <f t="shared" si="7"/>
        <v>2.6742901877100311</v>
      </c>
      <c r="S115" s="2">
        <f t="shared" si="8"/>
        <v>160.67135447761868</v>
      </c>
      <c r="T115" s="2">
        <f t="shared" si="9"/>
        <v>17.240919763202612</v>
      </c>
    </row>
    <row r="116" spans="1:20" x14ac:dyDescent="0.25">
      <c r="A116" s="14">
        <f t="shared" si="18"/>
        <v>0.63226495726495724</v>
      </c>
      <c r="B116" s="2">
        <f t="shared" si="11"/>
        <v>111</v>
      </c>
      <c r="C116" s="4">
        <f t="shared" si="20"/>
        <v>60.83</v>
      </c>
      <c r="D116" s="2">
        <v>10</v>
      </c>
      <c r="E116" s="2">
        <v>50.26548245743669</v>
      </c>
      <c r="F116" s="11">
        <f t="shared" si="0"/>
        <v>1.9894367886486919</v>
      </c>
      <c r="G116" s="2">
        <f t="shared" si="1"/>
        <v>121.01743985349992</v>
      </c>
      <c r="H116" s="2">
        <f t="shared" si="2"/>
        <v>2.5808395794972032</v>
      </c>
      <c r="I116" s="2">
        <f t="shared" si="3"/>
        <v>156.99247162081485</v>
      </c>
      <c r="J116" s="2">
        <f t="shared" si="4"/>
        <v>35.975031767314931</v>
      </c>
      <c r="K116" s="15">
        <f t="shared" si="19"/>
        <v>0.59903846153846152</v>
      </c>
      <c r="L116" s="2">
        <f t="shared" si="14"/>
        <v>111</v>
      </c>
      <c r="M116" s="2">
        <f t="shared" si="21"/>
        <v>60.58</v>
      </c>
      <c r="N116" s="2">
        <v>10.5</v>
      </c>
      <c r="O116" s="2">
        <v>50.26548245743669</v>
      </c>
      <c r="P116" s="11">
        <f t="shared" si="5"/>
        <v>2.0889086280811267</v>
      </c>
      <c r="Q116" s="2">
        <f t="shared" si="6"/>
        <v>126.54608468915465</v>
      </c>
      <c r="R116" s="2">
        <f t="shared" si="7"/>
        <v>2.6742901877100311</v>
      </c>
      <c r="S116" s="2">
        <f t="shared" si="8"/>
        <v>162.00849957147369</v>
      </c>
      <c r="T116" s="2">
        <f t="shared" si="9"/>
        <v>35.462414882319038</v>
      </c>
    </row>
    <row r="117" spans="1:20" x14ac:dyDescent="0.25">
      <c r="A117" s="14">
        <f t="shared" si="18"/>
        <v>0.63267450142450143</v>
      </c>
      <c r="B117" s="2">
        <f t="shared" si="11"/>
        <v>112</v>
      </c>
      <c r="C117" s="4">
        <f t="shared" si="20"/>
        <v>61.33</v>
      </c>
      <c r="D117" s="2">
        <v>10.5</v>
      </c>
      <c r="E117" s="2">
        <v>50.26548245743669</v>
      </c>
      <c r="F117" s="11">
        <f t="shared" si="0"/>
        <v>2.0889086280811267</v>
      </c>
      <c r="G117" s="2">
        <f t="shared" si="1"/>
        <v>128.1127661602155</v>
      </c>
      <c r="H117" s="2">
        <f t="shared" si="2"/>
        <v>2.5808395794972032</v>
      </c>
      <c r="I117" s="2">
        <f t="shared" si="3"/>
        <v>158.28289141056348</v>
      </c>
      <c r="J117" s="2">
        <f t="shared" si="4"/>
        <v>30.170125250347979</v>
      </c>
      <c r="K117" s="15">
        <f t="shared" si="19"/>
        <v>0.59919871794871793</v>
      </c>
      <c r="L117" s="2">
        <f t="shared" si="14"/>
        <v>112</v>
      </c>
      <c r="M117" s="2">
        <f t="shared" si="21"/>
        <v>61.08</v>
      </c>
      <c r="N117" s="2">
        <v>14.5</v>
      </c>
      <c r="O117" s="2">
        <v>50.26548245743669</v>
      </c>
      <c r="P117" s="11">
        <f t="shared" si="5"/>
        <v>2.8846833435406034</v>
      </c>
      <c r="Q117" s="2">
        <f t="shared" si="6"/>
        <v>176.19645862346005</v>
      </c>
      <c r="R117" s="2">
        <f t="shared" si="7"/>
        <v>2.6742901877100311</v>
      </c>
      <c r="S117" s="2">
        <f t="shared" si="8"/>
        <v>163.34564466532871</v>
      </c>
      <c r="T117" s="2">
        <f t="shared" si="9"/>
        <v>12.85081395813134</v>
      </c>
    </row>
    <row r="118" spans="1:20" x14ac:dyDescent="0.25">
      <c r="A118" s="14">
        <f t="shared" si="18"/>
        <v>0.63308404558404552</v>
      </c>
      <c r="B118" s="2">
        <f t="shared" si="11"/>
        <v>113</v>
      </c>
      <c r="C118" s="4">
        <f t="shared" si="20"/>
        <v>61.83</v>
      </c>
      <c r="D118" s="2">
        <v>11</v>
      </c>
      <c r="E118" s="2">
        <v>50.26548245743669</v>
      </c>
      <c r="F118" s="11">
        <f t="shared" si="0"/>
        <v>2.1883804675135607</v>
      </c>
      <c r="G118" s="2">
        <f t="shared" si="1"/>
        <v>135.30756430636345</v>
      </c>
      <c r="H118" s="2">
        <f t="shared" si="2"/>
        <v>2.5808395794972032</v>
      </c>
      <c r="I118" s="2">
        <f t="shared" si="3"/>
        <v>159.57331120031208</v>
      </c>
      <c r="J118" s="2">
        <f t="shared" si="4"/>
        <v>24.265746893948631</v>
      </c>
      <c r="K118" s="15">
        <f t="shared" si="19"/>
        <v>0.59935897435897434</v>
      </c>
      <c r="L118" s="2">
        <f t="shared" si="14"/>
        <v>113</v>
      </c>
      <c r="M118" s="2">
        <f t="shared" si="21"/>
        <v>61.58</v>
      </c>
      <c r="N118" s="2">
        <v>11</v>
      </c>
      <c r="O118" s="2">
        <v>50.26548245743669</v>
      </c>
      <c r="P118" s="11">
        <f t="shared" si="5"/>
        <v>2.1883804675135607</v>
      </c>
      <c r="Q118" s="2">
        <f t="shared" si="6"/>
        <v>134.76046918948506</v>
      </c>
      <c r="R118" s="2">
        <f t="shared" si="7"/>
        <v>2.6742901877100311</v>
      </c>
      <c r="S118" s="2">
        <f t="shared" si="8"/>
        <v>164.68278975918372</v>
      </c>
      <c r="T118" s="2">
        <f t="shared" si="9"/>
        <v>29.922320569698655</v>
      </c>
    </row>
    <row r="119" spans="1:20" x14ac:dyDescent="0.25">
      <c r="A119" s="14">
        <f t="shared" si="18"/>
        <v>0.63349358974358971</v>
      </c>
      <c r="B119" s="2">
        <f t="shared" si="11"/>
        <v>114</v>
      </c>
      <c r="C119" s="4">
        <f t="shared" si="20"/>
        <v>62.33</v>
      </c>
      <c r="D119" s="2">
        <v>11</v>
      </c>
      <c r="E119" s="2">
        <v>50.26548245743669</v>
      </c>
      <c r="F119" s="11">
        <f t="shared" si="0"/>
        <v>2.1883804675135607</v>
      </c>
      <c r="G119" s="2">
        <f t="shared" si="1"/>
        <v>136.40175454012024</v>
      </c>
      <c r="H119" s="2">
        <f t="shared" si="2"/>
        <v>2.5808395794972032</v>
      </c>
      <c r="I119" s="2">
        <f t="shared" si="3"/>
        <v>160.86373099006067</v>
      </c>
      <c r="J119" s="2">
        <f t="shared" si="4"/>
        <v>24.461976449940437</v>
      </c>
      <c r="K119" s="15">
        <f t="shared" si="19"/>
        <v>0.59951923076923075</v>
      </c>
      <c r="L119" s="2">
        <f t="shared" si="14"/>
        <v>114</v>
      </c>
      <c r="M119" s="2">
        <f t="shared" si="21"/>
        <v>62.08</v>
      </c>
      <c r="N119" s="2">
        <v>12</v>
      </c>
      <c r="O119" s="2">
        <v>50.26548245743669</v>
      </c>
      <c r="P119" s="11">
        <f t="shared" si="5"/>
        <v>2.3873241463784298</v>
      </c>
      <c r="Q119" s="2">
        <f t="shared" si="6"/>
        <v>148.20508300717293</v>
      </c>
      <c r="R119" s="2">
        <f t="shared" si="7"/>
        <v>2.6742901877100311</v>
      </c>
      <c r="S119" s="2">
        <f t="shared" si="8"/>
        <v>166.01993485303873</v>
      </c>
      <c r="T119" s="2">
        <f t="shared" si="9"/>
        <v>17.814851845865803</v>
      </c>
    </row>
    <row r="120" spans="1:20" x14ac:dyDescent="0.25">
      <c r="A120" s="14">
        <f t="shared" si="18"/>
        <v>0.63390313390313391</v>
      </c>
      <c r="B120" s="2">
        <f t="shared" si="11"/>
        <v>115</v>
      </c>
      <c r="C120" s="4">
        <f t="shared" si="20"/>
        <v>62.83</v>
      </c>
      <c r="D120" s="2">
        <v>11</v>
      </c>
      <c r="E120" s="2">
        <v>50.26548245743669</v>
      </c>
      <c r="F120" s="11">
        <f t="shared" si="0"/>
        <v>2.1883804675135607</v>
      </c>
      <c r="G120" s="2">
        <f t="shared" si="1"/>
        <v>137.49594477387703</v>
      </c>
      <c r="H120" s="2">
        <f t="shared" si="2"/>
        <v>2.5808395794972032</v>
      </c>
      <c r="I120" s="2">
        <f t="shared" si="3"/>
        <v>162.15415077980927</v>
      </c>
      <c r="J120" s="2">
        <f t="shared" si="4"/>
        <v>24.658206005932243</v>
      </c>
      <c r="K120" s="15">
        <f t="shared" si="19"/>
        <v>0.59967948717948716</v>
      </c>
      <c r="L120" s="2">
        <f t="shared" si="14"/>
        <v>115</v>
      </c>
      <c r="M120" s="2">
        <f t="shared" si="21"/>
        <v>62.58</v>
      </c>
      <c r="N120" s="2">
        <v>11</v>
      </c>
      <c r="O120" s="2">
        <v>50.26548245743669</v>
      </c>
      <c r="P120" s="11">
        <f t="shared" si="5"/>
        <v>2.1883804675135607</v>
      </c>
      <c r="Q120" s="2">
        <f t="shared" si="6"/>
        <v>136.94884965699862</v>
      </c>
      <c r="R120" s="2">
        <f t="shared" si="7"/>
        <v>2.6742901877100311</v>
      </c>
      <c r="S120" s="2">
        <f t="shared" si="8"/>
        <v>167.35707994689375</v>
      </c>
      <c r="T120" s="2">
        <f t="shared" si="9"/>
        <v>30.40823028989513</v>
      </c>
    </row>
    <row r="121" spans="1:20" x14ac:dyDescent="0.25">
      <c r="A121" s="14">
        <f t="shared" si="18"/>
        <v>0.63431267806267799</v>
      </c>
      <c r="B121" s="2">
        <f t="shared" si="11"/>
        <v>116</v>
      </c>
      <c r="C121" s="4">
        <f t="shared" si="20"/>
        <v>63.33</v>
      </c>
      <c r="D121" s="2">
        <v>13.5</v>
      </c>
      <c r="E121" s="2">
        <v>50.26548245743669</v>
      </c>
      <c r="F121" s="11">
        <f t="shared" si="0"/>
        <v>2.6857396646757339</v>
      </c>
      <c r="G121" s="2">
        <f t="shared" si="1"/>
        <v>170.08789296391421</v>
      </c>
      <c r="H121" s="2">
        <f t="shared" si="2"/>
        <v>2.5808395794972032</v>
      </c>
      <c r="I121" s="2">
        <f t="shared" si="3"/>
        <v>163.44457056955787</v>
      </c>
      <c r="J121" s="2">
        <f t="shared" si="4"/>
        <v>6.6433223943563462</v>
      </c>
      <c r="K121" s="15">
        <f t="shared" si="19"/>
        <v>0.59983974358974357</v>
      </c>
      <c r="L121" s="2">
        <f t="shared" si="14"/>
        <v>116</v>
      </c>
      <c r="M121" s="2">
        <f t="shared" si="21"/>
        <v>63.08</v>
      </c>
      <c r="N121" s="2">
        <v>13.5</v>
      </c>
      <c r="O121" s="2">
        <v>50.26548245743669</v>
      </c>
      <c r="P121" s="11">
        <f t="shared" si="5"/>
        <v>2.6857396646757339</v>
      </c>
      <c r="Q121" s="2">
        <f t="shared" si="6"/>
        <v>169.41645804774529</v>
      </c>
      <c r="R121" s="2">
        <f t="shared" si="7"/>
        <v>2.6742901877100311</v>
      </c>
      <c r="S121" s="2">
        <f t="shared" si="8"/>
        <v>168.69422504074876</v>
      </c>
      <c r="T121" s="2">
        <f t="shared" si="9"/>
        <v>0.72223300699653237</v>
      </c>
    </row>
    <row r="122" spans="1:20" x14ac:dyDescent="0.25">
      <c r="A122" s="10">
        <v>0.63472222222222219</v>
      </c>
      <c r="B122" s="2">
        <f t="shared" si="11"/>
        <v>117</v>
      </c>
      <c r="C122" s="4">
        <f t="shared" si="20"/>
        <v>63.83</v>
      </c>
      <c r="D122" s="2">
        <v>13</v>
      </c>
      <c r="E122" s="2">
        <v>50.26548245743669</v>
      </c>
      <c r="F122" s="11">
        <f t="shared" si="0"/>
        <v>2.5862678252432989</v>
      </c>
      <c r="G122" s="2">
        <f t="shared" si="1"/>
        <v>165.08147528527977</v>
      </c>
      <c r="H122" s="2">
        <f t="shared" si="2"/>
        <v>2.5808395794972032</v>
      </c>
      <c r="I122" s="2">
        <f t="shared" si="3"/>
        <v>164.73499035930647</v>
      </c>
      <c r="J122" s="2">
        <f t="shared" si="4"/>
        <v>0.34648492597330005</v>
      </c>
      <c r="K122" s="12">
        <v>0.6</v>
      </c>
      <c r="L122" s="2">
        <f t="shared" si="14"/>
        <v>117</v>
      </c>
      <c r="M122" s="2">
        <f t="shared" si="21"/>
        <v>63.58</v>
      </c>
      <c r="N122" s="2">
        <v>13</v>
      </c>
      <c r="O122" s="2">
        <v>50.26548245743669</v>
      </c>
      <c r="P122" s="11">
        <f t="shared" si="5"/>
        <v>2.5862678252432989</v>
      </c>
      <c r="Q122" s="2">
        <f t="shared" si="6"/>
        <v>164.43490832896893</v>
      </c>
      <c r="R122" s="2">
        <f t="shared" si="7"/>
        <v>2.6742901877100311</v>
      </c>
      <c r="S122" s="2">
        <f t="shared" si="8"/>
        <v>170.03137013460378</v>
      </c>
      <c r="T122" s="2">
        <f t="shared" si="9"/>
        <v>5.5964618056348456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0.6348824786324786</v>
      </c>
      <c r="B123" s="2">
        <f t="shared" si="11"/>
        <v>118</v>
      </c>
      <c r="C123" s="4">
        <f t="shared" si="20"/>
        <v>64.33</v>
      </c>
      <c r="D123" s="2">
        <v>13.5</v>
      </c>
      <c r="E123" s="2">
        <v>50.26548245743669</v>
      </c>
      <c r="F123" s="11">
        <f t="shared" si="0"/>
        <v>2.6857396646757339</v>
      </c>
      <c r="G123" s="2">
        <f t="shared" si="1"/>
        <v>172.77363262858995</v>
      </c>
      <c r="H123" s="2">
        <f t="shared" si="2"/>
        <v>2.5808395794972032</v>
      </c>
      <c r="I123" s="2">
        <f t="shared" si="3"/>
        <v>166.02541014905509</v>
      </c>
      <c r="J123" s="2">
        <f t="shared" si="4"/>
        <v>6.74822247953486</v>
      </c>
      <c r="K123" s="15">
        <f t="shared" ref="K123:K160" si="23">IF(AND($K$122&lt;&gt;"",$K$161&lt;&gt;""), $K$122 + (L123 - $L$122) * (($K$161 - $K$122) / ($L$161 - $L$122)), "")</f>
        <v>0.60012464387464381</v>
      </c>
      <c r="L123" s="2">
        <f t="shared" si="14"/>
        <v>118</v>
      </c>
      <c r="M123" s="2">
        <f t="shared" si="21"/>
        <v>64.08</v>
      </c>
      <c r="N123" s="2">
        <v>13</v>
      </c>
      <c r="O123" s="2">
        <v>50.26548245743669</v>
      </c>
      <c r="P123" s="11">
        <f t="shared" si="5"/>
        <v>2.5862678252432989</v>
      </c>
      <c r="Q123" s="2">
        <f t="shared" si="6"/>
        <v>165.7280422415906</v>
      </c>
      <c r="R123" s="2">
        <f t="shared" si="7"/>
        <v>2.6742901877100311</v>
      </c>
      <c r="S123" s="2">
        <f t="shared" si="8"/>
        <v>171.36851522845879</v>
      </c>
      <c r="T123" s="2">
        <f t="shared" si="9"/>
        <v>5.6404729868681898</v>
      </c>
    </row>
    <row r="124" spans="1:20" x14ac:dyDescent="0.25">
      <c r="A124" s="14">
        <f t="shared" si="22"/>
        <v>0.63504273504273501</v>
      </c>
      <c r="B124" s="2">
        <f t="shared" si="11"/>
        <v>119</v>
      </c>
      <c r="C124" s="4">
        <f t="shared" si="20"/>
        <v>64.83</v>
      </c>
      <c r="D124" s="2">
        <v>13.5</v>
      </c>
      <c r="E124" s="2">
        <v>50.26548245743669</v>
      </c>
      <c r="F124" s="11">
        <f t="shared" si="0"/>
        <v>2.6857396646757339</v>
      </c>
      <c r="G124" s="2">
        <f t="shared" si="1"/>
        <v>174.11650246092782</v>
      </c>
      <c r="H124" s="2">
        <f t="shared" si="2"/>
        <v>2.5808395794972032</v>
      </c>
      <c r="I124" s="2">
        <f t="shared" si="3"/>
        <v>167.31582993880369</v>
      </c>
      <c r="J124" s="2">
        <f t="shared" si="4"/>
        <v>6.8006725221241311</v>
      </c>
      <c r="K124" s="15">
        <f t="shared" si="23"/>
        <v>0.60024928774928776</v>
      </c>
      <c r="L124" s="2">
        <f t="shared" si="14"/>
        <v>119</v>
      </c>
      <c r="M124" s="2">
        <f t="shared" si="21"/>
        <v>64.58</v>
      </c>
      <c r="N124" s="2">
        <v>13</v>
      </c>
      <c r="O124" s="2">
        <v>50.26548245743669</v>
      </c>
      <c r="P124" s="11">
        <f t="shared" si="5"/>
        <v>2.5862678252432989</v>
      </c>
      <c r="Q124" s="2">
        <f t="shared" si="6"/>
        <v>167.02117615421224</v>
      </c>
      <c r="R124" s="2">
        <f t="shared" si="7"/>
        <v>2.6742901877100311</v>
      </c>
      <c r="S124" s="2">
        <f t="shared" si="8"/>
        <v>172.7056603223138</v>
      </c>
      <c r="T124" s="2">
        <f t="shared" si="9"/>
        <v>5.6844841681015623</v>
      </c>
    </row>
    <row r="125" spans="1:20" x14ac:dyDescent="0.25">
      <c r="A125" s="14">
        <f t="shared" si="22"/>
        <v>0.63520299145299142</v>
      </c>
      <c r="B125" s="2">
        <f t="shared" si="11"/>
        <v>120</v>
      </c>
      <c r="C125" s="4">
        <f t="shared" si="20"/>
        <v>65.33</v>
      </c>
      <c r="D125" s="2">
        <v>14</v>
      </c>
      <c r="E125" s="2">
        <v>50.26548245743669</v>
      </c>
      <c r="F125" s="11">
        <f t="shared" si="0"/>
        <v>2.7852115041081689</v>
      </c>
      <c r="G125" s="2">
        <f t="shared" si="1"/>
        <v>181.95786756338666</v>
      </c>
      <c r="H125" s="2">
        <f t="shared" si="2"/>
        <v>2.5808395794972032</v>
      </c>
      <c r="I125" s="2">
        <f t="shared" si="3"/>
        <v>168.60624972855229</v>
      </c>
      <c r="J125" s="2">
        <f t="shared" si="4"/>
        <v>13.351617834834371</v>
      </c>
      <c r="K125" s="15">
        <f t="shared" si="23"/>
        <v>0.6003739316239316</v>
      </c>
      <c r="L125" s="2">
        <f t="shared" si="14"/>
        <v>120</v>
      </c>
      <c r="M125" s="2">
        <f t="shared" si="21"/>
        <v>65.08</v>
      </c>
      <c r="N125" s="2">
        <v>14</v>
      </c>
      <c r="O125" s="2">
        <v>50.26548245743669</v>
      </c>
      <c r="P125" s="11">
        <f t="shared" si="5"/>
        <v>2.7852115041081689</v>
      </c>
      <c r="Q125" s="2">
        <f t="shared" si="6"/>
        <v>181.26156468735962</v>
      </c>
      <c r="R125" s="2">
        <f t="shared" si="7"/>
        <v>2.6742901877100311</v>
      </c>
      <c r="S125" s="2">
        <f t="shared" si="8"/>
        <v>174.04280541616882</v>
      </c>
      <c r="T125" s="2">
        <f t="shared" si="9"/>
        <v>7.2187592711908053</v>
      </c>
    </row>
    <row r="126" spans="1:20" x14ac:dyDescent="0.25">
      <c r="A126" s="14">
        <f t="shared" si="22"/>
        <v>0.63536324786324783</v>
      </c>
      <c r="B126" s="2">
        <f t="shared" si="11"/>
        <v>121</v>
      </c>
      <c r="C126" s="4">
        <f t="shared" si="20"/>
        <v>65.83</v>
      </c>
      <c r="D126" s="2">
        <v>13</v>
      </c>
      <c r="E126" s="2">
        <v>50.26548245743669</v>
      </c>
      <c r="F126" s="11">
        <f t="shared" si="0"/>
        <v>2.5862678252432989</v>
      </c>
      <c r="G126" s="2">
        <f t="shared" si="1"/>
        <v>170.25401093576636</v>
      </c>
      <c r="H126" s="2">
        <f t="shared" si="2"/>
        <v>2.5808395794972032</v>
      </c>
      <c r="I126" s="2">
        <f t="shared" si="3"/>
        <v>169.89666951830088</v>
      </c>
      <c r="J126" s="2">
        <f t="shared" si="4"/>
        <v>0.35734141746547721</v>
      </c>
      <c r="K126" s="15">
        <f t="shared" si="23"/>
        <v>0.60049857549857544</v>
      </c>
      <c r="L126" s="2">
        <f t="shared" si="14"/>
        <v>121</v>
      </c>
      <c r="M126" s="2">
        <f t="shared" si="21"/>
        <v>65.58</v>
      </c>
      <c r="N126" s="2">
        <v>15</v>
      </c>
      <c r="O126" s="2">
        <v>50.26548245743669</v>
      </c>
      <c r="P126" s="11">
        <f t="shared" si="5"/>
        <v>2.9841551829730379</v>
      </c>
      <c r="Q126" s="2">
        <f t="shared" si="6"/>
        <v>195.70089689937183</v>
      </c>
      <c r="R126" s="2">
        <f t="shared" si="7"/>
        <v>2.6742901877100311</v>
      </c>
      <c r="S126" s="2">
        <f t="shared" si="8"/>
        <v>175.37995051002383</v>
      </c>
      <c r="T126" s="2">
        <f t="shared" si="9"/>
        <v>20.320946389347995</v>
      </c>
    </row>
    <row r="127" spans="1:20" x14ac:dyDescent="0.25">
      <c r="A127" s="14">
        <f t="shared" si="22"/>
        <v>0.63552350427350424</v>
      </c>
      <c r="B127" s="2">
        <f t="shared" si="11"/>
        <v>122</v>
      </c>
      <c r="C127" s="4">
        <f t="shared" si="20"/>
        <v>66.33</v>
      </c>
      <c r="D127" s="2">
        <v>13.5</v>
      </c>
      <c r="E127" s="2">
        <v>50.26548245743669</v>
      </c>
      <c r="F127" s="11">
        <f t="shared" si="0"/>
        <v>2.6857396646757339</v>
      </c>
      <c r="G127" s="2">
        <f t="shared" si="1"/>
        <v>178.14511195794142</v>
      </c>
      <c r="H127" s="2">
        <f t="shared" si="2"/>
        <v>2.5808395794972032</v>
      </c>
      <c r="I127" s="2">
        <f t="shared" si="3"/>
        <v>171.18708930804948</v>
      </c>
      <c r="J127" s="2">
        <f t="shared" si="4"/>
        <v>6.9580226498919444</v>
      </c>
      <c r="K127" s="15">
        <f t="shared" si="23"/>
        <v>0.60062321937321939</v>
      </c>
      <c r="L127" s="2">
        <f t="shared" si="14"/>
        <v>122</v>
      </c>
      <c r="M127" s="2">
        <f t="shared" si="21"/>
        <v>66.08</v>
      </c>
      <c r="N127" s="2">
        <v>15.5</v>
      </c>
      <c r="O127" s="2">
        <v>50.26548245743669</v>
      </c>
      <c r="P127" s="11">
        <f t="shared" si="5"/>
        <v>3.0836270224054725</v>
      </c>
      <c r="Q127" s="2">
        <f t="shared" si="6"/>
        <v>203.76607364055363</v>
      </c>
      <c r="R127" s="2">
        <f t="shared" si="7"/>
        <v>2.6742901877100311</v>
      </c>
      <c r="S127" s="2">
        <f t="shared" si="8"/>
        <v>176.71709560387885</v>
      </c>
      <c r="T127" s="2">
        <f t="shared" si="9"/>
        <v>27.048978036674782</v>
      </c>
    </row>
    <row r="128" spans="1:20" x14ac:dyDescent="0.25">
      <c r="A128" s="14">
        <f t="shared" si="22"/>
        <v>0.63568376068376065</v>
      </c>
      <c r="B128" s="2">
        <f t="shared" si="11"/>
        <v>123</v>
      </c>
      <c r="C128" s="4">
        <f t="shared" si="20"/>
        <v>66.83</v>
      </c>
      <c r="D128" s="2">
        <v>14</v>
      </c>
      <c r="E128" s="2">
        <v>50.26548245743669</v>
      </c>
      <c r="F128" s="11">
        <f t="shared" si="0"/>
        <v>2.7852115041081689</v>
      </c>
      <c r="G128" s="2">
        <f t="shared" si="1"/>
        <v>186.13568481954891</v>
      </c>
      <c r="H128" s="2">
        <f t="shared" si="2"/>
        <v>2.5808395794972032</v>
      </c>
      <c r="I128" s="2">
        <f t="shared" si="3"/>
        <v>172.47750909779808</v>
      </c>
      <c r="J128" s="2">
        <f t="shared" si="4"/>
        <v>13.658175721750837</v>
      </c>
      <c r="K128" s="15">
        <f t="shared" si="23"/>
        <v>0.60074786324786322</v>
      </c>
      <c r="L128" s="2">
        <f t="shared" si="14"/>
        <v>123</v>
      </c>
      <c r="M128" s="2">
        <f t="shared" si="21"/>
        <v>66.58</v>
      </c>
      <c r="N128" s="2">
        <v>13.5</v>
      </c>
      <c r="O128" s="2">
        <v>50.26548245743669</v>
      </c>
      <c r="P128" s="11">
        <f t="shared" si="5"/>
        <v>2.6857396646757339</v>
      </c>
      <c r="Q128" s="2">
        <f t="shared" si="6"/>
        <v>178.81654687411034</v>
      </c>
      <c r="R128" s="2">
        <f t="shared" si="7"/>
        <v>2.6742901877100311</v>
      </c>
      <c r="S128" s="2">
        <f t="shared" si="8"/>
        <v>178.05424069773386</v>
      </c>
      <c r="T128" s="2">
        <f t="shared" si="9"/>
        <v>0.76230617637648379</v>
      </c>
    </row>
    <row r="129" spans="1:20" x14ac:dyDescent="0.25">
      <c r="A129" s="14">
        <f t="shared" si="22"/>
        <v>0.63584401709401706</v>
      </c>
      <c r="B129" s="2">
        <f t="shared" si="11"/>
        <v>124</v>
      </c>
      <c r="C129" s="4">
        <f t="shared" si="20"/>
        <v>67.33</v>
      </c>
      <c r="D129" s="2">
        <v>18</v>
      </c>
      <c r="E129" s="2">
        <v>50.26548245743669</v>
      </c>
      <c r="F129" s="11">
        <f t="shared" si="0"/>
        <v>3.5809862195676452</v>
      </c>
      <c r="G129" s="2">
        <f t="shared" si="1"/>
        <v>241.10780216348954</v>
      </c>
      <c r="H129" s="2">
        <f t="shared" si="2"/>
        <v>2.5808395794972032</v>
      </c>
      <c r="I129" s="2">
        <f t="shared" si="3"/>
        <v>173.7679288875467</v>
      </c>
      <c r="J129" s="2">
        <f t="shared" si="4"/>
        <v>67.339873275942836</v>
      </c>
      <c r="K129" s="15">
        <f t="shared" si="23"/>
        <v>0.60087250712250706</v>
      </c>
      <c r="L129" s="2">
        <f t="shared" si="14"/>
        <v>124</v>
      </c>
      <c r="M129" s="2">
        <f t="shared" si="21"/>
        <v>67.08</v>
      </c>
      <c r="N129" s="2">
        <v>14</v>
      </c>
      <c r="O129" s="2">
        <v>50.26548245743669</v>
      </c>
      <c r="P129" s="11">
        <f t="shared" si="5"/>
        <v>2.7852115041081689</v>
      </c>
      <c r="Q129" s="2">
        <f t="shared" si="6"/>
        <v>186.83198769557598</v>
      </c>
      <c r="R129" s="2">
        <f t="shared" si="7"/>
        <v>2.6742901877100311</v>
      </c>
      <c r="S129" s="2">
        <f t="shared" si="8"/>
        <v>179.39138579158887</v>
      </c>
      <c r="T129" s="2">
        <f t="shared" si="9"/>
        <v>7.4406019039871012</v>
      </c>
    </row>
    <row r="130" spans="1:20" x14ac:dyDescent="0.25">
      <c r="A130" s="14">
        <f t="shared" si="22"/>
        <v>0.63600427350427347</v>
      </c>
      <c r="B130" s="2">
        <f t="shared" si="11"/>
        <v>125</v>
      </c>
      <c r="C130" s="4">
        <f t="shared" si="20"/>
        <v>67.83</v>
      </c>
      <c r="D130" s="2">
        <v>15</v>
      </c>
      <c r="E130" s="2">
        <v>50.26548245743669</v>
      </c>
      <c r="F130" s="11">
        <f t="shared" si="0"/>
        <v>2.9841551829730379</v>
      </c>
      <c r="G130" s="2">
        <f t="shared" si="1"/>
        <v>202.41524606106117</v>
      </c>
      <c r="H130" s="2">
        <f t="shared" si="2"/>
        <v>2.5808395794972032</v>
      </c>
      <c r="I130" s="2">
        <f t="shared" si="3"/>
        <v>175.0583486772953</v>
      </c>
      <c r="J130" s="2">
        <f t="shared" si="4"/>
        <v>27.356897383765869</v>
      </c>
      <c r="K130" s="15">
        <f t="shared" si="23"/>
        <v>0.60099715099715101</v>
      </c>
      <c r="L130" s="2">
        <f t="shared" si="14"/>
        <v>125</v>
      </c>
      <c r="M130" s="2">
        <f t="shared" si="21"/>
        <v>67.58</v>
      </c>
      <c r="N130" s="2">
        <v>15.5</v>
      </c>
      <c r="O130" s="2">
        <v>50.26548245743669</v>
      </c>
      <c r="P130" s="11">
        <f t="shared" si="5"/>
        <v>3.0836270224054725</v>
      </c>
      <c r="Q130" s="2">
        <f t="shared" si="6"/>
        <v>208.39151417416181</v>
      </c>
      <c r="R130" s="2">
        <f t="shared" si="7"/>
        <v>2.6742901877100311</v>
      </c>
      <c r="S130" s="2">
        <f t="shared" si="8"/>
        <v>180.72853088544389</v>
      </c>
      <c r="T130" s="2">
        <f t="shared" si="9"/>
        <v>27.662983288717925</v>
      </c>
    </row>
    <row r="131" spans="1:20" x14ac:dyDescent="0.25">
      <c r="A131" s="14">
        <f t="shared" si="22"/>
        <v>0.63616452991452987</v>
      </c>
      <c r="B131" s="2">
        <f t="shared" si="11"/>
        <v>126</v>
      </c>
      <c r="C131" s="4">
        <f t="shared" si="20"/>
        <v>68.33</v>
      </c>
      <c r="D131" s="2">
        <v>15</v>
      </c>
      <c r="E131" s="2">
        <v>50.26548245743669</v>
      </c>
      <c r="F131" s="11">
        <f t="shared" si="0"/>
        <v>2.9841551829730379</v>
      </c>
      <c r="G131" s="2">
        <f t="shared" si="1"/>
        <v>203.90732365254769</v>
      </c>
      <c r="H131" s="2">
        <f t="shared" si="2"/>
        <v>2.5808395794972032</v>
      </c>
      <c r="I131" s="2">
        <f t="shared" si="3"/>
        <v>176.3487684670439</v>
      </c>
      <c r="J131" s="2">
        <f t="shared" si="4"/>
        <v>27.558555185503792</v>
      </c>
      <c r="K131" s="15">
        <f t="shared" si="23"/>
        <v>0.60112179487179485</v>
      </c>
      <c r="L131" s="2">
        <f t="shared" si="14"/>
        <v>126</v>
      </c>
      <c r="M131" s="2">
        <f t="shared" si="21"/>
        <v>68.08</v>
      </c>
      <c r="N131" s="2">
        <v>14.5</v>
      </c>
      <c r="O131" s="2">
        <v>50.26548245743669</v>
      </c>
      <c r="P131" s="11">
        <f t="shared" si="5"/>
        <v>2.8846833435406034</v>
      </c>
      <c r="Q131" s="2">
        <f t="shared" si="6"/>
        <v>196.38924202824427</v>
      </c>
      <c r="R131" s="2">
        <f t="shared" si="7"/>
        <v>2.6742901877100311</v>
      </c>
      <c r="S131" s="2">
        <f t="shared" si="8"/>
        <v>182.0656759792989</v>
      </c>
      <c r="T131" s="2">
        <f t="shared" si="9"/>
        <v>14.323566048945366</v>
      </c>
    </row>
    <row r="132" spans="1:20" x14ac:dyDescent="0.25">
      <c r="A132" s="14">
        <f t="shared" si="22"/>
        <v>0.63632478632478628</v>
      </c>
      <c r="B132" s="2">
        <f t="shared" si="11"/>
        <v>127</v>
      </c>
      <c r="C132" s="4">
        <f t="shared" si="20"/>
        <v>68.83</v>
      </c>
      <c r="D132" s="2">
        <v>13.5</v>
      </c>
      <c r="E132" s="2">
        <v>50.26548245743669</v>
      </c>
      <c r="F132" s="11">
        <f t="shared" si="0"/>
        <v>2.6857396646757339</v>
      </c>
      <c r="G132" s="2">
        <f t="shared" si="1"/>
        <v>184.85946111963077</v>
      </c>
      <c r="H132" s="2">
        <f t="shared" si="2"/>
        <v>2.5808395794972032</v>
      </c>
      <c r="I132" s="2">
        <f t="shared" si="3"/>
        <v>177.63918825679249</v>
      </c>
      <c r="J132" s="2">
        <f t="shared" si="4"/>
        <v>7.2202728628382715</v>
      </c>
      <c r="K132" s="15">
        <f t="shared" si="23"/>
        <v>0.60124643874643868</v>
      </c>
      <c r="L132" s="2">
        <f t="shared" si="14"/>
        <v>127</v>
      </c>
      <c r="M132" s="2">
        <f t="shared" si="21"/>
        <v>68.58</v>
      </c>
      <c r="N132" s="2">
        <v>15</v>
      </c>
      <c r="O132" s="2">
        <v>50.26548245743669</v>
      </c>
      <c r="P132" s="11">
        <f t="shared" si="5"/>
        <v>2.9841551829730379</v>
      </c>
      <c r="Q132" s="2">
        <f t="shared" si="6"/>
        <v>204.65336244829095</v>
      </c>
      <c r="R132" s="2">
        <f t="shared" si="7"/>
        <v>2.6742901877100311</v>
      </c>
      <c r="S132" s="2">
        <f t="shared" si="8"/>
        <v>183.40282107315394</v>
      </c>
      <c r="T132" s="2">
        <f t="shared" si="9"/>
        <v>21.250541375137004</v>
      </c>
    </row>
    <row r="133" spans="1:20" x14ac:dyDescent="0.25">
      <c r="A133" s="14">
        <f t="shared" si="22"/>
        <v>0.63648504273504269</v>
      </c>
      <c r="B133" s="2">
        <f t="shared" si="11"/>
        <v>128</v>
      </c>
      <c r="C133" s="4">
        <f t="shared" si="20"/>
        <v>69.33</v>
      </c>
      <c r="D133" s="2">
        <v>13</v>
      </c>
      <c r="E133" s="2">
        <v>50.26548245743669</v>
      </c>
      <c r="F133" s="11">
        <f t="shared" si="0"/>
        <v>2.5862678252432989</v>
      </c>
      <c r="G133" s="2">
        <f t="shared" si="1"/>
        <v>179.30594832411791</v>
      </c>
      <c r="H133" s="2">
        <f t="shared" si="2"/>
        <v>2.5808395794972032</v>
      </c>
      <c r="I133" s="2">
        <f t="shared" si="3"/>
        <v>178.92960804654109</v>
      </c>
      <c r="J133" s="2">
        <f t="shared" si="4"/>
        <v>0.37634027757681565</v>
      </c>
      <c r="K133" s="15">
        <f t="shared" si="23"/>
        <v>0.60137108262108263</v>
      </c>
      <c r="L133" s="2">
        <f t="shared" si="14"/>
        <v>128</v>
      </c>
      <c r="M133" s="2">
        <f t="shared" si="21"/>
        <v>69.08</v>
      </c>
      <c r="N133" s="2">
        <v>14.5</v>
      </c>
      <c r="O133" s="2">
        <v>50.26548245743669</v>
      </c>
      <c r="P133" s="11">
        <f t="shared" si="5"/>
        <v>2.8846833435406034</v>
      </c>
      <c r="Q133" s="2">
        <f t="shared" si="6"/>
        <v>199.27392537178488</v>
      </c>
      <c r="R133" s="2">
        <f t="shared" si="7"/>
        <v>2.6742901877100311</v>
      </c>
      <c r="S133" s="2">
        <f t="shared" si="8"/>
        <v>184.73996616700896</v>
      </c>
      <c r="T133" s="2">
        <f t="shared" si="9"/>
        <v>14.533959204775925</v>
      </c>
    </row>
    <row r="134" spans="1:20" x14ac:dyDescent="0.25">
      <c r="A134" s="14">
        <f t="shared" si="22"/>
        <v>0.6366452991452991</v>
      </c>
      <c r="B134" s="2">
        <f t="shared" si="11"/>
        <v>129</v>
      </c>
      <c r="C134" s="4">
        <f t="shared" si="20"/>
        <v>69.83</v>
      </c>
      <c r="D134" s="2">
        <v>13.5</v>
      </c>
      <c r="E134" s="2">
        <v>50.26548245743669</v>
      </c>
      <c r="F134" s="11">
        <f t="shared" si="0"/>
        <v>2.6857396646757339</v>
      </c>
      <c r="G134" s="2">
        <f t="shared" si="1"/>
        <v>187.5452007843065</v>
      </c>
      <c r="H134" s="2">
        <f t="shared" si="2"/>
        <v>2.5808395794972032</v>
      </c>
      <c r="I134" s="2">
        <f t="shared" si="3"/>
        <v>180.22002783628969</v>
      </c>
      <c r="J134" s="2">
        <f t="shared" si="4"/>
        <v>7.3251729480168137</v>
      </c>
      <c r="K134" s="15">
        <f t="shared" si="23"/>
        <v>0.60149572649572647</v>
      </c>
      <c r="L134" s="2">
        <f t="shared" si="14"/>
        <v>129</v>
      </c>
      <c r="M134" s="2">
        <f t="shared" si="21"/>
        <v>69.58</v>
      </c>
      <c r="N134" s="2">
        <v>15.5</v>
      </c>
      <c r="O134" s="2">
        <v>50.26548245743669</v>
      </c>
      <c r="P134" s="11">
        <f t="shared" si="5"/>
        <v>3.0836270224054725</v>
      </c>
      <c r="Q134" s="2">
        <f t="shared" si="6"/>
        <v>214.55876821897277</v>
      </c>
      <c r="R134" s="2">
        <f t="shared" si="7"/>
        <v>2.6742901877100311</v>
      </c>
      <c r="S134" s="2">
        <f t="shared" si="8"/>
        <v>186.07711126086397</v>
      </c>
      <c r="T134" s="2">
        <f t="shared" si="9"/>
        <v>28.4816569581088</v>
      </c>
    </row>
    <row r="135" spans="1:20" x14ac:dyDescent="0.25">
      <c r="A135" s="14">
        <f t="shared" si="22"/>
        <v>0.63680555555555551</v>
      </c>
      <c r="B135" s="2">
        <f t="shared" si="11"/>
        <v>130</v>
      </c>
      <c r="C135" s="4">
        <f t="shared" si="20"/>
        <v>70.33</v>
      </c>
      <c r="D135" s="2">
        <v>14</v>
      </c>
      <c r="E135" s="2">
        <v>50.26548245743669</v>
      </c>
      <c r="F135" s="11">
        <f t="shared" si="0"/>
        <v>2.7852115041081689</v>
      </c>
      <c r="G135" s="2">
        <f t="shared" si="1"/>
        <v>195.88392508392752</v>
      </c>
      <c r="H135" s="2">
        <f t="shared" si="2"/>
        <v>2.5808395794972032</v>
      </c>
      <c r="I135" s="2">
        <f t="shared" si="3"/>
        <v>181.51044762603829</v>
      </c>
      <c r="J135" s="2">
        <f t="shared" si="4"/>
        <v>14.373477457889237</v>
      </c>
      <c r="K135" s="15">
        <f t="shared" si="23"/>
        <v>0.60162037037037031</v>
      </c>
      <c r="L135" s="2">
        <f t="shared" si="14"/>
        <v>130</v>
      </c>
      <c r="M135" s="2">
        <f t="shared" si="21"/>
        <v>70.08</v>
      </c>
      <c r="N135" s="2">
        <v>14</v>
      </c>
      <c r="O135" s="2">
        <v>50.26548245743669</v>
      </c>
      <c r="P135" s="11">
        <f t="shared" si="5"/>
        <v>2.7852115041081689</v>
      </c>
      <c r="Q135" s="2">
        <f t="shared" si="6"/>
        <v>195.18762220790046</v>
      </c>
      <c r="R135" s="2">
        <f t="shared" si="7"/>
        <v>2.6742901877100311</v>
      </c>
      <c r="S135" s="2">
        <f t="shared" si="8"/>
        <v>187.41425635471899</v>
      </c>
      <c r="T135" s="2">
        <f t="shared" si="9"/>
        <v>7.773365853181474</v>
      </c>
    </row>
    <row r="136" spans="1:20" x14ac:dyDescent="0.25">
      <c r="A136" s="14">
        <f t="shared" si="22"/>
        <v>0.63696581196581192</v>
      </c>
      <c r="B136" s="2">
        <f t="shared" si="11"/>
        <v>131</v>
      </c>
      <c r="C136" s="4">
        <f t="shared" si="20"/>
        <v>70.83</v>
      </c>
      <c r="D136" s="2">
        <v>14</v>
      </c>
      <c r="E136" s="2">
        <v>50.26548245743669</v>
      </c>
      <c r="F136" s="11">
        <f t="shared" si="0"/>
        <v>2.7852115041081689</v>
      </c>
      <c r="G136" s="2">
        <f t="shared" si="1"/>
        <v>197.27653083598159</v>
      </c>
      <c r="H136" s="2">
        <f t="shared" si="2"/>
        <v>2.5808395794972032</v>
      </c>
      <c r="I136" s="2">
        <f t="shared" si="3"/>
        <v>182.80086741578691</v>
      </c>
      <c r="J136" s="2">
        <f t="shared" si="4"/>
        <v>14.475663420194678</v>
      </c>
      <c r="K136" s="15">
        <f t="shared" si="23"/>
        <v>0.60174501424501425</v>
      </c>
      <c r="L136" s="2">
        <f t="shared" si="14"/>
        <v>131</v>
      </c>
      <c r="M136" s="2">
        <f t="shared" si="21"/>
        <v>70.58</v>
      </c>
      <c r="N136" s="2">
        <v>13.5</v>
      </c>
      <c r="O136" s="2">
        <v>50.26548245743669</v>
      </c>
      <c r="P136" s="11">
        <f t="shared" si="5"/>
        <v>2.6857396646757339</v>
      </c>
      <c r="Q136" s="2">
        <f t="shared" si="6"/>
        <v>189.55950553281329</v>
      </c>
      <c r="R136" s="2">
        <f t="shared" si="7"/>
        <v>2.6742901877100311</v>
      </c>
      <c r="S136" s="2">
        <f t="shared" si="8"/>
        <v>188.751401448574</v>
      </c>
      <c r="T136" s="2">
        <f t="shared" si="9"/>
        <v>0.80810408423928948</v>
      </c>
    </row>
    <row r="137" spans="1:20" x14ac:dyDescent="0.25">
      <c r="A137" s="14">
        <f t="shared" si="22"/>
        <v>0.63712606837606833</v>
      </c>
      <c r="B137" s="2">
        <f t="shared" si="11"/>
        <v>132</v>
      </c>
      <c r="C137" s="4">
        <f t="shared" si="20"/>
        <v>71.33</v>
      </c>
      <c r="D137" s="2">
        <v>13</v>
      </c>
      <c r="E137" s="2">
        <v>50.26548245743669</v>
      </c>
      <c r="F137" s="11">
        <f t="shared" si="0"/>
        <v>2.5862678252432989</v>
      </c>
      <c r="G137" s="2">
        <f t="shared" si="1"/>
        <v>184.4784839746045</v>
      </c>
      <c r="H137" s="2">
        <f t="shared" si="2"/>
        <v>2.5808395794972032</v>
      </c>
      <c r="I137" s="2">
        <f t="shared" si="3"/>
        <v>184.09128720553551</v>
      </c>
      <c r="J137" s="2">
        <f t="shared" si="4"/>
        <v>0.38719676906899281</v>
      </c>
      <c r="K137" s="15">
        <f t="shared" si="23"/>
        <v>0.60186965811965809</v>
      </c>
      <c r="L137" s="2">
        <f t="shared" si="14"/>
        <v>132</v>
      </c>
      <c r="M137" s="2">
        <f t="shared" si="21"/>
        <v>71.08</v>
      </c>
      <c r="N137" s="2">
        <v>15</v>
      </c>
      <c r="O137" s="2">
        <v>50.26548245743669</v>
      </c>
      <c r="P137" s="11">
        <f t="shared" si="5"/>
        <v>2.9841551829730379</v>
      </c>
      <c r="Q137" s="2">
        <f t="shared" si="6"/>
        <v>212.11375040572352</v>
      </c>
      <c r="R137" s="2">
        <f t="shared" si="7"/>
        <v>2.6742901877100311</v>
      </c>
      <c r="S137" s="2">
        <f t="shared" si="8"/>
        <v>190.08854654242901</v>
      </c>
      <c r="T137" s="2">
        <f t="shared" si="9"/>
        <v>22.025203863294507</v>
      </c>
    </row>
    <row r="138" spans="1:20" x14ac:dyDescent="0.25">
      <c r="A138" s="14">
        <f t="shared" si="22"/>
        <v>0.63728632478632474</v>
      </c>
      <c r="B138" s="2">
        <f t="shared" si="11"/>
        <v>133</v>
      </c>
      <c r="C138" s="4">
        <f t="shared" si="20"/>
        <v>71.83</v>
      </c>
      <c r="D138" s="2">
        <v>14</v>
      </c>
      <c r="E138" s="2">
        <v>50.26548245743669</v>
      </c>
      <c r="F138" s="11">
        <f t="shared" si="0"/>
        <v>2.7852115041081689</v>
      </c>
      <c r="G138" s="2">
        <f t="shared" si="1"/>
        <v>200.06174234008978</v>
      </c>
      <c r="H138" s="2">
        <f t="shared" si="2"/>
        <v>2.5808395794972032</v>
      </c>
      <c r="I138" s="2">
        <f t="shared" si="3"/>
        <v>185.38170699528411</v>
      </c>
      <c r="J138" s="2">
        <f t="shared" si="4"/>
        <v>14.680035344805674</v>
      </c>
      <c r="K138" s="15">
        <f t="shared" si="23"/>
        <v>0.60199430199430193</v>
      </c>
      <c r="L138" s="2">
        <f t="shared" si="14"/>
        <v>133</v>
      </c>
      <c r="M138" s="2">
        <f t="shared" si="21"/>
        <v>71.58</v>
      </c>
      <c r="N138" s="2">
        <v>17</v>
      </c>
      <c r="O138" s="2">
        <v>50.26548245743669</v>
      </c>
      <c r="P138" s="11">
        <f t="shared" si="5"/>
        <v>3.3820425407027761</v>
      </c>
      <c r="Q138" s="2">
        <f t="shared" si="6"/>
        <v>242.08660506350472</v>
      </c>
      <c r="R138" s="2">
        <f t="shared" si="7"/>
        <v>2.6742901877100311</v>
      </c>
      <c r="S138" s="2">
        <f t="shared" si="8"/>
        <v>191.42569163628403</v>
      </c>
      <c r="T138" s="2">
        <f t="shared" si="9"/>
        <v>50.660913427220692</v>
      </c>
    </row>
    <row r="139" spans="1:20" x14ac:dyDescent="0.25">
      <c r="A139" s="14">
        <f t="shared" si="22"/>
        <v>0.63744658119658115</v>
      </c>
      <c r="B139" s="2">
        <f t="shared" si="11"/>
        <v>134</v>
      </c>
      <c r="C139" s="4">
        <f t="shared" si="20"/>
        <v>72.33</v>
      </c>
      <c r="D139" s="2">
        <v>13</v>
      </c>
      <c r="E139" s="2">
        <v>50.26548245743669</v>
      </c>
      <c r="F139" s="11">
        <f t="shared" si="0"/>
        <v>2.5862678252432989</v>
      </c>
      <c r="G139" s="2">
        <f t="shared" si="1"/>
        <v>187.06475179984781</v>
      </c>
      <c r="H139" s="2">
        <f t="shared" si="2"/>
        <v>2.5808395794972032</v>
      </c>
      <c r="I139" s="2">
        <f t="shared" si="3"/>
        <v>186.6721267850327</v>
      </c>
      <c r="J139" s="2">
        <f t="shared" si="4"/>
        <v>0.39262501481510981</v>
      </c>
      <c r="K139" s="15">
        <f t="shared" si="23"/>
        <v>0.60211894586894588</v>
      </c>
      <c r="L139" s="2">
        <f t="shared" si="14"/>
        <v>134</v>
      </c>
      <c r="M139" s="2">
        <f t="shared" si="21"/>
        <v>72.08</v>
      </c>
      <c r="N139" s="2">
        <v>13.5</v>
      </c>
      <c r="O139" s="2">
        <v>50.26548245743669</v>
      </c>
      <c r="P139" s="11">
        <f t="shared" si="5"/>
        <v>2.6857396646757339</v>
      </c>
      <c r="Q139" s="2">
        <f t="shared" si="6"/>
        <v>193.58811502982689</v>
      </c>
      <c r="R139" s="2">
        <f t="shared" si="7"/>
        <v>2.6742901877100311</v>
      </c>
      <c r="S139" s="2">
        <f t="shared" si="8"/>
        <v>192.76283673013904</v>
      </c>
      <c r="T139" s="2">
        <f t="shared" si="9"/>
        <v>0.82527829968785227</v>
      </c>
    </row>
    <row r="140" spans="1:20" x14ac:dyDescent="0.25">
      <c r="A140" s="14">
        <f t="shared" si="22"/>
        <v>0.63760683760683756</v>
      </c>
      <c r="B140" s="2">
        <f t="shared" si="11"/>
        <v>135</v>
      </c>
      <c r="C140" s="4">
        <f t="shared" si="20"/>
        <v>72.83</v>
      </c>
      <c r="D140" s="2">
        <v>13</v>
      </c>
      <c r="E140" s="2">
        <v>50.26548245743669</v>
      </c>
      <c r="F140" s="11">
        <f t="shared" si="0"/>
        <v>2.5862678252432989</v>
      </c>
      <c r="G140" s="2">
        <f t="shared" si="1"/>
        <v>188.35788571246945</v>
      </c>
      <c r="H140" s="2">
        <f t="shared" si="2"/>
        <v>2.5808395794972032</v>
      </c>
      <c r="I140" s="2">
        <f t="shared" si="3"/>
        <v>187.9625465747813</v>
      </c>
      <c r="J140" s="2">
        <f t="shared" si="4"/>
        <v>0.3953391376881541</v>
      </c>
      <c r="K140" s="15">
        <f t="shared" si="23"/>
        <v>0.60224358974358971</v>
      </c>
      <c r="L140" s="2">
        <f t="shared" si="14"/>
        <v>135</v>
      </c>
      <c r="M140" s="2">
        <f t="shared" si="21"/>
        <v>72.58</v>
      </c>
      <c r="N140" s="2">
        <v>14</v>
      </c>
      <c r="O140" s="2">
        <v>50.26548245743669</v>
      </c>
      <c r="P140" s="11">
        <f t="shared" si="5"/>
        <v>2.7852115041081689</v>
      </c>
      <c r="Q140" s="2">
        <f t="shared" si="6"/>
        <v>202.15065096817088</v>
      </c>
      <c r="R140" s="2">
        <f t="shared" si="7"/>
        <v>2.6742901877100311</v>
      </c>
      <c r="S140" s="2">
        <f t="shared" si="8"/>
        <v>194.09998182399406</v>
      </c>
      <c r="T140" s="2">
        <f t="shared" si="9"/>
        <v>8.0506691441768226</v>
      </c>
    </row>
    <row r="141" spans="1:20" x14ac:dyDescent="0.25">
      <c r="A141" s="14">
        <f t="shared" si="22"/>
        <v>0.63776709401709397</v>
      </c>
      <c r="B141" s="2">
        <f t="shared" si="11"/>
        <v>136</v>
      </c>
      <c r="C141" s="4">
        <f t="shared" si="20"/>
        <v>73.33</v>
      </c>
      <c r="D141" s="2">
        <v>12.5</v>
      </c>
      <c r="E141" s="2">
        <v>50.26548245743669</v>
      </c>
      <c r="F141" s="11">
        <f t="shared" si="0"/>
        <v>2.4867959858108648</v>
      </c>
      <c r="G141" s="2">
        <f t="shared" si="1"/>
        <v>182.35674963951072</v>
      </c>
      <c r="H141" s="2">
        <f t="shared" si="2"/>
        <v>2.5808395794972032</v>
      </c>
      <c r="I141" s="2">
        <f t="shared" si="3"/>
        <v>189.2529663645299</v>
      </c>
      <c r="J141" s="2">
        <f t="shared" si="4"/>
        <v>6.8962167250191726</v>
      </c>
      <c r="K141" s="15">
        <f t="shared" si="23"/>
        <v>0.60236823361823355</v>
      </c>
      <c r="L141" s="2">
        <f t="shared" si="14"/>
        <v>136</v>
      </c>
      <c r="M141" s="2">
        <f t="shared" si="21"/>
        <v>73.08</v>
      </c>
      <c r="N141" s="2">
        <v>13</v>
      </c>
      <c r="O141" s="2">
        <v>50.26548245743669</v>
      </c>
      <c r="P141" s="11">
        <f t="shared" si="5"/>
        <v>2.5862678252432989</v>
      </c>
      <c r="Q141" s="2">
        <f t="shared" si="6"/>
        <v>189.00445266878029</v>
      </c>
      <c r="R141" s="2">
        <f t="shared" si="7"/>
        <v>2.6742901877100311</v>
      </c>
      <c r="S141" s="2">
        <f t="shared" si="8"/>
        <v>195.43712691784907</v>
      </c>
      <c r="T141" s="2">
        <f t="shared" si="9"/>
        <v>6.432674249068782</v>
      </c>
    </row>
    <row r="142" spans="1:20" x14ac:dyDescent="0.25">
      <c r="A142" s="14">
        <f t="shared" si="22"/>
        <v>0.63792735042735049</v>
      </c>
      <c r="B142" s="2">
        <f t="shared" si="11"/>
        <v>137</v>
      </c>
      <c r="C142" s="4">
        <f t="shared" si="20"/>
        <v>73.83</v>
      </c>
      <c r="D142" s="2">
        <v>14</v>
      </c>
      <c r="E142" s="2">
        <v>50.26548245743669</v>
      </c>
      <c r="F142" s="11">
        <f t="shared" si="0"/>
        <v>2.7852115041081689</v>
      </c>
      <c r="G142" s="2">
        <f t="shared" si="1"/>
        <v>205.6321653483061</v>
      </c>
      <c r="H142" s="2">
        <f t="shared" si="2"/>
        <v>2.5808395794972032</v>
      </c>
      <c r="I142" s="2">
        <f t="shared" si="3"/>
        <v>190.54338615427852</v>
      </c>
      <c r="J142" s="2">
        <f t="shared" si="4"/>
        <v>15.08877919402758</v>
      </c>
      <c r="K142" s="15">
        <f t="shared" si="23"/>
        <v>0.6024928774928775</v>
      </c>
      <c r="L142" s="2">
        <f t="shared" si="14"/>
        <v>137</v>
      </c>
      <c r="M142" s="2">
        <f t="shared" si="21"/>
        <v>73.58</v>
      </c>
      <c r="N142" s="2">
        <v>14</v>
      </c>
      <c r="O142" s="2">
        <v>50.26548245743669</v>
      </c>
      <c r="P142" s="11">
        <f t="shared" si="5"/>
        <v>2.7852115041081689</v>
      </c>
      <c r="Q142" s="2">
        <f t="shared" si="6"/>
        <v>204.93586247227907</v>
      </c>
      <c r="R142" s="2">
        <f t="shared" si="7"/>
        <v>2.6742901877100311</v>
      </c>
      <c r="S142" s="2">
        <f t="shared" si="8"/>
        <v>196.77427201170408</v>
      </c>
      <c r="T142" s="2">
        <f t="shared" si="9"/>
        <v>8.1615904605749847</v>
      </c>
    </row>
    <row r="143" spans="1:20" x14ac:dyDescent="0.25">
      <c r="A143" s="14">
        <f t="shared" si="22"/>
        <v>0.6380876068376069</v>
      </c>
      <c r="B143" s="2">
        <f t="shared" si="11"/>
        <v>138</v>
      </c>
      <c r="C143" s="4">
        <f t="shared" si="20"/>
        <v>74.33</v>
      </c>
      <c r="D143" s="2">
        <v>14.5</v>
      </c>
      <c r="E143" s="2">
        <v>50.26548245743669</v>
      </c>
      <c r="F143" s="11">
        <f t="shared" si="0"/>
        <v>2.8846833435406034</v>
      </c>
      <c r="G143" s="2">
        <f t="shared" si="1"/>
        <v>214.41851292537305</v>
      </c>
      <c r="H143" s="2">
        <f t="shared" si="2"/>
        <v>2.5808395794972032</v>
      </c>
      <c r="I143" s="2">
        <f t="shared" si="3"/>
        <v>191.83380594402712</v>
      </c>
      <c r="J143" s="2">
        <f t="shared" si="4"/>
        <v>22.584706981345931</v>
      </c>
      <c r="K143" s="15">
        <f t="shared" si="23"/>
        <v>0.60261752136752134</v>
      </c>
      <c r="L143" s="2">
        <f t="shared" si="14"/>
        <v>138</v>
      </c>
      <c r="M143" s="2">
        <f t="shared" si="21"/>
        <v>74.08</v>
      </c>
      <c r="N143" s="2">
        <v>14.5</v>
      </c>
      <c r="O143" s="2">
        <v>50.26548245743669</v>
      </c>
      <c r="P143" s="11">
        <f t="shared" si="5"/>
        <v>2.8846833435406034</v>
      </c>
      <c r="Q143" s="2">
        <f t="shared" si="6"/>
        <v>213.6973420894879</v>
      </c>
      <c r="R143" s="2">
        <f t="shared" si="7"/>
        <v>2.6742901877100311</v>
      </c>
      <c r="S143" s="2">
        <f t="shared" si="8"/>
        <v>198.1114171055591</v>
      </c>
      <c r="T143" s="2">
        <f t="shared" si="9"/>
        <v>15.585924983928805</v>
      </c>
    </row>
    <row r="144" spans="1:20" x14ac:dyDescent="0.25">
      <c r="A144" s="14">
        <f t="shared" si="22"/>
        <v>0.63824786324786331</v>
      </c>
      <c r="B144" s="2">
        <f t="shared" si="11"/>
        <v>139</v>
      </c>
      <c r="C144" s="4">
        <f t="shared" si="20"/>
        <v>74.83</v>
      </c>
      <c r="D144" s="2">
        <v>16</v>
      </c>
      <c r="E144" s="2">
        <v>50.26548245743669</v>
      </c>
      <c r="F144" s="11">
        <f t="shared" si="0"/>
        <v>3.183098861837907</v>
      </c>
      <c r="G144" s="2">
        <f t="shared" si="1"/>
        <v>238.19128783133058</v>
      </c>
      <c r="H144" s="2">
        <f t="shared" si="2"/>
        <v>2.5808395794972032</v>
      </c>
      <c r="I144" s="2">
        <f t="shared" si="3"/>
        <v>193.12422573377572</v>
      </c>
      <c r="J144" s="2">
        <f t="shared" si="4"/>
        <v>45.067062097554867</v>
      </c>
      <c r="K144" s="15">
        <f t="shared" si="23"/>
        <v>0.60274216524216517</v>
      </c>
      <c r="L144" s="2">
        <f t="shared" si="14"/>
        <v>139</v>
      </c>
      <c r="M144" s="2">
        <f t="shared" si="21"/>
        <v>74.58</v>
      </c>
      <c r="N144" s="2">
        <v>14</v>
      </c>
      <c r="O144" s="2">
        <v>50.26548245743669</v>
      </c>
      <c r="P144" s="11">
        <f t="shared" si="5"/>
        <v>2.7852115041081689</v>
      </c>
      <c r="Q144" s="2">
        <f t="shared" si="6"/>
        <v>207.72107397638723</v>
      </c>
      <c r="R144" s="2">
        <f t="shared" si="7"/>
        <v>2.6742901877100311</v>
      </c>
      <c r="S144" s="2">
        <f t="shared" si="8"/>
        <v>199.44856219941411</v>
      </c>
      <c r="T144" s="2">
        <f t="shared" si="9"/>
        <v>8.2725117769731185</v>
      </c>
    </row>
    <row r="145" spans="1:20" x14ac:dyDescent="0.25">
      <c r="A145" s="14">
        <f t="shared" si="22"/>
        <v>0.63840811965811972</v>
      </c>
      <c r="B145" s="2">
        <f t="shared" si="11"/>
        <v>140</v>
      </c>
      <c r="C145" s="4">
        <f t="shared" si="20"/>
        <v>75.33</v>
      </c>
      <c r="D145" s="2">
        <v>14</v>
      </c>
      <c r="E145" s="2">
        <v>50.26548245743669</v>
      </c>
      <c r="F145" s="11">
        <f t="shared" si="0"/>
        <v>2.7852115041081689</v>
      </c>
      <c r="G145" s="2">
        <f t="shared" si="1"/>
        <v>209.80998260446836</v>
      </c>
      <c r="H145" s="2">
        <f t="shared" si="2"/>
        <v>2.5808395794972032</v>
      </c>
      <c r="I145" s="2">
        <f t="shared" si="3"/>
        <v>194.41464552352431</v>
      </c>
      <c r="J145" s="2">
        <f t="shared" si="4"/>
        <v>15.395337080944046</v>
      </c>
      <c r="K145" s="15">
        <f t="shared" si="23"/>
        <v>0.60286680911680912</v>
      </c>
      <c r="L145" s="2">
        <f t="shared" si="14"/>
        <v>140</v>
      </c>
      <c r="M145" s="2">
        <f t="shared" si="21"/>
        <v>75.08</v>
      </c>
      <c r="N145" s="2">
        <v>13.5</v>
      </c>
      <c r="O145" s="2">
        <v>50.26548245743669</v>
      </c>
      <c r="P145" s="11">
        <f t="shared" si="5"/>
        <v>2.6857396646757339</v>
      </c>
      <c r="Q145" s="2">
        <f t="shared" si="6"/>
        <v>201.6453340238541</v>
      </c>
      <c r="R145" s="2">
        <f t="shared" si="7"/>
        <v>2.6742901877100311</v>
      </c>
      <c r="S145" s="2">
        <f t="shared" si="8"/>
        <v>200.78570729326913</v>
      </c>
      <c r="T145" s="2">
        <f t="shared" si="9"/>
        <v>0.85962673058497785</v>
      </c>
    </row>
    <row r="146" spans="1:20" x14ac:dyDescent="0.25">
      <c r="A146" s="14">
        <f t="shared" si="22"/>
        <v>0.63856837606837613</v>
      </c>
      <c r="B146" s="2">
        <f t="shared" si="11"/>
        <v>141</v>
      </c>
      <c r="C146" s="4">
        <f t="shared" si="20"/>
        <v>75.83</v>
      </c>
      <c r="D146" s="2">
        <v>14.5</v>
      </c>
      <c r="E146" s="2">
        <v>50.26548245743669</v>
      </c>
      <c r="F146" s="11">
        <f t="shared" si="0"/>
        <v>2.8846833435406034</v>
      </c>
      <c r="G146" s="2">
        <f t="shared" si="1"/>
        <v>218.74553794068396</v>
      </c>
      <c r="H146" s="2">
        <f t="shared" si="2"/>
        <v>2.5808395794972032</v>
      </c>
      <c r="I146" s="2">
        <f t="shared" si="3"/>
        <v>195.70506531327291</v>
      </c>
      <c r="J146" s="2">
        <f t="shared" si="4"/>
        <v>23.040472627411049</v>
      </c>
      <c r="K146" s="15">
        <f t="shared" si="23"/>
        <v>0.60299145299145296</v>
      </c>
      <c r="L146" s="2">
        <f t="shared" si="14"/>
        <v>141</v>
      </c>
      <c r="M146" s="2">
        <f t="shared" si="21"/>
        <v>75.58</v>
      </c>
      <c r="N146" s="2">
        <v>14</v>
      </c>
      <c r="O146" s="2">
        <v>50.26548245743669</v>
      </c>
      <c r="P146" s="11">
        <f t="shared" si="5"/>
        <v>2.7852115041081689</v>
      </c>
      <c r="Q146" s="2">
        <f t="shared" si="6"/>
        <v>210.50628548049539</v>
      </c>
      <c r="R146" s="2">
        <f t="shared" si="7"/>
        <v>2.6742901877100311</v>
      </c>
      <c r="S146" s="2">
        <f t="shared" si="8"/>
        <v>202.12285238712414</v>
      </c>
      <c r="T146" s="2">
        <f t="shared" si="9"/>
        <v>8.3834330933712522</v>
      </c>
    </row>
    <row r="147" spans="1:20" x14ac:dyDescent="0.25">
      <c r="A147" s="14">
        <f t="shared" si="22"/>
        <v>0.63872863247863254</v>
      </c>
      <c r="B147" s="2">
        <f t="shared" si="11"/>
        <v>142</v>
      </c>
      <c r="C147" s="4">
        <f t="shared" si="20"/>
        <v>76.33</v>
      </c>
      <c r="D147" s="2">
        <v>14</v>
      </c>
      <c r="E147" s="2">
        <v>50.26548245743669</v>
      </c>
      <c r="F147" s="11">
        <f t="shared" si="0"/>
        <v>2.7852115041081689</v>
      </c>
      <c r="G147" s="2">
        <f t="shared" si="1"/>
        <v>212.59519410857652</v>
      </c>
      <c r="H147" s="2">
        <f t="shared" si="2"/>
        <v>2.5808395794972032</v>
      </c>
      <c r="I147" s="2">
        <f t="shared" si="3"/>
        <v>196.99548510302151</v>
      </c>
      <c r="J147" s="2">
        <f t="shared" si="4"/>
        <v>15.599709005555013</v>
      </c>
      <c r="K147" s="15">
        <f t="shared" si="23"/>
        <v>0.6031160968660968</v>
      </c>
      <c r="L147" s="2">
        <f t="shared" si="14"/>
        <v>142</v>
      </c>
      <c r="M147" s="2">
        <f t="shared" si="21"/>
        <v>76.08</v>
      </c>
      <c r="N147" s="2">
        <v>14.5</v>
      </c>
      <c r="O147" s="2">
        <v>50.26548245743669</v>
      </c>
      <c r="P147" s="11">
        <f t="shared" si="5"/>
        <v>2.8846833435406034</v>
      </c>
      <c r="Q147" s="2">
        <f t="shared" si="6"/>
        <v>219.46670877656911</v>
      </c>
      <c r="R147" s="2">
        <f t="shared" si="7"/>
        <v>2.6742901877100311</v>
      </c>
      <c r="S147" s="2">
        <f t="shared" si="8"/>
        <v>203.45999748097915</v>
      </c>
      <c r="T147" s="2">
        <f t="shared" si="9"/>
        <v>16.006711295589952</v>
      </c>
    </row>
    <row r="148" spans="1:20" x14ac:dyDescent="0.25">
      <c r="A148" s="14">
        <f t="shared" si="22"/>
        <v>0.63888888888888895</v>
      </c>
      <c r="B148" s="2">
        <f t="shared" si="11"/>
        <v>143</v>
      </c>
      <c r="C148" s="4">
        <f t="shared" si="20"/>
        <v>76.83</v>
      </c>
      <c r="D148" s="2">
        <v>14</v>
      </c>
      <c r="E148" s="2">
        <v>50.26548245743669</v>
      </c>
      <c r="F148" s="11">
        <f t="shared" si="0"/>
        <v>2.7852115041081689</v>
      </c>
      <c r="G148" s="2">
        <f t="shared" si="1"/>
        <v>213.98779986063062</v>
      </c>
      <c r="H148" s="2">
        <f t="shared" si="2"/>
        <v>2.5808395794972032</v>
      </c>
      <c r="I148" s="2">
        <f t="shared" si="3"/>
        <v>198.28590489277011</v>
      </c>
      <c r="J148" s="2">
        <f t="shared" si="4"/>
        <v>15.701894967860511</v>
      </c>
      <c r="K148" s="15">
        <f t="shared" si="23"/>
        <v>0.60324074074074074</v>
      </c>
      <c r="L148" s="2">
        <f t="shared" si="14"/>
        <v>143</v>
      </c>
      <c r="M148" s="2">
        <f t="shared" si="21"/>
        <v>76.58</v>
      </c>
      <c r="N148" s="2">
        <v>14.5</v>
      </c>
      <c r="O148" s="2">
        <v>50.26548245743669</v>
      </c>
      <c r="P148" s="11">
        <f t="shared" si="5"/>
        <v>2.8846833435406034</v>
      </c>
      <c r="Q148" s="2">
        <f t="shared" si="6"/>
        <v>220.9090504483394</v>
      </c>
      <c r="R148" s="2">
        <f t="shared" si="7"/>
        <v>2.6742901877100311</v>
      </c>
      <c r="S148" s="2">
        <f t="shared" si="8"/>
        <v>204.79714257483417</v>
      </c>
      <c r="T148" s="2">
        <f t="shared" si="9"/>
        <v>16.111907873505231</v>
      </c>
    </row>
    <row r="149" spans="1:20" x14ac:dyDescent="0.25">
      <c r="A149" s="14">
        <f t="shared" si="22"/>
        <v>0.63904914529914536</v>
      </c>
      <c r="B149" s="2">
        <f t="shared" si="11"/>
        <v>144</v>
      </c>
      <c r="C149" s="4">
        <f t="shared" si="20"/>
        <v>77.33</v>
      </c>
      <c r="D149" s="2">
        <v>13.5</v>
      </c>
      <c r="E149" s="2">
        <v>50.26548245743669</v>
      </c>
      <c r="F149" s="11">
        <f t="shared" si="0"/>
        <v>2.6857396646757339</v>
      </c>
      <c r="G149" s="2">
        <f t="shared" si="1"/>
        <v>207.6882482693745</v>
      </c>
      <c r="H149" s="2">
        <f t="shared" si="2"/>
        <v>2.5808395794972032</v>
      </c>
      <c r="I149" s="2">
        <f t="shared" si="3"/>
        <v>199.57632468251873</v>
      </c>
      <c r="J149" s="2">
        <f t="shared" si="4"/>
        <v>8.1119235868557666</v>
      </c>
      <c r="K149" s="15">
        <f t="shared" si="23"/>
        <v>0.60336538461538458</v>
      </c>
      <c r="L149" s="2">
        <f t="shared" si="14"/>
        <v>144</v>
      </c>
      <c r="M149" s="2">
        <f t="shared" si="21"/>
        <v>77.08</v>
      </c>
      <c r="N149" s="2">
        <v>13.5</v>
      </c>
      <c r="O149" s="2">
        <v>50.26548245743669</v>
      </c>
      <c r="P149" s="11">
        <f t="shared" si="5"/>
        <v>2.6857396646757339</v>
      </c>
      <c r="Q149" s="2">
        <f t="shared" si="6"/>
        <v>207.01681335320555</v>
      </c>
      <c r="R149" s="2">
        <f t="shared" si="7"/>
        <v>2.6742901877100311</v>
      </c>
      <c r="S149" s="2">
        <f t="shared" si="8"/>
        <v>206.13428766868918</v>
      </c>
      <c r="T149" s="2">
        <f t="shared" si="9"/>
        <v>0.88252568451636648</v>
      </c>
    </row>
    <row r="150" spans="1:20" x14ac:dyDescent="0.25">
      <c r="A150" s="14">
        <f t="shared" si="22"/>
        <v>0.63920940170940177</v>
      </c>
      <c r="B150" s="2">
        <f t="shared" si="11"/>
        <v>145</v>
      </c>
      <c r="C150" s="4">
        <f t="shared" si="20"/>
        <v>77.83</v>
      </c>
      <c r="D150" s="2">
        <v>14</v>
      </c>
      <c r="E150" s="2">
        <v>50.26548245743669</v>
      </c>
      <c r="F150" s="11">
        <f t="shared" si="0"/>
        <v>2.7852115041081689</v>
      </c>
      <c r="G150" s="2">
        <f t="shared" si="1"/>
        <v>216.77301136473878</v>
      </c>
      <c r="H150" s="2">
        <f t="shared" si="2"/>
        <v>2.5808395794972032</v>
      </c>
      <c r="I150" s="2">
        <f t="shared" si="3"/>
        <v>200.86674447226733</v>
      </c>
      <c r="J150" s="2">
        <f t="shared" si="4"/>
        <v>15.90626689247145</v>
      </c>
      <c r="K150" s="15">
        <f t="shared" si="23"/>
        <v>0.60349002849002842</v>
      </c>
      <c r="L150" s="2">
        <f t="shared" si="14"/>
        <v>145</v>
      </c>
      <c r="M150" s="2">
        <f t="shared" si="21"/>
        <v>77.58</v>
      </c>
      <c r="N150" s="2">
        <v>13</v>
      </c>
      <c r="O150" s="2">
        <v>50.26548245743669</v>
      </c>
      <c r="P150" s="11">
        <f t="shared" si="5"/>
        <v>2.5862678252432989</v>
      </c>
      <c r="Q150" s="2">
        <f t="shared" si="6"/>
        <v>200.64265788237512</v>
      </c>
      <c r="R150" s="2">
        <f t="shared" si="7"/>
        <v>2.6742901877100311</v>
      </c>
      <c r="S150" s="2">
        <f t="shared" si="8"/>
        <v>207.4714327625442</v>
      </c>
      <c r="T150" s="2">
        <f t="shared" si="9"/>
        <v>6.8287748801690782</v>
      </c>
    </row>
    <row r="151" spans="1:20" x14ac:dyDescent="0.25">
      <c r="A151" s="14">
        <f t="shared" si="22"/>
        <v>0.63936965811965818</v>
      </c>
      <c r="B151" s="2">
        <f t="shared" si="11"/>
        <v>146</v>
      </c>
      <c r="C151" s="4">
        <f t="shared" si="20"/>
        <v>78.33</v>
      </c>
      <c r="D151" s="2">
        <v>13.5</v>
      </c>
      <c r="E151" s="2">
        <v>50.26548245743669</v>
      </c>
      <c r="F151" s="11">
        <f t="shared" si="0"/>
        <v>2.6857396646757339</v>
      </c>
      <c r="G151" s="2">
        <f t="shared" si="1"/>
        <v>210.37398793405023</v>
      </c>
      <c r="H151" s="2">
        <f t="shared" si="2"/>
        <v>2.5808395794972032</v>
      </c>
      <c r="I151" s="2">
        <f t="shared" si="3"/>
        <v>202.15716426201593</v>
      </c>
      <c r="J151" s="2">
        <f t="shared" si="4"/>
        <v>8.2168236720343089</v>
      </c>
      <c r="K151" s="15">
        <f t="shared" si="23"/>
        <v>0.60361467236467237</v>
      </c>
      <c r="L151" s="2">
        <f t="shared" si="14"/>
        <v>146</v>
      </c>
      <c r="M151" s="2">
        <f t="shared" si="21"/>
        <v>78.08</v>
      </c>
      <c r="N151" s="2">
        <v>14.5</v>
      </c>
      <c r="O151" s="2">
        <v>50.26548245743669</v>
      </c>
      <c r="P151" s="11">
        <f t="shared" si="5"/>
        <v>2.8846833435406034</v>
      </c>
      <c r="Q151" s="2">
        <f t="shared" si="6"/>
        <v>225.23607546365031</v>
      </c>
      <c r="R151" s="2">
        <f t="shared" si="7"/>
        <v>2.6742901877100311</v>
      </c>
      <c r="S151" s="2">
        <f t="shared" si="8"/>
        <v>208.80857785639924</v>
      </c>
      <c r="T151" s="2">
        <f t="shared" si="9"/>
        <v>16.42749760725107</v>
      </c>
    </row>
    <row r="152" spans="1:20" x14ac:dyDescent="0.25">
      <c r="A152" s="14">
        <f t="shared" si="22"/>
        <v>0.63952991452991459</v>
      </c>
      <c r="B152" s="2">
        <f t="shared" si="11"/>
        <v>147</v>
      </c>
      <c r="C152" s="4">
        <f t="shared" si="20"/>
        <v>78.83</v>
      </c>
      <c r="D152" s="2">
        <v>13</v>
      </c>
      <c r="E152" s="2">
        <v>50.26548245743669</v>
      </c>
      <c r="F152" s="11">
        <f t="shared" si="0"/>
        <v>2.5862678252432989</v>
      </c>
      <c r="G152" s="2">
        <f t="shared" si="1"/>
        <v>203.87549266392924</v>
      </c>
      <c r="H152" s="2">
        <f t="shared" si="2"/>
        <v>2.5808395794972032</v>
      </c>
      <c r="I152" s="2">
        <f t="shared" si="3"/>
        <v>203.44758405176452</v>
      </c>
      <c r="J152" s="2">
        <f t="shared" si="4"/>
        <v>0.42790861216471399</v>
      </c>
      <c r="K152" s="15">
        <f t="shared" si="23"/>
        <v>0.6037393162393162</v>
      </c>
      <c r="L152" s="2">
        <f t="shared" si="14"/>
        <v>147</v>
      </c>
      <c r="M152" s="2">
        <f t="shared" si="21"/>
        <v>78.58</v>
      </c>
      <c r="N152" s="2">
        <v>15</v>
      </c>
      <c r="O152" s="2">
        <v>50.26548245743669</v>
      </c>
      <c r="P152" s="11">
        <f t="shared" si="5"/>
        <v>2.9841551829730379</v>
      </c>
      <c r="Q152" s="2">
        <f t="shared" si="6"/>
        <v>234.49491427802133</v>
      </c>
      <c r="R152" s="2">
        <f t="shared" si="7"/>
        <v>2.6742901877100311</v>
      </c>
      <c r="S152" s="2">
        <f t="shared" si="8"/>
        <v>210.14572295025425</v>
      </c>
      <c r="T152" s="2">
        <f t="shared" si="9"/>
        <v>24.349191327767073</v>
      </c>
    </row>
    <row r="153" spans="1:20" x14ac:dyDescent="0.25">
      <c r="A153" s="14">
        <f t="shared" si="22"/>
        <v>0.639690170940171</v>
      </c>
      <c r="B153" s="2">
        <f t="shared" si="11"/>
        <v>148</v>
      </c>
      <c r="C153" s="4">
        <f t="shared" si="20"/>
        <v>79.33</v>
      </c>
      <c r="D153" s="2">
        <v>12.5</v>
      </c>
      <c r="E153" s="2">
        <v>50.26548245743669</v>
      </c>
      <c r="F153" s="11">
        <f t="shared" si="0"/>
        <v>2.4867959858108648</v>
      </c>
      <c r="G153" s="2">
        <f t="shared" si="1"/>
        <v>197.2775255543759</v>
      </c>
      <c r="H153" s="2">
        <f t="shared" si="2"/>
        <v>2.5808395794972032</v>
      </c>
      <c r="I153" s="2">
        <f t="shared" si="3"/>
        <v>204.73800384151312</v>
      </c>
      <c r="J153" s="2">
        <f t="shared" si="4"/>
        <v>7.4604782871372208</v>
      </c>
      <c r="K153" s="15">
        <f t="shared" si="23"/>
        <v>0.60386396011396004</v>
      </c>
      <c r="L153" s="2">
        <f t="shared" si="14"/>
        <v>148</v>
      </c>
      <c r="M153" s="2">
        <f t="shared" si="21"/>
        <v>79.08</v>
      </c>
      <c r="N153" s="2">
        <v>15</v>
      </c>
      <c r="O153" s="2">
        <v>50.26548245743669</v>
      </c>
      <c r="P153" s="11">
        <f t="shared" si="5"/>
        <v>2.9841551829730379</v>
      </c>
      <c r="Q153" s="2">
        <f t="shared" si="6"/>
        <v>235.98699186950785</v>
      </c>
      <c r="R153" s="2">
        <f t="shared" si="7"/>
        <v>2.6742901877100311</v>
      </c>
      <c r="S153" s="2">
        <f t="shared" si="8"/>
        <v>211.48286804410927</v>
      </c>
      <c r="T153" s="2">
        <f t="shared" si="9"/>
        <v>24.50412382539858</v>
      </c>
    </row>
    <row r="154" spans="1:20" x14ac:dyDescent="0.25">
      <c r="A154" s="14">
        <f t="shared" si="22"/>
        <v>0.63985042735042741</v>
      </c>
      <c r="B154" s="2">
        <f t="shared" si="11"/>
        <v>149</v>
      </c>
      <c r="C154" s="4">
        <f t="shared" si="20"/>
        <v>79.83</v>
      </c>
      <c r="D154" s="2">
        <v>13.5</v>
      </c>
      <c r="E154" s="2">
        <v>50.26548245743669</v>
      </c>
      <c r="F154" s="11">
        <f t="shared" si="0"/>
        <v>2.6857396646757339</v>
      </c>
      <c r="G154" s="2">
        <f t="shared" si="1"/>
        <v>214.40259743106384</v>
      </c>
      <c r="H154" s="2">
        <f t="shared" si="2"/>
        <v>2.5808395794972032</v>
      </c>
      <c r="I154" s="2">
        <f t="shared" si="3"/>
        <v>206.02842363126172</v>
      </c>
      <c r="J154" s="2">
        <f t="shared" si="4"/>
        <v>8.3741737998021222</v>
      </c>
      <c r="K154" s="15">
        <f t="shared" si="23"/>
        <v>0.60398860398860399</v>
      </c>
      <c r="L154" s="2">
        <f t="shared" si="14"/>
        <v>149</v>
      </c>
      <c r="M154" s="2">
        <f t="shared" si="21"/>
        <v>79.58</v>
      </c>
      <c r="N154" s="2">
        <v>12.5</v>
      </c>
      <c r="O154" s="2">
        <v>50.26548245743669</v>
      </c>
      <c r="P154" s="11">
        <f t="shared" si="5"/>
        <v>2.4867959858108648</v>
      </c>
      <c r="Q154" s="2">
        <f t="shared" si="6"/>
        <v>197.89922455082862</v>
      </c>
      <c r="R154" s="2">
        <f t="shared" si="7"/>
        <v>2.6742901877100311</v>
      </c>
      <c r="S154" s="2">
        <f t="shared" si="8"/>
        <v>212.82001313796428</v>
      </c>
      <c r="T154" s="2">
        <f t="shared" si="9"/>
        <v>14.920788587135661</v>
      </c>
    </row>
    <row r="155" spans="1:20" x14ac:dyDescent="0.25">
      <c r="A155" s="14">
        <f t="shared" si="22"/>
        <v>0.64001068376068382</v>
      </c>
      <c r="B155" s="2">
        <f t="shared" si="11"/>
        <v>150</v>
      </c>
      <c r="C155" s="4">
        <f t="shared" si="20"/>
        <v>80.33</v>
      </c>
      <c r="D155" s="2">
        <v>15</v>
      </c>
      <c r="E155" s="2">
        <v>50.26548245743669</v>
      </c>
      <c r="F155" s="11">
        <f t="shared" si="0"/>
        <v>2.9841551829730379</v>
      </c>
      <c r="G155" s="2">
        <f t="shared" si="1"/>
        <v>239.71718584822412</v>
      </c>
      <c r="H155" s="2">
        <f t="shared" si="2"/>
        <v>2.5808395794972032</v>
      </c>
      <c r="I155" s="2">
        <f t="shared" si="3"/>
        <v>207.31884342101034</v>
      </c>
      <c r="J155" s="2">
        <f t="shared" si="4"/>
        <v>32.398342427213777</v>
      </c>
      <c r="K155" s="15">
        <f t="shared" si="23"/>
        <v>0.60411324786324783</v>
      </c>
      <c r="L155" s="2">
        <f t="shared" si="14"/>
        <v>150</v>
      </c>
      <c r="M155" s="2">
        <f t="shared" si="21"/>
        <v>80.08</v>
      </c>
      <c r="N155" s="2">
        <v>16</v>
      </c>
      <c r="O155" s="2">
        <v>50.26548245743669</v>
      </c>
      <c r="P155" s="11">
        <f t="shared" si="5"/>
        <v>3.183098861837907</v>
      </c>
      <c r="Q155" s="2">
        <f t="shared" si="6"/>
        <v>254.90255685597958</v>
      </c>
      <c r="R155" s="2">
        <f t="shared" si="7"/>
        <v>2.6742901877100311</v>
      </c>
      <c r="S155" s="2">
        <f t="shared" si="8"/>
        <v>214.1571582318193</v>
      </c>
      <c r="T155" s="2">
        <f t="shared" si="9"/>
        <v>40.745398624160288</v>
      </c>
    </row>
    <row r="156" spans="1:20" x14ac:dyDescent="0.25">
      <c r="A156" s="14">
        <f t="shared" si="22"/>
        <v>0.64017094017094023</v>
      </c>
      <c r="B156" s="2">
        <f t="shared" si="11"/>
        <v>151</v>
      </c>
      <c r="C156" s="4">
        <f t="shared" si="20"/>
        <v>80.83</v>
      </c>
      <c r="D156" s="2">
        <v>14.5</v>
      </c>
      <c r="E156" s="2">
        <v>50.26548245743669</v>
      </c>
      <c r="F156" s="11">
        <f t="shared" si="0"/>
        <v>2.8846833435406034</v>
      </c>
      <c r="G156" s="2">
        <f t="shared" si="1"/>
        <v>233.16895465838698</v>
      </c>
      <c r="H156" s="2">
        <f t="shared" si="2"/>
        <v>2.5808395794972032</v>
      </c>
      <c r="I156" s="2">
        <f t="shared" si="3"/>
        <v>208.60926321075894</v>
      </c>
      <c r="J156" s="2">
        <f t="shared" si="4"/>
        <v>24.55969144762804</v>
      </c>
      <c r="K156" s="15">
        <f t="shared" si="23"/>
        <v>0.60423789173789166</v>
      </c>
      <c r="L156" s="2">
        <f t="shared" si="14"/>
        <v>151</v>
      </c>
      <c r="M156" s="2">
        <f t="shared" si="21"/>
        <v>80.58</v>
      </c>
      <c r="N156" s="2">
        <v>15</v>
      </c>
      <c r="O156" s="2">
        <v>50.26548245743669</v>
      </c>
      <c r="P156" s="11">
        <f t="shared" si="5"/>
        <v>2.9841551829730379</v>
      </c>
      <c r="Q156" s="2">
        <f t="shared" si="6"/>
        <v>240.46322464396738</v>
      </c>
      <c r="R156" s="2">
        <f t="shared" si="7"/>
        <v>2.6742901877100311</v>
      </c>
      <c r="S156" s="2">
        <f t="shared" si="8"/>
        <v>215.49430332567431</v>
      </c>
      <c r="T156" s="2">
        <f t="shared" si="9"/>
        <v>24.96892131829307</v>
      </c>
    </row>
    <row r="157" spans="1:20" x14ac:dyDescent="0.25">
      <c r="A157" s="14">
        <f t="shared" si="22"/>
        <v>0.64033119658119664</v>
      </c>
      <c r="B157" s="2">
        <f t="shared" si="11"/>
        <v>152</v>
      </c>
      <c r="C157" s="4">
        <f t="shared" si="20"/>
        <v>81.33</v>
      </c>
      <c r="D157" s="2">
        <v>14</v>
      </c>
      <c r="E157" s="2">
        <v>50.26548245743669</v>
      </c>
      <c r="F157" s="11">
        <f t="shared" si="0"/>
        <v>2.7852115041081689</v>
      </c>
      <c r="G157" s="2">
        <f t="shared" si="1"/>
        <v>226.52125162911736</v>
      </c>
      <c r="H157" s="2">
        <f t="shared" si="2"/>
        <v>2.5808395794972032</v>
      </c>
      <c r="I157" s="2">
        <f t="shared" si="3"/>
        <v>209.89968300050754</v>
      </c>
      <c r="J157" s="2">
        <f t="shared" si="4"/>
        <v>16.621568628609822</v>
      </c>
      <c r="K157" s="15">
        <f t="shared" si="23"/>
        <v>0.60436253561253561</v>
      </c>
      <c r="L157" s="2">
        <f t="shared" si="14"/>
        <v>152</v>
      </c>
      <c r="M157" s="2">
        <f t="shared" si="21"/>
        <v>81.08</v>
      </c>
      <c r="N157" s="2">
        <v>15</v>
      </c>
      <c r="O157" s="2">
        <v>50.26548245743669</v>
      </c>
      <c r="P157" s="11">
        <f t="shared" si="5"/>
        <v>2.9841551829730379</v>
      </c>
      <c r="Q157" s="2">
        <f t="shared" si="6"/>
        <v>241.9553022354539</v>
      </c>
      <c r="R157" s="2">
        <f t="shared" si="7"/>
        <v>2.6742901877100311</v>
      </c>
      <c r="S157" s="2">
        <f t="shared" si="8"/>
        <v>216.83144841952932</v>
      </c>
      <c r="T157" s="2">
        <f t="shared" si="9"/>
        <v>25.123853815924576</v>
      </c>
    </row>
    <row r="158" spans="1:20" x14ac:dyDescent="0.25">
      <c r="A158" s="14">
        <f t="shared" si="22"/>
        <v>0.64049145299145305</v>
      </c>
      <c r="B158" s="2">
        <f t="shared" si="11"/>
        <v>153</v>
      </c>
      <c r="C158" s="4">
        <f t="shared" si="20"/>
        <v>81.83</v>
      </c>
      <c r="D158" s="2">
        <v>14</v>
      </c>
      <c r="E158" s="2">
        <v>50.26548245743669</v>
      </c>
      <c r="F158" s="11">
        <f t="shared" si="0"/>
        <v>2.7852115041081689</v>
      </c>
      <c r="G158" s="2">
        <f t="shared" si="1"/>
        <v>227.91385738117145</v>
      </c>
      <c r="H158" s="2">
        <f t="shared" si="2"/>
        <v>2.5808395794972032</v>
      </c>
      <c r="I158" s="2">
        <f t="shared" si="3"/>
        <v>211.19010279025613</v>
      </c>
      <c r="J158" s="2">
        <f t="shared" si="4"/>
        <v>16.72375459091532</v>
      </c>
      <c r="K158" s="15">
        <f t="shared" si="23"/>
        <v>0.60448717948717945</v>
      </c>
      <c r="L158" s="2">
        <f t="shared" si="14"/>
        <v>153</v>
      </c>
      <c r="M158" s="2">
        <f t="shared" si="21"/>
        <v>81.58</v>
      </c>
      <c r="N158" s="2">
        <v>14.5</v>
      </c>
      <c r="O158" s="2">
        <v>50.26548245743669</v>
      </c>
      <c r="P158" s="11">
        <f t="shared" si="5"/>
        <v>2.8846833435406034</v>
      </c>
      <c r="Q158" s="2">
        <f t="shared" si="6"/>
        <v>235.33246716604242</v>
      </c>
      <c r="R158" s="2">
        <f t="shared" si="7"/>
        <v>2.6742901877100311</v>
      </c>
      <c r="S158" s="2">
        <f t="shared" si="8"/>
        <v>218.16859351338434</v>
      </c>
      <c r="T158" s="2">
        <f t="shared" si="9"/>
        <v>17.163873652658083</v>
      </c>
    </row>
    <row r="159" spans="1:20" x14ac:dyDescent="0.25">
      <c r="A159" s="14">
        <f t="shared" si="22"/>
        <v>0.64065170940170946</v>
      </c>
      <c r="B159" s="2">
        <f t="shared" si="11"/>
        <v>154</v>
      </c>
      <c r="C159" s="4">
        <f t="shared" si="20"/>
        <v>82.33</v>
      </c>
      <c r="D159" s="2">
        <v>15</v>
      </c>
      <c r="E159" s="2">
        <v>50.26548245743669</v>
      </c>
      <c r="F159" s="11">
        <f t="shared" si="0"/>
        <v>2.9841551829730379</v>
      </c>
      <c r="G159" s="2">
        <f t="shared" si="1"/>
        <v>245.6854962141702</v>
      </c>
      <c r="H159" s="2">
        <f t="shared" si="2"/>
        <v>2.5808395794972032</v>
      </c>
      <c r="I159" s="2">
        <f t="shared" si="3"/>
        <v>212.48052258000473</v>
      </c>
      <c r="J159" s="2">
        <f t="shared" si="4"/>
        <v>33.204973634165469</v>
      </c>
      <c r="K159" s="15">
        <f t="shared" si="23"/>
        <v>0.60461182336182329</v>
      </c>
      <c r="L159" s="2">
        <f t="shared" si="14"/>
        <v>154</v>
      </c>
      <c r="M159" s="2">
        <f t="shared" si="21"/>
        <v>82.08</v>
      </c>
      <c r="N159" s="2">
        <v>14</v>
      </c>
      <c r="O159" s="2">
        <v>50.26548245743669</v>
      </c>
      <c r="P159" s="11">
        <f t="shared" si="5"/>
        <v>2.7852115041081689</v>
      </c>
      <c r="Q159" s="2">
        <f t="shared" si="6"/>
        <v>228.61016025719849</v>
      </c>
      <c r="R159" s="2">
        <f t="shared" si="7"/>
        <v>2.6742901877100311</v>
      </c>
      <c r="S159" s="2">
        <f t="shared" si="8"/>
        <v>219.50573860723935</v>
      </c>
      <c r="T159" s="2">
        <f t="shared" si="9"/>
        <v>9.1044216499591357</v>
      </c>
    </row>
    <row r="160" spans="1:20" x14ac:dyDescent="0.25">
      <c r="A160" s="14">
        <f t="shared" si="22"/>
        <v>0.64081196581196587</v>
      </c>
      <c r="B160" s="2">
        <f t="shared" si="11"/>
        <v>155</v>
      </c>
      <c r="C160" s="4">
        <f t="shared" si="20"/>
        <v>82.83</v>
      </c>
      <c r="D160" s="2">
        <v>13.5</v>
      </c>
      <c r="E160" s="2">
        <v>50.26548245743669</v>
      </c>
      <c r="F160" s="11">
        <f t="shared" si="0"/>
        <v>2.6857396646757339</v>
      </c>
      <c r="G160" s="2">
        <f t="shared" si="1"/>
        <v>222.45981642509102</v>
      </c>
      <c r="H160" s="2">
        <f t="shared" si="2"/>
        <v>2.5808395794972032</v>
      </c>
      <c r="I160" s="2">
        <f t="shared" si="3"/>
        <v>213.77094236975333</v>
      </c>
      <c r="J160" s="2">
        <f t="shared" si="4"/>
        <v>8.688874055337692</v>
      </c>
      <c r="K160" s="15">
        <f t="shared" si="23"/>
        <v>0.60473646723646723</v>
      </c>
      <c r="L160" s="2">
        <f t="shared" si="14"/>
        <v>155</v>
      </c>
      <c r="M160" s="2">
        <f t="shared" si="21"/>
        <v>82.58</v>
      </c>
      <c r="N160" s="2">
        <v>13.5</v>
      </c>
      <c r="O160" s="2">
        <v>50.26548245743669</v>
      </c>
      <c r="P160" s="11">
        <f t="shared" si="5"/>
        <v>2.6857396646757339</v>
      </c>
      <c r="Q160" s="2">
        <f t="shared" si="6"/>
        <v>221.7883815089221</v>
      </c>
      <c r="R160" s="2">
        <f t="shared" si="7"/>
        <v>2.6742901877100311</v>
      </c>
      <c r="S160" s="2">
        <f t="shared" si="8"/>
        <v>220.84288370109437</v>
      </c>
      <c r="T160" s="2">
        <f t="shared" si="9"/>
        <v>0.94549780782773496</v>
      </c>
    </row>
    <row r="161" spans="1:20" x14ac:dyDescent="0.25">
      <c r="A161" s="10">
        <v>0.64097222222222228</v>
      </c>
      <c r="B161" s="2">
        <f t="shared" si="11"/>
        <v>156</v>
      </c>
      <c r="C161" s="4">
        <f t="shared" si="20"/>
        <v>83.33</v>
      </c>
      <c r="D161" s="2">
        <v>13</v>
      </c>
      <c r="E161" s="2">
        <v>50.26548245743669</v>
      </c>
      <c r="F161" s="11">
        <f t="shared" si="0"/>
        <v>2.5862678252432989</v>
      </c>
      <c r="G161" s="2">
        <f t="shared" si="1"/>
        <v>215.51369787752409</v>
      </c>
      <c r="H161" s="2">
        <f t="shared" si="2"/>
        <v>2.5808395794972032</v>
      </c>
      <c r="I161" s="2">
        <f t="shared" si="3"/>
        <v>215.06136215950195</v>
      </c>
      <c r="J161" s="2">
        <f t="shared" si="4"/>
        <v>0.45233571802214101</v>
      </c>
      <c r="K161" s="12">
        <v>0.60486111111111107</v>
      </c>
      <c r="L161" s="2">
        <f t="shared" si="14"/>
        <v>156</v>
      </c>
      <c r="M161" s="2">
        <f t="shared" si="21"/>
        <v>83.08</v>
      </c>
      <c r="N161" s="2">
        <v>13.5</v>
      </c>
      <c r="O161" s="2">
        <v>50.26548245743669</v>
      </c>
      <c r="P161" s="11">
        <f t="shared" si="5"/>
        <v>2.6857396646757339</v>
      </c>
      <c r="Q161" s="2">
        <f t="shared" si="6"/>
        <v>223.13125134125997</v>
      </c>
      <c r="R161" s="2">
        <f t="shared" si="7"/>
        <v>2.6742901877100311</v>
      </c>
      <c r="S161" s="2">
        <f t="shared" si="8"/>
        <v>222.18002879494938</v>
      </c>
      <c r="T161" s="2">
        <f t="shared" si="9"/>
        <v>0.95122254631058922</v>
      </c>
    </row>
    <row r="162" spans="1:20" x14ac:dyDescent="0.25">
      <c r="A162" s="10">
        <v>0.64097222222222228</v>
      </c>
      <c r="B162" s="2">
        <f t="shared" si="11"/>
        <v>157</v>
      </c>
      <c r="C162" s="4">
        <f t="shared" si="20"/>
        <v>83.83</v>
      </c>
      <c r="D162" s="2">
        <v>16</v>
      </c>
      <c r="E162" s="2">
        <v>50.26548245743669</v>
      </c>
      <c r="F162" s="11">
        <f t="shared" si="0"/>
        <v>3.183098861837907</v>
      </c>
      <c r="G162" s="2">
        <f t="shared" si="1"/>
        <v>266.83917758787175</v>
      </c>
      <c r="H162" s="2">
        <f t="shared" si="2"/>
        <v>2.5808395794972032</v>
      </c>
      <c r="I162" s="2">
        <f t="shared" si="3"/>
        <v>216.35178194925055</v>
      </c>
      <c r="J162" s="2">
        <f t="shared" si="4"/>
        <v>50.487395638621194</v>
      </c>
      <c r="K162" s="12">
        <v>0.60486111111111107</v>
      </c>
      <c r="L162" s="2">
        <f t="shared" si="14"/>
        <v>157</v>
      </c>
      <c r="M162" s="2">
        <f t="shared" si="21"/>
        <v>83.58</v>
      </c>
      <c r="N162" s="2">
        <v>12.5</v>
      </c>
      <c r="O162" s="2">
        <v>50.26548245743669</v>
      </c>
      <c r="P162" s="11">
        <f t="shared" si="5"/>
        <v>2.4867959858108648</v>
      </c>
      <c r="Q162" s="2">
        <f t="shared" si="6"/>
        <v>207.84640849407208</v>
      </c>
      <c r="R162" s="2">
        <f t="shared" si="7"/>
        <v>2.6742901877100311</v>
      </c>
      <c r="S162" s="2">
        <f t="shared" si="8"/>
        <v>223.51717388880439</v>
      </c>
      <c r="T162" s="2">
        <f t="shared" si="9"/>
        <v>15.670765394732314</v>
      </c>
    </row>
    <row r="163" spans="1:20" x14ac:dyDescent="0.25">
      <c r="A163" s="10"/>
      <c r="C163" s="4"/>
      <c r="F163" s="11"/>
      <c r="K163" s="12"/>
      <c r="P163" s="11"/>
    </row>
    <row r="164" spans="1:20" x14ac:dyDescent="0.25">
      <c r="A164" s="10"/>
      <c r="C164" s="4"/>
      <c r="F164" s="11"/>
      <c r="K164" s="12"/>
      <c r="P164" s="11"/>
    </row>
    <row r="165" spans="1:20" x14ac:dyDescent="0.25">
      <c r="C165" s="4"/>
      <c r="F165" s="11"/>
      <c r="K165" s="25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29">
    <mergeCell ref="V23:X23"/>
    <mergeCell ref="V24:X24"/>
    <mergeCell ref="V25:X25"/>
    <mergeCell ref="V26:X26"/>
    <mergeCell ref="V11:W11"/>
    <mergeCell ref="V12:W12"/>
    <mergeCell ref="V13:W13"/>
    <mergeCell ref="V14:W14"/>
    <mergeCell ref="V15:W15"/>
    <mergeCell ref="V16:W16"/>
    <mergeCell ref="V17:W17"/>
    <mergeCell ref="V10:W10"/>
    <mergeCell ref="V18:W18"/>
    <mergeCell ref="V19:X19"/>
    <mergeCell ref="W20:X20"/>
    <mergeCell ref="V21:W21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E4:F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X174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16495.703601414982</v>
      </c>
      <c r="G2" s="4">
        <f>SUM(C6:C174)</f>
        <v>6934.3099999999931</v>
      </c>
      <c r="H2" s="2">
        <f>F2/G2</f>
        <v>2.3788529214031384</v>
      </c>
      <c r="I2" s="2">
        <f>SUM(J6:J174)</f>
        <v>2360.9669648422282</v>
      </c>
      <c r="J2" s="2">
        <f>(1-(I2/(F2)))*100</f>
        <v>85.687382473096164</v>
      </c>
      <c r="K2" s="1"/>
      <c r="L2" s="1"/>
      <c r="M2" s="1"/>
      <c r="N2" s="1"/>
      <c r="O2" s="1"/>
      <c r="P2" s="2">
        <f>SUM(Q6:Q174)</f>
        <v>16709.810767482937</v>
      </c>
      <c r="Q2" s="2">
        <f>SUM(M6:M174)</f>
        <v>6895.0599999999931</v>
      </c>
      <c r="R2" s="2">
        <f>P2/Q2</f>
        <v>2.4234467528176626</v>
      </c>
      <c r="S2" s="2">
        <f>SUM(T6:T174)</f>
        <v>2308.4105634145963</v>
      </c>
      <c r="T2" s="2">
        <f>(1-(S2/(P2)))*100</f>
        <v>86.185297993279903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48" t="s">
        <v>77</v>
      </c>
      <c r="F4" s="32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48" t="s">
        <v>77</v>
      </c>
      <c r="P4" s="32"/>
      <c r="V4" s="34" t="s">
        <v>12</v>
      </c>
      <c r="W4" s="36"/>
      <c r="X4" s="6" t="s">
        <v>77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45792</v>
      </c>
    </row>
    <row r="6" spans="1:24" x14ac:dyDescent="0.25">
      <c r="A6" s="10">
        <v>0.42638888888888887</v>
      </c>
      <c r="B6" s="2">
        <v>1</v>
      </c>
      <c r="C6" s="4">
        <v>4.83</v>
      </c>
      <c r="D6" s="2">
        <v>2.5</v>
      </c>
      <c r="E6" s="2">
        <v>50.26548245743669</v>
      </c>
      <c r="F6" s="11">
        <f t="shared" ref="F6:F162" si="0">(D6/E6)*10</f>
        <v>0.49735919716217297</v>
      </c>
      <c r="G6" s="2">
        <f t="shared" ref="G6:G162" si="1">F6*C6</f>
        <v>2.4022449222932956</v>
      </c>
      <c r="H6" s="2">
        <f t="shared" ref="H6:H162" si="2">$H$2</f>
        <v>2.3788529214031384</v>
      </c>
      <c r="I6" s="2">
        <f t="shared" ref="I6:I162" si="3">H6*C6</f>
        <v>11.48985961037716</v>
      </c>
      <c r="J6" s="2">
        <f t="shared" ref="J6:J162" si="4">ABS(G6-I6)</f>
        <v>9.087614688083864</v>
      </c>
      <c r="K6" s="12">
        <v>0.3888888888888889</v>
      </c>
      <c r="L6" s="2">
        <v>1</v>
      </c>
      <c r="M6" s="2">
        <v>4.58</v>
      </c>
      <c r="N6" s="2">
        <v>2</v>
      </c>
      <c r="O6" s="2">
        <v>50.26548245743669</v>
      </c>
      <c r="P6" s="11">
        <f t="shared" ref="P6:P162" si="5">(N6/O6)*10</f>
        <v>0.39788735772973838</v>
      </c>
      <c r="Q6" s="2">
        <f t="shared" ref="Q6:Q162" si="6">P6*M6</f>
        <v>1.8223240984022018</v>
      </c>
      <c r="R6" s="2">
        <f t="shared" ref="R6:R162" si="7">$R$2</f>
        <v>2.4234467528176626</v>
      </c>
      <c r="S6" s="2">
        <f t="shared" ref="S6:S162" si="8">R6*M6</f>
        <v>11.099386127904895</v>
      </c>
      <c r="T6" s="2">
        <f t="shared" ref="T6:T162" si="9">ABS(Q6-S6)</f>
        <v>9.2770620295026927</v>
      </c>
      <c r="V6" s="37" t="s">
        <v>23</v>
      </c>
      <c r="W6" s="36"/>
      <c r="X6" s="13" t="s">
        <v>78</v>
      </c>
    </row>
    <row r="7" spans="1:24" x14ac:dyDescent="0.25">
      <c r="A7" s="30">
        <f t="shared" ref="A7:A43" si="10">IF(AND($A$6&lt;&gt;"",$A$44&lt;&gt;""), $A$6 + (B7 - $B$6) * (($A$44 - $A$6) / ($B$44 - $B$6)), "")</f>
        <v>0.42658991228070176</v>
      </c>
      <c r="B7" s="2">
        <f t="shared" ref="B7:B162" si="11">B6+1</f>
        <v>2</v>
      </c>
      <c r="C7" s="4">
        <f t="shared" ref="C7:C109" si="12">C6+0.5</f>
        <v>5.33</v>
      </c>
      <c r="D7" s="2">
        <v>6</v>
      </c>
      <c r="E7" s="2">
        <v>50.26548245743669</v>
      </c>
      <c r="F7" s="11">
        <f t="shared" si="0"/>
        <v>1.1936620731892149</v>
      </c>
      <c r="G7" s="2">
        <f t="shared" si="1"/>
        <v>6.3622188500985155</v>
      </c>
      <c r="H7" s="2">
        <f t="shared" si="2"/>
        <v>2.3788529214031384</v>
      </c>
      <c r="I7" s="2">
        <f t="shared" si="3"/>
        <v>12.679286071078728</v>
      </c>
      <c r="J7" s="2">
        <f t="shared" si="4"/>
        <v>6.3170672209802126</v>
      </c>
      <c r="K7" s="15">
        <f t="shared" ref="K7:K43" si="13">IF(AND($K$6&lt;&gt;"",$K$44&lt;&gt;""), $K$6 + (L7 - $L$6) * (($K$44 - $K$6) / ($L$44 - $L$6)), "")</f>
        <v>0.38905336257309941</v>
      </c>
      <c r="L7" s="2">
        <f t="shared" ref="L7:L162" si="14">L6+1</f>
        <v>2</v>
      </c>
      <c r="M7" s="2">
        <f t="shared" ref="M7:M109" si="15">M6+0.5</f>
        <v>5.08</v>
      </c>
      <c r="N7" s="2">
        <v>4</v>
      </c>
      <c r="O7" s="2">
        <v>50.26548245743669</v>
      </c>
      <c r="P7" s="11">
        <f t="shared" si="5"/>
        <v>0.79577471545947676</v>
      </c>
      <c r="Q7" s="2">
        <f t="shared" si="6"/>
        <v>4.0425355545341422</v>
      </c>
      <c r="R7" s="2">
        <f t="shared" si="7"/>
        <v>2.4234467528176626</v>
      </c>
      <c r="S7" s="2">
        <f t="shared" si="8"/>
        <v>12.311109504313727</v>
      </c>
      <c r="T7" s="2">
        <f t="shared" si="9"/>
        <v>8.2685739497795847</v>
      </c>
      <c r="V7" s="37" t="s">
        <v>24</v>
      </c>
      <c r="W7" s="36"/>
      <c r="X7" s="6" t="s">
        <v>79</v>
      </c>
    </row>
    <row r="8" spans="1:24" x14ac:dyDescent="0.25">
      <c r="A8" s="30">
        <f t="shared" si="10"/>
        <v>0.42679093567251458</v>
      </c>
      <c r="B8" s="2">
        <f t="shared" si="11"/>
        <v>3</v>
      </c>
      <c r="C8" s="4">
        <f t="shared" si="12"/>
        <v>5.83</v>
      </c>
      <c r="D8" s="2">
        <v>8</v>
      </c>
      <c r="E8" s="2">
        <v>50.26548245743669</v>
      </c>
      <c r="F8" s="11">
        <f t="shared" si="0"/>
        <v>1.5915494309189535</v>
      </c>
      <c r="G8" s="2">
        <f t="shared" si="1"/>
        <v>9.2787331822574988</v>
      </c>
      <c r="H8" s="2">
        <f t="shared" si="2"/>
        <v>2.3788529214031384</v>
      </c>
      <c r="I8" s="2">
        <f t="shared" si="3"/>
        <v>13.868712531780297</v>
      </c>
      <c r="J8" s="2">
        <f t="shared" si="4"/>
        <v>4.5899793495227978</v>
      </c>
      <c r="K8" s="15">
        <f t="shared" si="13"/>
        <v>0.38921783625730993</v>
      </c>
      <c r="L8" s="2">
        <f t="shared" si="14"/>
        <v>3</v>
      </c>
      <c r="M8" s="2">
        <f t="shared" si="15"/>
        <v>5.58</v>
      </c>
      <c r="N8" s="2">
        <v>6.5</v>
      </c>
      <c r="O8" s="2">
        <v>50.26548245743669</v>
      </c>
      <c r="P8" s="11">
        <f t="shared" si="5"/>
        <v>1.2931339126216495</v>
      </c>
      <c r="Q8" s="2">
        <f t="shared" si="6"/>
        <v>7.2156872324288042</v>
      </c>
      <c r="R8" s="2">
        <f t="shared" si="7"/>
        <v>2.4234467528176626</v>
      </c>
      <c r="S8" s="2">
        <f t="shared" si="8"/>
        <v>13.522832880722557</v>
      </c>
      <c r="T8" s="2">
        <f t="shared" si="9"/>
        <v>6.3071456482937531</v>
      </c>
      <c r="V8" s="34" t="s">
        <v>25</v>
      </c>
      <c r="W8" s="35"/>
      <c r="X8" s="36"/>
    </row>
    <row r="9" spans="1:24" x14ac:dyDescent="0.25">
      <c r="A9" s="30">
        <f t="shared" si="10"/>
        <v>0.42699195906432746</v>
      </c>
      <c r="B9" s="2">
        <f t="shared" si="11"/>
        <v>4</v>
      </c>
      <c r="C9" s="4">
        <f t="shared" si="12"/>
        <v>6.33</v>
      </c>
      <c r="D9" s="2">
        <v>9</v>
      </c>
      <c r="E9" s="2">
        <v>50.26548245743669</v>
      </c>
      <c r="F9" s="11">
        <f t="shared" si="0"/>
        <v>1.7904931097838226</v>
      </c>
      <c r="G9" s="2">
        <f t="shared" si="1"/>
        <v>11.333821384931596</v>
      </c>
      <c r="H9" s="2">
        <f t="shared" si="2"/>
        <v>2.3788529214031384</v>
      </c>
      <c r="I9" s="2">
        <f t="shared" si="3"/>
        <v>15.058138992481867</v>
      </c>
      <c r="J9" s="2">
        <f t="shared" si="4"/>
        <v>3.7243176075502706</v>
      </c>
      <c r="K9" s="15">
        <f t="shared" si="13"/>
        <v>0.38938230994152045</v>
      </c>
      <c r="L9" s="2">
        <f t="shared" si="14"/>
        <v>4</v>
      </c>
      <c r="M9" s="2">
        <f t="shared" si="15"/>
        <v>6.08</v>
      </c>
      <c r="N9" s="2">
        <v>9</v>
      </c>
      <c r="O9" s="2">
        <v>50.26548245743669</v>
      </c>
      <c r="P9" s="11">
        <f t="shared" si="5"/>
        <v>1.7904931097838226</v>
      </c>
      <c r="Q9" s="2">
        <f t="shared" si="6"/>
        <v>10.886198107485642</v>
      </c>
      <c r="R9" s="2">
        <f t="shared" si="7"/>
        <v>2.4234467528176626</v>
      </c>
      <c r="S9" s="2">
        <f t="shared" si="8"/>
        <v>14.73455625713139</v>
      </c>
      <c r="T9" s="2">
        <f t="shared" si="9"/>
        <v>3.8483581496457475</v>
      </c>
      <c r="V9" s="34" t="s">
        <v>26</v>
      </c>
      <c r="W9" s="36"/>
      <c r="X9" s="16">
        <v>0.34027777777777779</v>
      </c>
    </row>
    <row r="10" spans="1:24" x14ac:dyDescent="0.25">
      <c r="A10" s="30">
        <f t="shared" si="10"/>
        <v>0.42719298245614035</v>
      </c>
      <c r="B10" s="2">
        <f t="shared" si="11"/>
        <v>5</v>
      </c>
      <c r="C10" s="4">
        <f t="shared" si="12"/>
        <v>6.83</v>
      </c>
      <c r="D10" s="2">
        <v>10.5</v>
      </c>
      <c r="E10" s="2">
        <v>50.26548245743669</v>
      </c>
      <c r="F10" s="11">
        <f t="shared" si="0"/>
        <v>2.0889086280811267</v>
      </c>
      <c r="G10" s="2">
        <f t="shared" si="1"/>
        <v>14.267245929794095</v>
      </c>
      <c r="H10" s="2">
        <f t="shared" si="2"/>
        <v>2.3788529214031384</v>
      </c>
      <c r="I10" s="2">
        <f t="shared" si="3"/>
        <v>16.247565453183437</v>
      </c>
      <c r="J10" s="2">
        <f t="shared" si="4"/>
        <v>1.9803195233893423</v>
      </c>
      <c r="K10" s="15">
        <f t="shared" si="13"/>
        <v>0.38954678362573097</v>
      </c>
      <c r="L10" s="2">
        <f t="shared" si="14"/>
        <v>5</v>
      </c>
      <c r="M10" s="2">
        <f t="shared" si="15"/>
        <v>6.58</v>
      </c>
      <c r="N10" s="2">
        <v>11</v>
      </c>
      <c r="O10" s="2">
        <v>50.26548245743669</v>
      </c>
      <c r="P10" s="11">
        <f t="shared" si="5"/>
        <v>2.1883804675135607</v>
      </c>
      <c r="Q10" s="2">
        <f t="shared" si="6"/>
        <v>14.399543476239231</v>
      </c>
      <c r="R10" s="2">
        <f t="shared" si="7"/>
        <v>2.4234467528176626</v>
      </c>
      <c r="S10" s="2">
        <f t="shared" si="8"/>
        <v>15.94627963354022</v>
      </c>
      <c r="T10" s="2">
        <f t="shared" si="9"/>
        <v>1.5467361573009892</v>
      </c>
      <c r="V10" s="34" t="s">
        <v>27</v>
      </c>
      <c r="W10" s="36"/>
      <c r="X10" s="6">
        <v>50</v>
      </c>
    </row>
    <row r="11" spans="1:24" x14ac:dyDescent="0.25">
      <c r="A11" s="30">
        <f t="shared" si="10"/>
        <v>0.42739400584795323</v>
      </c>
      <c r="B11" s="2">
        <f t="shared" si="11"/>
        <v>6</v>
      </c>
      <c r="C11" s="4">
        <f t="shared" si="12"/>
        <v>7.33</v>
      </c>
      <c r="D11" s="2">
        <v>13.5</v>
      </c>
      <c r="E11" s="2">
        <v>50.26548245743669</v>
      </c>
      <c r="F11" s="11">
        <f t="shared" si="0"/>
        <v>2.6857396646757339</v>
      </c>
      <c r="G11" s="2">
        <f t="shared" si="1"/>
        <v>19.686471742073131</v>
      </c>
      <c r="H11" s="2">
        <f t="shared" si="2"/>
        <v>2.3788529214031384</v>
      </c>
      <c r="I11" s="2">
        <f t="shared" si="3"/>
        <v>17.436991913885006</v>
      </c>
      <c r="J11" s="2">
        <f t="shared" si="4"/>
        <v>2.2494798281881252</v>
      </c>
      <c r="K11" s="15">
        <f t="shared" si="13"/>
        <v>0.38971125730994155</v>
      </c>
      <c r="L11" s="2">
        <f t="shared" si="14"/>
        <v>6</v>
      </c>
      <c r="M11" s="2">
        <f t="shared" si="15"/>
        <v>7.08</v>
      </c>
      <c r="N11" s="2">
        <v>12.5</v>
      </c>
      <c r="O11" s="2">
        <v>50.26548245743669</v>
      </c>
      <c r="P11" s="11">
        <f t="shared" si="5"/>
        <v>2.4867959858108648</v>
      </c>
      <c r="Q11" s="2">
        <f t="shared" si="6"/>
        <v>17.606515579540922</v>
      </c>
      <c r="R11" s="2">
        <f t="shared" si="7"/>
        <v>2.4234467528176626</v>
      </c>
      <c r="S11" s="2">
        <f t="shared" si="8"/>
        <v>17.158003009949052</v>
      </c>
      <c r="T11" s="2">
        <f t="shared" si="9"/>
        <v>0.44851256959186969</v>
      </c>
      <c r="V11" s="34" t="s">
        <v>28</v>
      </c>
      <c r="W11" s="36"/>
      <c r="X11" s="6">
        <v>50</v>
      </c>
    </row>
    <row r="12" spans="1:24" x14ac:dyDescent="0.25">
      <c r="A12" s="30">
        <f t="shared" si="10"/>
        <v>0.42759502923976606</v>
      </c>
      <c r="B12" s="2">
        <f t="shared" si="11"/>
        <v>7</v>
      </c>
      <c r="C12" s="4">
        <f t="shared" si="12"/>
        <v>7.83</v>
      </c>
      <c r="D12" s="23">
        <v>19.5</v>
      </c>
      <c r="E12" s="2">
        <v>50.26548245743669</v>
      </c>
      <c r="F12" s="11">
        <f t="shared" si="0"/>
        <v>3.8794017378649488</v>
      </c>
      <c r="G12" s="2">
        <f t="shared" si="1"/>
        <v>30.375715607482551</v>
      </c>
      <c r="H12" s="2">
        <f t="shared" si="2"/>
        <v>2.3788529214031384</v>
      </c>
      <c r="I12" s="2">
        <f t="shared" si="3"/>
        <v>18.626418374586574</v>
      </c>
      <c r="J12" s="2">
        <f t="shared" si="4"/>
        <v>11.749297232895977</v>
      </c>
      <c r="K12" s="15">
        <f t="shared" si="13"/>
        <v>0.38987573099415207</v>
      </c>
      <c r="L12" s="2">
        <f t="shared" si="14"/>
        <v>7</v>
      </c>
      <c r="M12" s="2">
        <f t="shared" si="15"/>
        <v>7.58</v>
      </c>
      <c r="N12" s="23">
        <v>17</v>
      </c>
      <c r="O12" s="2">
        <v>50.26548245743669</v>
      </c>
      <c r="P12" s="11">
        <f t="shared" si="5"/>
        <v>3.3820425407027761</v>
      </c>
      <c r="Q12" s="2">
        <f t="shared" si="6"/>
        <v>25.635882458527043</v>
      </c>
      <c r="R12" s="2">
        <f t="shared" si="7"/>
        <v>2.4234467528176626</v>
      </c>
      <c r="S12" s="2">
        <f t="shared" si="8"/>
        <v>18.369726386357883</v>
      </c>
      <c r="T12" s="2">
        <f t="shared" si="9"/>
        <v>7.26615607216916</v>
      </c>
      <c r="V12" s="34" t="s">
        <v>29</v>
      </c>
      <c r="W12" s="36"/>
      <c r="X12" s="6">
        <v>50</v>
      </c>
    </row>
    <row r="13" spans="1:24" x14ac:dyDescent="0.25">
      <c r="A13" s="30">
        <f t="shared" si="10"/>
        <v>0.42779605263157894</v>
      </c>
      <c r="B13" s="2">
        <f t="shared" si="11"/>
        <v>8</v>
      </c>
      <c r="C13" s="4">
        <f t="shared" si="12"/>
        <v>8.33</v>
      </c>
      <c r="D13" s="2">
        <v>18</v>
      </c>
      <c r="E13" s="2">
        <v>50.26548245743669</v>
      </c>
      <c r="F13" s="11">
        <f t="shared" si="0"/>
        <v>3.5809862195676452</v>
      </c>
      <c r="G13" s="2">
        <f t="shared" si="1"/>
        <v>29.829615208998483</v>
      </c>
      <c r="H13" s="2">
        <f t="shared" si="2"/>
        <v>2.3788529214031384</v>
      </c>
      <c r="I13" s="2">
        <f t="shared" si="3"/>
        <v>19.815844835288143</v>
      </c>
      <c r="J13" s="2">
        <f t="shared" si="4"/>
        <v>10.01377037371034</v>
      </c>
      <c r="K13" s="15">
        <f t="shared" si="13"/>
        <v>0.39004020467836259</v>
      </c>
      <c r="L13" s="2">
        <f t="shared" si="14"/>
        <v>8</v>
      </c>
      <c r="M13" s="2">
        <f t="shared" si="15"/>
        <v>8.08</v>
      </c>
      <c r="N13" s="2">
        <v>18</v>
      </c>
      <c r="O13" s="2">
        <v>50.26548245743669</v>
      </c>
      <c r="P13" s="11">
        <f t="shared" si="5"/>
        <v>3.5809862195676452</v>
      </c>
      <c r="Q13" s="2">
        <f t="shared" si="6"/>
        <v>28.934368654106574</v>
      </c>
      <c r="R13" s="2">
        <f t="shared" si="7"/>
        <v>2.4234467528176626</v>
      </c>
      <c r="S13" s="2">
        <f t="shared" si="8"/>
        <v>19.581449762766713</v>
      </c>
      <c r="T13" s="2">
        <f t="shared" si="9"/>
        <v>9.3529188913398613</v>
      </c>
      <c r="V13" s="34" t="s">
        <v>30</v>
      </c>
      <c r="W13" s="36"/>
      <c r="X13" s="16">
        <v>0.46180555555555558</v>
      </c>
    </row>
    <row r="14" spans="1:24" x14ac:dyDescent="0.25">
      <c r="A14" s="30">
        <f t="shared" si="10"/>
        <v>0.42799707602339182</v>
      </c>
      <c r="B14" s="2">
        <f t="shared" si="11"/>
        <v>9</v>
      </c>
      <c r="C14" s="4">
        <f t="shared" si="12"/>
        <v>8.83</v>
      </c>
      <c r="D14" s="2">
        <v>18.5</v>
      </c>
      <c r="E14" s="2">
        <v>50.26548245743669</v>
      </c>
      <c r="F14" s="11">
        <f t="shared" si="0"/>
        <v>3.6804580590000797</v>
      </c>
      <c r="G14" s="2">
        <f t="shared" si="1"/>
        <v>32.498444660970705</v>
      </c>
      <c r="H14" s="2">
        <f t="shared" si="2"/>
        <v>2.3788529214031384</v>
      </c>
      <c r="I14" s="2">
        <f t="shared" si="3"/>
        <v>21.005271295989711</v>
      </c>
      <c r="J14" s="2">
        <f t="shared" si="4"/>
        <v>11.493173364980994</v>
      </c>
      <c r="K14" s="15">
        <f t="shared" si="13"/>
        <v>0.39020467836257311</v>
      </c>
      <c r="L14" s="2">
        <f t="shared" si="14"/>
        <v>9</v>
      </c>
      <c r="M14" s="2">
        <f t="shared" si="15"/>
        <v>8.58</v>
      </c>
      <c r="N14" s="2">
        <v>19</v>
      </c>
      <c r="O14" s="2">
        <v>50.26548245743669</v>
      </c>
      <c r="P14" s="11">
        <f t="shared" si="5"/>
        <v>3.7799298984325143</v>
      </c>
      <c r="Q14" s="2">
        <f t="shared" si="6"/>
        <v>32.431798528550971</v>
      </c>
      <c r="R14" s="2">
        <f t="shared" si="7"/>
        <v>2.4234467528176626</v>
      </c>
      <c r="S14" s="2">
        <f t="shared" si="8"/>
        <v>20.793173139175547</v>
      </c>
      <c r="T14" s="2">
        <f t="shared" si="9"/>
        <v>11.638625389375424</v>
      </c>
      <c r="V14" s="34" t="s">
        <v>31</v>
      </c>
      <c r="W14" s="36"/>
      <c r="X14" s="6">
        <v>46</v>
      </c>
    </row>
    <row r="15" spans="1:24" x14ac:dyDescent="0.25">
      <c r="A15" s="30">
        <f t="shared" si="10"/>
        <v>0.42819809941520465</v>
      </c>
      <c r="B15" s="2">
        <f t="shared" si="11"/>
        <v>10</v>
      </c>
      <c r="C15" s="4">
        <f t="shared" si="12"/>
        <v>9.33</v>
      </c>
      <c r="D15" s="2">
        <v>20.5</v>
      </c>
      <c r="E15" s="2">
        <v>50.26548245743669</v>
      </c>
      <c r="F15" s="11">
        <f t="shared" si="0"/>
        <v>4.0783454167298183</v>
      </c>
      <c r="G15" s="2">
        <f t="shared" si="1"/>
        <v>38.050962738089204</v>
      </c>
      <c r="H15" s="2">
        <f t="shared" si="2"/>
        <v>2.3788529214031384</v>
      </c>
      <c r="I15" s="2">
        <f t="shared" si="3"/>
        <v>22.19469775669128</v>
      </c>
      <c r="J15" s="2">
        <f t="shared" si="4"/>
        <v>15.856264981397924</v>
      </c>
      <c r="K15" s="15">
        <f t="shared" si="13"/>
        <v>0.39036915204678363</v>
      </c>
      <c r="L15" s="2">
        <f t="shared" si="14"/>
        <v>10</v>
      </c>
      <c r="M15" s="2">
        <f t="shared" si="15"/>
        <v>9.08</v>
      </c>
      <c r="N15" s="2">
        <v>21</v>
      </c>
      <c r="O15" s="2">
        <v>50.26548245743669</v>
      </c>
      <c r="P15" s="11">
        <f t="shared" si="5"/>
        <v>4.1778172561622533</v>
      </c>
      <c r="Q15" s="2">
        <f t="shared" si="6"/>
        <v>37.934580685953257</v>
      </c>
      <c r="R15" s="2">
        <f t="shared" si="7"/>
        <v>2.4234467528176626</v>
      </c>
      <c r="S15" s="2">
        <f t="shared" si="8"/>
        <v>22.004896515584377</v>
      </c>
      <c r="T15" s="2">
        <f t="shared" si="9"/>
        <v>15.92968417036888</v>
      </c>
      <c r="V15" s="34" t="s">
        <v>32</v>
      </c>
      <c r="W15" s="36"/>
      <c r="X15" s="6">
        <v>47</v>
      </c>
    </row>
    <row r="16" spans="1:24" x14ac:dyDescent="0.25">
      <c r="A16" s="30">
        <f t="shared" si="10"/>
        <v>0.42839912280701753</v>
      </c>
      <c r="B16" s="2">
        <f t="shared" si="11"/>
        <v>11</v>
      </c>
      <c r="C16" s="4">
        <f t="shared" si="12"/>
        <v>9.83</v>
      </c>
      <c r="D16" s="2">
        <v>23</v>
      </c>
      <c r="E16" s="2">
        <v>50.26548245743669</v>
      </c>
      <c r="F16" s="11">
        <f t="shared" si="0"/>
        <v>4.5757046138919915</v>
      </c>
      <c r="G16" s="2">
        <f t="shared" si="1"/>
        <v>44.979176354558277</v>
      </c>
      <c r="H16" s="2">
        <f t="shared" si="2"/>
        <v>2.3788529214031384</v>
      </c>
      <c r="I16" s="2">
        <f t="shared" si="3"/>
        <v>23.384124217392852</v>
      </c>
      <c r="J16" s="2">
        <f t="shared" si="4"/>
        <v>21.595052137165425</v>
      </c>
      <c r="K16" s="15">
        <f t="shared" si="13"/>
        <v>0.39053362573099415</v>
      </c>
      <c r="L16" s="2">
        <f t="shared" si="14"/>
        <v>11</v>
      </c>
      <c r="M16" s="2">
        <f t="shared" si="15"/>
        <v>9.58</v>
      </c>
      <c r="N16" s="2">
        <v>21.5</v>
      </c>
      <c r="O16" s="2">
        <v>50.26548245743669</v>
      </c>
      <c r="P16" s="11">
        <f t="shared" si="5"/>
        <v>4.2772890955946874</v>
      </c>
      <c r="Q16" s="2">
        <f t="shared" si="6"/>
        <v>40.976429535797102</v>
      </c>
      <c r="R16" s="2">
        <f t="shared" si="7"/>
        <v>2.4234467528176626</v>
      </c>
      <c r="S16" s="2">
        <f t="shared" si="8"/>
        <v>23.216619891993208</v>
      </c>
      <c r="T16" s="2">
        <f t="shared" si="9"/>
        <v>17.759809643803894</v>
      </c>
      <c r="V16" s="34" t="s">
        <v>33</v>
      </c>
      <c r="W16" s="36"/>
      <c r="X16" s="6">
        <v>46</v>
      </c>
    </row>
    <row r="17" spans="1:24" x14ac:dyDescent="0.25">
      <c r="A17" s="30">
        <f t="shared" si="10"/>
        <v>0.42860014619883041</v>
      </c>
      <c r="B17" s="2">
        <f t="shared" si="11"/>
        <v>12</v>
      </c>
      <c r="C17" s="4">
        <f t="shared" si="12"/>
        <v>10.33</v>
      </c>
      <c r="D17" s="2">
        <v>20.5</v>
      </c>
      <c r="E17" s="2">
        <v>50.26548245743669</v>
      </c>
      <c r="F17" s="11">
        <f t="shared" si="0"/>
        <v>4.0783454167298183</v>
      </c>
      <c r="G17" s="2">
        <f t="shared" si="1"/>
        <v>42.129308154819022</v>
      </c>
      <c r="H17" s="2">
        <f t="shared" si="2"/>
        <v>2.3788529214031384</v>
      </c>
      <c r="I17" s="2">
        <f t="shared" si="3"/>
        <v>24.573550678094421</v>
      </c>
      <c r="J17" s="2">
        <f t="shared" si="4"/>
        <v>17.555757476724601</v>
      </c>
      <c r="K17" s="15">
        <f t="shared" si="13"/>
        <v>0.39069809941520467</v>
      </c>
      <c r="L17" s="2">
        <f t="shared" si="14"/>
        <v>12</v>
      </c>
      <c r="M17" s="2">
        <f t="shared" si="15"/>
        <v>10.08</v>
      </c>
      <c r="N17" s="2">
        <v>24</v>
      </c>
      <c r="O17" s="2">
        <v>50.26548245743669</v>
      </c>
      <c r="P17" s="11">
        <f t="shared" si="5"/>
        <v>4.7746482927568596</v>
      </c>
      <c r="Q17" s="2">
        <f t="shared" si="6"/>
        <v>48.128454790989146</v>
      </c>
      <c r="R17" s="2">
        <f t="shared" si="7"/>
        <v>2.4234467528176626</v>
      </c>
      <c r="S17" s="2">
        <f t="shared" si="8"/>
        <v>24.428343268402038</v>
      </c>
      <c r="T17" s="2">
        <f t="shared" si="9"/>
        <v>23.700111522587108</v>
      </c>
      <c r="V17" s="38" t="s">
        <v>34</v>
      </c>
      <c r="W17" s="36"/>
      <c r="X17" s="17">
        <f>((X10-X14)+(X11-X15)+(X12-X16))/3</f>
        <v>3.6666666666666665</v>
      </c>
    </row>
    <row r="18" spans="1:24" x14ac:dyDescent="0.25">
      <c r="A18" s="30">
        <f t="shared" si="10"/>
        <v>0.42880116959064329</v>
      </c>
      <c r="B18" s="2">
        <f t="shared" si="11"/>
        <v>13</v>
      </c>
      <c r="C18" s="4">
        <f t="shared" si="12"/>
        <v>10.83</v>
      </c>
      <c r="D18" s="2">
        <v>20</v>
      </c>
      <c r="E18" s="2">
        <v>50.26548245743669</v>
      </c>
      <c r="F18" s="11">
        <f t="shared" si="0"/>
        <v>3.9788735772973838</v>
      </c>
      <c r="G18" s="2">
        <f t="shared" si="1"/>
        <v>43.091200842130668</v>
      </c>
      <c r="H18" s="2">
        <f t="shared" si="2"/>
        <v>2.3788529214031384</v>
      </c>
      <c r="I18" s="2">
        <f t="shared" si="3"/>
        <v>25.762977138795989</v>
      </c>
      <c r="J18" s="2">
        <f t="shared" si="4"/>
        <v>17.328223703334679</v>
      </c>
      <c r="K18" s="15">
        <f t="shared" si="13"/>
        <v>0.39086257309941519</v>
      </c>
      <c r="L18" s="2">
        <f t="shared" si="14"/>
        <v>13</v>
      </c>
      <c r="M18" s="2">
        <f t="shared" si="15"/>
        <v>10.58</v>
      </c>
      <c r="N18" s="2">
        <v>20.5</v>
      </c>
      <c r="O18" s="2">
        <v>50.26548245743669</v>
      </c>
      <c r="P18" s="11">
        <f t="shared" si="5"/>
        <v>4.0783454167298183</v>
      </c>
      <c r="Q18" s="2">
        <f t="shared" si="6"/>
        <v>43.148894509001479</v>
      </c>
      <c r="R18" s="2">
        <f t="shared" si="7"/>
        <v>2.4234467528176626</v>
      </c>
      <c r="S18" s="2">
        <f t="shared" si="8"/>
        <v>25.640066644810872</v>
      </c>
      <c r="T18" s="2">
        <f t="shared" si="9"/>
        <v>17.508827864190607</v>
      </c>
      <c r="V18" s="38" t="s">
        <v>35</v>
      </c>
      <c r="W18" s="36"/>
      <c r="X18" s="18" t="s">
        <v>36</v>
      </c>
    </row>
    <row r="19" spans="1:24" x14ac:dyDescent="0.25">
      <c r="A19" s="30">
        <f t="shared" si="10"/>
        <v>0.42900219298245612</v>
      </c>
      <c r="B19" s="2">
        <f t="shared" si="11"/>
        <v>14</v>
      </c>
      <c r="C19" s="4">
        <f t="shared" si="12"/>
        <v>11.33</v>
      </c>
      <c r="D19" s="2">
        <v>20</v>
      </c>
      <c r="E19" s="2">
        <v>50.26548245743669</v>
      </c>
      <c r="F19" s="11">
        <f t="shared" si="0"/>
        <v>3.9788735772973838</v>
      </c>
      <c r="G19" s="2">
        <f t="shared" si="1"/>
        <v>45.080637630779357</v>
      </c>
      <c r="H19" s="2">
        <f t="shared" si="2"/>
        <v>2.3788529214031384</v>
      </c>
      <c r="I19" s="2">
        <f t="shared" si="3"/>
        <v>26.952403599497558</v>
      </c>
      <c r="J19" s="2">
        <f t="shared" si="4"/>
        <v>18.128234031281799</v>
      </c>
      <c r="K19" s="15">
        <f t="shared" si="13"/>
        <v>0.39102704678362571</v>
      </c>
      <c r="L19" s="2">
        <f t="shared" si="14"/>
        <v>14</v>
      </c>
      <c r="M19" s="2">
        <f t="shared" si="15"/>
        <v>11.08</v>
      </c>
      <c r="N19" s="2">
        <v>20</v>
      </c>
      <c r="O19" s="2">
        <v>50.26548245743669</v>
      </c>
      <c r="P19" s="11">
        <f t="shared" si="5"/>
        <v>3.9788735772973838</v>
      </c>
      <c r="Q19" s="2">
        <f t="shared" si="6"/>
        <v>44.085919236455013</v>
      </c>
      <c r="R19" s="2">
        <f t="shared" si="7"/>
        <v>2.4234467528176626</v>
      </c>
      <c r="S19" s="2">
        <f t="shared" si="8"/>
        <v>26.851790021219703</v>
      </c>
      <c r="T19" s="2">
        <f t="shared" si="9"/>
        <v>17.23412921523531</v>
      </c>
      <c r="V19" s="39" t="s">
        <v>37</v>
      </c>
      <c r="W19" s="35"/>
      <c r="X19" s="36"/>
    </row>
    <row r="20" spans="1:24" x14ac:dyDescent="0.25">
      <c r="A20" s="30">
        <f t="shared" si="10"/>
        <v>0.429203216374269</v>
      </c>
      <c r="B20" s="2">
        <f t="shared" si="11"/>
        <v>15</v>
      </c>
      <c r="C20" s="4">
        <f t="shared" si="12"/>
        <v>11.83</v>
      </c>
      <c r="D20" s="2">
        <v>20</v>
      </c>
      <c r="E20" s="2">
        <v>50.26548245743669</v>
      </c>
      <c r="F20" s="11">
        <f t="shared" si="0"/>
        <v>3.9788735772973838</v>
      </c>
      <c r="G20" s="2">
        <f t="shared" si="1"/>
        <v>47.070074419428053</v>
      </c>
      <c r="H20" s="2">
        <f t="shared" si="2"/>
        <v>2.3788529214031384</v>
      </c>
      <c r="I20" s="2">
        <f t="shared" si="3"/>
        <v>28.141830060199126</v>
      </c>
      <c r="J20" s="2">
        <f t="shared" si="4"/>
        <v>18.928244359228927</v>
      </c>
      <c r="K20" s="15">
        <f t="shared" si="13"/>
        <v>0.39119152046783623</v>
      </c>
      <c r="L20" s="2">
        <f t="shared" si="14"/>
        <v>15</v>
      </c>
      <c r="M20" s="2">
        <f t="shared" si="15"/>
        <v>11.58</v>
      </c>
      <c r="N20" s="2">
        <v>21</v>
      </c>
      <c r="O20" s="2">
        <v>50.26548245743669</v>
      </c>
      <c r="P20" s="11">
        <f t="shared" si="5"/>
        <v>4.1778172561622533</v>
      </c>
      <c r="Q20" s="2">
        <f t="shared" si="6"/>
        <v>48.379123826358892</v>
      </c>
      <c r="R20" s="2">
        <f t="shared" si="7"/>
        <v>2.4234467528176626</v>
      </c>
      <c r="S20" s="2">
        <f t="shared" si="8"/>
        <v>28.063513397628533</v>
      </c>
      <c r="T20" s="2">
        <f t="shared" si="9"/>
        <v>20.315610428730359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30">
        <f t="shared" si="10"/>
        <v>0.42940423976608189</v>
      </c>
      <c r="B21" s="2">
        <f t="shared" si="11"/>
        <v>16</v>
      </c>
      <c r="C21" s="4">
        <f t="shared" si="12"/>
        <v>12.33</v>
      </c>
      <c r="D21" s="2">
        <v>16.5</v>
      </c>
      <c r="E21" s="2">
        <v>50.26548245743669</v>
      </c>
      <c r="F21" s="11">
        <f t="shared" si="0"/>
        <v>3.2825707012703416</v>
      </c>
      <c r="G21" s="2">
        <f t="shared" si="1"/>
        <v>40.474096746663314</v>
      </c>
      <c r="H21" s="2">
        <f t="shared" si="2"/>
        <v>2.3788529214031384</v>
      </c>
      <c r="I21" s="2">
        <f t="shared" si="3"/>
        <v>29.331256520900698</v>
      </c>
      <c r="J21" s="2">
        <f t="shared" si="4"/>
        <v>11.142840225762615</v>
      </c>
      <c r="K21" s="15">
        <f t="shared" si="13"/>
        <v>0.3913559941520468</v>
      </c>
      <c r="L21" s="2">
        <f t="shared" si="14"/>
        <v>16</v>
      </c>
      <c r="M21" s="2">
        <f t="shared" si="15"/>
        <v>12.08</v>
      </c>
      <c r="N21" s="2">
        <v>20.5</v>
      </c>
      <c r="O21" s="2">
        <v>50.26548245743669</v>
      </c>
      <c r="P21" s="11">
        <f t="shared" si="5"/>
        <v>4.0783454167298183</v>
      </c>
      <c r="Q21" s="2">
        <f t="shared" si="6"/>
        <v>49.266412634096206</v>
      </c>
      <c r="R21" s="2">
        <f t="shared" si="7"/>
        <v>2.4234467528176626</v>
      </c>
      <c r="S21" s="2">
        <f t="shared" si="8"/>
        <v>29.275236774037364</v>
      </c>
      <c r="T21" s="2">
        <f t="shared" si="9"/>
        <v>19.991175860058842</v>
      </c>
      <c r="V21" s="39" t="s">
        <v>39</v>
      </c>
      <c r="W21" s="36"/>
      <c r="X21" s="20">
        <f>(J2+T2)/2</f>
        <v>85.936340233188034</v>
      </c>
    </row>
    <row r="22" spans="1:24" x14ac:dyDescent="0.25">
      <c r="A22" s="30">
        <f t="shared" si="10"/>
        <v>0.42960526315789471</v>
      </c>
      <c r="B22" s="2">
        <f t="shared" si="11"/>
        <v>17</v>
      </c>
      <c r="C22" s="4">
        <f t="shared" si="12"/>
        <v>12.83</v>
      </c>
      <c r="D22" s="2">
        <v>15</v>
      </c>
      <c r="E22" s="2">
        <v>50.26548245743669</v>
      </c>
      <c r="F22" s="11">
        <f t="shared" si="0"/>
        <v>2.9841551829730379</v>
      </c>
      <c r="G22" s="2">
        <f t="shared" si="1"/>
        <v>38.286710997544077</v>
      </c>
      <c r="H22" s="2">
        <f t="shared" si="2"/>
        <v>2.3788529214031384</v>
      </c>
      <c r="I22" s="2">
        <f t="shared" si="3"/>
        <v>30.520682981602267</v>
      </c>
      <c r="J22" s="2">
        <f t="shared" si="4"/>
        <v>7.76602801594181</v>
      </c>
      <c r="K22" s="15">
        <f t="shared" si="13"/>
        <v>0.39152046783625732</v>
      </c>
      <c r="L22" s="2">
        <f t="shared" si="14"/>
        <v>17</v>
      </c>
      <c r="M22" s="2">
        <f t="shared" si="15"/>
        <v>12.58</v>
      </c>
      <c r="N22" s="2">
        <v>15.5</v>
      </c>
      <c r="O22" s="2">
        <v>50.26548245743669</v>
      </c>
      <c r="P22" s="11">
        <f t="shared" si="5"/>
        <v>3.0836270224054725</v>
      </c>
      <c r="Q22" s="2">
        <f t="shared" si="6"/>
        <v>38.792027941860844</v>
      </c>
      <c r="R22" s="2">
        <f t="shared" si="7"/>
        <v>2.4234467528176626</v>
      </c>
      <c r="S22" s="2">
        <f t="shared" si="8"/>
        <v>30.486960150446198</v>
      </c>
      <c r="T22" s="2">
        <f t="shared" si="9"/>
        <v>8.3050677914146469</v>
      </c>
      <c r="V22" s="27"/>
      <c r="W22" s="27"/>
      <c r="X22" s="28"/>
    </row>
    <row r="23" spans="1:24" x14ac:dyDescent="0.25">
      <c r="A23" s="30">
        <f t="shared" si="10"/>
        <v>0.42980628654970759</v>
      </c>
      <c r="B23" s="2">
        <f t="shared" si="11"/>
        <v>18</v>
      </c>
      <c r="C23" s="4">
        <f t="shared" si="12"/>
        <v>13.33</v>
      </c>
      <c r="D23" s="2">
        <v>14</v>
      </c>
      <c r="E23" s="2">
        <v>50.26548245743669</v>
      </c>
      <c r="F23" s="11">
        <f t="shared" si="0"/>
        <v>2.7852115041081689</v>
      </c>
      <c r="G23" s="2">
        <f t="shared" si="1"/>
        <v>37.12686934976189</v>
      </c>
      <c r="H23" s="2">
        <f t="shared" si="2"/>
        <v>2.3788529214031384</v>
      </c>
      <c r="I23" s="2">
        <f t="shared" si="3"/>
        <v>31.710109442303835</v>
      </c>
      <c r="J23" s="2">
        <f t="shared" si="4"/>
        <v>5.4167599074580544</v>
      </c>
      <c r="K23" s="15">
        <f t="shared" si="13"/>
        <v>0.39168494152046784</v>
      </c>
      <c r="L23" s="2">
        <f t="shared" si="14"/>
        <v>18</v>
      </c>
      <c r="M23" s="2">
        <f t="shared" si="15"/>
        <v>13.08</v>
      </c>
      <c r="N23" s="2">
        <v>15</v>
      </c>
      <c r="O23" s="2">
        <v>50.26548245743669</v>
      </c>
      <c r="P23" s="11">
        <f t="shared" si="5"/>
        <v>2.9841551829730379</v>
      </c>
      <c r="Q23" s="2">
        <f t="shared" si="6"/>
        <v>39.032749793287337</v>
      </c>
      <c r="R23" s="2">
        <f t="shared" si="7"/>
        <v>2.4234467528176626</v>
      </c>
      <c r="S23" s="2">
        <f t="shared" si="8"/>
        <v>31.698683526855028</v>
      </c>
      <c r="T23" s="2">
        <f t="shared" si="9"/>
        <v>7.3340662664323091</v>
      </c>
      <c r="V23" s="34" t="s">
        <v>45</v>
      </c>
      <c r="W23" s="35"/>
      <c r="X23" s="36"/>
    </row>
    <row r="24" spans="1:24" x14ac:dyDescent="0.25">
      <c r="A24" s="30">
        <f t="shared" si="10"/>
        <v>0.43000730994152048</v>
      </c>
      <c r="B24" s="2">
        <f t="shared" si="11"/>
        <v>19</v>
      </c>
      <c r="C24" s="4">
        <f t="shared" si="12"/>
        <v>13.83</v>
      </c>
      <c r="D24" s="2">
        <v>14.5</v>
      </c>
      <c r="E24" s="2">
        <v>50.26548245743669</v>
      </c>
      <c r="F24" s="11">
        <f t="shared" si="0"/>
        <v>2.8846833435406034</v>
      </c>
      <c r="G24" s="2">
        <f t="shared" si="1"/>
        <v>39.895170641166544</v>
      </c>
      <c r="H24" s="2">
        <f t="shared" si="2"/>
        <v>2.3788529214031384</v>
      </c>
      <c r="I24" s="2">
        <f t="shared" si="3"/>
        <v>32.899535903005408</v>
      </c>
      <c r="J24" s="2">
        <f t="shared" si="4"/>
        <v>6.9956347381611366</v>
      </c>
      <c r="K24" s="15">
        <f t="shared" si="13"/>
        <v>0.39184941520467836</v>
      </c>
      <c r="L24" s="2">
        <f t="shared" si="14"/>
        <v>19</v>
      </c>
      <c r="M24" s="2">
        <f t="shared" si="15"/>
        <v>13.58</v>
      </c>
      <c r="N24" s="2">
        <v>15</v>
      </c>
      <c r="O24" s="2">
        <v>50.26548245743669</v>
      </c>
      <c r="P24" s="11">
        <f t="shared" si="5"/>
        <v>2.9841551829730379</v>
      </c>
      <c r="Q24" s="2">
        <f t="shared" si="6"/>
        <v>40.524827384773857</v>
      </c>
      <c r="R24" s="2">
        <f t="shared" si="7"/>
        <v>2.4234467528176626</v>
      </c>
      <c r="S24" s="2">
        <f t="shared" si="8"/>
        <v>32.910406903263862</v>
      </c>
      <c r="T24" s="2">
        <f t="shared" si="9"/>
        <v>7.6144204815099954</v>
      </c>
      <c r="V24" s="49" t="s">
        <v>46</v>
      </c>
      <c r="W24" s="35"/>
      <c r="X24" s="36"/>
    </row>
    <row r="25" spans="1:24" x14ac:dyDescent="0.25">
      <c r="A25" s="30">
        <f t="shared" si="10"/>
        <v>0.4302083333333333</v>
      </c>
      <c r="B25" s="2">
        <f t="shared" si="11"/>
        <v>20</v>
      </c>
      <c r="C25" s="4">
        <f t="shared" si="12"/>
        <v>14.33</v>
      </c>
      <c r="D25" s="2">
        <v>15.5</v>
      </c>
      <c r="E25" s="2">
        <v>50.26548245743669</v>
      </c>
      <c r="F25" s="11">
        <f t="shared" si="0"/>
        <v>3.0836270224054725</v>
      </c>
      <c r="G25" s="2">
        <f t="shared" si="1"/>
        <v>44.188375231070424</v>
      </c>
      <c r="H25" s="2">
        <f t="shared" si="2"/>
        <v>2.3788529214031384</v>
      </c>
      <c r="I25" s="2">
        <f t="shared" si="3"/>
        <v>34.088962363706976</v>
      </c>
      <c r="J25" s="2">
        <f t="shared" si="4"/>
        <v>10.099412867363448</v>
      </c>
      <c r="K25" s="15">
        <f t="shared" si="13"/>
        <v>0.39201388888888888</v>
      </c>
      <c r="L25" s="2">
        <f t="shared" si="14"/>
        <v>20</v>
      </c>
      <c r="M25" s="2">
        <f t="shared" si="15"/>
        <v>14.08</v>
      </c>
      <c r="N25" s="2">
        <v>15.5</v>
      </c>
      <c r="O25" s="2">
        <v>50.26548245743669</v>
      </c>
      <c r="P25" s="11">
        <f t="shared" si="5"/>
        <v>3.0836270224054725</v>
      </c>
      <c r="Q25" s="2">
        <f t="shared" si="6"/>
        <v>43.41746847546905</v>
      </c>
      <c r="R25" s="2">
        <f t="shared" si="7"/>
        <v>2.4234467528176626</v>
      </c>
      <c r="S25" s="2">
        <f t="shared" si="8"/>
        <v>34.122130279672689</v>
      </c>
      <c r="T25" s="2">
        <f t="shared" si="9"/>
        <v>9.2953381957963614</v>
      </c>
      <c r="V25" s="34" t="s">
        <v>47</v>
      </c>
      <c r="W25" s="35"/>
      <c r="X25" s="36"/>
    </row>
    <row r="26" spans="1:24" x14ac:dyDescent="0.25">
      <c r="A26" s="30">
        <f t="shared" si="10"/>
        <v>0.43040935672514619</v>
      </c>
      <c r="B26" s="2">
        <f t="shared" si="11"/>
        <v>21</v>
      </c>
      <c r="C26" s="4">
        <f t="shared" si="12"/>
        <v>14.83</v>
      </c>
      <c r="D26" s="2">
        <v>14.5</v>
      </c>
      <c r="E26" s="2">
        <v>50.26548245743669</v>
      </c>
      <c r="F26" s="11">
        <f t="shared" si="0"/>
        <v>2.8846833435406034</v>
      </c>
      <c r="G26" s="2">
        <f t="shared" si="1"/>
        <v>42.779853984707145</v>
      </c>
      <c r="H26" s="2">
        <f t="shared" si="2"/>
        <v>2.3788529214031384</v>
      </c>
      <c r="I26" s="2">
        <f t="shared" si="3"/>
        <v>35.278388824408545</v>
      </c>
      <c r="J26" s="2">
        <f t="shared" si="4"/>
        <v>7.5014651602986007</v>
      </c>
      <c r="K26" s="15">
        <f t="shared" si="13"/>
        <v>0.3921783625730994</v>
      </c>
      <c r="L26" s="2">
        <f t="shared" si="14"/>
        <v>21</v>
      </c>
      <c r="M26" s="2">
        <f t="shared" si="15"/>
        <v>14.58</v>
      </c>
      <c r="N26" s="2">
        <v>14.5</v>
      </c>
      <c r="O26" s="2">
        <v>50.26548245743669</v>
      </c>
      <c r="P26" s="11">
        <f t="shared" si="5"/>
        <v>2.8846833435406034</v>
      </c>
      <c r="Q26" s="2">
        <f t="shared" si="6"/>
        <v>42.058683148821999</v>
      </c>
      <c r="R26" s="2">
        <f t="shared" si="7"/>
        <v>2.4234467528176626</v>
      </c>
      <c r="S26" s="2">
        <f t="shared" si="8"/>
        <v>35.333853656081523</v>
      </c>
      <c r="T26" s="2">
        <f t="shared" si="9"/>
        <v>6.7248294927404757</v>
      </c>
      <c r="V26" s="49" t="s">
        <v>48</v>
      </c>
      <c r="W26" s="35"/>
      <c r="X26" s="36"/>
    </row>
    <row r="27" spans="1:24" x14ac:dyDescent="0.25">
      <c r="A27" s="30">
        <f t="shared" si="10"/>
        <v>0.43061038011695907</v>
      </c>
      <c r="B27" s="2">
        <f t="shared" si="11"/>
        <v>22</v>
      </c>
      <c r="C27" s="4">
        <f t="shared" si="12"/>
        <v>15.33</v>
      </c>
      <c r="D27" s="2">
        <v>11.5</v>
      </c>
      <c r="E27" s="2">
        <v>50.26548245743669</v>
      </c>
      <c r="F27" s="11">
        <f t="shared" si="0"/>
        <v>2.2878523069459957</v>
      </c>
      <c r="G27" s="2">
        <f t="shared" si="1"/>
        <v>35.072775865482114</v>
      </c>
      <c r="H27" s="2">
        <f t="shared" si="2"/>
        <v>2.3788529214031384</v>
      </c>
      <c r="I27" s="2">
        <f t="shared" si="3"/>
        <v>36.467815285110113</v>
      </c>
      <c r="J27" s="2">
        <f t="shared" si="4"/>
        <v>1.3950394196279987</v>
      </c>
      <c r="K27" s="15">
        <f t="shared" si="13"/>
        <v>0.39234283625730992</v>
      </c>
      <c r="L27" s="2">
        <f t="shared" si="14"/>
        <v>22</v>
      </c>
      <c r="M27" s="2">
        <f t="shared" si="15"/>
        <v>15.08</v>
      </c>
      <c r="N27" s="2">
        <v>15</v>
      </c>
      <c r="O27" s="2">
        <v>50.26548245743669</v>
      </c>
      <c r="P27" s="11">
        <f t="shared" si="5"/>
        <v>2.9841551829730379</v>
      </c>
      <c r="Q27" s="2">
        <f t="shared" si="6"/>
        <v>45.001060159233411</v>
      </c>
      <c r="R27" s="2">
        <f t="shared" si="7"/>
        <v>2.4234467528176626</v>
      </c>
      <c r="S27" s="2">
        <f t="shared" si="8"/>
        <v>36.54557703249035</v>
      </c>
      <c r="T27" s="2">
        <f t="shared" si="9"/>
        <v>8.4554831267430615</v>
      </c>
      <c r="V27" s="29"/>
      <c r="W27" s="29"/>
      <c r="X27" s="29"/>
    </row>
    <row r="28" spans="1:24" x14ac:dyDescent="0.25">
      <c r="A28" s="30">
        <f t="shared" si="10"/>
        <v>0.43081140350877195</v>
      </c>
      <c r="B28" s="2">
        <f t="shared" si="11"/>
        <v>23</v>
      </c>
      <c r="C28" s="4">
        <f t="shared" si="12"/>
        <v>15.83</v>
      </c>
      <c r="D28" s="2">
        <v>12.5</v>
      </c>
      <c r="E28" s="2">
        <v>50.26548245743669</v>
      </c>
      <c r="F28" s="11">
        <f t="shared" si="0"/>
        <v>2.4867959858108648</v>
      </c>
      <c r="G28" s="2">
        <f t="shared" si="1"/>
        <v>39.365980455385987</v>
      </c>
      <c r="H28" s="2">
        <f t="shared" si="2"/>
        <v>2.3788529214031384</v>
      </c>
      <c r="I28" s="2">
        <f t="shared" si="3"/>
        <v>37.657241745811682</v>
      </c>
      <c r="J28" s="2">
        <f t="shared" si="4"/>
        <v>1.7087387095743054</v>
      </c>
      <c r="K28" s="15">
        <f t="shared" si="13"/>
        <v>0.39250730994152044</v>
      </c>
      <c r="L28" s="2">
        <f t="shared" si="14"/>
        <v>23</v>
      </c>
      <c r="M28" s="2">
        <f t="shared" si="15"/>
        <v>15.58</v>
      </c>
      <c r="N28" s="2">
        <v>12.5</v>
      </c>
      <c r="O28" s="2">
        <v>50.26548245743669</v>
      </c>
      <c r="P28" s="11">
        <f t="shared" si="5"/>
        <v>2.4867959858108648</v>
      </c>
      <c r="Q28" s="2">
        <f t="shared" si="6"/>
        <v>38.744281458933273</v>
      </c>
      <c r="R28" s="2">
        <f t="shared" si="7"/>
        <v>2.4234467528176626</v>
      </c>
      <c r="S28" s="2">
        <f t="shared" si="8"/>
        <v>37.757300408899184</v>
      </c>
      <c r="T28" s="2">
        <f t="shared" si="9"/>
        <v>0.98698105003408898</v>
      </c>
      <c r="V28" s="24" t="s">
        <v>49</v>
      </c>
      <c r="W28" s="24" t="s">
        <v>50</v>
      </c>
      <c r="X28" s="29"/>
    </row>
    <row r="29" spans="1:24" x14ac:dyDescent="0.25">
      <c r="A29" s="30">
        <f t="shared" si="10"/>
        <v>0.43101242690058478</v>
      </c>
      <c r="B29" s="2">
        <f t="shared" si="11"/>
        <v>24</v>
      </c>
      <c r="C29" s="4">
        <f t="shared" si="12"/>
        <v>16.329999999999998</v>
      </c>
      <c r="D29" s="2">
        <v>22</v>
      </c>
      <c r="E29" s="2">
        <v>50.26548245743669</v>
      </c>
      <c r="F29" s="11">
        <f t="shared" si="0"/>
        <v>4.3767609350271215</v>
      </c>
      <c r="G29" s="2">
        <f t="shared" si="1"/>
        <v>71.472506068992885</v>
      </c>
      <c r="H29" s="2">
        <f t="shared" si="2"/>
        <v>2.3788529214031384</v>
      </c>
      <c r="I29" s="2">
        <f t="shared" si="3"/>
        <v>38.846668206513243</v>
      </c>
      <c r="J29" s="2">
        <f t="shared" si="4"/>
        <v>32.625837862479642</v>
      </c>
      <c r="K29" s="15">
        <f t="shared" si="13"/>
        <v>0.39267178362573096</v>
      </c>
      <c r="L29" s="2">
        <f t="shared" si="14"/>
        <v>24</v>
      </c>
      <c r="M29" s="2">
        <f t="shared" si="15"/>
        <v>16.079999999999998</v>
      </c>
      <c r="N29" s="2">
        <v>15</v>
      </c>
      <c r="O29" s="2">
        <v>50.26548245743669</v>
      </c>
      <c r="P29" s="11">
        <f t="shared" si="5"/>
        <v>2.9841551829730379</v>
      </c>
      <c r="Q29" s="2">
        <f t="shared" si="6"/>
        <v>47.985215342206445</v>
      </c>
      <c r="R29" s="2">
        <f t="shared" si="7"/>
        <v>2.4234467528176626</v>
      </c>
      <c r="S29" s="2">
        <f t="shared" si="8"/>
        <v>38.969023785308011</v>
      </c>
      <c r="T29" s="2">
        <f t="shared" si="9"/>
        <v>9.0161915568984341</v>
      </c>
      <c r="V29" s="24">
        <f>MAX(D4:D160)</f>
        <v>23</v>
      </c>
      <c r="W29" s="24">
        <f>MAX(N4:N160)</f>
        <v>24</v>
      </c>
      <c r="X29" s="29"/>
    </row>
    <row r="30" spans="1:24" x14ac:dyDescent="0.25">
      <c r="A30" s="30">
        <f t="shared" si="10"/>
        <v>0.43121345029239766</v>
      </c>
      <c r="B30" s="2">
        <f t="shared" si="11"/>
        <v>25</v>
      </c>
      <c r="C30" s="4">
        <f t="shared" si="12"/>
        <v>16.829999999999998</v>
      </c>
      <c r="D30" s="2">
        <v>13.5</v>
      </c>
      <c r="E30" s="2">
        <v>50.26548245743669</v>
      </c>
      <c r="F30" s="11">
        <f t="shared" si="0"/>
        <v>2.6857396646757339</v>
      </c>
      <c r="G30" s="2">
        <f t="shared" si="1"/>
        <v>45.2009985564926</v>
      </c>
      <c r="H30" s="2">
        <f t="shared" si="2"/>
        <v>2.3788529214031384</v>
      </c>
      <c r="I30" s="2">
        <f t="shared" si="3"/>
        <v>40.036094667214819</v>
      </c>
      <c r="J30" s="2">
        <f t="shared" si="4"/>
        <v>5.164903889277781</v>
      </c>
      <c r="K30" s="15">
        <f t="shared" si="13"/>
        <v>0.39283625730994154</v>
      </c>
      <c r="L30" s="2">
        <f t="shared" si="14"/>
        <v>25</v>
      </c>
      <c r="M30" s="2">
        <f t="shared" si="15"/>
        <v>16.579999999999998</v>
      </c>
      <c r="N30" s="2">
        <v>14.5</v>
      </c>
      <c r="O30" s="2">
        <v>50.26548245743669</v>
      </c>
      <c r="P30" s="11">
        <f t="shared" si="5"/>
        <v>2.8846833435406034</v>
      </c>
      <c r="Q30" s="2">
        <f t="shared" si="6"/>
        <v>47.828049835903201</v>
      </c>
      <c r="R30" s="2">
        <f t="shared" si="7"/>
        <v>2.4234467528176626</v>
      </c>
      <c r="S30" s="2">
        <f t="shared" si="8"/>
        <v>40.180747161716845</v>
      </c>
      <c r="T30" s="2">
        <f t="shared" si="9"/>
        <v>7.6473026741863563</v>
      </c>
      <c r="V30" s="24" t="s">
        <v>14</v>
      </c>
      <c r="W30" s="24" t="s">
        <v>14</v>
      </c>
      <c r="X30" s="29"/>
    </row>
    <row r="31" spans="1:24" x14ac:dyDescent="0.25">
      <c r="A31" s="30">
        <f t="shared" si="10"/>
        <v>0.43141447368421054</v>
      </c>
      <c r="B31" s="2">
        <f t="shared" si="11"/>
        <v>26</v>
      </c>
      <c r="C31" s="4">
        <f t="shared" si="12"/>
        <v>17.329999999999998</v>
      </c>
      <c r="D31" s="2">
        <v>12</v>
      </c>
      <c r="E31" s="2">
        <v>50.26548245743669</v>
      </c>
      <c r="F31" s="11">
        <f t="shared" si="0"/>
        <v>2.3873241463784298</v>
      </c>
      <c r="G31" s="2">
        <f t="shared" si="1"/>
        <v>41.372327456738184</v>
      </c>
      <c r="H31" s="2">
        <f t="shared" si="2"/>
        <v>2.3788529214031384</v>
      </c>
      <c r="I31" s="2">
        <f t="shared" si="3"/>
        <v>41.225521127916387</v>
      </c>
      <c r="J31" s="2">
        <f t="shared" si="4"/>
        <v>0.14680632882179623</v>
      </c>
      <c r="K31" s="15">
        <f t="shared" si="13"/>
        <v>0.39300073099415206</v>
      </c>
      <c r="L31" s="2">
        <f t="shared" si="14"/>
        <v>26</v>
      </c>
      <c r="M31" s="2">
        <f t="shared" si="15"/>
        <v>17.079999999999998</v>
      </c>
      <c r="N31" s="2">
        <v>13.5</v>
      </c>
      <c r="O31" s="2">
        <v>50.26548245743669</v>
      </c>
      <c r="P31" s="11">
        <f t="shared" si="5"/>
        <v>2.6857396646757339</v>
      </c>
      <c r="Q31" s="2">
        <f t="shared" si="6"/>
        <v>45.872433472661527</v>
      </c>
      <c r="R31" s="2">
        <f t="shared" si="7"/>
        <v>2.4234467528176626</v>
      </c>
      <c r="S31" s="2">
        <f t="shared" si="8"/>
        <v>41.392470538125671</v>
      </c>
      <c r="T31" s="2">
        <f t="shared" si="9"/>
        <v>4.4799629345358554</v>
      </c>
      <c r="V31" s="24">
        <f t="array" ref="V31">INDEX(B4:B160, MATCH(MAX(D4:D160), D4:D160, 0))</f>
        <v>11</v>
      </c>
      <c r="W31" s="24">
        <f t="array" ref="W31">INDEX(L4:L160, MATCH(MAX(N4:N160), N4:N160, 0))</f>
        <v>12</v>
      </c>
      <c r="X31" s="29"/>
    </row>
    <row r="32" spans="1:24" x14ac:dyDescent="0.25">
      <c r="A32" s="30">
        <f t="shared" si="10"/>
        <v>0.43161549707602337</v>
      </c>
      <c r="B32" s="2">
        <f t="shared" si="11"/>
        <v>27</v>
      </c>
      <c r="C32" s="4">
        <f t="shared" si="12"/>
        <v>17.829999999999998</v>
      </c>
      <c r="D32" s="2">
        <v>12</v>
      </c>
      <c r="E32" s="2">
        <v>50.26548245743669</v>
      </c>
      <c r="F32" s="11">
        <f t="shared" si="0"/>
        <v>2.3873241463784298</v>
      </c>
      <c r="G32" s="2">
        <f t="shared" si="1"/>
        <v>42.5659895299274</v>
      </c>
      <c r="H32" s="2">
        <f t="shared" si="2"/>
        <v>2.3788529214031384</v>
      </c>
      <c r="I32" s="2">
        <f t="shared" si="3"/>
        <v>42.414947588617956</v>
      </c>
      <c r="J32" s="2">
        <f t="shared" si="4"/>
        <v>0.15104194130944393</v>
      </c>
      <c r="K32" s="15">
        <f t="shared" si="13"/>
        <v>0.39316520467836258</v>
      </c>
      <c r="L32" s="2">
        <f t="shared" si="14"/>
        <v>27</v>
      </c>
      <c r="M32" s="2">
        <f t="shared" si="15"/>
        <v>17.579999999999998</v>
      </c>
      <c r="N32" s="2">
        <v>13</v>
      </c>
      <c r="O32" s="2">
        <v>50.26548245743669</v>
      </c>
      <c r="P32" s="11">
        <f t="shared" si="5"/>
        <v>2.5862678252432989</v>
      </c>
      <c r="Q32" s="2">
        <f t="shared" si="6"/>
        <v>45.466588367777192</v>
      </c>
      <c r="R32" s="2">
        <f t="shared" si="7"/>
        <v>2.4234467528176626</v>
      </c>
      <c r="S32" s="2">
        <f t="shared" si="8"/>
        <v>42.604193914534505</v>
      </c>
      <c r="T32" s="2">
        <f t="shared" si="9"/>
        <v>2.8623944532426862</v>
      </c>
    </row>
    <row r="33" spans="1:20" x14ac:dyDescent="0.25">
      <c r="A33" s="30">
        <f t="shared" si="10"/>
        <v>0.43181652046783625</v>
      </c>
      <c r="B33" s="2">
        <f t="shared" si="11"/>
        <v>28</v>
      </c>
      <c r="C33" s="4">
        <f t="shared" si="12"/>
        <v>18.329999999999998</v>
      </c>
      <c r="D33" s="2">
        <v>18</v>
      </c>
      <c r="E33" s="2">
        <v>50.26548245743669</v>
      </c>
      <c r="F33" s="11">
        <f t="shared" si="0"/>
        <v>3.5809862195676452</v>
      </c>
      <c r="G33" s="2">
        <f t="shared" si="1"/>
        <v>65.639477404674935</v>
      </c>
      <c r="H33" s="2">
        <f t="shared" si="2"/>
        <v>2.3788529214031384</v>
      </c>
      <c r="I33" s="2">
        <f t="shared" si="3"/>
        <v>43.604374049319524</v>
      </c>
      <c r="J33" s="2">
        <f t="shared" si="4"/>
        <v>22.03510335535541</v>
      </c>
      <c r="K33" s="15">
        <f t="shared" si="13"/>
        <v>0.3933296783625731</v>
      </c>
      <c r="L33" s="2">
        <f t="shared" si="14"/>
        <v>28</v>
      </c>
      <c r="M33" s="2">
        <f t="shared" si="15"/>
        <v>18.079999999999998</v>
      </c>
      <c r="N33" s="2">
        <v>13.5</v>
      </c>
      <c r="O33" s="2">
        <v>50.26548245743669</v>
      </c>
      <c r="P33" s="11">
        <f t="shared" si="5"/>
        <v>2.6857396646757339</v>
      </c>
      <c r="Q33" s="2">
        <f t="shared" si="6"/>
        <v>48.558173137337263</v>
      </c>
      <c r="R33" s="2">
        <f t="shared" si="7"/>
        <v>2.4234467528176626</v>
      </c>
      <c r="S33" s="2">
        <f t="shared" si="8"/>
        <v>43.815917290943339</v>
      </c>
      <c r="T33" s="2">
        <f t="shared" si="9"/>
        <v>4.7422558463939239</v>
      </c>
    </row>
    <row r="34" spans="1:20" x14ac:dyDescent="0.25">
      <c r="A34" s="30">
        <f t="shared" si="10"/>
        <v>0.43201754385964913</v>
      </c>
      <c r="B34" s="2">
        <f t="shared" si="11"/>
        <v>29</v>
      </c>
      <c r="C34" s="4">
        <f t="shared" si="12"/>
        <v>18.829999999999998</v>
      </c>
      <c r="D34" s="2">
        <v>13</v>
      </c>
      <c r="E34" s="2">
        <v>50.26548245743669</v>
      </c>
      <c r="F34" s="11">
        <f t="shared" si="0"/>
        <v>2.5862678252432989</v>
      </c>
      <c r="G34" s="2">
        <f t="shared" si="1"/>
        <v>48.699423149331317</v>
      </c>
      <c r="H34" s="2">
        <f t="shared" si="2"/>
        <v>2.3788529214031384</v>
      </c>
      <c r="I34" s="2">
        <f t="shared" si="3"/>
        <v>44.793800510021093</v>
      </c>
      <c r="J34" s="2">
        <f t="shared" si="4"/>
        <v>3.9056226393102236</v>
      </c>
      <c r="K34" s="15">
        <f t="shared" si="13"/>
        <v>0.39349415204678362</v>
      </c>
      <c r="L34" s="2">
        <f t="shared" si="14"/>
        <v>29</v>
      </c>
      <c r="M34" s="2">
        <f t="shared" si="15"/>
        <v>18.579999999999998</v>
      </c>
      <c r="N34" s="2">
        <v>15.5</v>
      </c>
      <c r="O34" s="2">
        <v>50.26548245743669</v>
      </c>
      <c r="P34" s="11">
        <f t="shared" si="5"/>
        <v>3.0836270224054725</v>
      </c>
      <c r="Q34" s="2">
        <f t="shared" si="6"/>
        <v>57.293790076293675</v>
      </c>
      <c r="R34" s="2">
        <f t="shared" si="7"/>
        <v>2.4234467528176626</v>
      </c>
      <c r="S34" s="2">
        <f t="shared" si="8"/>
        <v>45.027640667352166</v>
      </c>
      <c r="T34" s="2">
        <f t="shared" si="9"/>
        <v>12.266149408941509</v>
      </c>
    </row>
    <row r="35" spans="1:20" x14ac:dyDescent="0.25">
      <c r="A35" s="30">
        <f t="shared" si="10"/>
        <v>0.43221856725146202</v>
      </c>
      <c r="B35" s="2">
        <f t="shared" si="11"/>
        <v>30</v>
      </c>
      <c r="C35" s="4">
        <f t="shared" si="12"/>
        <v>19.329999999999998</v>
      </c>
      <c r="D35" s="2">
        <v>11.5</v>
      </c>
      <c r="E35" s="2">
        <v>50.26548245743669</v>
      </c>
      <c r="F35" s="11">
        <f t="shared" si="0"/>
        <v>2.2878523069459957</v>
      </c>
      <c r="G35" s="2">
        <f t="shared" si="1"/>
        <v>44.224185093266094</v>
      </c>
      <c r="H35" s="2">
        <f t="shared" si="2"/>
        <v>2.3788529214031384</v>
      </c>
      <c r="I35" s="2">
        <f t="shared" si="3"/>
        <v>45.983226970722662</v>
      </c>
      <c r="J35" s="2">
        <f t="shared" si="4"/>
        <v>1.7590418774565677</v>
      </c>
      <c r="K35" s="15">
        <f t="shared" si="13"/>
        <v>0.39365862573099414</v>
      </c>
      <c r="L35" s="2">
        <f t="shared" si="14"/>
        <v>30</v>
      </c>
      <c r="M35" s="2">
        <f t="shared" si="15"/>
        <v>19.079999999999998</v>
      </c>
      <c r="N35" s="2">
        <v>12.5</v>
      </c>
      <c r="O35" s="2">
        <v>50.26548245743669</v>
      </c>
      <c r="P35" s="11">
        <f t="shared" si="5"/>
        <v>2.4867959858108648</v>
      </c>
      <c r="Q35" s="2">
        <f t="shared" si="6"/>
        <v>47.448067409271296</v>
      </c>
      <c r="R35" s="2">
        <f t="shared" si="7"/>
        <v>2.4234467528176626</v>
      </c>
      <c r="S35" s="2">
        <f t="shared" si="8"/>
        <v>46.239364043761</v>
      </c>
      <c r="T35" s="2">
        <f t="shared" si="9"/>
        <v>1.2087033655102957</v>
      </c>
    </row>
    <row r="36" spans="1:20" x14ac:dyDescent="0.25">
      <c r="A36" s="30">
        <f t="shared" si="10"/>
        <v>0.43241959064327484</v>
      </c>
      <c r="B36" s="2">
        <f t="shared" si="11"/>
        <v>31</v>
      </c>
      <c r="C36" s="4">
        <f t="shared" si="12"/>
        <v>19.829999999999998</v>
      </c>
      <c r="D36" s="2">
        <v>11.5</v>
      </c>
      <c r="E36" s="2">
        <v>50.26548245743669</v>
      </c>
      <c r="F36" s="11">
        <f t="shared" si="0"/>
        <v>2.2878523069459957</v>
      </c>
      <c r="G36" s="2">
        <f t="shared" si="1"/>
        <v>45.36811124673909</v>
      </c>
      <c r="H36" s="2">
        <f t="shared" si="2"/>
        <v>2.3788529214031384</v>
      </c>
      <c r="I36" s="2">
        <f t="shared" si="3"/>
        <v>47.17265343142423</v>
      </c>
      <c r="J36" s="2">
        <f t="shared" si="4"/>
        <v>1.8045421846851397</v>
      </c>
      <c r="K36" s="15">
        <f t="shared" si="13"/>
        <v>0.39382309941520466</v>
      </c>
      <c r="L36" s="2">
        <f t="shared" si="14"/>
        <v>31</v>
      </c>
      <c r="M36" s="2">
        <f t="shared" si="15"/>
        <v>19.579999999999998</v>
      </c>
      <c r="N36" s="2">
        <v>12</v>
      </c>
      <c r="O36" s="2">
        <v>50.26548245743669</v>
      </c>
      <c r="P36" s="11">
        <f t="shared" si="5"/>
        <v>2.3873241463784298</v>
      </c>
      <c r="Q36" s="2">
        <f t="shared" si="6"/>
        <v>46.74380678608965</v>
      </c>
      <c r="R36" s="2">
        <f t="shared" si="7"/>
        <v>2.4234467528176626</v>
      </c>
      <c r="S36" s="2">
        <f t="shared" si="8"/>
        <v>47.451087420169827</v>
      </c>
      <c r="T36" s="2">
        <f t="shared" si="9"/>
        <v>0.70728063408017761</v>
      </c>
    </row>
    <row r="37" spans="1:20" x14ac:dyDescent="0.25">
      <c r="A37" s="30">
        <f t="shared" si="10"/>
        <v>0.43262061403508772</v>
      </c>
      <c r="B37" s="2">
        <f t="shared" si="11"/>
        <v>32</v>
      </c>
      <c r="C37" s="4">
        <f t="shared" si="12"/>
        <v>20.329999999999998</v>
      </c>
      <c r="D37" s="23">
        <v>11.5</v>
      </c>
      <c r="E37" s="2">
        <v>50.26548245743669</v>
      </c>
      <c r="F37" s="11">
        <f t="shared" si="0"/>
        <v>2.2878523069459957</v>
      </c>
      <c r="G37" s="2">
        <f t="shared" si="1"/>
        <v>46.512037400212087</v>
      </c>
      <c r="H37" s="2">
        <f t="shared" si="2"/>
        <v>2.3788529214031384</v>
      </c>
      <c r="I37" s="2">
        <f t="shared" si="3"/>
        <v>48.362079892125799</v>
      </c>
      <c r="J37" s="2">
        <f t="shared" si="4"/>
        <v>1.8500424919137117</v>
      </c>
      <c r="K37" s="15">
        <f t="shared" si="13"/>
        <v>0.39398757309941518</v>
      </c>
      <c r="L37" s="23">
        <f t="shared" si="14"/>
        <v>32</v>
      </c>
      <c r="M37" s="23">
        <f t="shared" si="15"/>
        <v>20.079999999999998</v>
      </c>
      <c r="N37" s="23">
        <v>13.5</v>
      </c>
      <c r="O37" s="2">
        <v>50.26548245743669</v>
      </c>
      <c r="P37" s="11">
        <f t="shared" si="5"/>
        <v>2.6857396646757339</v>
      </c>
      <c r="Q37" s="2">
        <f t="shared" si="6"/>
        <v>53.929652466688729</v>
      </c>
      <c r="R37" s="2">
        <f t="shared" si="7"/>
        <v>2.4234467528176626</v>
      </c>
      <c r="S37" s="2">
        <f t="shared" si="8"/>
        <v>48.662810796578661</v>
      </c>
      <c r="T37" s="2">
        <f t="shared" si="9"/>
        <v>5.2668416701100682</v>
      </c>
    </row>
    <row r="38" spans="1:20" x14ac:dyDescent="0.25">
      <c r="A38" s="30">
        <f t="shared" si="10"/>
        <v>0.43282163742690061</v>
      </c>
      <c r="B38" s="2">
        <f t="shared" si="11"/>
        <v>33</v>
      </c>
      <c r="C38" s="4">
        <f t="shared" si="12"/>
        <v>20.83</v>
      </c>
      <c r="D38" s="2">
        <v>12</v>
      </c>
      <c r="E38" s="2">
        <v>50.26548245743669</v>
      </c>
      <c r="F38" s="11">
        <f t="shared" si="0"/>
        <v>2.3873241463784298</v>
      </c>
      <c r="G38" s="2">
        <f t="shared" si="1"/>
        <v>49.72796196906269</v>
      </c>
      <c r="H38" s="2">
        <f t="shared" si="2"/>
        <v>2.3788529214031384</v>
      </c>
      <c r="I38" s="2">
        <f t="shared" si="3"/>
        <v>49.551506352827367</v>
      </c>
      <c r="J38" s="2">
        <f t="shared" si="4"/>
        <v>0.17645561623532302</v>
      </c>
      <c r="K38" s="15">
        <f t="shared" si="13"/>
        <v>0.3941520467836257</v>
      </c>
      <c r="L38" s="2">
        <f t="shared" si="14"/>
        <v>33</v>
      </c>
      <c r="M38" s="2">
        <f t="shared" si="15"/>
        <v>20.58</v>
      </c>
      <c r="N38" s="2">
        <v>22</v>
      </c>
      <c r="O38" s="2">
        <v>50.26548245743669</v>
      </c>
      <c r="P38" s="11">
        <f t="shared" si="5"/>
        <v>4.3767609350271215</v>
      </c>
      <c r="Q38" s="2">
        <f t="shared" si="6"/>
        <v>90.073740042858148</v>
      </c>
      <c r="R38" s="2">
        <f t="shared" si="7"/>
        <v>2.4234467528176626</v>
      </c>
      <c r="S38" s="2">
        <f t="shared" si="8"/>
        <v>49.874534172987495</v>
      </c>
      <c r="T38" s="2">
        <f t="shared" si="9"/>
        <v>40.199205869870653</v>
      </c>
    </row>
    <row r="39" spans="1:20" x14ac:dyDescent="0.25">
      <c r="A39" s="30">
        <f t="shared" si="10"/>
        <v>0.43302266081871343</v>
      </c>
      <c r="B39" s="2">
        <f t="shared" si="11"/>
        <v>34</v>
      </c>
      <c r="C39" s="4">
        <f t="shared" si="12"/>
        <v>21.33</v>
      </c>
      <c r="D39" s="2">
        <v>11.5</v>
      </c>
      <c r="E39" s="2">
        <v>50.26548245743669</v>
      </c>
      <c r="F39" s="11">
        <f t="shared" si="0"/>
        <v>2.2878523069459957</v>
      </c>
      <c r="G39" s="2">
        <f t="shared" si="1"/>
        <v>48.799889707158087</v>
      </c>
      <c r="H39" s="2">
        <f t="shared" si="2"/>
        <v>2.3788529214031384</v>
      </c>
      <c r="I39" s="2">
        <f t="shared" si="3"/>
        <v>50.740932813528936</v>
      </c>
      <c r="J39" s="2">
        <f t="shared" si="4"/>
        <v>1.9410431063708486</v>
      </c>
      <c r="K39" s="15">
        <f t="shared" si="13"/>
        <v>0.39431652046783622</v>
      </c>
      <c r="L39" s="2">
        <f t="shared" si="14"/>
        <v>34</v>
      </c>
      <c r="M39" s="2">
        <f t="shared" si="15"/>
        <v>21.08</v>
      </c>
      <c r="N39" s="2">
        <v>14</v>
      </c>
      <c r="O39" s="2">
        <v>50.26548245743669</v>
      </c>
      <c r="P39" s="11">
        <f t="shared" si="5"/>
        <v>2.7852115041081689</v>
      </c>
      <c r="Q39" s="2">
        <f t="shared" si="6"/>
        <v>58.712258506600193</v>
      </c>
      <c r="R39" s="2">
        <f t="shared" si="7"/>
        <v>2.4234467528176626</v>
      </c>
      <c r="S39" s="2">
        <f t="shared" si="8"/>
        <v>51.086257549396322</v>
      </c>
      <c r="T39" s="2">
        <f t="shared" si="9"/>
        <v>7.6260009572038712</v>
      </c>
    </row>
    <row r="40" spans="1:20" x14ac:dyDescent="0.25">
      <c r="A40" s="30">
        <f t="shared" si="10"/>
        <v>0.43322368421052632</v>
      </c>
      <c r="B40" s="2">
        <f t="shared" si="11"/>
        <v>35</v>
      </c>
      <c r="C40" s="4">
        <f t="shared" si="12"/>
        <v>21.83</v>
      </c>
      <c r="D40" s="2">
        <v>12.5</v>
      </c>
      <c r="E40" s="2">
        <v>50.26548245743669</v>
      </c>
      <c r="F40" s="11">
        <f t="shared" si="0"/>
        <v>2.4867959858108648</v>
      </c>
      <c r="G40" s="2">
        <f t="shared" si="1"/>
        <v>54.286756370251176</v>
      </c>
      <c r="H40" s="2">
        <f t="shared" si="2"/>
        <v>2.3788529214031384</v>
      </c>
      <c r="I40" s="2">
        <f t="shared" si="3"/>
        <v>51.930359274230504</v>
      </c>
      <c r="J40" s="2">
        <f t="shared" si="4"/>
        <v>2.3563970960206717</v>
      </c>
      <c r="K40" s="15">
        <f t="shared" si="13"/>
        <v>0.39448099415204679</v>
      </c>
      <c r="L40" s="2">
        <f t="shared" si="14"/>
        <v>35</v>
      </c>
      <c r="M40" s="2">
        <f t="shared" si="15"/>
        <v>21.58</v>
      </c>
      <c r="N40" s="2">
        <v>13.5</v>
      </c>
      <c r="O40" s="2">
        <v>50.26548245743669</v>
      </c>
      <c r="P40" s="11">
        <f t="shared" si="5"/>
        <v>2.6857396646757339</v>
      </c>
      <c r="Q40" s="2">
        <f t="shared" si="6"/>
        <v>57.958261963702334</v>
      </c>
      <c r="R40" s="2">
        <f t="shared" si="7"/>
        <v>2.4234467528176626</v>
      </c>
      <c r="S40" s="2">
        <f t="shared" si="8"/>
        <v>52.297980925805156</v>
      </c>
      <c r="T40" s="2">
        <f t="shared" si="9"/>
        <v>5.6602810378971782</v>
      </c>
    </row>
    <row r="41" spans="1:20" x14ac:dyDescent="0.25">
      <c r="A41" s="30">
        <f t="shared" si="10"/>
        <v>0.4334247076023392</v>
      </c>
      <c r="B41" s="2">
        <f t="shared" si="11"/>
        <v>36</v>
      </c>
      <c r="C41" s="4">
        <f t="shared" si="12"/>
        <v>22.33</v>
      </c>
      <c r="D41" s="2">
        <v>11</v>
      </c>
      <c r="E41" s="2">
        <v>50.26548245743669</v>
      </c>
      <c r="F41" s="11">
        <f t="shared" si="0"/>
        <v>2.1883804675135607</v>
      </c>
      <c r="G41" s="2">
        <f t="shared" si="1"/>
        <v>48.866535839577807</v>
      </c>
      <c r="H41" s="2">
        <f t="shared" si="2"/>
        <v>2.3788529214031384</v>
      </c>
      <c r="I41" s="2">
        <f t="shared" si="3"/>
        <v>53.11978573493208</v>
      </c>
      <c r="J41" s="2">
        <f t="shared" si="4"/>
        <v>4.2532498953542728</v>
      </c>
      <c r="K41" s="15">
        <f t="shared" si="13"/>
        <v>0.39464546783625731</v>
      </c>
      <c r="L41" s="2">
        <f t="shared" si="14"/>
        <v>36</v>
      </c>
      <c r="M41" s="2">
        <f t="shared" si="15"/>
        <v>22.08</v>
      </c>
      <c r="N41" s="2">
        <v>12.5</v>
      </c>
      <c r="O41" s="2">
        <v>50.26548245743669</v>
      </c>
      <c r="P41" s="11">
        <f t="shared" si="5"/>
        <v>2.4867959858108648</v>
      </c>
      <c r="Q41" s="2">
        <f t="shared" si="6"/>
        <v>54.90845536670389</v>
      </c>
      <c r="R41" s="2">
        <f t="shared" si="7"/>
        <v>2.4234467528176626</v>
      </c>
      <c r="S41" s="2">
        <f t="shared" si="8"/>
        <v>53.50970430221399</v>
      </c>
      <c r="T41" s="2">
        <f t="shared" si="9"/>
        <v>1.3987510644899004</v>
      </c>
    </row>
    <row r="42" spans="1:20" x14ac:dyDescent="0.25">
      <c r="A42" s="30">
        <f t="shared" si="10"/>
        <v>0.43362573099415208</v>
      </c>
      <c r="B42" s="2">
        <f t="shared" si="11"/>
        <v>37</v>
      </c>
      <c r="C42" s="4">
        <f t="shared" si="12"/>
        <v>22.83</v>
      </c>
      <c r="D42" s="2">
        <v>12</v>
      </c>
      <c r="E42" s="2">
        <v>50.26548245743669</v>
      </c>
      <c r="F42" s="11">
        <f t="shared" si="0"/>
        <v>2.3873241463784298</v>
      </c>
      <c r="G42" s="2">
        <f t="shared" si="1"/>
        <v>54.502610261819548</v>
      </c>
      <c r="H42" s="2">
        <f t="shared" si="2"/>
        <v>2.3788529214031384</v>
      </c>
      <c r="I42" s="2">
        <f t="shared" si="3"/>
        <v>54.309212195633648</v>
      </c>
      <c r="J42" s="2">
        <f t="shared" si="4"/>
        <v>0.19339806618589961</v>
      </c>
      <c r="K42" s="15">
        <f t="shared" si="13"/>
        <v>0.39480994152046783</v>
      </c>
      <c r="L42" s="2">
        <f t="shared" si="14"/>
        <v>37</v>
      </c>
      <c r="M42" s="2">
        <f t="shared" si="15"/>
        <v>22.58</v>
      </c>
      <c r="N42" s="2">
        <v>13</v>
      </c>
      <c r="O42" s="2">
        <v>50.26548245743669</v>
      </c>
      <c r="P42" s="11">
        <f t="shared" si="5"/>
        <v>2.5862678252432989</v>
      </c>
      <c r="Q42" s="2">
        <f t="shared" si="6"/>
        <v>58.397927493993684</v>
      </c>
      <c r="R42" s="2">
        <f t="shared" si="7"/>
        <v>2.4234467528176626</v>
      </c>
      <c r="S42" s="2">
        <f t="shared" si="8"/>
        <v>54.721427678622817</v>
      </c>
      <c r="T42" s="2">
        <f t="shared" si="9"/>
        <v>3.6764998153708675</v>
      </c>
    </row>
    <row r="43" spans="1:20" x14ac:dyDescent="0.25">
      <c r="A43" s="30">
        <f t="shared" si="10"/>
        <v>0.43382675438596491</v>
      </c>
      <c r="B43" s="2">
        <f t="shared" si="11"/>
        <v>38</v>
      </c>
      <c r="C43" s="4">
        <f t="shared" si="12"/>
        <v>23.33</v>
      </c>
      <c r="D43" s="2">
        <v>11.5</v>
      </c>
      <c r="E43" s="2">
        <v>50.26548245743669</v>
      </c>
      <c r="F43" s="11">
        <f t="shared" si="0"/>
        <v>2.2878523069459957</v>
      </c>
      <c r="G43" s="2">
        <f t="shared" si="1"/>
        <v>53.375594321050073</v>
      </c>
      <c r="H43" s="2">
        <f t="shared" si="2"/>
        <v>2.3788529214031384</v>
      </c>
      <c r="I43" s="2">
        <f t="shared" si="3"/>
        <v>55.498638656335217</v>
      </c>
      <c r="J43" s="2">
        <f t="shared" si="4"/>
        <v>2.1230443352851438</v>
      </c>
      <c r="K43" s="15">
        <f t="shared" si="13"/>
        <v>0.39497441520467835</v>
      </c>
      <c r="L43" s="2">
        <f t="shared" si="14"/>
        <v>38</v>
      </c>
      <c r="M43" s="2">
        <f t="shared" si="15"/>
        <v>23.08</v>
      </c>
      <c r="N43" s="2">
        <v>13</v>
      </c>
      <c r="O43" s="2">
        <v>50.26548245743669</v>
      </c>
      <c r="P43" s="11">
        <f t="shared" si="5"/>
        <v>2.5862678252432989</v>
      </c>
      <c r="Q43" s="2">
        <f t="shared" si="6"/>
        <v>59.691061406615333</v>
      </c>
      <c r="R43" s="2">
        <f t="shared" si="7"/>
        <v>2.4234467528176626</v>
      </c>
      <c r="S43" s="2">
        <f t="shared" si="8"/>
        <v>55.933151055031651</v>
      </c>
      <c r="T43" s="2">
        <f t="shared" si="9"/>
        <v>3.757910351583682</v>
      </c>
    </row>
    <row r="44" spans="1:20" x14ac:dyDescent="0.25">
      <c r="A44" s="10">
        <v>0.43402777777777779</v>
      </c>
      <c r="B44" s="2">
        <f t="shared" si="11"/>
        <v>39</v>
      </c>
      <c r="C44" s="4">
        <f t="shared" si="12"/>
        <v>23.83</v>
      </c>
      <c r="D44" s="2">
        <v>11.5</v>
      </c>
      <c r="E44" s="2">
        <v>50.26548245743669</v>
      </c>
      <c r="F44" s="11">
        <f t="shared" si="0"/>
        <v>2.2878523069459957</v>
      </c>
      <c r="G44" s="2">
        <f t="shared" si="1"/>
        <v>54.519520474523077</v>
      </c>
      <c r="H44" s="2">
        <f t="shared" si="2"/>
        <v>2.3788529214031384</v>
      </c>
      <c r="I44" s="2">
        <f t="shared" si="3"/>
        <v>56.688065117036786</v>
      </c>
      <c r="J44" s="2">
        <f t="shared" si="4"/>
        <v>2.1685446425137087</v>
      </c>
      <c r="K44" s="12">
        <v>0.39513888888888887</v>
      </c>
      <c r="L44" s="2">
        <f t="shared" si="14"/>
        <v>39</v>
      </c>
      <c r="M44" s="2">
        <f t="shared" si="15"/>
        <v>23.58</v>
      </c>
      <c r="N44" s="2">
        <v>11.5</v>
      </c>
      <c r="O44" s="2">
        <v>50.26548245743669</v>
      </c>
      <c r="P44" s="11">
        <f t="shared" si="5"/>
        <v>2.2878523069459957</v>
      </c>
      <c r="Q44" s="2">
        <f t="shared" si="6"/>
        <v>53.947557397786575</v>
      </c>
      <c r="R44" s="2">
        <f t="shared" si="7"/>
        <v>2.4234467528176626</v>
      </c>
      <c r="S44" s="2">
        <f t="shared" si="8"/>
        <v>57.144874431440478</v>
      </c>
      <c r="T44" s="2">
        <f t="shared" si="9"/>
        <v>3.1973170336539027</v>
      </c>
    </row>
    <row r="45" spans="1:20" x14ac:dyDescent="0.25">
      <c r="A45" s="14">
        <f t="shared" ref="A45:A82" si="16">IF(AND($A$44&lt;&gt;"",$A$83&lt;&gt;""), $A$44 + (B45 - $B$44) * (($A$83 - $A$44) / ($B$83 - $B$44)), "")</f>
        <v>0.434241452991453</v>
      </c>
      <c r="B45" s="2">
        <f t="shared" si="11"/>
        <v>40</v>
      </c>
      <c r="C45" s="4">
        <f t="shared" si="12"/>
        <v>24.33</v>
      </c>
      <c r="D45" s="2">
        <v>11.5</v>
      </c>
      <c r="E45" s="2">
        <v>50.26548245743669</v>
      </c>
      <c r="F45" s="11">
        <f t="shared" si="0"/>
        <v>2.2878523069459957</v>
      </c>
      <c r="G45" s="2">
        <f t="shared" si="1"/>
        <v>55.663446627996073</v>
      </c>
      <c r="H45" s="2">
        <f t="shared" si="2"/>
        <v>2.3788529214031384</v>
      </c>
      <c r="I45" s="2">
        <f t="shared" si="3"/>
        <v>57.877491577738354</v>
      </c>
      <c r="J45" s="2">
        <f t="shared" si="4"/>
        <v>2.2140449497422807</v>
      </c>
      <c r="K45" s="15">
        <f t="shared" ref="K45:K82" si="17">IF(AND($K$44&lt;&gt;"",$K$83&lt;&gt;""), $K$44 + (L45 - $L$44) * (($K$83 - $K$44) / ($L$83 - $L$44)), "")</f>
        <v>0.39531695156695157</v>
      </c>
      <c r="L45" s="2">
        <f t="shared" si="14"/>
        <v>40</v>
      </c>
      <c r="M45" s="2">
        <f t="shared" si="15"/>
        <v>24.08</v>
      </c>
      <c r="N45" s="2">
        <v>12.5</v>
      </c>
      <c r="O45" s="2">
        <v>50.26548245743669</v>
      </c>
      <c r="P45" s="11">
        <f t="shared" si="5"/>
        <v>2.4867959858108648</v>
      </c>
      <c r="Q45" s="2">
        <f t="shared" si="6"/>
        <v>59.88204733832562</v>
      </c>
      <c r="R45" s="2">
        <f t="shared" si="7"/>
        <v>2.4234467528176626</v>
      </c>
      <c r="S45" s="2">
        <f t="shared" si="8"/>
        <v>58.356597807849312</v>
      </c>
      <c r="T45" s="2">
        <f t="shared" si="9"/>
        <v>1.5254495304763083</v>
      </c>
    </row>
    <row r="46" spans="1:20" x14ac:dyDescent="0.25">
      <c r="A46" s="14">
        <f t="shared" si="16"/>
        <v>0.43445512820512822</v>
      </c>
      <c r="B46" s="2">
        <f t="shared" si="11"/>
        <v>41</v>
      </c>
      <c r="C46" s="4">
        <f t="shared" si="12"/>
        <v>24.83</v>
      </c>
      <c r="D46" s="2">
        <v>17</v>
      </c>
      <c r="E46" s="2">
        <v>50.26548245743669</v>
      </c>
      <c r="F46" s="11">
        <f t="shared" si="0"/>
        <v>3.3820425407027761</v>
      </c>
      <c r="G46" s="2">
        <f t="shared" si="1"/>
        <v>83.976116285649923</v>
      </c>
      <c r="H46" s="2">
        <f t="shared" si="2"/>
        <v>2.3788529214031384</v>
      </c>
      <c r="I46" s="2">
        <f t="shared" si="3"/>
        <v>59.066918038439923</v>
      </c>
      <c r="J46" s="2">
        <f t="shared" si="4"/>
        <v>24.90919824721</v>
      </c>
      <c r="K46" s="15">
        <f t="shared" si="17"/>
        <v>0.39549501424501421</v>
      </c>
      <c r="L46" s="2">
        <f t="shared" si="14"/>
        <v>41</v>
      </c>
      <c r="M46" s="2">
        <f t="shared" si="15"/>
        <v>24.58</v>
      </c>
      <c r="N46" s="2">
        <v>13</v>
      </c>
      <c r="O46" s="2">
        <v>50.26548245743669</v>
      </c>
      <c r="P46" s="11">
        <f t="shared" si="5"/>
        <v>2.5862678252432989</v>
      </c>
      <c r="Q46" s="2">
        <f t="shared" si="6"/>
        <v>63.570463144480286</v>
      </c>
      <c r="R46" s="2">
        <f t="shared" si="7"/>
        <v>2.4234467528176626</v>
      </c>
      <c r="S46" s="2">
        <f t="shared" si="8"/>
        <v>59.568321184258146</v>
      </c>
      <c r="T46" s="2">
        <f t="shared" si="9"/>
        <v>4.00214196022214</v>
      </c>
    </row>
    <row r="47" spans="1:20" x14ac:dyDescent="0.25">
      <c r="A47" s="14">
        <f t="shared" si="16"/>
        <v>0.43466880341880343</v>
      </c>
      <c r="B47" s="2">
        <f t="shared" si="11"/>
        <v>42</v>
      </c>
      <c r="C47" s="4">
        <f t="shared" si="12"/>
        <v>25.33</v>
      </c>
      <c r="D47" s="2">
        <v>12</v>
      </c>
      <c r="E47" s="2">
        <v>50.26548245743669</v>
      </c>
      <c r="F47" s="11">
        <f t="shared" si="0"/>
        <v>2.3873241463784298</v>
      </c>
      <c r="G47" s="2">
        <f t="shared" si="1"/>
        <v>60.470920627765622</v>
      </c>
      <c r="H47" s="2">
        <f t="shared" si="2"/>
        <v>2.3788529214031384</v>
      </c>
      <c r="I47" s="2">
        <f t="shared" si="3"/>
        <v>60.256344499141491</v>
      </c>
      <c r="J47" s="2">
        <f t="shared" si="4"/>
        <v>0.214576128624131</v>
      </c>
      <c r="K47" s="15">
        <f t="shared" si="17"/>
        <v>0.39567307692307691</v>
      </c>
      <c r="L47" s="2">
        <f t="shared" si="14"/>
        <v>42</v>
      </c>
      <c r="M47" s="2">
        <f t="shared" si="15"/>
        <v>25.08</v>
      </c>
      <c r="N47" s="2">
        <v>15</v>
      </c>
      <c r="O47" s="2">
        <v>50.26548245743669</v>
      </c>
      <c r="P47" s="11">
        <f t="shared" si="5"/>
        <v>2.9841551829730379</v>
      </c>
      <c r="Q47" s="2">
        <f t="shared" si="6"/>
        <v>74.842611988963782</v>
      </c>
      <c r="R47" s="2">
        <f t="shared" si="7"/>
        <v>2.4234467528176626</v>
      </c>
      <c r="S47" s="2">
        <f t="shared" si="8"/>
        <v>60.780044560666973</v>
      </c>
      <c r="T47" s="2">
        <f t="shared" si="9"/>
        <v>14.062567428296809</v>
      </c>
    </row>
    <row r="48" spans="1:20" x14ac:dyDescent="0.25">
      <c r="A48" s="14">
        <f t="shared" si="16"/>
        <v>0.43488247863247864</v>
      </c>
      <c r="B48" s="2">
        <f t="shared" si="11"/>
        <v>43</v>
      </c>
      <c r="C48" s="4">
        <f t="shared" si="12"/>
        <v>25.83</v>
      </c>
      <c r="D48" s="2">
        <v>11</v>
      </c>
      <c r="E48" s="2">
        <v>50.26548245743669</v>
      </c>
      <c r="F48" s="11">
        <f t="shared" si="0"/>
        <v>2.1883804675135607</v>
      </c>
      <c r="G48" s="2">
        <f t="shared" si="1"/>
        <v>56.525867475875273</v>
      </c>
      <c r="H48" s="2">
        <f t="shared" si="2"/>
        <v>2.3788529214031384</v>
      </c>
      <c r="I48" s="2">
        <f t="shared" si="3"/>
        <v>61.44577095984306</v>
      </c>
      <c r="J48" s="2">
        <f t="shared" si="4"/>
        <v>4.9199034839677864</v>
      </c>
      <c r="K48" s="15">
        <f t="shared" si="17"/>
        <v>0.3958511396011396</v>
      </c>
      <c r="L48" s="2">
        <f t="shared" si="14"/>
        <v>43</v>
      </c>
      <c r="M48" s="2">
        <f t="shared" si="15"/>
        <v>25.58</v>
      </c>
      <c r="N48" s="2">
        <v>14.5</v>
      </c>
      <c r="O48" s="2">
        <v>50.26548245743669</v>
      </c>
      <c r="P48" s="11">
        <f t="shared" si="5"/>
        <v>2.8846833435406034</v>
      </c>
      <c r="Q48" s="2">
        <f t="shared" si="6"/>
        <v>73.790199927768626</v>
      </c>
      <c r="R48" s="2">
        <f t="shared" si="7"/>
        <v>2.4234467528176626</v>
      </c>
      <c r="S48" s="2">
        <f t="shared" si="8"/>
        <v>61.991767937075807</v>
      </c>
      <c r="T48" s="2">
        <f t="shared" si="9"/>
        <v>11.798431990692819</v>
      </c>
    </row>
    <row r="49" spans="1:20" x14ac:dyDescent="0.25">
      <c r="A49" s="14">
        <f t="shared" si="16"/>
        <v>0.43509615384615385</v>
      </c>
      <c r="B49" s="2">
        <f t="shared" si="11"/>
        <v>44</v>
      </c>
      <c r="C49" s="4">
        <f t="shared" si="12"/>
        <v>26.33</v>
      </c>
      <c r="D49" s="2">
        <v>12.5</v>
      </c>
      <c r="E49" s="2">
        <v>50.26548245743669</v>
      </c>
      <c r="F49" s="11">
        <f t="shared" si="0"/>
        <v>2.4867959858108648</v>
      </c>
      <c r="G49" s="2">
        <f t="shared" si="1"/>
        <v>65.477338306400071</v>
      </c>
      <c r="H49" s="2">
        <f t="shared" si="2"/>
        <v>2.3788529214031384</v>
      </c>
      <c r="I49" s="2">
        <f t="shared" si="3"/>
        <v>62.635197420544628</v>
      </c>
      <c r="J49" s="2">
        <f t="shared" si="4"/>
        <v>2.8421408858554429</v>
      </c>
      <c r="K49" s="15">
        <f t="shared" si="17"/>
        <v>0.39602920227920224</v>
      </c>
      <c r="L49" s="2">
        <f t="shared" si="14"/>
        <v>44</v>
      </c>
      <c r="M49" s="2">
        <f t="shared" si="15"/>
        <v>26.08</v>
      </c>
      <c r="N49" s="2">
        <v>12.5</v>
      </c>
      <c r="O49" s="2">
        <v>50.26548245743669</v>
      </c>
      <c r="P49" s="11">
        <f t="shared" si="5"/>
        <v>2.4867959858108648</v>
      </c>
      <c r="Q49" s="2">
        <f t="shared" si="6"/>
        <v>64.85563930994735</v>
      </c>
      <c r="R49" s="2">
        <f t="shared" si="7"/>
        <v>2.4234467528176626</v>
      </c>
      <c r="S49" s="2">
        <f t="shared" si="8"/>
        <v>63.203491313484641</v>
      </c>
      <c r="T49" s="2">
        <f t="shared" si="9"/>
        <v>1.652147996462709</v>
      </c>
    </row>
    <row r="50" spans="1:20" x14ac:dyDescent="0.25">
      <c r="A50" s="14">
        <f t="shared" si="16"/>
        <v>0.43530982905982907</v>
      </c>
      <c r="B50" s="2">
        <f t="shared" si="11"/>
        <v>45</v>
      </c>
      <c r="C50" s="4">
        <f t="shared" si="12"/>
        <v>26.83</v>
      </c>
      <c r="D50" s="2">
        <v>13</v>
      </c>
      <c r="E50" s="2">
        <v>50.26548245743669</v>
      </c>
      <c r="F50" s="11">
        <f t="shared" si="0"/>
        <v>2.5862678252432989</v>
      </c>
      <c r="G50" s="2">
        <f t="shared" si="1"/>
        <v>69.389565751277701</v>
      </c>
      <c r="H50" s="2">
        <f t="shared" si="2"/>
        <v>2.3788529214031384</v>
      </c>
      <c r="I50" s="2">
        <f t="shared" si="3"/>
        <v>63.824623881246197</v>
      </c>
      <c r="J50" s="2">
        <f t="shared" si="4"/>
        <v>5.5649418700315039</v>
      </c>
      <c r="K50" s="15">
        <f t="shared" si="17"/>
        <v>0.39620726495726494</v>
      </c>
      <c r="L50" s="2">
        <f t="shared" si="14"/>
        <v>45</v>
      </c>
      <c r="M50" s="2">
        <f t="shared" si="15"/>
        <v>26.58</v>
      </c>
      <c r="N50" s="2">
        <v>12</v>
      </c>
      <c r="O50" s="2">
        <v>50.26548245743669</v>
      </c>
      <c r="P50" s="11">
        <f t="shared" si="5"/>
        <v>2.3873241463784298</v>
      </c>
      <c r="Q50" s="2">
        <f t="shared" si="6"/>
        <v>63.455075810738663</v>
      </c>
      <c r="R50" s="2">
        <f t="shared" si="7"/>
        <v>2.4234467528176626</v>
      </c>
      <c r="S50" s="2">
        <f t="shared" si="8"/>
        <v>64.415214689893475</v>
      </c>
      <c r="T50" s="2">
        <f t="shared" si="9"/>
        <v>0.96013887915481178</v>
      </c>
    </row>
    <row r="51" spans="1:20" x14ac:dyDescent="0.25">
      <c r="A51" s="14">
        <f t="shared" si="16"/>
        <v>0.43552350427350428</v>
      </c>
      <c r="B51" s="2">
        <f t="shared" si="11"/>
        <v>46</v>
      </c>
      <c r="C51" s="4">
        <f t="shared" si="12"/>
        <v>27.33</v>
      </c>
      <c r="D51" s="2">
        <v>11.5</v>
      </c>
      <c r="E51" s="2">
        <v>50.26548245743669</v>
      </c>
      <c r="F51" s="11">
        <f t="shared" si="0"/>
        <v>2.2878523069459957</v>
      </c>
      <c r="G51" s="2">
        <f t="shared" si="1"/>
        <v>62.52700354883406</v>
      </c>
      <c r="H51" s="2">
        <f t="shared" si="2"/>
        <v>2.3788529214031384</v>
      </c>
      <c r="I51" s="2">
        <f t="shared" si="3"/>
        <v>65.014050341947765</v>
      </c>
      <c r="J51" s="2">
        <f t="shared" si="4"/>
        <v>2.4870467931137057</v>
      </c>
      <c r="K51" s="15">
        <f t="shared" si="17"/>
        <v>0.39638532763532763</v>
      </c>
      <c r="L51" s="2">
        <f t="shared" si="14"/>
        <v>46</v>
      </c>
      <c r="M51" s="2">
        <f t="shared" si="15"/>
        <v>27.08</v>
      </c>
      <c r="N51" s="2">
        <v>14</v>
      </c>
      <c r="O51" s="2">
        <v>50.26548245743669</v>
      </c>
      <c r="P51" s="11">
        <f t="shared" si="5"/>
        <v>2.7852115041081689</v>
      </c>
      <c r="Q51" s="2">
        <f t="shared" si="6"/>
        <v>75.423527531249206</v>
      </c>
      <c r="R51" s="2">
        <f t="shared" si="7"/>
        <v>2.4234467528176626</v>
      </c>
      <c r="S51" s="2">
        <f t="shared" si="8"/>
        <v>65.626938066302301</v>
      </c>
      <c r="T51" s="2">
        <f t="shared" si="9"/>
        <v>9.796589464946905</v>
      </c>
    </row>
    <row r="52" spans="1:20" x14ac:dyDescent="0.25">
      <c r="A52" s="14">
        <f t="shared" si="16"/>
        <v>0.43573717948717949</v>
      </c>
      <c r="B52" s="2">
        <f t="shared" si="11"/>
        <v>47</v>
      </c>
      <c r="C52" s="4">
        <f t="shared" si="12"/>
        <v>27.83</v>
      </c>
      <c r="D52" s="2">
        <v>11.5</v>
      </c>
      <c r="E52" s="2">
        <v>50.26548245743669</v>
      </c>
      <c r="F52" s="11">
        <f t="shared" si="0"/>
        <v>2.2878523069459957</v>
      </c>
      <c r="G52" s="2">
        <f t="shared" si="1"/>
        <v>63.670929702307056</v>
      </c>
      <c r="H52" s="2">
        <f t="shared" si="2"/>
        <v>2.3788529214031384</v>
      </c>
      <c r="I52" s="2">
        <f t="shared" si="3"/>
        <v>66.203476802649334</v>
      </c>
      <c r="J52" s="2">
        <f t="shared" si="4"/>
        <v>2.5325471003422777</v>
      </c>
      <c r="K52" s="15">
        <f t="shared" si="17"/>
        <v>0.39656339031339033</v>
      </c>
      <c r="L52" s="2">
        <f t="shared" si="14"/>
        <v>47</v>
      </c>
      <c r="M52" s="2">
        <f t="shared" si="15"/>
        <v>27.58</v>
      </c>
      <c r="N52" s="2">
        <v>14</v>
      </c>
      <c r="O52" s="2">
        <v>50.26548245743669</v>
      </c>
      <c r="P52" s="11">
        <f t="shared" si="5"/>
        <v>2.7852115041081689</v>
      </c>
      <c r="Q52" s="2">
        <f t="shared" si="6"/>
        <v>76.816133283303287</v>
      </c>
      <c r="R52" s="2">
        <f t="shared" si="7"/>
        <v>2.4234467528176626</v>
      </c>
      <c r="S52" s="2">
        <f t="shared" si="8"/>
        <v>66.838661442711128</v>
      </c>
      <c r="T52" s="2">
        <f t="shared" si="9"/>
        <v>9.977471840592159</v>
      </c>
    </row>
    <row r="53" spans="1:20" x14ac:dyDescent="0.25">
      <c r="A53" s="14">
        <f t="shared" si="16"/>
        <v>0.43595085470085471</v>
      </c>
      <c r="B53" s="2">
        <f t="shared" si="11"/>
        <v>48</v>
      </c>
      <c r="C53" s="4">
        <f t="shared" si="12"/>
        <v>28.33</v>
      </c>
      <c r="D53" s="2">
        <v>11</v>
      </c>
      <c r="E53" s="2">
        <v>50.26548245743669</v>
      </c>
      <c r="F53" s="11">
        <f t="shared" si="0"/>
        <v>2.1883804675135607</v>
      </c>
      <c r="G53" s="2">
        <f t="shared" si="1"/>
        <v>61.996818644659172</v>
      </c>
      <c r="H53" s="2">
        <f t="shared" si="2"/>
        <v>2.3788529214031384</v>
      </c>
      <c r="I53" s="2">
        <f t="shared" si="3"/>
        <v>67.392903263350902</v>
      </c>
      <c r="J53" s="2">
        <f t="shared" si="4"/>
        <v>5.3960846186917308</v>
      </c>
      <c r="K53" s="15">
        <f t="shared" si="17"/>
        <v>0.39674145299145297</v>
      </c>
      <c r="L53" s="2">
        <f t="shared" si="14"/>
        <v>48</v>
      </c>
      <c r="M53" s="2">
        <f t="shared" si="15"/>
        <v>28.08</v>
      </c>
      <c r="N53" s="2">
        <v>13</v>
      </c>
      <c r="O53" s="2">
        <v>50.26548245743669</v>
      </c>
      <c r="P53" s="11">
        <f t="shared" si="5"/>
        <v>2.5862678252432989</v>
      </c>
      <c r="Q53" s="2">
        <f t="shared" si="6"/>
        <v>72.622400532831833</v>
      </c>
      <c r="R53" s="2">
        <f t="shared" si="7"/>
        <v>2.4234467528176626</v>
      </c>
      <c r="S53" s="2">
        <f t="shared" si="8"/>
        <v>68.050384819119969</v>
      </c>
      <c r="T53" s="2">
        <f t="shared" si="9"/>
        <v>4.5720157137118633</v>
      </c>
    </row>
    <row r="54" spans="1:20" x14ac:dyDescent="0.25">
      <c r="A54" s="14">
        <f t="shared" si="16"/>
        <v>0.43616452991452992</v>
      </c>
      <c r="B54" s="2">
        <f t="shared" si="11"/>
        <v>49</v>
      </c>
      <c r="C54" s="4">
        <f t="shared" si="12"/>
        <v>28.83</v>
      </c>
      <c r="D54" s="2">
        <v>12.5</v>
      </c>
      <c r="E54" s="2">
        <v>50.26548245743669</v>
      </c>
      <c r="F54" s="11">
        <f t="shared" si="0"/>
        <v>2.4867959858108648</v>
      </c>
      <c r="G54" s="2">
        <f t="shared" si="1"/>
        <v>71.69432827092723</v>
      </c>
      <c r="H54" s="2">
        <f t="shared" si="2"/>
        <v>2.3788529214031384</v>
      </c>
      <c r="I54" s="2">
        <f t="shared" si="3"/>
        <v>68.582329724052471</v>
      </c>
      <c r="J54" s="2">
        <f t="shared" si="4"/>
        <v>3.1119985468747586</v>
      </c>
      <c r="K54" s="15">
        <f t="shared" si="17"/>
        <v>0.39691951566951567</v>
      </c>
      <c r="L54" s="2">
        <f t="shared" si="14"/>
        <v>49</v>
      </c>
      <c r="M54" s="2">
        <f t="shared" si="15"/>
        <v>28.58</v>
      </c>
      <c r="N54" s="2">
        <v>13.5</v>
      </c>
      <c r="O54" s="2">
        <v>50.26548245743669</v>
      </c>
      <c r="P54" s="11">
        <f t="shared" si="5"/>
        <v>2.6857396646757339</v>
      </c>
      <c r="Q54" s="2">
        <f t="shared" si="6"/>
        <v>76.758439616432469</v>
      </c>
      <c r="R54" s="2">
        <f t="shared" si="7"/>
        <v>2.4234467528176626</v>
      </c>
      <c r="S54" s="2">
        <f t="shared" si="8"/>
        <v>69.262108195528796</v>
      </c>
      <c r="T54" s="2">
        <f t="shared" si="9"/>
        <v>7.4963314209036724</v>
      </c>
    </row>
    <row r="55" spans="1:20" x14ac:dyDescent="0.25">
      <c r="A55" s="14">
        <f t="shared" si="16"/>
        <v>0.43637820512820513</v>
      </c>
      <c r="B55" s="2">
        <f t="shared" si="11"/>
        <v>50</v>
      </c>
      <c r="C55" s="4">
        <f t="shared" si="12"/>
        <v>29.33</v>
      </c>
      <c r="D55" s="2">
        <v>13.5</v>
      </c>
      <c r="E55" s="2">
        <v>50.26548245743669</v>
      </c>
      <c r="F55" s="11">
        <f t="shared" si="0"/>
        <v>2.6857396646757339</v>
      </c>
      <c r="G55" s="2">
        <f t="shared" si="1"/>
        <v>78.772744364939271</v>
      </c>
      <c r="H55" s="2">
        <f t="shared" si="2"/>
        <v>2.3788529214031384</v>
      </c>
      <c r="I55" s="2">
        <f t="shared" si="3"/>
        <v>69.77175618475404</v>
      </c>
      <c r="J55" s="2">
        <f t="shared" si="4"/>
        <v>9.0009881801852316</v>
      </c>
      <c r="K55" s="15">
        <f t="shared" si="17"/>
        <v>0.39709757834757836</v>
      </c>
      <c r="L55" s="2">
        <f t="shared" si="14"/>
        <v>50</v>
      </c>
      <c r="M55" s="2">
        <f t="shared" si="15"/>
        <v>29.08</v>
      </c>
      <c r="N55" s="2">
        <v>18</v>
      </c>
      <c r="O55" s="2">
        <v>50.26548245743669</v>
      </c>
      <c r="P55" s="11">
        <f t="shared" si="5"/>
        <v>3.5809862195676452</v>
      </c>
      <c r="Q55" s="2">
        <f t="shared" si="6"/>
        <v>104.13507926502712</v>
      </c>
      <c r="R55" s="2">
        <f t="shared" si="7"/>
        <v>2.4234467528176626</v>
      </c>
      <c r="S55" s="2">
        <f t="shared" si="8"/>
        <v>70.473831571937623</v>
      </c>
      <c r="T55" s="2">
        <f t="shared" si="9"/>
        <v>33.661247693089493</v>
      </c>
    </row>
    <row r="56" spans="1:20" x14ac:dyDescent="0.25">
      <c r="A56" s="14">
        <f t="shared" si="16"/>
        <v>0.43659188034188035</v>
      </c>
      <c r="B56" s="2">
        <f t="shared" si="11"/>
        <v>51</v>
      </c>
      <c r="C56" s="4">
        <f t="shared" si="12"/>
        <v>29.83</v>
      </c>
      <c r="D56" s="2">
        <v>12.5</v>
      </c>
      <c r="E56" s="2">
        <v>50.26548245743669</v>
      </c>
      <c r="F56" s="11">
        <f t="shared" si="0"/>
        <v>2.4867959858108648</v>
      </c>
      <c r="G56" s="2">
        <f t="shared" si="1"/>
        <v>74.181124256738087</v>
      </c>
      <c r="H56" s="2">
        <f t="shared" si="2"/>
        <v>2.3788529214031384</v>
      </c>
      <c r="I56" s="2">
        <f t="shared" si="3"/>
        <v>70.961182645455608</v>
      </c>
      <c r="J56" s="2">
        <f t="shared" si="4"/>
        <v>3.2199416112824792</v>
      </c>
      <c r="K56" s="15">
        <f t="shared" si="17"/>
        <v>0.397275641025641</v>
      </c>
      <c r="L56" s="2">
        <f t="shared" si="14"/>
        <v>51</v>
      </c>
      <c r="M56" s="2">
        <f t="shared" si="15"/>
        <v>29.58</v>
      </c>
      <c r="N56" s="2">
        <v>14</v>
      </c>
      <c r="O56" s="2">
        <v>50.26548245743669</v>
      </c>
      <c r="P56" s="11">
        <f t="shared" si="5"/>
        <v>2.7852115041081689</v>
      </c>
      <c r="Q56" s="2">
        <f t="shared" si="6"/>
        <v>82.386556291519625</v>
      </c>
      <c r="R56" s="2">
        <f t="shared" si="7"/>
        <v>2.4234467528176626</v>
      </c>
      <c r="S56" s="2">
        <f t="shared" si="8"/>
        <v>71.68555494834645</v>
      </c>
      <c r="T56" s="2">
        <f t="shared" si="9"/>
        <v>10.701001343173175</v>
      </c>
    </row>
    <row r="57" spans="1:20" x14ac:dyDescent="0.25">
      <c r="A57" s="14">
        <f t="shared" si="16"/>
        <v>0.43680555555555556</v>
      </c>
      <c r="B57" s="2">
        <f t="shared" si="11"/>
        <v>52</v>
      </c>
      <c r="C57" s="4">
        <f t="shared" si="12"/>
        <v>30.33</v>
      </c>
      <c r="D57" s="2">
        <v>11</v>
      </c>
      <c r="E57" s="2">
        <v>50.26548245743669</v>
      </c>
      <c r="F57" s="11">
        <f t="shared" si="0"/>
        <v>2.1883804675135607</v>
      </c>
      <c r="G57" s="2">
        <f t="shared" si="1"/>
        <v>66.373579579686293</v>
      </c>
      <c r="H57" s="2">
        <f t="shared" si="2"/>
        <v>2.3788529214031384</v>
      </c>
      <c r="I57" s="2">
        <f t="shared" si="3"/>
        <v>72.150609106157191</v>
      </c>
      <c r="J57" s="2">
        <f t="shared" si="4"/>
        <v>5.7770295264708977</v>
      </c>
      <c r="K57" s="15">
        <f t="shared" si="17"/>
        <v>0.3974537037037037</v>
      </c>
      <c r="L57" s="2">
        <f t="shared" si="14"/>
        <v>52</v>
      </c>
      <c r="M57" s="2">
        <f t="shared" si="15"/>
        <v>30.08</v>
      </c>
      <c r="N57" s="2">
        <v>12</v>
      </c>
      <c r="O57" s="2">
        <v>50.26548245743669</v>
      </c>
      <c r="P57" s="11">
        <f t="shared" si="5"/>
        <v>2.3873241463784298</v>
      </c>
      <c r="Q57" s="2">
        <f t="shared" si="6"/>
        <v>71.810710323063162</v>
      </c>
      <c r="R57" s="2">
        <f t="shared" si="7"/>
        <v>2.4234467528176626</v>
      </c>
      <c r="S57" s="2">
        <f t="shared" si="8"/>
        <v>72.897278324755291</v>
      </c>
      <c r="T57" s="2">
        <f t="shared" si="9"/>
        <v>1.0865680016921289</v>
      </c>
    </row>
    <row r="58" spans="1:20" x14ac:dyDescent="0.25">
      <c r="A58" s="14">
        <f t="shared" si="16"/>
        <v>0.43701923076923077</v>
      </c>
      <c r="B58" s="2">
        <f t="shared" si="11"/>
        <v>53</v>
      </c>
      <c r="C58" s="4">
        <f t="shared" si="12"/>
        <v>30.83</v>
      </c>
      <c r="D58" s="2">
        <v>11.5</v>
      </c>
      <c r="E58" s="2">
        <v>50.26548245743669</v>
      </c>
      <c r="F58" s="11">
        <f t="shared" si="0"/>
        <v>2.2878523069459957</v>
      </c>
      <c r="G58" s="2">
        <f t="shared" si="1"/>
        <v>70.534486623145042</v>
      </c>
      <c r="H58" s="2">
        <f t="shared" si="2"/>
        <v>2.3788529214031384</v>
      </c>
      <c r="I58" s="2">
        <f t="shared" si="3"/>
        <v>73.340035566858759</v>
      </c>
      <c r="J58" s="2">
        <f t="shared" si="4"/>
        <v>2.8055489437137169</v>
      </c>
      <c r="K58" s="15">
        <f t="shared" si="17"/>
        <v>0.39763176638176639</v>
      </c>
      <c r="L58" s="2">
        <f t="shared" si="14"/>
        <v>53</v>
      </c>
      <c r="M58" s="2">
        <f t="shared" si="15"/>
        <v>30.58</v>
      </c>
      <c r="N58" s="2">
        <v>12</v>
      </c>
      <c r="O58" s="2">
        <v>50.26548245743669</v>
      </c>
      <c r="P58" s="11">
        <f t="shared" si="5"/>
        <v>2.3873241463784298</v>
      </c>
      <c r="Q58" s="2">
        <f t="shared" si="6"/>
        <v>73.004372396252379</v>
      </c>
      <c r="R58" s="2">
        <f t="shared" si="7"/>
        <v>2.4234467528176626</v>
      </c>
      <c r="S58" s="2">
        <f t="shared" si="8"/>
        <v>74.109001701164118</v>
      </c>
      <c r="T58" s="2">
        <f t="shared" si="9"/>
        <v>1.1046293049117395</v>
      </c>
    </row>
    <row r="59" spans="1:20" x14ac:dyDescent="0.25">
      <c r="A59" s="14">
        <f t="shared" si="16"/>
        <v>0.43723290598290598</v>
      </c>
      <c r="B59" s="2">
        <f t="shared" si="11"/>
        <v>54</v>
      </c>
      <c r="C59" s="4">
        <f t="shared" si="12"/>
        <v>31.33</v>
      </c>
      <c r="D59" s="2">
        <v>11.5</v>
      </c>
      <c r="E59" s="2">
        <v>50.26548245743669</v>
      </c>
      <c r="F59" s="11">
        <f t="shared" si="0"/>
        <v>2.2878523069459957</v>
      </c>
      <c r="G59" s="2">
        <f t="shared" si="1"/>
        <v>71.678412776618046</v>
      </c>
      <c r="H59" s="2">
        <f t="shared" si="2"/>
        <v>2.3788529214031384</v>
      </c>
      <c r="I59" s="2">
        <f t="shared" si="3"/>
        <v>74.529462027560328</v>
      </c>
      <c r="J59" s="2">
        <f t="shared" si="4"/>
        <v>2.8510492509422818</v>
      </c>
      <c r="K59" s="15">
        <f t="shared" si="17"/>
        <v>0.39780982905982903</v>
      </c>
      <c r="L59" s="2">
        <f t="shared" si="14"/>
        <v>54</v>
      </c>
      <c r="M59" s="2">
        <f t="shared" si="15"/>
        <v>31.08</v>
      </c>
      <c r="N59" s="2">
        <v>14.5</v>
      </c>
      <c r="O59" s="2">
        <v>50.26548245743669</v>
      </c>
      <c r="P59" s="11">
        <f t="shared" si="5"/>
        <v>2.8846833435406034</v>
      </c>
      <c r="Q59" s="2">
        <f t="shared" si="6"/>
        <v>89.655958317241954</v>
      </c>
      <c r="R59" s="2">
        <f t="shared" si="7"/>
        <v>2.4234467528176626</v>
      </c>
      <c r="S59" s="2">
        <f t="shared" si="8"/>
        <v>75.320725077572945</v>
      </c>
      <c r="T59" s="2">
        <f t="shared" si="9"/>
        <v>14.335233239669009</v>
      </c>
    </row>
    <row r="60" spans="1:20" x14ac:dyDescent="0.25">
      <c r="A60" s="14">
        <f t="shared" si="16"/>
        <v>0.4374465811965812</v>
      </c>
      <c r="B60" s="2">
        <f t="shared" si="11"/>
        <v>55</v>
      </c>
      <c r="C60" s="4">
        <f t="shared" si="12"/>
        <v>31.83</v>
      </c>
      <c r="D60" s="2">
        <v>11</v>
      </c>
      <c r="E60" s="2">
        <v>50.26548245743669</v>
      </c>
      <c r="F60" s="11">
        <f t="shared" si="0"/>
        <v>2.1883804675135607</v>
      </c>
      <c r="G60" s="2">
        <f t="shared" si="1"/>
        <v>69.656150280956638</v>
      </c>
      <c r="H60" s="2">
        <f t="shared" si="2"/>
        <v>2.3788529214031384</v>
      </c>
      <c r="I60" s="2">
        <f t="shared" si="3"/>
        <v>75.718888488261896</v>
      </c>
      <c r="J60" s="2">
        <f t="shared" si="4"/>
        <v>6.0627382073052587</v>
      </c>
      <c r="K60" s="15">
        <f t="shared" si="17"/>
        <v>0.39798789173789173</v>
      </c>
      <c r="L60" s="2">
        <f t="shared" si="14"/>
        <v>55</v>
      </c>
      <c r="M60" s="2">
        <f t="shared" si="15"/>
        <v>31.58</v>
      </c>
      <c r="N60" s="2">
        <v>14</v>
      </c>
      <c r="O60" s="2">
        <v>50.26548245743669</v>
      </c>
      <c r="P60" s="11">
        <f t="shared" si="5"/>
        <v>2.7852115041081689</v>
      </c>
      <c r="Q60" s="2">
        <f t="shared" si="6"/>
        <v>87.956979299735963</v>
      </c>
      <c r="R60" s="2">
        <f t="shared" si="7"/>
        <v>2.4234467528176626</v>
      </c>
      <c r="S60" s="2">
        <f t="shared" si="8"/>
        <v>76.532448453981786</v>
      </c>
      <c r="T60" s="2">
        <f t="shared" si="9"/>
        <v>11.424530845754177</v>
      </c>
    </row>
    <row r="61" spans="1:20" x14ac:dyDescent="0.25">
      <c r="A61" s="14">
        <f t="shared" si="16"/>
        <v>0.43766025641025641</v>
      </c>
      <c r="B61" s="2">
        <f t="shared" si="11"/>
        <v>56</v>
      </c>
      <c r="C61" s="4">
        <f t="shared" si="12"/>
        <v>32.33</v>
      </c>
      <c r="D61" s="2">
        <v>12.5</v>
      </c>
      <c r="E61" s="2">
        <v>50.26548245743669</v>
      </c>
      <c r="F61" s="11">
        <f t="shared" si="0"/>
        <v>2.4867959858108648</v>
      </c>
      <c r="G61" s="2">
        <f t="shared" si="1"/>
        <v>80.39811422126526</v>
      </c>
      <c r="H61" s="2">
        <f t="shared" si="2"/>
        <v>2.3788529214031384</v>
      </c>
      <c r="I61" s="2">
        <f t="shared" si="3"/>
        <v>76.908314948963465</v>
      </c>
      <c r="J61" s="2">
        <f t="shared" si="4"/>
        <v>3.489799272301795</v>
      </c>
      <c r="K61" s="15">
        <f t="shared" si="17"/>
        <v>0.39816595441595443</v>
      </c>
      <c r="L61" s="2">
        <f t="shared" si="14"/>
        <v>56</v>
      </c>
      <c r="M61" s="2">
        <f t="shared" si="15"/>
        <v>32.08</v>
      </c>
      <c r="N61" s="2">
        <v>13</v>
      </c>
      <c r="O61" s="2">
        <v>50.26548245743669</v>
      </c>
      <c r="P61" s="11">
        <f t="shared" si="5"/>
        <v>2.5862678252432989</v>
      </c>
      <c r="Q61" s="2">
        <f t="shared" si="6"/>
        <v>82.967471833805021</v>
      </c>
      <c r="R61" s="2">
        <f t="shared" si="7"/>
        <v>2.4234467528176626</v>
      </c>
      <c r="S61" s="2">
        <f t="shared" si="8"/>
        <v>77.744171830390613</v>
      </c>
      <c r="T61" s="2">
        <f t="shared" si="9"/>
        <v>5.2233000034144084</v>
      </c>
    </row>
    <row r="62" spans="1:20" x14ac:dyDescent="0.25">
      <c r="A62" s="14">
        <f t="shared" si="16"/>
        <v>0.43787393162393162</v>
      </c>
      <c r="B62" s="2">
        <f t="shared" si="11"/>
        <v>57</v>
      </c>
      <c r="C62" s="4">
        <f t="shared" si="12"/>
        <v>32.83</v>
      </c>
      <c r="D62" s="2">
        <v>10.5</v>
      </c>
      <c r="E62" s="2">
        <v>50.26548245743669</v>
      </c>
      <c r="F62" s="11">
        <f t="shared" si="0"/>
        <v>2.0889086280811267</v>
      </c>
      <c r="G62" s="2">
        <f t="shared" si="1"/>
        <v>68.578870259903383</v>
      </c>
      <c r="H62" s="2">
        <f t="shared" si="2"/>
        <v>2.3788529214031384</v>
      </c>
      <c r="I62" s="2">
        <f t="shared" si="3"/>
        <v>78.097741409665034</v>
      </c>
      <c r="J62" s="2">
        <f t="shared" si="4"/>
        <v>9.5188711497616509</v>
      </c>
      <c r="K62" s="15">
        <f t="shared" si="17"/>
        <v>0.39834401709401707</v>
      </c>
      <c r="L62" s="2">
        <f t="shared" si="14"/>
        <v>57</v>
      </c>
      <c r="M62" s="2">
        <f t="shared" si="15"/>
        <v>32.58</v>
      </c>
      <c r="N62" s="2">
        <v>13</v>
      </c>
      <c r="O62" s="2">
        <v>50.26548245743669</v>
      </c>
      <c r="P62" s="11">
        <f t="shared" si="5"/>
        <v>2.5862678252432989</v>
      </c>
      <c r="Q62" s="2">
        <f t="shared" si="6"/>
        <v>84.260605746426677</v>
      </c>
      <c r="R62" s="2">
        <f t="shared" si="7"/>
        <v>2.4234467528176626</v>
      </c>
      <c r="S62" s="2">
        <f t="shared" si="8"/>
        <v>78.95589520679944</v>
      </c>
      <c r="T62" s="2">
        <f t="shared" si="9"/>
        <v>5.3047105396272372</v>
      </c>
    </row>
    <row r="63" spans="1:20" x14ac:dyDescent="0.25">
      <c r="A63" s="14">
        <f t="shared" si="16"/>
        <v>0.43808760683760684</v>
      </c>
      <c r="B63" s="2">
        <f t="shared" si="11"/>
        <v>58</v>
      </c>
      <c r="C63" s="4">
        <f t="shared" si="12"/>
        <v>33.33</v>
      </c>
      <c r="D63" s="2">
        <v>12</v>
      </c>
      <c r="E63" s="2">
        <v>50.26548245743669</v>
      </c>
      <c r="F63" s="11">
        <f t="shared" si="0"/>
        <v>2.3873241463784298</v>
      </c>
      <c r="G63" s="2">
        <f t="shared" si="1"/>
        <v>79.569513798793068</v>
      </c>
      <c r="H63" s="2">
        <f t="shared" si="2"/>
        <v>2.3788529214031384</v>
      </c>
      <c r="I63" s="2">
        <f t="shared" si="3"/>
        <v>79.287167870366602</v>
      </c>
      <c r="J63" s="2">
        <f t="shared" si="4"/>
        <v>0.28234592842646578</v>
      </c>
      <c r="K63" s="15">
        <f t="shared" si="17"/>
        <v>0.39852207977207976</v>
      </c>
      <c r="L63" s="2">
        <f t="shared" si="14"/>
        <v>58</v>
      </c>
      <c r="M63" s="2">
        <f t="shared" si="15"/>
        <v>33.08</v>
      </c>
      <c r="N63" s="2">
        <v>14</v>
      </c>
      <c r="O63" s="2">
        <v>50.26548245743669</v>
      </c>
      <c r="P63" s="11">
        <f t="shared" si="5"/>
        <v>2.7852115041081689</v>
      </c>
      <c r="Q63" s="2">
        <f t="shared" si="6"/>
        <v>92.13479655589822</v>
      </c>
      <c r="R63" s="2">
        <f t="shared" si="7"/>
        <v>2.4234467528176626</v>
      </c>
      <c r="S63" s="2">
        <f t="shared" si="8"/>
        <v>80.167618583208281</v>
      </c>
      <c r="T63" s="2">
        <f t="shared" si="9"/>
        <v>11.967177972689939</v>
      </c>
    </row>
    <row r="64" spans="1:20" x14ac:dyDescent="0.25">
      <c r="A64" s="14">
        <f t="shared" si="16"/>
        <v>0.43830128205128205</v>
      </c>
      <c r="B64" s="2">
        <f t="shared" si="11"/>
        <v>59</v>
      </c>
      <c r="C64" s="4">
        <f t="shared" si="12"/>
        <v>33.83</v>
      </c>
      <c r="D64" s="2">
        <v>12</v>
      </c>
      <c r="E64" s="2">
        <v>50.26548245743669</v>
      </c>
      <c r="F64" s="11">
        <f t="shared" si="0"/>
        <v>2.3873241463784298</v>
      </c>
      <c r="G64" s="2">
        <f t="shared" si="1"/>
        <v>80.76317587198227</v>
      </c>
      <c r="H64" s="2">
        <f t="shared" si="2"/>
        <v>2.3788529214031384</v>
      </c>
      <c r="I64" s="2">
        <f t="shared" si="3"/>
        <v>80.476594331068171</v>
      </c>
      <c r="J64" s="2">
        <f t="shared" si="4"/>
        <v>0.28658154091409926</v>
      </c>
      <c r="K64" s="15">
        <f t="shared" si="17"/>
        <v>0.39870014245014246</v>
      </c>
      <c r="L64" s="2">
        <f t="shared" si="14"/>
        <v>59</v>
      </c>
      <c r="M64" s="2">
        <f t="shared" si="15"/>
        <v>33.58</v>
      </c>
      <c r="N64" s="2">
        <v>12</v>
      </c>
      <c r="O64" s="2">
        <v>50.26548245743669</v>
      </c>
      <c r="P64" s="11">
        <f t="shared" si="5"/>
        <v>2.3873241463784298</v>
      </c>
      <c r="Q64" s="2">
        <f t="shared" si="6"/>
        <v>80.166344835387676</v>
      </c>
      <c r="R64" s="2">
        <f t="shared" si="7"/>
        <v>2.4234467528176626</v>
      </c>
      <c r="S64" s="2">
        <f t="shared" si="8"/>
        <v>81.379341959617108</v>
      </c>
      <c r="T64" s="2">
        <f t="shared" si="9"/>
        <v>1.2129971242294317</v>
      </c>
    </row>
    <row r="65" spans="1:20" x14ac:dyDescent="0.25">
      <c r="A65" s="14">
        <f t="shared" si="16"/>
        <v>0.43851495726495726</v>
      </c>
      <c r="B65" s="2">
        <f t="shared" si="11"/>
        <v>60</v>
      </c>
      <c r="C65" s="4">
        <f t="shared" si="12"/>
        <v>34.33</v>
      </c>
      <c r="D65" s="2">
        <v>11.5</v>
      </c>
      <c r="E65" s="2">
        <v>50.26548245743669</v>
      </c>
      <c r="F65" s="11">
        <f t="shared" si="0"/>
        <v>2.2878523069459957</v>
      </c>
      <c r="G65" s="2">
        <f t="shared" si="1"/>
        <v>78.541969697456025</v>
      </c>
      <c r="H65" s="2">
        <f t="shared" si="2"/>
        <v>2.3788529214031384</v>
      </c>
      <c r="I65" s="2">
        <f t="shared" si="3"/>
        <v>81.666020791769739</v>
      </c>
      <c r="J65" s="2">
        <f t="shared" si="4"/>
        <v>3.1240510943137139</v>
      </c>
      <c r="K65" s="15">
        <f t="shared" si="17"/>
        <v>0.39887820512820515</v>
      </c>
      <c r="L65" s="2">
        <f t="shared" si="14"/>
        <v>60</v>
      </c>
      <c r="M65" s="2">
        <f t="shared" si="15"/>
        <v>34.08</v>
      </c>
      <c r="N65" s="2">
        <v>13</v>
      </c>
      <c r="O65" s="2">
        <v>50.26548245743669</v>
      </c>
      <c r="P65" s="11">
        <f t="shared" si="5"/>
        <v>2.5862678252432989</v>
      </c>
      <c r="Q65" s="2">
        <f t="shared" si="6"/>
        <v>88.140007484291615</v>
      </c>
      <c r="R65" s="2">
        <f t="shared" si="7"/>
        <v>2.4234467528176626</v>
      </c>
      <c r="S65" s="2">
        <f t="shared" si="8"/>
        <v>82.591065336025935</v>
      </c>
      <c r="T65" s="2">
        <f t="shared" si="9"/>
        <v>5.5489421482656809</v>
      </c>
    </row>
    <row r="66" spans="1:20" x14ac:dyDescent="0.25">
      <c r="A66" s="14">
        <f t="shared" si="16"/>
        <v>0.43872863247863247</v>
      </c>
      <c r="B66" s="2">
        <f t="shared" si="11"/>
        <v>61</v>
      </c>
      <c r="C66" s="4">
        <f t="shared" si="12"/>
        <v>34.83</v>
      </c>
      <c r="D66" s="2">
        <v>12</v>
      </c>
      <c r="E66" s="2">
        <v>50.26548245743669</v>
      </c>
      <c r="F66" s="11">
        <f t="shared" si="0"/>
        <v>2.3873241463784298</v>
      </c>
      <c r="G66" s="2">
        <f t="shared" si="1"/>
        <v>83.150500018360702</v>
      </c>
      <c r="H66" s="2">
        <f t="shared" si="2"/>
        <v>2.3788529214031384</v>
      </c>
      <c r="I66" s="2">
        <f t="shared" si="3"/>
        <v>82.855447252471308</v>
      </c>
      <c r="J66" s="2">
        <f t="shared" si="4"/>
        <v>0.29505276588939466</v>
      </c>
      <c r="K66" s="15">
        <f t="shared" si="17"/>
        <v>0.39905626780626779</v>
      </c>
      <c r="L66" s="2">
        <f t="shared" si="14"/>
        <v>61</v>
      </c>
      <c r="M66" s="2">
        <f t="shared" si="15"/>
        <v>34.58</v>
      </c>
      <c r="N66" s="2">
        <v>13</v>
      </c>
      <c r="O66" s="2">
        <v>50.26548245743669</v>
      </c>
      <c r="P66" s="11">
        <f t="shared" si="5"/>
        <v>2.5862678252432989</v>
      </c>
      <c r="Q66" s="2">
        <f t="shared" si="6"/>
        <v>89.433141396913271</v>
      </c>
      <c r="R66" s="2">
        <f t="shared" si="7"/>
        <v>2.4234467528176626</v>
      </c>
      <c r="S66" s="2">
        <f t="shared" si="8"/>
        <v>83.802788712434776</v>
      </c>
      <c r="T66" s="2">
        <f t="shared" si="9"/>
        <v>5.6303526844784955</v>
      </c>
    </row>
    <row r="67" spans="1:20" x14ac:dyDescent="0.25">
      <c r="A67" s="14">
        <f t="shared" si="16"/>
        <v>0.43894230769230769</v>
      </c>
      <c r="B67" s="2">
        <f t="shared" si="11"/>
        <v>62</v>
      </c>
      <c r="C67" s="4">
        <f t="shared" si="12"/>
        <v>35.33</v>
      </c>
      <c r="D67" s="2">
        <v>10.5</v>
      </c>
      <c r="E67" s="2">
        <v>50.26548245743669</v>
      </c>
      <c r="F67" s="11">
        <f t="shared" si="0"/>
        <v>2.0889086280811267</v>
      </c>
      <c r="G67" s="2">
        <f t="shared" si="1"/>
        <v>73.801141830106204</v>
      </c>
      <c r="H67" s="2">
        <f t="shared" si="2"/>
        <v>2.3788529214031384</v>
      </c>
      <c r="I67" s="2">
        <f t="shared" si="3"/>
        <v>84.044873713172876</v>
      </c>
      <c r="J67" s="2">
        <f t="shared" si="4"/>
        <v>10.243731883066673</v>
      </c>
      <c r="K67" s="15">
        <f t="shared" si="17"/>
        <v>0.39923433048433049</v>
      </c>
      <c r="L67" s="2">
        <f t="shared" si="14"/>
        <v>62</v>
      </c>
      <c r="M67" s="2">
        <f t="shared" si="15"/>
        <v>35.08</v>
      </c>
      <c r="N67" s="2">
        <v>12.5</v>
      </c>
      <c r="O67" s="2">
        <v>50.26548245743669</v>
      </c>
      <c r="P67" s="11">
        <f t="shared" si="5"/>
        <v>2.4867959858108648</v>
      </c>
      <c r="Q67" s="2">
        <f t="shared" si="6"/>
        <v>87.23680318224514</v>
      </c>
      <c r="R67" s="2">
        <f t="shared" si="7"/>
        <v>2.4234467528176626</v>
      </c>
      <c r="S67" s="2">
        <f t="shared" si="8"/>
        <v>85.014512088843603</v>
      </c>
      <c r="T67" s="2">
        <f t="shared" si="9"/>
        <v>2.2222910934015374</v>
      </c>
    </row>
    <row r="68" spans="1:20" x14ac:dyDescent="0.25">
      <c r="A68" s="14">
        <f t="shared" si="16"/>
        <v>0.4391559829059829</v>
      </c>
      <c r="B68" s="2">
        <f t="shared" si="11"/>
        <v>63</v>
      </c>
      <c r="C68" s="4">
        <f t="shared" si="12"/>
        <v>35.83</v>
      </c>
      <c r="D68" s="2">
        <v>11.5</v>
      </c>
      <c r="E68" s="2">
        <v>50.26548245743669</v>
      </c>
      <c r="F68" s="11">
        <f t="shared" si="0"/>
        <v>2.2878523069459957</v>
      </c>
      <c r="G68" s="2">
        <f t="shared" si="1"/>
        <v>81.973748157875022</v>
      </c>
      <c r="H68" s="2">
        <f t="shared" si="2"/>
        <v>2.3788529214031384</v>
      </c>
      <c r="I68" s="2">
        <f t="shared" si="3"/>
        <v>85.234300173874445</v>
      </c>
      <c r="J68" s="2">
        <f t="shared" si="4"/>
        <v>3.2605520159994228</v>
      </c>
      <c r="K68" s="15">
        <f t="shared" si="17"/>
        <v>0.39941239316239319</v>
      </c>
      <c r="L68" s="2">
        <f t="shared" si="14"/>
        <v>63</v>
      </c>
      <c r="M68" s="2">
        <f t="shared" si="15"/>
        <v>35.58</v>
      </c>
      <c r="N68" s="2">
        <v>13</v>
      </c>
      <c r="O68" s="2">
        <v>50.26548245743669</v>
      </c>
      <c r="P68" s="11">
        <f t="shared" si="5"/>
        <v>2.5862678252432989</v>
      </c>
      <c r="Q68" s="2">
        <f t="shared" si="6"/>
        <v>92.019409222156568</v>
      </c>
      <c r="R68" s="2">
        <f t="shared" si="7"/>
        <v>2.4234467528176626</v>
      </c>
      <c r="S68" s="2">
        <f t="shared" si="8"/>
        <v>86.226235465252429</v>
      </c>
      <c r="T68" s="2">
        <f t="shared" si="9"/>
        <v>5.7931737569041388</v>
      </c>
    </row>
    <row r="69" spans="1:20" x14ac:dyDescent="0.25">
      <c r="A69" s="14">
        <f t="shared" si="16"/>
        <v>0.43936965811965811</v>
      </c>
      <c r="B69" s="2">
        <f t="shared" si="11"/>
        <v>64</v>
      </c>
      <c r="C69" s="4">
        <f t="shared" si="12"/>
        <v>36.33</v>
      </c>
      <c r="D69" s="2">
        <v>11.5</v>
      </c>
      <c r="E69" s="2">
        <v>50.26548245743669</v>
      </c>
      <c r="F69" s="11">
        <f t="shared" si="0"/>
        <v>2.2878523069459957</v>
      </c>
      <c r="G69" s="2">
        <f t="shared" si="1"/>
        <v>83.117674311348026</v>
      </c>
      <c r="H69" s="2">
        <f t="shared" si="2"/>
        <v>2.3788529214031384</v>
      </c>
      <c r="I69" s="2">
        <f t="shared" si="3"/>
        <v>86.423726634576013</v>
      </c>
      <c r="J69" s="2">
        <f t="shared" si="4"/>
        <v>3.3060523232279877</v>
      </c>
      <c r="K69" s="15">
        <f t="shared" si="17"/>
        <v>0.39959045584045583</v>
      </c>
      <c r="L69" s="2">
        <f t="shared" si="14"/>
        <v>64</v>
      </c>
      <c r="M69" s="2">
        <f t="shared" si="15"/>
        <v>36.08</v>
      </c>
      <c r="N69" s="2">
        <v>15</v>
      </c>
      <c r="O69" s="2">
        <v>50.26548245743669</v>
      </c>
      <c r="P69" s="11">
        <f t="shared" si="5"/>
        <v>2.9841551829730379</v>
      </c>
      <c r="Q69" s="2">
        <f t="shared" si="6"/>
        <v>107.6683190016672</v>
      </c>
      <c r="R69" s="2">
        <f t="shared" si="7"/>
        <v>2.4234467528176626</v>
      </c>
      <c r="S69" s="2">
        <f t="shared" si="8"/>
        <v>87.437958841661271</v>
      </c>
      <c r="T69" s="2">
        <f t="shared" si="9"/>
        <v>20.23036016000593</v>
      </c>
    </row>
    <row r="70" spans="1:20" x14ac:dyDescent="0.25">
      <c r="A70" s="14">
        <f t="shared" si="16"/>
        <v>0.43958333333333333</v>
      </c>
      <c r="B70" s="2">
        <f t="shared" si="11"/>
        <v>65</v>
      </c>
      <c r="C70" s="4">
        <f t="shared" si="12"/>
        <v>36.83</v>
      </c>
      <c r="D70" s="2">
        <v>11.5</v>
      </c>
      <c r="E70" s="2">
        <v>50.26548245743669</v>
      </c>
      <c r="F70" s="11">
        <f t="shared" si="0"/>
        <v>2.2878523069459957</v>
      </c>
      <c r="G70" s="2">
        <f t="shared" si="1"/>
        <v>84.261600464821015</v>
      </c>
      <c r="H70" s="2">
        <f t="shared" si="2"/>
        <v>2.3788529214031384</v>
      </c>
      <c r="I70" s="2">
        <f t="shared" si="3"/>
        <v>87.613153095277582</v>
      </c>
      <c r="J70" s="2">
        <f t="shared" si="4"/>
        <v>3.3515526304565668</v>
      </c>
      <c r="K70" s="15">
        <f t="shared" si="17"/>
        <v>0.39976851851851852</v>
      </c>
      <c r="L70" s="2">
        <f t="shared" si="14"/>
        <v>65</v>
      </c>
      <c r="M70" s="2">
        <f t="shared" si="15"/>
        <v>36.58</v>
      </c>
      <c r="N70" s="2">
        <v>14</v>
      </c>
      <c r="O70" s="2">
        <v>50.26548245743669</v>
      </c>
      <c r="P70" s="11">
        <f t="shared" si="5"/>
        <v>2.7852115041081689</v>
      </c>
      <c r="Q70" s="2">
        <f t="shared" si="6"/>
        <v>101.88303682027681</v>
      </c>
      <c r="R70" s="2">
        <f t="shared" si="7"/>
        <v>2.4234467528176626</v>
      </c>
      <c r="S70" s="2">
        <f t="shared" si="8"/>
        <v>88.649682218070097</v>
      </c>
      <c r="T70" s="2">
        <f t="shared" si="9"/>
        <v>13.233354602206717</v>
      </c>
    </row>
    <row r="71" spans="1:20" x14ac:dyDescent="0.25">
      <c r="A71" s="14">
        <f t="shared" si="16"/>
        <v>0.43979700854700854</v>
      </c>
      <c r="B71" s="2">
        <f t="shared" si="11"/>
        <v>66</v>
      </c>
      <c r="C71" s="4">
        <f t="shared" si="12"/>
        <v>37.33</v>
      </c>
      <c r="D71" s="2">
        <v>12.5</v>
      </c>
      <c r="E71" s="2">
        <v>50.26548245743669</v>
      </c>
      <c r="F71" s="11">
        <f t="shared" si="0"/>
        <v>2.4867959858108648</v>
      </c>
      <c r="G71" s="2">
        <f t="shared" si="1"/>
        <v>92.832094150319577</v>
      </c>
      <c r="H71" s="2">
        <f t="shared" si="2"/>
        <v>2.3788529214031384</v>
      </c>
      <c r="I71" s="2">
        <f t="shared" si="3"/>
        <v>88.80257955597915</v>
      </c>
      <c r="J71" s="2">
        <f t="shared" si="4"/>
        <v>4.0295145943404265</v>
      </c>
      <c r="K71" s="15">
        <f t="shared" si="17"/>
        <v>0.39994658119658122</v>
      </c>
      <c r="L71" s="2">
        <f t="shared" si="14"/>
        <v>66</v>
      </c>
      <c r="M71" s="2">
        <f t="shared" si="15"/>
        <v>37.08</v>
      </c>
      <c r="N71" s="2">
        <v>13.5</v>
      </c>
      <c r="O71" s="2">
        <v>50.26548245743669</v>
      </c>
      <c r="P71" s="11">
        <f t="shared" si="5"/>
        <v>2.6857396646757339</v>
      </c>
      <c r="Q71" s="2">
        <f t="shared" si="6"/>
        <v>99.587226766176201</v>
      </c>
      <c r="R71" s="2">
        <f t="shared" si="7"/>
        <v>2.4234467528176626</v>
      </c>
      <c r="S71" s="2">
        <f t="shared" si="8"/>
        <v>89.861405594478924</v>
      </c>
      <c r="T71" s="2">
        <f t="shared" si="9"/>
        <v>9.7258211716972767</v>
      </c>
    </row>
    <row r="72" spans="1:20" x14ac:dyDescent="0.25">
      <c r="A72" s="14">
        <f t="shared" si="16"/>
        <v>0.44001068376068375</v>
      </c>
      <c r="B72" s="2">
        <f t="shared" si="11"/>
        <v>67</v>
      </c>
      <c r="C72" s="4">
        <f t="shared" si="12"/>
        <v>37.83</v>
      </c>
      <c r="D72" s="2">
        <v>12.5</v>
      </c>
      <c r="E72" s="2">
        <v>50.26548245743669</v>
      </c>
      <c r="F72" s="11">
        <f t="shared" si="0"/>
        <v>2.4867959858108648</v>
      </c>
      <c r="G72" s="2">
        <f t="shared" si="1"/>
        <v>94.075492143225006</v>
      </c>
      <c r="H72" s="2">
        <f t="shared" si="2"/>
        <v>2.3788529214031384</v>
      </c>
      <c r="I72" s="2">
        <f t="shared" si="3"/>
        <v>89.992006016680719</v>
      </c>
      <c r="J72" s="2">
        <f t="shared" si="4"/>
        <v>4.0834861265442868</v>
      </c>
      <c r="K72" s="15">
        <f t="shared" si="17"/>
        <v>0.40012464387464386</v>
      </c>
      <c r="L72" s="2">
        <f t="shared" si="14"/>
        <v>67</v>
      </c>
      <c r="M72" s="2">
        <f t="shared" si="15"/>
        <v>37.58</v>
      </c>
      <c r="N72" s="2">
        <v>18</v>
      </c>
      <c r="O72" s="2">
        <v>50.26548245743669</v>
      </c>
      <c r="P72" s="11">
        <f t="shared" si="5"/>
        <v>3.5809862195676452</v>
      </c>
      <c r="Q72" s="2">
        <f t="shared" si="6"/>
        <v>134.5734621313521</v>
      </c>
      <c r="R72" s="2">
        <f t="shared" si="7"/>
        <v>2.4234467528176626</v>
      </c>
      <c r="S72" s="2">
        <f t="shared" si="8"/>
        <v>91.073128970887751</v>
      </c>
      <c r="T72" s="2">
        <f t="shared" si="9"/>
        <v>43.500333160464351</v>
      </c>
    </row>
    <row r="73" spans="1:20" x14ac:dyDescent="0.25">
      <c r="A73" s="14">
        <f t="shared" si="16"/>
        <v>0.44022435897435896</v>
      </c>
      <c r="B73" s="2">
        <f t="shared" si="11"/>
        <v>68</v>
      </c>
      <c r="C73" s="4">
        <f t="shared" si="12"/>
        <v>38.33</v>
      </c>
      <c r="D73" s="2">
        <v>13</v>
      </c>
      <c r="E73" s="2">
        <v>50.26548245743669</v>
      </c>
      <c r="F73" s="11">
        <f t="shared" si="0"/>
        <v>2.5862678252432989</v>
      </c>
      <c r="G73" s="2">
        <f t="shared" si="1"/>
        <v>99.131645741575639</v>
      </c>
      <c r="H73" s="2">
        <f t="shared" si="2"/>
        <v>2.3788529214031384</v>
      </c>
      <c r="I73" s="2">
        <f t="shared" si="3"/>
        <v>91.181432477382288</v>
      </c>
      <c r="J73" s="2">
        <f t="shared" si="4"/>
        <v>7.9502132641933514</v>
      </c>
      <c r="K73" s="15">
        <f t="shared" si="17"/>
        <v>0.40030270655270656</v>
      </c>
      <c r="L73" s="2">
        <f t="shared" si="14"/>
        <v>68</v>
      </c>
      <c r="M73" s="2">
        <f t="shared" si="15"/>
        <v>38.08</v>
      </c>
      <c r="N73" s="2">
        <v>14</v>
      </c>
      <c r="O73" s="2">
        <v>50.26548245743669</v>
      </c>
      <c r="P73" s="11">
        <f t="shared" si="5"/>
        <v>2.7852115041081689</v>
      </c>
      <c r="Q73" s="2">
        <f t="shared" si="6"/>
        <v>106.06085407643907</v>
      </c>
      <c r="R73" s="2">
        <f t="shared" si="7"/>
        <v>2.4234467528176626</v>
      </c>
      <c r="S73" s="2">
        <f t="shared" si="8"/>
        <v>92.284852347296592</v>
      </c>
      <c r="T73" s="2">
        <f t="shared" si="9"/>
        <v>13.776001729142479</v>
      </c>
    </row>
    <row r="74" spans="1:20" x14ac:dyDescent="0.25">
      <c r="A74" s="14">
        <f t="shared" si="16"/>
        <v>0.44043803418803418</v>
      </c>
      <c r="B74" s="2">
        <f t="shared" si="11"/>
        <v>69</v>
      </c>
      <c r="C74" s="4">
        <f t="shared" si="12"/>
        <v>38.83</v>
      </c>
      <c r="D74" s="2">
        <v>11.5</v>
      </c>
      <c r="E74" s="2">
        <v>50.26548245743669</v>
      </c>
      <c r="F74" s="11">
        <f t="shared" si="0"/>
        <v>2.2878523069459957</v>
      </c>
      <c r="G74" s="2">
        <f t="shared" si="1"/>
        <v>88.837305078713015</v>
      </c>
      <c r="H74" s="2">
        <f t="shared" si="2"/>
        <v>2.3788529214031384</v>
      </c>
      <c r="I74" s="2">
        <f t="shared" si="3"/>
        <v>92.370858938083856</v>
      </c>
      <c r="J74" s="2">
        <f t="shared" si="4"/>
        <v>3.5335538593708407</v>
      </c>
      <c r="K74" s="15">
        <f t="shared" si="17"/>
        <v>0.40048076923076925</v>
      </c>
      <c r="L74" s="2">
        <f t="shared" si="14"/>
        <v>69</v>
      </c>
      <c r="M74" s="2">
        <f t="shared" si="15"/>
        <v>38.58</v>
      </c>
      <c r="N74" s="2">
        <v>13</v>
      </c>
      <c r="O74" s="2">
        <v>50.26548245743669</v>
      </c>
      <c r="P74" s="11">
        <f t="shared" si="5"/>
        <v>2.5862678252432989</v>
      </c>
      <c r="Q74" s="2">
        <f t="shared" si="6"/>
        <v>99.778212697886474</v>
      </c>
      <c r="R74" s="2">
        <f t="shared" si="7"/>
        <v>2.4234467528176626</v>
      </c>
      <c r="S74" s="2">
        <f t="shared" si="8"/>
        <v>93.496575723705419</v>
      </c>
      <c r="T74" s="2">
        <f t="shared" si="9"/>
        <v>6.2816369741810547</v>
      </c>
    </row>
    <row r="75" spans="1:20" x14ac:dyDescent="0.25">
      <c r="A75" s="14">
        <f t="shared" si="16"/>
        <v>0.44065170940170939</v>
      </c>
      <c r="B75" s="2">
        <f t="shared" si="11"/>
        <v>70</v>
      </c>
      <c r="C75" s="4">
        <f t="shared" si="12"/>
        <v>39.33</v>
      </c>
      <c r="D75" s="2">
        <v>12</v>
      </c>
      <c r="E75" s="2">
        <v>50.26548245743669</v>
      </c>
      <c r="F75" s="11">
        <f t="shared" si="0"/>
        <v>2.3873241463784298</v>
      </c>
      <c r="G75" s="2">
        <f t="shared" si="1"/>
        <v>93.893458677063634</v>
      </c>
      <c r="H75" s="2">
        <f t="shared" si="2"/>
        <v>2.3788529214031384</v>
      </c>
      <c r="I75" s="2">
        <f t="shared" si="3"/>
        <v>93.560285398785425</v>
      </c>
      <c r="J75" s="2">
        <f t="shared" si="4"/>
        <v>0.33317327827820975</v>
      </c>
      <c r="K75" s="15">
        <f t="shared" si="17"/>
        <v>0.40065883190883189</v>
      </c>
      <c r="L75" s="2">
        <f t="shared" si="14"/>
        <v>70</v>
      </c>
      <c r="M75" s="2">
        <f t="shared" si="15"/>
        <v>39.08</v>
      </c>
      <c r="N75" s="2">
        <v>13.5</v>
      </c>
      <c r="O75" s="2">
        <v>50.26548245743669</v>
      </c>
      <c r="P75" s="11">
        <f t="shared" si="5"/>
        <v>2.6857396646757339</v>
      </c>
      <c r="Q75" s="2">
        <f t="shared" si="6"/>
        <v>104.95870609552767</v>
      </c>
      <c r="R75" s="2">
        <f t="shared" si="7"/>
        <v>2.4234467528176626</v>
      </c>
      <c r="S75" s="2">
        <f t="shared" si="8"/>
        <v>94.708299100114246</v>
      </c>
      <c r="T75" s="2">
        <f t="shared" si="9"/>
        <v>10.250406995413428</v>
      </c>
    </row>
    <row r="76" spans="1:20" x14ac:dyDescent="0.25">
      <c r="A76" s="14">
        <f t="shared" si="16"/>
        <v>0.4408653846153846</v>
      </c>
      <c r="B76" s="2">
        <f t="shared" si="11"/>
        <v>71</v>
      </c>
      <c r="C76" s="4">
        <f t="shared" si="12"/>
        <v>39.83</v>
      </c>
      <c r="D76" s="2">
        <v>13.5</v>
      </c>
      <c r="E76" s="2">
        <v>50.26548245743669</v>
      </c>
      <c r="F76" s="11">
        <f t="shared" si="0"/>
        <v>2.6857396646757339</v>
      </c>
      <c r="G76" s="2">
        <f t="shared" si="1"/>
        <v>106.97301084403448</v>
      </c>
      <c r="H76" s="2">
        <f t="shared" si="2"/>
        <v>2.3788529214031384</v>
      </c>
      <c r="I76" s="2">
        <f t="shared" si="3"/>
        <v>94.749711859486993</v>
      </c>
      <c r="J76" s="2">
        <f t="shared" si="4"/>
        <v>12.223298984547483</v>
      </c>
      <c r="K76" s="15">
        <f t="shared" si="17"/>
        <v>0.40083689458689459</v>
      </c>
      <c r="L76" s="2">
        <f t="shared" si="14"/>
        <v>71</v>
      </c>
      <c r="M76" s="2">
        <f t="shared" si="15"/>
        <v>39.58</v>
      </c>
      <c r="N76" s="2">
        <v>14</v>
      </c>
      <c r="O76" s="2">
        <v>50.26548245743669</v>
      </c>
      <c r="P76" s="11">
        <f t="shared" si="5"/>
        <v>2.7852115041081689</v>
      </c>
      <c r="Q76" s="2">
        <f t="shared" si="6"/>
        <v>110.23867133260131</v>
      </c>
      <c r="R76" s="2">
        <f t="shared" si="7"/>
        <v>2.4234467528176626</v>
      </c>
      <c r="S76" s="2">
        <f t="shared" si="8"/>
        <v>95.920022476523087</v>
      </c>
      <c r="T76" s="2">
        <f t="shared" si="9"/>
        <v>14.318648856078227</v>
      </c>
    </row>
    <row r="77" spans="1:20" x14ac:dyDescent="0.25">
      <c r="A77" s="14">
        <f t="shared" si="16"/>
        <v>0.44107905982905982</v>
      </c>
      <c r="B77" s="2">
        <f t="shared" si="11"/>
        <v>72</v>
      </c>
      <c r="C77" s="4">
        <f t="shared" si="12"/>
        <v>40.33</v>
      </c>
      <c r="D77" s="2">
        <v>12</v>
      </c>
      <c r="E77" s="2">
        <v>50.26548245743669</v>
      </c>
      <c r="F77" s="11">
        <f t="shared" si="0"/>
        <v>2.3873241463784298</v>
      </c>
      <c r="G77" s="2">
        <f t="shared" si="1"/>
        <v>96.280782823442067</v>
      </c>
      <c r="H77" s="2">
        <f t="shared" si="2"/>
        <v>2.3788529214031384</v>
      </c>
      <c r="I77" s="2">
        <f t="shared" si="3"/>
        <v>95.939138320188562</v>
      </c>
      <c r="J77" s="2">
        <f t="shared" si="4"/>
        <v>0.34164450325350515</v>
      </c>
      <c r="K77" s="15">
        <f t="shared" si="17"/>
        <v>0.40101495726495728</v>
      </c>
      <c r="L77" s="2">
        <f t="shared" si="14"/>
        <v>72</v>
      </c>
      <c r="M77" s="2">
        <f t="shared" si="15"/>
        <v>40.08</v>
      </c>
      <c r="N77" s="2">
        <v>13</v>
      </c>
      <c r="O77" s="2">
        <v>50.26548245743669</v>
      </c>
      <c r="P77" s="11">
        <f t="shared" si="5"/>
        <v>2.5862678252432989</v>
      </c>
      <c r="Q77" s="2">
        <f t="shared" si="6"/>
        <v>103.65761443575141</v>
      </c>
      <c r="R77" s="2">
        <f t="shared" si="7"/>
        <v>2.4234467528176626</v>
      </c>
      <c r="S77" s="2">
        <f t="shared" si="8"/>
        <v>97.131745852931914</v>
      </c>
      <c r="T77" s="2">
        <f t="shared" si="9"/>
        <v>6.5258685828194984</v>
      </c>
    </row>
    <row r="78" spans="1:20" x14ac:dyDescent="0.25">
      <c r="A78" s="14">
        <f t="shared" si="16"/>
        <v>0.44129273504273503</v>
      </c>
      <c r="B78" s="2">
        <f t="shared" si="11"/>
        <v>73</v>
      </c>
      <c r="C78" s="4">
        <f t="shared" si="12"/>
        <v>40.83</v>
      </c>
      <c r="D78" s="2">
        <v>13</v>
      </c>
      <c r="E78" s="2">
        <v>50.26548245743669</v>
      </c>
      <c r="F78" s="11">
        <f t="shared" si="0"/>
        <v>2.5862678252432989</v>
      </c>
      <c r="G78" s="2">
        <f t="shared" si="1"/>
        <v>105.59731530468389</v>
      </c>
      <c r="H78" s="2">
        <f t="shared" si="2"/>
        <v>2.3788529214031384</v>
      </c>
      <c r="I78" s="2">
        <f t="shared" si="3"/>
        <v>97.128564780890144</v>
      </c>
      <c r="J78" s="2">
        <f t="shared" si="4"/>
        <v>8.4687505237937444</v>
      </c>
      <c r="K78" s="15">
        <f t="shared" si="17"/>
        <v>0.40119301994301998</v>
      </c>
      <c r="L78" s="2">
        <f t="shared" si="14"/>
        <v>73</v>
      </c>
      <c r="M78" s="2">
        <f t="shared" si="15"/>
        <v>40.58</v>
      </c>
      <c r="N78" s="2">
        <v>13.5</v>
      </c>
      <c r="O78" s="2">
        <v>50.26548245743669</v>
      </c>
      <c r="P78" s="11">
        <f t="shared" si="5"/>
        <v>2.6857396646757339</v>
      </c>
      <c r="Q78" s="2">
        <f t="shared" si="6"/>
        <v>108.98731559254128</v>
      </c>
      <c r="R78" s="2">
        <f t="shared" si="7"/>
        <v>2.4234467528176626</v>
      </c>
      <c r="S78" s="2">
        <f t="shared" si="8"/>
        <v>98.343469229340741</v>
      </c>
      <c r="T78" s="2">
        <f t="shared" si="9"/>
        <v>10.643846363200538</v>
      </c>
    </row>
    <row r="79" spans="1:20" x14ac:dyDescent="0.25">
      <c r="A79" s="14">
        <f t="shared" si="16"/>
        <v>0.44150641025641024</v>
      </c>
      <c r="B79" s="2">
        <f t="shared" si="11"/>
        <v>74</v>
      </c>
      <c r="C79" s="4">
        <f t="shared" si="12"/>
        <v>41.33</v>
      </c>
      <c r="D79" s="2">
        <v>11.5</v>
      </c>
      <c r="E79" s="2">
        <v>50.26548245743669</v>
      </c>
      <c r="F79" s="11">
        <f t="shared" si="0"/>
        <v>2.2878523069459957</v>
      </c>
      <c r="G79" s="2">
        <f t="shared" si="1"/>
        <v>94.556935846078005</v>
      </c>
      <c r="H79" s="2">
        <f t="shared" si="2"/>
        <v>2.3788529214031384</v>
      </c>
      <c r="I79" s="2">
        <f t="shared" si="3"/>
        <v>98.317991241591713</v>
      </c>
      <c r="J79" s="2">
        <f t="shared" si="4"/>
        <v>3.7610553955137078</v>
      </c>
      <c r="K79" s="15">
        <f t="shared" si="17"/>
        <v>0.40137108262108262</v>
      </c>
      <c r="L79" s="2">
        <f t="shared" si="14"/>
        <v>74</v>
      </c>
      <c r="M79" s="2">
        <f t="shared" si="15"/>
        <v>41.08</v>
      </c>
      <c r="N79" s="2">
        <v>14</v>
      </c>
      <c r="O79" s="2">
        <v>50.26548245743669</v>
      </c>
      <c r="P79" s="11">
        <f t="shared" si="5"/>
        <v>2.7852115041081689</v>
      </c>
      <c r="Q79" s="2">
        <f t="shared" si="6"/>
        <v>114.41648858876357</v>
      </c>
      <c r="R79" s="2">
        <f t="shared" si="7"/>
        <v>2.4234467528176626</v>
      </c>
      <c r="S79" s="2">
        <f t="shared" si="8"/>
        <v>99.555192605749582</v>
      </c>
      <c r="T79" s="2">
        <f t="shared" si="9"/>
        <v>14.861295983013989</v>
      </c>
    </row>
    <row r="80" spans="1:20" x14ac:dyDescent="0.25">
      <c r="A80" s="14">
        <f t="shared" si="16"/>
        <v>0.44172008547008546</v>
      </c>
      <c r="B80" s="2">
        <f t="shared" si="11"/>
        <v>75</v>
      </c>
      <c r="C80" s="4">
        <f t="shared" si="12"/>
        <v>41.83</v>
      </c>
      <c r="D80" s="2">
        <v>20</v>
      </c>
      <c r="E80" s="2">
        <v>50.26548245743669</v>
      </c>
      <c r="F80" s="11">
        <f t="shared" si="0"/>
        <v>3.9788735772973838</v>
      </c>
      <c r="G80" s="2">
        <f t="shared" si="1"/>
        <v>166.43628173834955</v>
      </c>
      <c r="H80" s="2">
        <f t="shared" si="2"/>
        <v>2.3788529214031384</v>
      </c>
      <c r="I80" s="2">
        <f t="shared" si="3"/>
        <v>99.507417702293282</v>
      </c>
      <c r="J80" s="2">
        <f t="shared" si="4"/>
        <v>66.928864036056268</v>
      </c>
      <c r="K80" s="15">
        <f t="shared" si="17"/>
        <v>0.40154914529914532</v>
      </c>
      <c r="L80" s="2">
        <f t="shared" si="14"/>
        <v>75</v>
      </c>
      <c r="M80" s="2">
        <f t="shared" si="15"/>
        <v>41.58</v>
      </c>
      <c r="N80" s="2">
        <v>13.5</v>
      </c>
      <c r="O80" s="2">
        <v>50.26548245743669</v>
      </c>
      <c r="P80" s="11">
        <f t="shared" si="5"/>
        <v>2.6857396646757339</v>
      </c>
      <c r="Q80" s="2">
        <f t="shared" si="6"/>
        <v>111.67305525721702</v>
      </c>
      <c r="R80" s="2">
        <f t="shared" si="7"/>
        <v>2.4234467528176626</v>
      </c>
      <c r="S80" s="2">
        <f t="shared" si="8"/>
        <v>100.76691598215841</v>
      </c>
      <c r="T80" s="2">
        <f t="shared" si="9"/>
        <v>10.906139275058607</v>
      </c>
    </row>
    <row r="81" spans="1:20" x14ac:dyDescent="0.25">
      <c r="A81" s="14">
        <f t="shared" si="16"/>
        <v>0.44193376068376067</v>
      </c>
      <c r="B81" s="2">
        <f t="shared" si="11"/>
        <v>76</v>
      </c>
      <c r="C81" s="4">
        <f t="shared" si="12"/>
        <v>42.33</v>
      </c>
      <c r="D81" s="2">
        <v>13</v>
      </c>
      <c r="E81" s="2">
        <v>50.26548245743669</v>
      </c>
      <c r="F81" s="11">
        <f t="shared" si="0"/>
        <v>2.5862678252432989</v>
      </c>
      <c r="G81" s="2">
        <f t="shared" si="1"/>
        <v>109.47671704254884</v>
      </c>
      <c r="H81" s="2">
        <f t="shared" si="2"/>
        <v>2.3788529214031384</v>
      </c>
      <c r="I81" s="2">
        <f t="shared" si="3"/>
        <v>100.69684416299485</v>
      </c>
      <c r="J81" s="2">
        <f t="shared" si="4"/>
        <v>8.7798728795539915</v>
      </c>
      <c r="K81" s="15">
        <f t="shared" si="17"/>
        <v>0.40172720797720801</v>
      </c>
      <c r="L81" s="2">
        <f t="shared" si="14"/>
        <v>76</v>
      </c>
      <c r="M81" s="2">
        <f t="shared" si="15"/>
        <v>42.08</v>
      </c>
      <c r="N81" s="2">
        <v>13.5</v>
      </c>
      <c r="O81" s="2">
        <v>50.26548245743669</v>
      </c>
      <c r="P81" s="11">
        <f t="shared" si="5"/>
        <v>2.6857396646757339</v>
      </c>
      <c r="Q81" s="2">
        <f t="shared" si="6"/>
        <v>113.01592508955488</v>
      </c>
      <c r="R81" s="2">
        <f t="shared" si="7"/>
        <v>2.4234467528176626</v>
      </c>
      <c r="S81" s="2">
        <f t="shared" si="8"/>
        <v>101.97863935856724</v>
      </c>
      <c r="T81" s="2">
        <f t="shared" si="9"/>
        <v>11.037285730987648</v>
      </c>
    </row>
    <row r="82" spans="1:20" x14ac:dyDescent="0.25">
      <c r="A82" s="14">
        <f t="shared" si="16"/>
        <v>0.44214743589743588</v>
      </c>
      <c r="B82" s="2">
        <f t="shared" si="11"/>
        <v>77</v>
      </c>
      <c r="C82" s="4">
        <f t="shared" si="12"/>
        <v>42.83</v>
      </c>
      <c r="D82" s="2">
        <v>12.5</v>
      </c>
      <c r="E82" s="2">
        <v>50.26548245743669</v>
      </c>
      <c r="F82" s="11">
        <f t="shared" si="0"/>
        <v>2.4867959858108648</v>
      </c>
      <c r="G82" s="2">
        <f t="shared" si="1"/>
        <v>106.50947207227934</v>
      </c>
      <c r="H82" s="2">
        <f t="shared" si="2"/>
        <v>2.3788529214031384</v>
      </c>
      <c r="I82" s="2">
        <f t="shared" si="3"/>
        <v>101.88627062369642</v>
      </c>
      <c r="J82" s="2">
        <f t="shared" si="4"/>
        <v>4.6232014485829183</v>
      </c>
      <c r="K82" s="15">
        <f t="shared" si="17"/>
        <v>0.40190527065527065</v>
      </c>
      <c r="L82" s="2">
        <f t="shared" si="14"/>
        <v>77</v>
      </c>
      <c r="M82" s="2">
        <f t="shared" si="15"/>
        <v>42.58</v>
      </c>
      <c r="N82" s="2">
        <v>13.5</v>
      </c>
      <c r="O82" s="2">
        <v>50.26548245743669</v>
      </c>
      <c r="P82" s="11">
        <f t="shared" si="5"/>
        <v>2.6857396646757339</v>
      </c>
      <c r="Q82" s="2">
        <f t="shared" si="6"/>
        <v>114.35879492189274</v>
      </c>
      <c r="R82" s="2">
        <f t="shared" si="7"/>
        <v>2.4234467528176626</v>
      </c>
      <c r="S82" s="2">
        <f t="shared" si="8"/>
        <v>103.19036273497608</v>
      </c>
      <c r="T82" s="2">
        <f t="shared" si="9"/>
        <v>11.168432186916661</v>
      </c>
    </row>
    <row r="83" spans="1:20" x14ac:dyDescent="0.25">
      <c r="A83" s="10">
        <v>0.44236111111111109</v>
      </c>
      <c r="B83" s="2">
        <f t="shared" si="11"/>
        <v>78</v>
      </c>
      <c r="C83" s="4">
        <f t="shared" si="12"/>
        <v>43.33</v>
      </c>
      <c r="D83" s="2">
        <v>12</v>
      </c>
      <c r="E83" s="2">
        <v>50.26548245743669</v>
      </c>
      <c r="F83" s="11">
        <f t="shared" si="0"/>
        <v>2.3873241463784298</v>
      </c>
      <c r="G83" s="2">
        <f t="shared" si="1"/>
        <v>103.44275526257736</v>
      </c>
      <c r="H83" s="2">
        <f t="shared" si="2"/>
        <v>2.3788529214031384</v>
      </c>
      <c r="I83" s="2">
        <f t="shared" si="3"/>
        <v>103.07569708439799</v>
      </c>
      <c r="J83" s="2">
        <f t="shared" si="4"/>
        <v>0.36705817817937714</v>
      </c>
      <c r="K83" s="12">
        <v>0.40208333333333335</v>
      </c>
      <c r="L83" s="2">
        <f t="shared" si="14"/>
        <v>78</v>
      </c>
      <c r="M83" s="2">
        <f t="shared" si="15"/>
        <v>43.08</v>
      </c>
      <c r="N83" s="2">
        <v>13</v>
      </c>
      <c r="O83" s="2">
        <v>50.26548245743669</v>
      </c>
      <c r="P83" s="11">
        <f t="shared" si="5"/>
        <v>2.5862678252432989</v>
      </c>
      <c r="Q83" s="2">
        <f t="shared" si="6"/>
        <v>111.41641791148132</v>
      </c>
      <c r="R83" s="2">
        <f t="shared" si="7"/>
        <v>2.4234467528176626</v>
      </c>
      <c r="S83" s="2">
        <f t="shared" si="8"/>
        <v>104.4020861113849</v>
      </c>
      <c r="T83" s="2">
        <f t="shared" si="9"/>
        <v>7.0143318000964143</v>
      </c>
    </row>
    <row r="84" spans="1:20" x14ac:dyDescent="0.25">
      <c r="A84" s="14">
        <f t="shared" ref="A84:A121" si="18">IF(AND($A$83&lt;&gt;"",$A$122&lt;&gt;""), $A$83 + (B84 - $B$83) * (($A$122 - $A$83) / ($B$122 - $B$83)), "")</f>
        <v>0.44257478632478631</v>
      </c>
      <c r="B84" s="2">
        <f t="shared" si="11"/>
        <v>79</v>
      </c>
      <c r="C84" s="4">
        <f t="shared" si="12"/>
        <v>43.83</v>
      </c>
      <c r="D84" s="2">
        <v>13</v>
      </c>
      <c r="E84" s="2">
        <v>50.26548245743669</v>
      </c>
      <c r="F84" s="11">
        <f t="shared" si="0"/>
        <v>2.5862678252432989</v>
      </c>
      <c r="G84" s="2">
        <f t="shared" si="1"/>
        <v>113.35611878041378</v>
      </c>
      <c r="H84" s="2">
        <f t="shared" si="2"/>
        <v>2.3788529214031384</v>
      </c>
      <c r="I84" s="2">
        <f t="shared" si="3"/>
        <v>104.26512354509956</v>
      </c>
      <c r="J84" s="2">
        <f t="shared" si="4"/>
        <v>9.0909952353142245</v>
      </c>
      <c r="K84" s="15">
        <f t="shared" ref="K84:K121" si="19">IF(AND($K$83&lt;&gt;"",$K$122&lt;&gt;""), $K$83 + (L84 - $L$83) * (($K$122 - $K$83) / ($L$122 - $L$83)), "")</f>
        <v>0.40229700854700856</v>
      </c>
      <c r="L84" s="2">
        <f t="shared" si="14"/>
        <v>79</v>
      </c>
      <c r="M84" s="2">
        <f t="shared" si="15"/>
        <v>43.58</v>
      </c>
      <c r="N84" s="2">
        <v>13</v>
      </c>
      <c r="O84" s="2">
        <v>50.26548245743669</v>
      </c>
      <c r="P84" s="11">
        <f t="shared" si="5"/>
        <v>2.5862678252432989</v>
      </c>
      <c r="Q84" s="2">
        <f t="shared" si="6"/>
        <v>112.70955182410296</v>
      </c>
      <c r="R84" s="2">
        <f t="shared" si="7"/>
        <v>2.4234467528176626</v>
      </c>
      <c r="S84" s="2">
        <f t="shared" si="8"/>
        <v>105.61380948779373</v>
      </c>
      <c r="T84" s="2">
        <f t="shared" si="9"/>
        <v>7.0957423363092289</v>
      </c>
    </row>
    <row r="85" spans="1:20" x14ac:dyDescent="0.25">
      <c r="A85" s="14">
        <f t="shared" si="18"/>
        <v>0.44278846153846152</v>
      </c>
      <c r="B85" s="2">
        <f t="shared" si="11"/>
        <v>80</v>
      </c>
      <c r="C85" s="4">
        <f t="shared" si="12"/>
        <v>44.33</v>
      </c>
      <c r="D85" s="2">
        <v>12.5</v>
      </c>
      <c r="E85" s="2">
        <v>50.26548245743669</v>
      </c>
      <c r="F85" s="11">
        <f t="shared" si="0"/>
        <v>2.4867959858108648</v>
      </c>
      <c r="G85" s="2">
        <f t="shared" si="1"/>
        <v>110.23966605099564</v>
      </c>
      <c r="H85" s="2">
        <f t="shared" si="2"/>
        <v>2.3788529214031384</v>
      </c>
      <c r="I85" s="2">
        <f t="shared" si="3"/>
        <v>105.45455000580112</v>
      </c>
      <c r="J85" s="2">
        <f t="shared" si="4"/>
        <v>4.7851160451945134</v>
      </c>
      <c r="K85" s="15">
        <f t="shared" si="19"/>
        <v>0.40251068376068377</v>
      </c>
      <c r="L85" s="2">
        <f t="shared" si="14"/>
        <v>80</v>
      </c>
      <c r="M85" s="2">
        <f t="shared" si="15"/>
        <v>44.08</v>
      </c>
      <c r="N85" s="2">
        <v>14</v>
      </c>
      <c r="O85" s="2">
        <v>50.26548245743669</v>
      </c>
      <c r="P85" s="11">
        <f t="shared" si="5"/>
        <v>2.7852115041081689</v>
      </c>
      <c r="Q85" s="2">
        <f t="shared" si="6"/>
        <v>122.77212310108808</v>
      </c>
      <c r="R85" s="2">
        <f t="shared" si="7"/>
        <v>2.4234467528176626</v>
      </c>
      <c r="S85" s="2">
        <f t="shared" si="8"/>
        <v>106.82553286420257</v>
      </c>
      <c r="T85" s="2">
        <f t="shared" si="9"/>
        <v>15.946590236885513</v>
      </c>
    </row>
    <row r="86" spans="1:20" x14ac:dyDescent="0.25">
      <c r="A86" s="14">
        <f t="shared" si="18"/>
        <v>0.44300213675213673</v>
      </c>
      <c r="B86" s="2">
        <f t="shared" si="11"/>
        <v>81</v>
      </c>
      <c r="C86" s="4">
        <f t="shared" si="12"/>
        <v>44.83</v>
      </c>
      <c r="D86" s="2">
        <v>13</v>
      </c>
      <c r="E86" s="2">
        <v>50.26548245743669</v>
      </c>
      <c r="F86" s="11">
        <f t="shared" si="0"/>
        <v>2.5862678252432989</v>
      </c>
      <c r="G86" s="2">
        <f t="shared" si="1"/>
        <v>115.94238660565709</v>
      </c>
      <c r="H86" s="2">
        <f t="shared" si="2"/>
        <v>2.3788529214031384</v>
      </c>
      <c r="I86" s="2">
        <f t="shared" si="3"/>
        <v>106.64397646650269</v>
      </c>
      <c r="J86" s="2">
        <f t="shared" si="4"/>
        <v>9.2984101391543987</v>
      </c>
      <c r="K86" s="15">
        <f t="shared" si="19"/>
        <v>0.40272435897435899</v>
      </c>
      <c r="L86" s="2">
        <f t="shared" si="14"/>
        <v>81</v>
      </c>
      <c r="M86" s="2">
        <f t="shared" si="15"/>
        <v>44.58</v>
      </c>
      <c r="N86" s="2">
        <v>13</v>
      </c>
      <c r="O86" s="2">
        <v>50.26548245743669</v>
      </c>
      <c r="P86" s="11">
        <f t="shared" si="5"/>
        <v>2.5862678252432989</v>
      </c>
      <c r="Q86" s="2">
        <f t="shared" si="6"/>
        <v>115.29581964934626</v>
      </c>
      <c r="R86" s="2">
        <f t="shared" si="7"/>
        <v>2.4234467528176626</v>
      </c>
      <c r="S86" s="2">
        <f t="shared" si="8"/>
        <v>108.0372562406114</v>
      </c>
      <c r="T86" s="2">
        <f t="shared" si="9"/>
        <v>7.2585634087348581</v>
      </c>
    </row>
    <row r="87" spans="1:20" x14ac:dyDescent="0.25">
      <c r="A87" s="14">
        <f t="shared" si="18"/>
        <v>0.44321581196581195</v>
      </c>
      <c r="B87" s="2">
        <f t="shared" si="11"/>
        <v>82</v>
      </c>
      <c r="C87" s="4">
        <f t="shared" si="12"/>
        <v>45.33</v>
      </c>
      <c r="D87" s="2">
        <v>13</v>
      </c>
      <c r="E87" s="2">
        <v>50.26548245743669</v>
      </c>
      <c r="F87" s="11">
        <f t="shared" si="0"/>
        <v>2.5862678252432989</v>
      </c>
      <c r="G87" s="2">
        <f t="shared" si="1"/>
        <v>117.23552051827873</v>
      </c>
      <c r="H87" s="2">
        <f t="shared" si="2"/>
        <v>2.3788529214031384</v>
      </c>
      <c r="I87" s="2">
        <f t="shared" si="3"/>
        <v>107.83340292720426</v>
      </c>
      <c r="J87" s="2">
        <f t="shared" si="4"/>
        <v>9.4021175910744716</v>
      </c>
      <c r="K87" s="15">
        <f t="shared" si="19"/>
        <v>0.4029380341880342</v>
      </c>
      <c r="L87" s="2">
        <f t="shared" si="14"/>
        <v>82</v>
      </c>
      <c r="M87" s="2">
        <f t="shared" si="15"/>
        <v>45.08</v>
      </c>
      <c r="N87" s="2">
        <v>13</v>
      </c>
      <c r="O87" s="2">
        <v>50.26548245743669</v>
      </c>
      <c r="P87" s="11">
        <f t="shared" si="5"/>
        <v>2.5862678252432989</v>
      </c>
      <c r="Q87" s="2">
        <f t="shared" si="6"/>
        <v>116.58895356196791</v>
      </c>
      <c r="R87" s="2">
        <f t="shared" si="7"/>
        <v>2.4234467528176626</v>
      </c>
      <c r="S87" s="2">
        <f t="shared" si="8"/>
        <v>109.24897961702023</v>
      </c>
      <c r="T87" s="2">
        <f t="shared" si="9"/>
        <v>7.3399739449476868</v>
      </c>
    </row>
    <row r="88" spans="1:20" x14ac:dyDescent="0.25">
      <c r="A88" s="14">
        <f t="shared" si="18"/>
        <v>0.44342948717948716</v>
      </c>
      <c r="B88" s="2">
        <f t="shared" si="11"/>
        <v>83</v>
      </c>
      <c r="C88" s="4">
        <f t="shared" si="12"/>
        <v>45.83</v>
      </c>
      <c r="D88" s="2">
        <v>12.5</v>
      </c>
      <c r="E88" s="2">
        <v>50.26548245743669</v>
      </c>
      <c r="F88" s="11">
        <f t="shared" si="0"/>
        <v>2.4867959858108648</v>
      </c>
      <c r="G88" s="2">
        <f t="shared" si="1"/>
        <v>113.96986002971192</v>
      </c>
      <c r="H88" s="2">
        <f t="shared" si="2"/>
        <v>2.3788529214031384</v>
      </c>
      <c r="I88" s="2">
        <f t="shared" si="3"/>
        <v>109.02282938790583</v>
      </c>
      <c r="J88" s="2">
        <f t="shared" si="4"/>
        <v>4.9470306418060943</v>
      </c>
      <c r="K88" s="15">
        <f t="shared" si="19"/>
        <v>0.40315170940170941</v>
      </c>
      <c r="L88" s="2">
        <f t="shared" si="14"/>
        <v>83</v>
      </c>
      <c r="M88" s="2">
        <f t="shared" si="15"/>
        <v>45.58</v>
      </c>
      <c r="N88" s="2">
        <v>13</v>
      </c>
      <c r="O88" s="2">
        <v>50.26548245743669</v>
      </c>
      <c r="P88" s="11">
        <f t="shared" si="5"/>
        <v>2.5862678252432989</v>
      </c>
      <c r="Q88" s="2">
        <f t="shared" si="6"/>
        <v>117.88208747458955</v>
      </c>
      <c r="R88" s="2">
        <f t="shared" si="7"/>
        <v>2.4234467528176626</v>
      </c>
      <c r="S88" s="2">
        <f t="shared" si="8"/>
        <v>110.46070299342905</v>
      </c>
      <c r="T88" s="2">
        <f t="shared" si="9"/>
        <v>7.4213844811605014</v>
      </c>
    </row>
    <row r="89" spans="1:20" x14ac:dyDescent="0.25">
      <c r="A89" s="14">
        <f t="shared" si="18"/>
        <v>0.44364316239316237</v>
      </c>
      <c r="B89" s="2">
        <f t="shared" si="11"/>
        <v>84</v>
      </c>
      <c r="C89" s="4">
        <f t="shared" si="12"/>
        <v>46.33</v>
      </c>
      <c r="D89" s="2">
        <v>13</v>
      </c>
      <c r="E89" s="2">
        <v>50.26548245743669</v>
      </c>
      <c r="F89" s="11">
        <f t="shared" si="0"/>
        <v>2.5862678252432989</v>
      </c>
      <c r="G89" s="2">
        <f t="shared" si="1"/>
        <v>119.82178834352203</v>
      </c>
      <c r="H89" s="2">
        <f t="shared" si="2"/>
        <v>2.3788529214031384</v>
      </c>
      <c r="I89" s="2">
        <f t="shared" si="3"/>
        <v>110.2122558486074</v>
      </c>
      <c r="J89" s="2">
        <f t="shared" si="4"/>
        <v>9.6095324949146317</v>
      </c>
      <c r="K89" s="15">
        <f t="shared" si="19"/>
        <v>0.40336538461538463</v>
      </c>
      <c r="L89" s="2">
        <f t="shared" si="14"/>
        <v>84</v>
      </c>
      <c r="M89" s="2">
        <f t="shared" si="15"/>
        <v>46.08</v>
      </c>
      <c r="N89" s="2">
        <v>13.5</v>
      </c>
      <c r="O89" s="2">
        <v>50.26548245743669</v>
      </c>
      <c r="P89" s="11">
        <f t="shared" si="5"/>
        <v>2.6857396646757339</v>
      </c>
      <c r="Q89" s="2">
        <f t="shared" si="6"/>
        <v>123.75888374825782</v>
      </c>
      <c r="R89" s="2">
        <f t="shared" si="7"/>
        <v>2.4234467528176626</v>
      </c>
      <c r="S89" s="2">
        <f t="shared" si="8"/>
        <v>111.67242636983789</v>
      </c>
      <c r="T89" s="2">
        <f t="shared" si="9"/>
        <v>12.086457378419922</v>
      </c>
    </row>
    <row r="90" spans="1:20" x14ac:dyDescent="0.25">
      <c r="A90" s="14">
        <f t="shared" si="18"/>
        <v>0.44385683760683758</v>
      </c>
      <c r="B90" s="2">
        <f t="shared" si="11"/>
        <v>85</v>
      </c>
      <c r="C90" s="4">
        <f t="shared" si="12"/>
        <v>46.83</v>
      </c>
      <c r="D90" s="2">
        <v>12</v>
      </c>
      <c r="E90" s="2">
        <v>50.26548245743669</v>
      </c>
      <c r="F90" s="11">
        <f t="shared" si="0"/>
        <v>2.3873241463784298</v>
      </c>
      <c r="G90" s="2">
        <f t="shared" si="1"/>
        <v>111.79838977490186</v>
      </c>
      <c r="H90" s="2">
        <f t="shared" si="2"/>
        <v>2.3788529214031384</v>
      </c>
      <c r="I90" s="2">
        <f t="shared" si="3"/>
        <v>111.40168230930897</v>
      </c>
      <c r="J90" s="2">
        <f t="shared" si="4"/>
        <v>0.39670746559289682</v>
      </c>
      <c r="K90" s="15">
        <f t="shared" si="19"/>
        <v>0.40357905982905984</v>
      </c>
      <c r="L90" s="2">
        <f t="shared" si="14"/>
        <v>85</v>
      </c>
      <c r="M90" s="2">
        <f t="shared" si="15"/>
        <v>46.58</v>
      </c>
      <c r="N90" s="2">
        <v>12.5</v>
      </c>
      <c r="O90" s="2">
        <v>50.26548245743669</v>
      </c>
      <c r="P90" s="11">
        <f t="shared" si="5"/>
        <v>2.4867959858108648</v>
      </c>
      <c r="Q90" s="2">
        <f t="shared" si="6"/>
        <v>115.83495701907007</v>
      </c>
      <c r="R90" s="2">
        <f t="shared" si="7"/>
        <v>2.4234467528176626</v>
      </c>
      <c r="S90" s="2">
        <f t="shared" si="8"/>
        <v>112.88414974624672</v>
      </c>
      <c r="T90" s="2">
        <f t="shared" si="9"/>
        <v>2.9508072728233543</v>
      </c>
    </row>
    <row r="91" spans="1:20" x14ac:dyDescent="0.25">
      <c r="A91" s="14">
        <f t="shared" si="18"/>
        <v>0.4440705128205128</v>
      </c>
      <c r="B91" s="2">
        <f t="shared" si="11"/>
        <v>86</v>
      </c>
      <c r="C91" s="4">
        <f t="shared" si="12"/>
        <v>47.33</v>
      </c>
      <c r="D91" s="2">
        <v>13</v>
      </c>
      <c r="E91" s="2">
        <v>50.26548245743669</v>
      </c>
      <c r="F91" s="11">
        <f t="shared" si="0"/>
        <v>2.5862678252432989</v>
      </c>
      <c r="G91" s="2">
        <f t="shared" si="1"/>
        <v>122.40805616876533</v>
      </c>
      <c r="H91" s="2">
        <f t="shared" si="2"/>
        <v>2.3788529214031384</v>
      </c>
      <c r="I91" s="2">
        <f t="shared" si="3"/>
        <v>112.59110877001054</v>
      </c>
      <c r="J91" s="2">
        <f t="shared" si="4"/>
        <v>9.8169473987547917</v>
      </c>
      <c r="K91" s="15">
        <f t="shared" si="19"/>
        <v>0.40379273504273505</v>
      </c>
      <c r="L91" s="2">
        <f t="shared" si="14"/>
        <v>86</v>
      </c>
      <c r="M91" s="2">
        <f t="shared" si="15"/>
        <v>47.08</v>
      </c>
      <c r="N91" s="2">
        <v>14</v>
      </c>
      <c r="O91" s="2">
        <v>50.26548245743669</v>
      </c>
      <c r="P91" s="11">
        <f t="shared" si="5"/>
        <v>2.7852115041081689</v>
      </c>
      <c r="Q91" s="2">
        <f t="shared" si="6"/>
        <v>131.1277576134126</v>
      </c>
      <c r="R91" s="2">
        <f t="shared" si="7"/>
        <v>2.4234467528176626</v>
      </c>
      <c r="S91" s="2">
        <f t="shared" si="8"/>
        <v>114.09587312265555</v>
      </c>
      <c r="T91" s="2">
        <f t="shared" si="9"/>
        <v>17.031884490757051</v>
      </c>
    </row>
    <row r="92" spans="1:20" x14ac:dyDescent="0.25">
      <c r="A92" s="14">
        <f t="shared" si="18"/>
        <v>0.44428418803418801</v>
      </c>
      <c r="B92" s="2">
        <f t="shared" si="11"/>
        <v>87</v>
      </c>
      <c r="C92" s="4">
        <f t="shared" si="12"/>
        <v>47.83</v>
      </c>
      <c r="D92" s="2">
        <v>13</v>
      </c>
      <c r="E92" s="2">
        <v>50.26548245743669</v>
      </c>
      <c r="F92" s="11">
        <f t="shared" si="0"/>
        <v>2.5862678252432989</v>
      </c>
      <c r="G92" s="2">
        <f t="shared" si="1"/>
        <v>123.70119008138698</v>
      </c>
      <c r="H92" s="2">
        <f t="shared" si="2"/>
        <v>2.3788529214031384</v>
      </c>
      <c r="I92" s="2">
        <f t="shared" si="3"/>
        <v>113.7805352307121</v>
      </c>
      <c r="J92" s="2">
        <f t="shared" si="4"/>
        <v>9.9206548506748788</v>
      </c>
      <c r="K92" s="15">
        <f t="shared" si="19"/>
        <v>0.40400641025641026</v>
      </c>
      <c r="L92" s="2">
        <f t="shared" si="14"/>
        <v>87</v>
      </c>
      <c r="M92" s="2">
        <f t="shared" si="15"/>
        <v>47.58</v>
      </c>
      <c r="N92" s="2">
        <v>14.5</v>
      </c>
      <c r="O92" s="2">
        <v>50.26548245743669</v>
      </c>
      <c r="P92" s="11">
        <f t="shared" si="5"/>
        <v>2.8846833435406034</v>
      </c>
      <c r="Q92" s="2">
        <f t="shared" si="6"/>
        <v>137.25323348566189</v>
      </c>
      <c r="R92" s="2">
        <f t="shared" si="7"/>
        <v>2.4234467528176626</v>
      </c>
      <c r="S92" s="2">
        <f t="shared" si="8"/>
        <v>115.30759649906439</v>
      </c>
      <c r="T92" s="2">
        <f t="shared" si="9"/>
        <v>21.945636986597506</v>
      </c>
    </row>
    <row r="93" spans="1:20" x14ac:dyDescent="0.25">
      <c r="A93" s="14">
        <f t="shared" si="18"/>
        <v>0.44449786324786322</v>
      </c>
      <c r="B93" s="2">
        <f t="shared" si="11"/>
        <v>88</v>
      </c>
      <c r="C93" s="4">
        <f t="shared" si="12"/>
        <v>48.33</v>
      </c>
      <c r="D93" s="2">
        <v>11</v>
      </c>
      <c r="E93" s="2">
        <v>50.26548245743669</v>
      </c>
      <c r="F93" s="11">
        <f t="shared" si="0"/>
        <v>2.1883804675135607</v>
      </c>
      <c r="G93" s="2">
        <f t="shared" si="1"/>
        <v>105.76442799493039</v>
      </c>
      <c r="H93" s="2">
        <f t="shared" si="2"/>
        <v>2.3788529214031384</v>
      </c>
      <c r="I93" s="2">
        <f t="shared" si="3"/>
        <v>114.96996169141367</v>
      </c>
      <c r="J93" s="2">
        <f t="shared" si="4"/>
        <v>9.2055336964832861</v>
      </c>
      <c r="K93" s="15">
        <f t="shared" si="19"/>
        <v>0.40422008547008548</v>
      </c>
      <c r="L93" s="2">
        <f t="shared" si="14"/>
        <v>88</v>
      </c>
      <c r="M93" s="2">
        <f t="shared" si="15"/>
        <v>48.08</v>
      </c>
      <c r="N93" s="2">
        <v>13.5</v>
      </c>
      <c r="O93" s="2">
        <v>50.26548245743669</v>
      </c>
      <c r="P93" s="11">
        <f t="shared" si="5"/>
        <v>2.6857396646757339</v>
      </c>
      <c r="Q93" s="2">
        <f t="shared" si="6"/>
        <v>129.13036307760927</v>
      </c>
      <c r="R93" s="2">
        <f t="shared" si="7"/>
        <v>2.4234467528176626</v>
      </c>
      <c r="S93" s="2">
        <f t="shared" si="8"/>
        <v>116.51931987547322</v>
      </c>
      <c r="T93" s="2">
        <f t="shared" si="9"/>
        <v>12.611043202136059</v>
      </c>
    </row>
    <row r="94" spans="1:20" x14ac:dyDescent="0.25">
      <c r="A94" s="14">
        <f t="shared" si="18"/>
        <v>0.44471153846153844</v>
      </c>
      <c r="B94" s="2">
        <f t="shared" si="11"/>
        <v>89</v>
      </c>
      <c r="C94" s="4">
        <f t="shared" si="12"/>
        <v>48.83</v>
      </c>
      <c r="D94" s="2">
        <v>11.5</v>
      </c>
      <c r="E94" s="2">
        <v>50.26548245743669</v>
      </c>
      <c r="F94" s="11">
        <f t="shared" si="0"/>
        <v>2.2878523069459957</v>
      </c>
      <c r="G94" s="2">
        <f t="shared" si="1"/>
        <v>111.71582814817297</v>
      </c>
      <c r="H94" s="2">
        <f t="shared" si="2"/>
        <v>2.3788529214031384</v>
      </c>
      <c r="I94" s="2">
        <f t="shared" si="3"/>
        <v>116.15938815211524</v>
      </c>
      <c r="J94" s="2">
        <f t="shared" si="4"/>
        <v>4.4435600039422667</v>
      </c>
      <c r="K94" s="15">
        <f t="shared" si="19"/>
        <v>0.40443376068376069</v>
      </c>
      <c r="L94" s="2">
        <f t="shared" si="14"/>
        <v>89</v>
      </c>
      <c r="M94" s="2">
        <f t="shared" si="15"/>
        <v>48.58</v>
      </c>
      <c r="N94" s="2">
        <v>12</v>
      </c>
      <c r="O94" s="2">
        <v>50.26548245743669</v>
      </c>
      <c r="P94" s="11">
        <f t="shared" si="5"/>
        <v>2.3873241463784298</v>
      </c>
      <c r="Q94" s="2">
        <f t="shared" si="6"/>
        <v>115.97620703106412</v>
      </c>
      <c r="R94" s="2">
        <f t="shared" si="7"/>
        <v>2.4234467528176626</v>
      </c>
      <c r="S94" s="2">
        <f t="shared" si="8"/>
        <v>117.73104325188204</v>
      </c>
      <c r="T94" s="2">
        <f t="shared" si="9"/>
        <v>1.7548362208179213</v>
      </c>
    </row>
    <row r="95" spans="1:20" x14ac:dyDescent="0.25">
      <c r="A95" s="14">
        <f t="shared" si="18"/>
        <v>0.44492521367521365</v>
      </c>
      <c r="B95" s="2">
        <f t="shared" si="11"/>
        <v>90</v>
      </c>
      <c r="C95" s="4">
        <f t="shared" si="12"/>
        <v>49.33</v>
      </c>
      <c r="D95" s="2">
        <v>13</v>
      </c>
      <c r="E95" s="2">
        <v>50.26548245743669</v>
      </c>
      <c r="F95" s="11">
        <f t="shared" si="0"/>
        <v>2.5862678252432989</v>
      </c>
      <c r="G95" s="2">
        <f t="shared" si="1"/>
        <v>127.58059181925194</v>
      </c>
      <c r="H95" s="2">
        <f t="shared" si="2"/>
        <v>2.3788529214031384</v>
      </c>
      <c r="I95" s="2">
        <f t="shared" si="3"/>
        <v>117.34881461281681</v>
      </c>
      <c r="J95" s="2">
        <f t="shared" si="4"/>
        <v>10.231777206435126</v>
      </c>
      <c r="K95" s="15">
        <f t="shared" si="19"/>
        <v>0.4046474358974359</v>
      </c>
      <c r="L95" s="2">
        <f t="shared" si="14"/>
        <v>90</v>
      </c>
      <c r="M95" s="2">
        <f t="shared" si="15"/>
        <v>49.08</v>
      </c>
      <c r="N95" s="2">
        <v>12</v>
      </c>
      <c r="O95" s="2">
        <v>50.26548245743669</v>
      </c>
      <c r="P95" s="11">
        <f t="shared" si="5"/>
        <v>2.3873241463784298</v>
      </c>
      <c r="Q95" s="2">
        <f t="shared" si="6"/>
        <v>117.16986910425334</v>
      </c>
      <c r="R95" s="2">
        <f t="shared" si="7"/>
        <v>2.4234467528176626</v>
      </c>
      <c r="S95" s="2">
        <f t="shared" si="8"/>
        <v>118.94276662829088</v>
      </c>
      <c r="T95" s="2">
        <f t="shared" si="9"/>
        <v>1.7728975240375462</v>
      </c>
    </row>
    <row r="96" spans="1:20" x14ac:dyDescent="0.25">
      <c r="A96" s="14">
        <f t="shared" si="18"/>
        <v>0.44513888888888886</v>
      </c>
      <c r="B96" s="2">
        <f t="shared" si="11"/>
        <v>91</v>
      </c>
      <c r="C96" s="4">
        <f t="shared" si="12"/>
        <v>49.83</v>
      </c>
      <c r="D96" s="2">
        <v>12.5</v>
      </c>
      <c r="E96" s="2">
        <v>50.26548245743669</v>
      </c>
      <c r="F96" s="11">
        <f t="shared" si="0"/>
        <v>2.4867959858108648</v>
      </c>
      <c r="G96" s="2">
        <f t="shared" si="1"/>
        <v>123.91704397295538</v>
      </c>
      <c r="H96" s="2">
        <f t="shared" si="2"/>
        <v>2.3788529214031384</v>
      </c>
      <c r="I96" s="2">
        <f t="shared" si="3"/>
        <v>118.53824107351838</v>
      </c>
      <c r="J96" s="2">
        <f t="shared" si="4"/>
        <v>5.3788028994370052</v>
      </c>
      <c r="K96" s="15">
        <f t="shared" si="19"/>
        <v>0.40486111111111112</v>
      </c>
      <c r="L96" s="2">
        <f t="shared" si="14"/>
        <v>91</v>
      </c>
      <c r="M96" s="2">
        <f t="shared" si="15"/>
        <v>49.58</v>
      </c>
      <c r="N96" s="2">
        <v>12.5</v>
      </c>
      <c r="O96" s="2">
        <v>50.26548245743669</v>
      </c>
      <c r="P96" s="11">
        <f t="shared" si="5"/>
        <v>2.4867959858108648</v>
      </c>
      <c r="Q96" s="2">
        <f t="shared" si="6"/>
        <v>123.29534497650268</v>
      </c>
      <c r="R96" s="2">
        <f t="shared" si="7"/>
        <v>2.4234467528176626</v>
      </c>
      <c r="S96" s="2">
        <f t="shared" si="8"/>
        <v>120.15449000469971</v>
      </c>
      <c r="T96" s="2">
        <f t="shared" si="9"/>
        <v>3.1408549718029661</v>
      </c>
    </row>
    <row r="97" spans="1:20" x14ac:dyDescent="0.25">
      <c r="A97" s="14">
        <f t="shared" si="18"/>
        <v>0.44535256410256407</v>
      </c>
      <c r="B97" s="2">
        <f t="shared" si="11"/>
        <v>92</v>
      </c>
      <c r="C97" s="4">
        <f t="shared" si="12"/>
        <v>50.33</v>
      </c>
      <c r="D97" s="2">
        <v>13.5</v>
      </c>
      <c r="E97" s="2">
        <v>50.26548245743669</v>
      </c>
      <c r="F97" s="11">
        <f t="shared" si="0"/>
        <v>2.6857396646757339</v>
      </c>
      <c r="G97" s="2">
        <f t="shared" si="1"/>
        <v>135.1732773231297</v>
      </c>
      <c r="H97" s="2">
        <f t="shared" si="2"/>
        <v>2.3788529214031384</v>
      </c>
      <c r="I97" s="2">
        <f t="shared" si="3"/>
        <v>119.72766753421995</v>
      </c>
      <c r="J97" s="2">
        <f t="shared" si="4"/>
        <v>15.445609788909749</v>
      </c>
      <c r="K97" s="15">
        <f t="shared" si="19"/>
        <v>0.40507478632478633</v>
      </c>
      <c r="L97" s="2">
        <f t="shared" si="14"/>
        <v>92</v>
      </c>
      <c r="M97" s="2">
        <f t="shared" si="15"/>
        <v>50.08</v>
      </c>
      <c r="N97" s="2">
        <v>12.5</v>
      </c>
      <c r="O97" s="2">
        <v>50.26548245743669</v>
      </c>
      <c r="P97" s="11">
        <f t="shared" si="5"/>
        <v>2.4867959858108648</v>
      </c>
      <c r="Q97" s="2">
        <f t="shared" si="6"/>
        <v>124.5387429694081</v>
      </c>
      <c r="R97" s="2">
        <f t="shared" si="7"/>
        <v>2.4234467528176626</v>
      </c>
      <c r="S97" s="2">
        <f t="shared" si="8"/>
        <v>121.36621338110854</v>
      </c>
      <c r="T97" s="2">
        <f t="shared" si="9"/>
        <v>3.1725295882995681</v>
      </c>
    </row>
    <row r="98" spans="1:20" x14ac:dyDescent="0.25">
      <c r="A98" s="14">
        <f t="shared" si="18"/>
        <v>0.44556623931623929</v>
      </c>
      <c r="B98" s="2">
        <f t="shared" si="11"/>
        <v>93</v>
      </c>
      <c r="C98" s="4">
        <f t="shared" si="12"/>
        <v>50.83</v>
      </c>
      <c r="D98" s="2">
        <v>13</v>
      </c>
      <c r="E98" s="2">
        <v>50.26548245743669</v>
      </c>
      <c r="F98" s="11">
        <f t="shared" si="0"/>
        <v>2.5862678252432989</v>
      </c>
      <c r="G98" s="2">
        <f t="shared" si="1"/>
        <v>131.45999355711689</v>
      </c>
      <c r="H98" s="2">
        <f t="shared" si="2"/>
        <v>2.3788529214031384</v>
      </c>
      <c r="I98" s="2">
        <f t="shared" si="3"/>
        <v>120.91709399492152</v>
      </c>
      <c r="J98" s="2">
        <f t="shared" si="4"/>
        <v>10.542899562195373</v>
      </c>
      <c r="K98" s="15">
        <f t="shared" si="19"/>
        <v>0.40528846153846154</v>
      </c>
      <c r="L98" s="2">
        <f t="shared" si="14"/>
        <v>93</v>
      </c>
      <c r="M98" s="2">
        <f t="shared" si="15"/>
        <v>50.58</v>
      </c>
      <c r="N98" s="2">
        <v>12.5</v>
      </c>
      <c r="O98" s="2">
        <v>50.26548245743669</v>
      </c>
      <c r="P98" s="11">
        <f t="shared" si="5"/>
        <v>2.4867959858108648</v>
      </c>
      <c r="Q98" s="2">
        <f t="shared" si="6"/>
        <v>125.78214096231353</v>
      </c>
      <c r="R98" s="2">
        <f t="shared" si="7"/>
        <v>2.4234467528176626</v>
      </c>
      <c r="S98" s="2">
        <f t="shared" si="8"/>
        <v>122.57793675751738</v>
      </c>
      <c r="T98" s="2">
        <f t="shared" si="9"/>
        <v>3.2042042047961559</v>
      </c>
    </row>
    <row r="99" spans="1:20" x14ac:dyDescent="0.25">
      <c r="A99" s="14">
        <f t="shared" si="18"/>
        <v>0.4457799145299145</v>
      </c>
      <c r="B99" s="2">
        <f t="shared" si="11"/>
        <v>94</v>
      </c>
      <c r="C99" s="4">
        <f t="shared" si="12"/>
        <v>51.33</v>
      </c>
      <c r="D99" s="2">
        <v>12.5</v>
      </c>
      <c r="E99" s="2">
        <v>50.26548245743669</v>
      </c>
      <c r="F99" s="11">
        <f t="shared" si="0"/>
        <v>2.4867959858108648</v>
      </c>
      <c r="G99" s="2">
        <f t="shared" si="1"/>
        <v>127.64723795167168</v>
      </c>
      <c r="H99" s="2">
        <f t="shared" si="2"/>
        <v>2.3788529214031384</v>
      </c>
      <c r="I99" s="2">
        <f t="shared" si="3"/>
        <v>122.1065204556231</v>
      </c>
      <c r="J99" s="2">
        <f t="shared" si="4"/>
        <v>5.5407174960485861</v>
      </c>
      <c r="K99" s="15">
        <f t="shared" si="19"/>
        <v>0.40550213675213675</v>
      </c>
      <c r="L99" s="2">
        <f t="shared" si="14"/>
        <v>94</v>
      </c>
      <c r="M99" s="2">
        <f t="shared" si="15"/>
        <v>51.08</v>
      </c>
      <c r="N99" s="2">
        <v>14</v>
      </c>
      <c r="O99" s="2">
        <v>50.26548245743669</v>
      </c>
      <c r="P99" s="11">
        <f t="shared" si="5"/>
        <v>2.7852115041081689</v>
      </c>
      <c r="Q99" s="2">
        <f t="shared" si="6"/>
        <v>142.26860362984527</v>
      </c>
      <c r="R99" s="2">
        <f t="shared" si="7"/>
        <v>2.4234467528176626</v>
      </c>
      <c r="S99" s="2">
        <f t="shared" si="8"/>
        <v>123.7896601339262</v>
      </c>
      <c r="T99" s="2">
        <f t="shared" si="9"/>
        <v>18.478943495919069</v>
      </c>
    </row>
    <row r="100" spans="1:20" x14ac:dyDescent="0.25">
      <c r="A100" s="14">
        <f t="shared" si="18"/>
        <v>0.44599358974358971</v>
      </c>
      <c r="B100" s="2">
        <f t="shared" si="11"/>
        <v>95</v>
      </c>
      <c r="C100" s="4">
        <f t="shared" si="12"/>
        <v>51.83</v>
      </c>
      <c r="D100" s="2">
        <v>12</v>
      </c>
      <c r="E100" s="2">
        <v>50.26548245743669</v>
      </c>
      <c r="F100" s="11">
        <f t="shared" si="0"/>
        <v>2.3873241463784298</v>
      </c>
      <c r="G100" s="2">
        <f t="shared" si="1"/>
        <v>123.73501050679401</v>
      </c>
      <c r="H100" s="2">
        <f t="shared" si="2"/>
        <v>2.3788529214031384</v>
      </c>
      <c r="I100" s="2">
        <f t="shared" si="3"/>
        <v>123.29594691632467</v>
      </c>
      <c r="J100" s="2">
        <f t="shared" si="4"/>
        <v>0.4390635904693454</v>
      </c>
      <c r="K100" s="15">
        <f t="shared" si="19"/>
        <v>0.40571581196581197</v>
      </c>
      <c r="L100" s="2">
        <f t="shared" si="14"/>
        <v>95</v>
      </c>
      <c r="M100" s="2">
        <f t="shared" si="15"/>
        <v>51.58</v>
      </c>
      <c r="N100" s="2">
        <v>14.5</v>
      </c>
      <c r="O100" s="2">
        <v>50.26548245743669</v>
      </c>
      <c r="P100" s="11">
        <f t="shared" si="5"/>
        <v>2.8846833435406034</v>
      </c>
      <c r="Q100" s="2">
        <f t="shared" si="6"/>
        <v>148.79196685982433</v>
      </c>
      <c r="R100" s="2">
        <f t="shared" si="7"/>
        <v>2.4234467528176626</v>
      </c>
      <c r="S100" s="2">
        <f t="shared" si="8"/>
        <v>125.00138351033503</v>
      </c>
      <c r="T100" s="2">
        <f t="shared" si="9"/>
        <v>23.790583349489296</v>
      </c>
    </row>
    <row r="101" spans="1:20" x14ac:dyDescent="0.25">
      <c r="A101" s="14">
        <f t="shared" si="18"/>
        <v>0.44620726495726493</v>
      </c>
      <c r="B101" s="2">
        <f t="shared" si="11"/>
        <v>96</v>
      </c>
      <c r="C101" s="4">
        <f t="shared" si="12"/>
        <v>52.33</v>
      </c>
      <c r="D101" s="2">
        <v>13</v>
      </c>
      <c r="E101" s="2">
        <v>50.26548245743669</v>
      </c>
      <c r="F101" s="11">
        <f t="shared" si="0"/>
        <v>2.5862678252432989</v>
      </c>
      <c r="G101" s="2">
        <f t="shared" si="1"/>
        <v>135.33939529498184</v>
      </c>
      <c r="H101" s="2">
        <f t="shared" si="2"/>
        <v>2.3788529214031384</v>
      </c>
      <c r="I101" s="2">
        <f t="shared" si="3"/>
        <v>124.48537337702624</v>
      </c>
      <c r="J101" s="2">
        <f t="shared" si="4"/>
        <v>10.854021917955606</v>
      </c>
      <c r="K101" s="15">
        <f t="shared" si="19"/>
        <v>0.40592948717948718</v>
      </c>
      <c r="L101" s="2">
        <f t="shared" si="14"/>
        <v>96</v>
      </c>
      <c r="M101" s="2">
        <f t="shared" si="15"/>
        <v>52.08</v>
      </c>
      <c r="N101" s="2">
        <v>12.5</v>
      </c>
      <c r="O101" s="2">
        <v>50.26548245743669</v>
      </c>
      <c r="P101" s="11">
        <f t="shared" si="5"/>
        <v>2.4867959858108648</v>
      </c>
      <c r="Q101" s="2">
        <f t="shared" si="6"/>
        <v>129.51233494102985</v>
      </c>
      <c r="R101" s="2">
        <f t="shared" si="7"/>
        <v>2.4234467528176626</v>
      </c>
      <c r="S101" s="2">
        <f t="shared" si="8"/>
        <v>126.21310688674387</v>
      </c>
      <c r="T101" s="2">
        <f t="shared" si="9"/>
        <v>3.299228054285976</v>
      </c>
    </row>
    <row r="102" spans="1:20" x14ac:dyDescent="0.25">
      <c r="A102" s="14">
        <f t="shared" si="18"/>
        <v>0.44642094017094014</v>
      </c>
      <c r="B102" s="2">
        <f t="shared" si="11"/>
        <v>97</v>
      </c>
      <c r="C102" s="4">
        <f t="shared" si="12"/>
        <v>52.83</v>
      </c>
      <c r="D102" s="2">
        <v>11.5</v>
      </c>
      <c r="E102" s="2">
        <v>50.26548245743669</v>
      </c>
      <c r="F102" s="11">
        <f t="shared" si="0"/>
        <v>2.2878523069459957</v>
      </c>
      <c r="G102" s="2">
        <f t="shared" si="1"/>
        <v>120.86723737595695</v>
      </c>
      <c r="H102" s="2">
        <f t="shared" si="2"/>
        <v>2.3788529214031384</v>
      </c>
      <c r="I102" s="2">
        <f t="shared" si="3"/>
        <v>125.6747998377278</v>
      </c>
      <c r="J102" s="2">
        <f t="shared" si="4"/>
        <v>4.807562461770857</v>
      </c>
      <c r="K102" s="15">
        <f t="shared" si="19"/>
        <v>0.40614316239316239</v>
      </c>
      <c r="L102" s="2">
        <f t="shared" si="14"/>
        <v>97</v>
      </c>
      <c r="M102" s="2">
        <f t="shared" si="15"/>
        <v>52.58</v>
      </c>
      <c r="N102" s="2">
        <v>13.5</v>
      </c>
      <c r="O102" s="2">
        <v>50.26548245743669</v>
      </c>
      <c r="P102" s="11">
        <f t="shared" si="5"/>
        <v>2.6857396646757339</v>
      </c>
      <c r="Q102" s="2">
        <f t="shared" si="6"/>
        <v>141.21619156865009</v>
      </c>
      <c r="R102" s="2">
        <f t="shared" si="7"/>
        <v>2.4234467528176626</v>
      </c>
      <c r="S102" s="2">
        <f t="shared" si="8"/>
        <v>127.4248302631527</v>
      </c>
      <c r="T102" s="2">
        <f t="shared" si="9"/>
        <v>13.791361305497389</v>
      </c>
    </row>
    <row r="103" spans="1:20" x14ac:dyDescent="0.25">
      <c r="A103" s="14">
        <f t="shared" si="18"/>
        <v>0.44663461538461541</v>
      </c>
      <c r="B103" s="2">
        <f t="shared" si="11"/>
        <v>98</v>
      </c>
      <c r="C103" s="4">
        <f t="shared" si="12"/>
        <v>53.33</v>
      </c>
      <c r="D103" s="2">
        <v>11.5</v>
      </c>
      <c r="E103" s="2">
        <v>50.26548245743669</v>
      </c>
      <c r="F103" s="11">
        <f t="shared" si="0"/>
        <v>2.2878523069459957</v>
      </c>
      <c r="G103" s="2">
        <f t="shared" si="1"/>
        <v>122.01116352942995</v>
      </c>
      <c r="H103" s="2">
        <f t="shared" si="2"/>
        <v>2.3788529214031384</v>
      </c>
      <c r="I103" s="2">
        <f t="shared" si="3"/>
        <v>126.86422629842937</v>
      </c>
      <c r="J103" s="2">
        <f t="shared" si="4"/>
        <v>4.8530627689994219</v>
      </c>
      <c r="K103" s="15">
        <f t="shared" si="19"/>
        <v>0.40635683760683761</v>
      </c>
      <c r="L103" s="2">
        <f t="shared" si="14"/>
        <v>98</v>
      </c>
      <c r="M103" s="2">
        <f t="shared" si="15"/>
        <v>53.08</v>
      </c>
      <c r="N103" s="2">
        <v>11.5</v>
      </c>
      <c r="O103" s="2">
        <v>50.26548245743669</v>
      </c>
      <c r="P103" s="11">
        <f t="shared" si="5"/>
        <v>2.2878523069459957</v>
      </c>
      <c r="Q103" s="2">
        <f t="shared" si="6"/>
        <v>121.43920045269346</v>
      </c>
      <c r="R103" s="2">
        <f t="shared" si="7"/>
        <v>2.4234467528176626</v>
      </c>
      <c r="S103" s="2">
        <f t="shared" si="8"/>
        <v>128.63655363956153</v>
      </c>
      <c r="T103" s="2">
        <f t="shared" si="9"/>
        <v>7.1973531868680709</v>
      </c>
    </row>
    <row r="104" spans="1:20" x14ac:dyDescent="0.25">
      <c r="A104" s="14">
        <f t="shared" si="18"/>
        <v>0.44684829059829062</v>
      </c>
      <c r="B104" s="2">
        <f t="shared" si="11"/>
        <v>99</v>
      </c>
      <c r="C104" s="4">
        <f t="shared" si="12"/>
        <v>53.83</v>
      </c>
      <c r="D104" s="2">
        <v>10</v>
      </c>
      <c r="E104" s="2">
        <v>50.26548245743669</v>
      </c>
      <c r="F104" s="11">
        <f t="shared" si="0"/>
        <v>1.9894367886486919</v>
      </c>
      <c r="G104" s="2">
        <f t="shared" si="1"/>
        <v>107.09138233295909</v>
      </c>
      <c r="H104" s="2">
        <f t="shared" si="2"/>
        <v>2.3788529214031384</v>
      </c>
      <c r="I104" s="2">
        <f t="shared" si="3"/>
        <v>128.05365275913093</v>
      </c>
      <c r="J104" s="2">
        <f t="shared" si="4"/>
        <v>20.962270426171841</v>
      </c>
      <c r="K104" s="15">
        <f t="shared" si="19"/>
        <v>0.40657051282051282</v>
      </c>
      <c r="L104" s="2">
        <f t="shared" si="14"/>
        <v>99</v>
      </c>
      <c r="M104" s="2">
        <f t="shared" si="15"/>
        <v>53.58</v>
      </c>
      <c r="N104" s="2">
        <v>11</v>
      </c>
      <c r="O104" s="2">
        <v>50.26548245743669</v>
      </c>
      <c r="P104" s="11">
        <f t="shared" si="5"/>
        <v>2.1883804675135607</v>
      </c>
      <c r="Q104" s="2">
        <f t="shared" si="6"/>
        <v>117.25342544937658</v>
      </c>
      <c r="R104" s="2">
        <f t="shared" si="7"/>
        <v>2.4234467528176626</v>
      </c>
      <c r="S104" s="2">
        <f t="shared" si="8"/>
        <v>129.84827701597035</v>
      </c>
      <c r="T104" s="2">
        <f t="shared" si="9"/>
        <v>12.594851566593775</v>
      </c>
    </row>
    <row r="105" spans="1:20" x14ac:dyDescent="0.25">
      <c r="A105" s="14">
        <f t="shared" si="18"/>
        <v>0.44706196581196583</v>
      </c>
      <c r="B105" s="2">
        <f t="shared" si="11"/>
        <v>100</v>
      </c>
      <c r="C105" s="4">
        <f t="shared" si="12"/>
        <v>54.33</v>
      </c>
      <c r="D105" s="2">
        <v>10</v>
      </c>
      <c r="E105" s="2">
        <v>50.26548245743669</v>
      </c>
      <c r="F105" s="11">
        <f t="shared" si="0"/>
        <v>1.9894367886486919</v>
      </c>
      <c r="G105" s="2">
        <f t="shared" si="1"/>
        <v>108.08610072728342</v>
      </c>
      <c r="H105" s="2">
        <f t="shared" si="2"/>
        <v>2.3788529214031384</v>
      </c>
      <c r="I105" s="2">
        <f t="shared" si="3"/>
        <v>129.24307921983251</v>
      </c>
      <c r="J105" s="2">
        <f t="shared" si="4"/>
        <v>21.156978492549086</v>
      </c>
      <c r="K105" s="15">
        <f t="shared" si="19"/>
        <v>0.40678418803418803</v>
      </c>
      <c r="L105" s="2">
        <f t="shared" si="14"/>
        <v>100</v>
      </c>
      <c r="M105" s="2">
        <f t="shared" si="15"/>
        <v>54.08</v>
      </c>
      <c r="N105" s="2">
        <v>11</v>
      </c>
      <c r="O105" s="2">
        <v>50.26548245743669</v>
      </c>
      <c r="P105" s="11">
        <f t="shared" si="5"/>
        <v>2.1883804675135607</v>
      </c>
      <c r="Q105" s="2">
        <f t="shared" si="6"/>
        <v>118.34761568313336</v>
      </c>
      <c r="R105" s="2">
        <f t="shared" si="7"/>
        <v>2.4234467528176626</v>
      </c>
      <c r="S105" s="2">
        <f t="shared" si="8"/>
        <v>131.06000039237918</v>
      </c>
      <c r="T105" s="2">
        <f t="shared" si="9"/>
        <v>12.712384709245825</v>
      </c>
    </row>
    <row r="106" spans="1:20" x14ac:dyDescent="0.25">
      <c r="A106" s="14">
        <f t="shared" si="18"/>
        <v>0.44727564102564105</v>
      </c>
      <c r="B106" s="2">
        <f t="shared" si="11"/>
        <v>101</v>
      </c>
      <c r="C106" s="4">
        <f t="shared" si="12"/>
        <v>54.83</v>
      </c>
      <c r="D106" s="2">
        <v>8</v>
      </c>
      <c r="E106" s="2">
        <v>50.26548245743669</v>
      </c>
      <c r="F106" s="11">
        <f t="shared" si="0"/>
        <v>1.5915494309189535</v>
      </c>
      <c r="G106" s="2">
        <f t="shared" si="1"/>
        <v>87.264655297286225</v>
      </c>
      <c r="H106" s="2">
        <f t="shared" si="2"/>
        <v>2.3788529214031384</v>
      </c>
      <c r="I106" s="2">
        <f t="shared" si="3"/>
        <v>130.43250568053406</v>
      </c>
      <c r="J106" s="2">
        <f t="shared" si="4"/>
        <v>43.167850383247838</v>
      </c>
      <c r="K106" s="15">
        <f t="shared" si="19"/>
        <v>0.40699786324786325</v>
      </c>
      <c r="L106" s="2">
        <f t="shared" si="14"/>
        <v>101</v>
      </c>
      <c r="M106" s="2">
        <f t="shared" si="15"/>
        <v>54.58</v>
      </c>
      <c r="N106" s="2">
        <v>11.5</v>
      </c>
      <c r="O106" s="2">
        <v>50.26548245743669</v>
      </c>
      <c r="P106" s="11">
        <f t="shared" si="5"/>
        <v>2.2878523069459957</v>
      </c>
      <c r="Q106" s="2">
        <f t="shared" si="6"/>
        <v>124.87097891311244</v>
      </c>
      <c r="R106" s="2">
        <f t="shared" si="7"/>
        <v>2.4234467528176626</v>
      </c>
      <c r="S106" s="2">
        <f t="shared" si="8"/>
        <v>132.27172376878804</v>
      </c>
      <c r="T106" s="2">
        <f t="shared" si="9"/>
        <v>7.4007448556755975</v>
      </c>
    </row>
    <row r="107" spans="1:20" x14ac:dyDescent="0.25">
      <c r="A107" s="14">
        <f t="shared" si="18"/>
        <v>0.44748931623931626</v>
      </c>
      <c r="B107" s="2">
        <f t="shared" si="11"/>
        <v>102</v>
      </c>
      <c r="C107" s="4">
        <f t="shared" si="12"/>
        <v>55.33</v>
      </c>
      <c r="D107" s="2">
        <v>8</v>
      </c>
      <c r="E107" s="2">
        <v>50.26548245743669</v>
      </c>
      <c r="F107" s="11">
        <f t="shared" si="0"/>
        <v>1.5915494309189535</v>
      </c>
      <c r="G107" s="2">
        <f t="shared" si="1"/>
        <v>88.060430012745698</v>
      </c>
      <c r="H107" s="2">
        <f t="shared" si="2"/>
        <v>2.3788529214031384</v>
      </c>
      <c r="I107" s="2">
        <f t="shared" si="3"/>
        <v>131.62193214123565</v>
      </c>
      <c r="J107" s="2">
        <f t="shared" si="4"/>
        <v>43.561502128489948</v>
      </c>
      <c r="K107" s="15">
        <f t="shared" si="19"/>
        <v>0.40721153846153846</v>
      </c>
      <c r="L107" s="2">
        <f t="shared" si="14"/>
        <v>102</v>
      </c>
      <c r="M107" s="2">
        <f t="shared" si="15"/>
        <v>55.08</v>
      </c>
      <c r="N107" s="2">
        <v>9</v>
      </c>
      <c r="O107" s="2">
        <v>50.26548245743669</v>
      </c>
      <c r="P107" s="11">
        <f t="shared" si="5"/>
        <v>1.7904931097838226</v>
      </c>
      <c r="Q107" s="2">
        <f t="shared" si="6"/>
        <v>98.620360486892949</v>
      </c>
      <c r="R107" s="2">
        <f t="shared" si="7"/>
        <v>2.4234467528176626</v>
      </c>
      <c r="S107" s="2">
        <f t="shared" si="8"/>
        <v>133.48344714519686</v>
      </c>
      <c r="T107" s="2">
        <f t="shared" si="9"/>
        <v>34.863086658303914</v>
      </c>
    </row>
    <row r="108" spans="1:20" x14ac:dyDescent="0.25">
      <c r="A108" s="14">
        <f t="shared" si="18"/>
        <v>0.44770299145299147</v>
      </c>
      <c r="B108" s="2">
        <f t="shared" si="11"/>
        <v>103</v>
      </c>
      <c r="C108" s="4">
        <f t="shared" si="12"/>
        <v>55.83</v>
      </c>
      <c r="D108" s="2">
        <v>6.5</v>
      </c>
      <c r="E108" s="2">
        <v>50.26548245743669</v>
      </c>
      <c r="F108" s="11">
        <f t="shared" si="0"/>
        <v>1.2931339126216495</v>
      </c>
      <c r="G108" s="2">
        <f t="shared" si="1"/>
        <v>72.19566634166668</v>
      </c>
      <c r="H108" s="2">
        <f t="shared" si="2"/>
        <v>2.3788529214031384</v>
      </c>
      <c r="I108" s="2">
        <f t="shared" si="3"/>
        <v>132.8113586019372</v>
      </c>
      <c r="J108" s="2">
        <f t="shared" si="4"/>
        <v>60.615692260270521</v>
      </c>
      <c r="K108" s="15">
        <f t="shared" si="19"/>
        <v>0.40742521367521367</v>
      </c>
      <c r="L108" s="2">
        <f t="shared" si="14"/>
        <v>103</v>
      </c>
      <c r="M108" s="2">
        <f t="shared" si="15"/>
        <v>55.58</v>
      </c>
      <c r="N108" s="2">
        <v>8</v>
      </c>
      <c r="O108" s="2">
        <v>50.26548245743669</v>
      </c>
      <c r="P108" s="11">
        <f t="shared" si="5"/>
        <v>1.5915494309189535</v>
      </c>
      <c r="Q108" s="2">
        <f t="shared" si="6"/>
        <v>88.458317370475427</v>
      </c>
      <c r="R108" s="2">
        <f t="shared" si="7"/>
        <v>2.4234467528176626</v>
      </c>
      <c r="S108" s="2">
        <f t="shared" si="8"/>
        <v>134.69517052160569</v>
      </c>
      <c r="T108" s="2">
        <f t="shared" si="9"/>
        <v>46.236853151130262</v>
      </c>
    </row>
    <row r="109" spans="1:20" x14ac:dyDescent="0.25">
      <c r="A109" s="14">
        <f t="shared" si="18"/>
        <v>0.44791666666666669</v>
      </c>
      <c r="B109" s="21">
        <f t="shared" si="11"/>
        <v>104</v>
      </c>
      <c r="C109" s="22">
        <f t="shared" si="12"/>
        <v>56.33</v>
      </c>
      <c r="D109" s="21">
        <v>6.5</v>
      </c>
      <c r="E109" s="2">
        <v>50.26548245743669</v>
      </c>
      <c r="F109" s="11">
        <f t="shared" si="0"/>
        <v>1.2931339126216495</v>
      </c>
      <c r="G109" s="2">
        <f t="shared" si="1"/>
        <v>72.842233297977515</v>
      </c>
      <c r="H109" s="2">
        <f t="shared" si="2"/>
        <v>2.3788529214031384</v>
      </c>
      <c r="I109" s="2">
        <f t="shared" si="3"/>
        <v>134.00078506263878</v>
      </c>
      <c r="J109" s="2">
        <f t="shared" si="4"/>
        <v>61.158551764661269</v>
      </c>
      <c r="K109" s="15">
        <f t="shared" si="19"/>
        <v>0.40763888888888888</v>
      </c>
      <c r="L109" s="21">
        <f t="shared" si="14"/>
        <v>104</v>
      </c>
      <c r="M109" s="21">
        <f t="shared" si="15"/>
        <v>56.08</v>
      </c>
      <c r="N109" s="21">
        <v>6.5</v>
      </c>
      <c r="O109" s="2">
        <v>50.26548245743669</v>
      </c>
      <c r="P109" s="11">
        <f t="shared" si="5"/>
        <v>1.2931339126216495</v>
      </c>
      <c r="Q109" s="2">
        <f t="shared" si="6"/>
        <v>72.518949819822097</v>
      </c>
      <c r="R109" s="2">
        <f t="shared" si="7"/>
        <v>2.4234467528176626</v>
      </c>
      <c r="S109" s="2">
        <f t="shared" si="8"/>
        <v>135.90689389801452</v>
      </c>
      <c r="T109" s="2">
        <f t="shared" si="9"/>
        <v>63.387944078192419</v>
      </c>
    </row>
    <row r="110" spans="1:20" x14ac:dyDescent="0.25">
      <c r="A110" s="14">
        <f t="shared" si="18"/>
        <v>0.4481303418803419</v>
      </c>
      <c r="B110" s="21">
        <f t="shared" si="11"/>
        <v>105</v>
      </c>
      <c r="C110" s="22">
        <f>C109+1.5</f>
        <v>57.83</v>
      </c>
      <c r="D110" s="21">
        <v>6</v>
      </c>
      <c r="E110" s="2">
        <v>50.26548245743669</v>
      </c>
      <c r="F110" s="11">
        <f t="shared" si="0"/>
        <v>1.1936620731892149</v>
      </c>
      <c r="G110" s="2">
        <f t="shared" si="1"/>
        <v>69.029477692532296</v>
      </c>
      <c r="H110" s="2">
        <f t="shared" si="2"/>
        <v>2.3788529214031384</v>
      </c>
      <c r="I110" s="2">
        <f t="shared" si="3"/>
        <v>137.5690644447435</v>
      </c>
      <c r="J110" s="2">
        <f t="shared" si="4"/>
        <v>68.539586752211207</v>
      </c>
      <c r="K110" s="15">
        <f t="shared" si="19"/>
        <v>0.4078525641025641</v>
      </c>
      <c r="L110" s="21">
        <f t="shared" si="14"/>
        <v>105</v>
      </c>
      <c r="M110" s="21">
        <f>M109+1.5</f>
        <v>57.58</v>
      </c>
      <c r="N110" s="21">
        <v>6.5</v>
      </c>
      <c r="O110" s="2">
        <v>50.26548245743669</v>
      </c>
      <c r="P110" s="11">
        <f t="shared" si="5"/>
        <v>1.2931339126216495</v>
      </c>
      <c r="Q110" s="2">
        <f t="shared" si="6"/>
        <v>74.458650688754574</v>
      </c>
      <c r="R110" s="2">
        <f t="shared" si="7"/>
        <v>2.4234467528176626</v>
      </c>
      <c r="S110" s="2">
        <f t="shared" si="8"/>
        <v>139.542064027241</v>
      </c>
      <c r="T110" s="2">
        <f t="shared" si="9"/>
        <v>65.083413338486423</v>
      </c>
    </row>
    <row r="111" spans="1:20" x14ac:dyDescent="0.25">
      <c r="A111" s="14">
        <f t="shared" si="18"/>
        <v>0.44834401709401711</v>
      </c>
      <c r="B111" s="21">
        <f t="shared" si="11"/>
        <v>106</v>
      </c>
      <c r="C111" s="22">
        <f t="shared" ref="C111:C162" si="20">C110+0.5</f>
        <v>58.33</v>
      </c>
      <c r="D111" s="21">
        <v>7</v>
      </c>
      <c r="E111" s="2">
        <v>50.26548245743669</v>
      </c>
      <c r="F111" s="11">
        <f t="shared" si="0"/>
        <v>1.3926057520540844</v>
      </c>
      <c r="G111" s="2">
        <f t="shared" si="1"/>
        <v>81.230693517314748</v>
      </c>
      <c r="H111" s="2">
        <f t="shared" si="2"/>
        <v>2.3788529214031384</v>
      </c>
      <c r="I111" s="2">
        <f t="shared" si="3"/>
        <v>138.75849090544506</v>
      </c>
      <c r="J111" s="2">
        <f t="shared" si="4"/>
        <v>57.52779738813031</v>
      </c>
      <c r="K111" s="15">
        <f t="shared" si="19"/>
        <v>0.40806623931623931</v>
      </c>
      <c r="L111" s="21">
        <f t="shared" si="14"/>
        <v>106</v>
      </c>
      <c r="M111" s="21">
        <f t="shared" ref="M111:M162" si="21">M110+0.5</f>
        <v>58.08</v>
      </c>
      <c r="N111" s="21">
        <v>6</v>
      </c>
      <c r="O111" s="2">
        <v>50.26548245743669</v>
      </c>
      <c r="P111" s="11">
        <f t="shared" si="5"/>
        <v>1.1936620731892149</v>
      </c>
      <c r="Q111" s="2">
        <f t="shared" si="6"/>
        <v>69.3278932108296</v>
      </c>
      <c r="R111" s="2">
        <f t="shared" si="7"/>
        <v>2.4234467528176626</v>
      </c>
      <c r="S111" s="2">
        <f t="shared" si="8"/>
        <v>140.75378740364985</v>
      </c>
      <c r="T111" s="2">
        <f t="shared" si="9"/>
        <v>71.425894192820252</v>
      </c>
    </row>
    <row r="112" spans="1:20" x14ac:dyDescent="0.25">
      <c r="A112" s="14">
        <f t="shared" si="18"/>
        <v>0.44855769230769232</v>
      </c>
      <c r="B112" s="2">
        <f t="shared" si="11"/>
        <v>107</v>
      </c>
      <c r="C112" s="4">
        <f t="shared" si="20"/>
        <v>58.83</v>
      </c>
      <c r="D112" s="2">
        <v>7</v>
      </c>
      <c r="E112" s="2">
        <v>50.26548245743669</v>
      </c>
      <c r="F112" s="11">
        <f t="shared" si="0"/>
        <v>1.3926057520540844</v>
      </c>
      <c r="G112" s="2">
        <f t="shared" si="1"/>
        <v>81.926996393341781</v>
      </c>
      <c r="H112" s="2">
        <f t="shared" si="2"/>
        <v>2.3788529214031384</v>
      </c>
      <c r="I112" s="2">
        <f t="shared" si="3"/>
        <v>139.94791736614664</v>
      </c>
      <c r="J112" s="2">
        <f t="shared" si="4"/>
        <v>58.020920972804859</v>
      </c>
      <c r="K112" s="15">
        <f t="shared" si="19"/>
        <v>0.40827991452991452</v>
      </c>
      <c r="L112" s="2">
        <f t="shared" si="14"/>
        <v>107</v>
      </c>
      <c r="M112" s="2">
        <f t="shared" si="21"/>
        <v>58.58</v>
      </c>
      <c r="N112" s="2">
        <v>6.5</v>
      </c>
      <c r="O112" s="2">
        <v>50.26548245743669</v>
      </c>
      <c r="P112" s="11">
        <f t="shared" si="5"/>
        <v>1.2931339126216495</v>
      </c>
      <c r="Q112" s="2">
        <f t="shared" si="6"/>
        <v>75.751784601376229</v>
      </c>
      <c r="R112" s="2">
        <f t="shared" si="7"/>
        <v>2.4234467528176626</v>
      </c>
      <c r="S112" s="2">
        <f t="shared" si="8"/>
        <v>141.96551078005868</v>
      </c>
      <c r="T112" s="2">
        <f t="shared" si="9"/>
        <v>66.21372617868245</v>
      </c>
    </row>
    <row r="113" spans="1:20" x14ac:dyDescent="0.25">
      <c r="A113" s="14">
        <f t="shared" si="18"/>
        <v>0.44877136752136754</v>
      </c>
      <c r="B113" s="2">
        <f t="shared" si="11"/>
        <v>108</v>
      </c>
      <c r="C113" s="4">
        <f t="shared" si="20"/>
        <v>59.33</v>
      </c>
      <c r="D113" s="2">
        <v>7</v>
      </c>
      <c r="E113" s="2">
        <v>50.26548245743669</v>
      </c>
      <c r="F113" s="11">
        <f t="shared" si="0"/>
        <v>1.3926057520540844</v>
      </c>
      <c r="G113" s="2">
        <f t="shared" si="1"/>
        <v>82.623299269368829</v>
      </c>
      <c r="H113" s="2">
        <f t="shared" si="2"/>
        <v>2.3788529214031384</v>
      </c>
      <c r="I113" s="2">
        <f t="shared" si="3"/>
        <v>141.13734382684819</v>
      </c>
      <c r="J113" s="2">
        <f t="shared" si="4"/>
        <v>58.514044557479366</v>
      </c>
      <c r="K113" s="15">
        <f t="shared" si="19"/>
        <v>0.40849358974358974</v>
      </c>
      <c r="L113" s="2">
        <f t="shared" si="14"/>
        <v>108</v>
      </c>
      <c r="M113" s="2">
        <f t="shared" si="21"/>
        <v>59.08</v>
      </c>
      <c r="N113" s="2">
        <v>7</v>
      </c>
      <c r="O113" s="2">
        <v>50.26548245743669</v>
      </c>
      <c r="P113" s="11">
        <f t="shared" si="5"/>
        <v>1.3926057520540844</v>
      </c>
      <c r="Q113" s="2">
        <f t="shared" si="6"/>
        <v>82.275147831355312</v>
      </c>
      <c r="R113" s="2">
        <f t="shared" si="7"/>
        <v>2.4234467528176626</v>
      </c>
      <c r="S113" s="2">
        <f t="shared" si="8"/>
        <v>143.17723415646751</v>
      </c>
      <c r="T113" s="2">
        <f t="shared" si="9"/>
        <v>60.902086325112194</v>
      </c>
    </row>
    <row r="114" spans="1:20" x14ac:dyDescent="0.25">
      <c r="A114" s="14">
        <f t="shared" si="18"/>
        <v>0.44898504273504275</v>
      </c>
      <c r="B114" s="2">
        <f t="shared" si="11"/>
        <v>109</v>
      </c>
      <c r="C114" s="4">
        <f t="shared" si="20"/>
        <v>59.83</v>
      </c>
      <c r="D114" s="2">
        <v>7</v>
      </c>
      <c r="E114" s="2">
        <v>50.26548245743669</v>
      </c>
      <c r="F114" s="11">
        <f t="shared" si="0"/>
        <v>1.3926057520540844</v>
      </c>
      <c r="G114" s="2">
        <f t="shared" si="1"/>
        <v>83.319602145395876</v>
      </c>
      <c r="H114" s="2">
        <f t="shared" si="2"/>
        <v>2.3788529214031384</v>
      </c>
      <c r="I114" s="2">
        <f t="shared" si="3"/>
        <v>142.32677028754978</v>
      </c>
      <c r="J114" s="2">
        <f t="shared" si="4"/>
        <v>59.007168142153901</v>
      </c>
      <c r="K114" s="15">
        <f t="shared" si="19"/>
        <v>0.40870726495726495</v>
      </c>
      <c r="L114" s="2">
        <f t="shared" si="14"/>
        <v>109</v>
      </c>
      <c r="M114" s="2">
        <f t="shared" si="21"/>
        <v>59.58</v>
      </c>
      <c r="N114" s="2">
        <v>7</v>
      </c>
      <c r="O114" s="2">
        <v>50.26548245743669</v>
      </c>
      <c r="P114" s="11">
        <f t="shared" si="5"/>
        <v>1.3926057520540844</v>
      </c>
      <c r="Q114" s="2">
        <f t="shared" si="6"/>
        <v>82.971450707382346</v>
      </c>
      <c r="R114" s="2">
        <f t="shared" si="7"/>
        <v>2.4234467528176626</v>
      </c>
      <c r="S114" s="2">
        <f t="shared" si="8"/>
        <v>144.38895753287633</v>
      </c>
      <c r="T114" s="2">
        <f t="shared" si="9"/>
        <v>61.417506825493987</v>
      </c>
    </row>
    <row r="115" spans="1:20" x14ac:dyDescent="0.25">
      <c r="A115" s="14">
        <f t="shared" si="18"/>
        <v>0.44919871794871796</v>
      </c>
      <c r="B115" s="2">
        <f t="shared" si="11"/>
        <v>110</v>
      </c>
      <c r="C115" s="4">
        <f t="shared" si="20"/>
        <v>60.33</v>
      </c>
      <c r="D115" s="2">
        <v>7</v>
      </c>
      <c r="E115" s="2">
        <v>50.26548245743669</v>
      </c>
      <c r="F115" s="11">
        <f t="shared" si="0"/>
        <v>1.3926057520540844</v>
      </c>
      <c r="G115" s="2">
        <f t="shared" si="1"/>
        <v>84.01590502142291</v>
      </c>
      <c r="H115" s="2">
        <f t="shared" si="2"/>
        <v>2.3788529214031384</v>
      </c>
      <c r="I115" s="2">
        <f t="shared" si="3"/>
        <v>143.51619674825133</v>
      </c>
      <c r="J115" s="2">
        <f t="shared" si="4"/>
        <v>59.500291726828422</v>
      </c>
      <c r="K115" s="15">
        <f t="shared" si="19"/>
        <v>0.40892094017094016</v>
      </c>
      <c r="L115" s="2">
        <f t="shared" si="14"/>
        <v>110</v>
      </c>
      <c r="M115" s="2">
        <f t="shared" si="21"/>
        <v>60.08</v>
      </c>
      <c r="N115" s="2">
        <v>6.5</v>
      </c>
      <c r="O115" s="2">
        <v>50.26548245743669</v>
      </c>
      <c r="P115" s="11">
        <f t="shared" si="5"/>
        <v>1.2931339126216495</v>
      </c>
      <c r="Q115" s="2">
        <f t="shared" si="6"/>
        <v>77.691485470308692</v>
      </c>
      <c r="R115" s="2">
        <f t="shared" si="7"/>
        <v>2.4234467528176626</v>
      </c>
      <c r="S115" s="2">
        <f t="shared" si="8"/>
        <v>145.60068090928516</v>
      </c>
      <c r="T115" s="2">
        <f t="shared" si="9"/>
        <v>67.909195438976468</v>
      </c>
    </row>
    <row r="116" spans="1:20" x14ac:dyDescent="0.25">
      <c r="A116" s="14">
        <f t="shared" si="18"/>
        <v>0.44941239316239318</v>
      </c>
      <c r="B116" s="2">
        <f t="shared" si="11"/>
        <v>111</v>
      </c>
      <c r="C116" s="4">
        <f t="shared" si="20"/>
        <v>60.83</v>
      </c>
      <c r="D116" s="2">
        <v>7.5</v>
      </c>
      <c r="E116" s="2">
        <v>50.26548245743669</v>
      </c>
      <c r="F116" s="11">
        <f t="shared" si="0"/>
        <v>1.492077591486519</v>
      </c>
      <c r="G116" s="2">
        <f t="shared" si="1"/>
        <v>90.763079890124942</v>
      </c>
      <c r="H116" s="2">
        <f t="shared" si="2"/>
        <v>2.3788529214031384</v>
      </c>
      <c r="I116" s="2">
        <f t="shared" si="3"/>
        <v>144.70562320895291</v>
      </c>
      <c r="J116" s="2">
        <f t="shared" si="4"/>
        <v>53.942543318827973</v>
      </c>
      <c r="K116" s="15">
        <f t="shared" si="19"/>
        <v>0.40913461538461537</v>
      </c>
      <c r="L116" s="2">
        <f t="shared" si="14"/>
        <v>111</v>
      </c>
      <c r="M116" s="2">
        <f t="shared" si="21"/>
        <v>60.58</v>
      </c>
      <c r="N116" s="2">
        <v>5.5</v>
      </c>
      <c r="O116" s="2">
        <v>50.26548245743669</v>
      </c>
      <c r="P116" s="11">
        <f t="shared" si="5"/>
        <v>1.0941902337567804</v>
      </c>
      <c r="Q116" s="2">
        <f t="shared" si="6"/>
        <v>66.286044360985755</v>
      </c>
      <c r="R116" s="2">
        <f t="shared" si="7"/>
        <v>2.4234467528176626</v>
      </c>
      <c r="S116" s="2">
        <f t="shared" si="8"/>
        <v>146.81240428569399</v>
      </c>
      <c r="T116" s="2">
        <f t="shared" si="9"/>
        <v>80.526359924708231</v>
      </c>
    </row>
    <row r="117" spans="1:20" x14ac:dyDescent="0.25">
      <c r="A117" s="14">
        <f t="shared" si="18"/>
        <v>0.44962606837606839</v>
      </c>
      <c r="B117" s="2">
        <f t="shared" si="11"/>
        <v>112</v>
      </c>
      <c r="C117" s="4">
        <f t="shared" si="20"/>
        <v>61.33</v>
      </c>
      <c r="D117" s="2">
        <v>7.5</v>
      </c>
      <c r="E117" s="2">
        <v>50.26548245743669</v>
      </c>
      <c r="F117" s="11">
        <f t="shared" si="0"/>
        <v>1.492077591486519</v>
      </c>
      <c r="G117" s="2">
        <f t="shared" si="1"/>
        <v>91.509118685868202</v>
      </c>
      <c r="H117" s="2">
        <f t="shared" si="2"/>
        <v>2.3788529214031384</v>
      </c>
      <c r="I117" s="2">
        <f t="shared" si="3"/>
        <v>145.89504966965447</v>
      </c>
      <c r="J117" s="2">
        <f t="shared" si="4"/>
        <v>54.385930983786267</v>
      </c>
      <c r="K117" s="15">
        <f t="shared" si="19"/>
        <v>0.40934829059829059</v>
      </c>
      <c r="L117" s="2">
        <f t="shared" si="14"/>
        <v>112</v>
      </c>
      <c r="M117" s="2">
        <f t="shared" si="21"/>
        <v>61.08</v>
      </c>
      <c r="N117" s="2">
        <v>9.5</v>
      </c>
      <c r="O117" s="2">
        <v>50.26548245743669</v>
      </c>
      <c r="P117" s="11">
        <f t="shared" si="5"/>
        <v>1.8899649492162571</v>
      </c>
      <c r="Q117" s="2">
        <f t="shared" si="6"/>
        <v>115.43905909812898</v>
      </c>
      <c r="R117" s="2">
        <f t="shared" si="7"/>
        <v>2.4234467528176626</v>
      </c>
      <c r="S117" s="2">
        <f t="shared" si="8"/>
        <v>148.02412766210284</v>
      </c>
      <c r="T117" s="2">
        <f t="shared" si="9"/>
        <v>32.585068563973863</v>
      </c>
    </row>
    <row r="118" spans="1:20" x14ac:dyDescent="0.25">
      <c r="A118" s="14">
        <f t="shared" si="18"/>
        <v>0.4498397435897436</v>
      </c>
      <c r="B118" s="2">
        <f t="shared" si="11"/>
        <v>113</v>
      </c>
      <c r="C118" s="4">
        <f t="shared" si="20"/>
        <v>61.83</v>
      </c>
      <c r="D118" s="2">
        <v>8</v>
      </c>
      <c r="E118" s="2">
        <v>50.26548245743669</v>
      </c>
      <c r="F118" s="11">
        <f t="shared" si="0"/>
        <v>1.5915494309189535</v>
      </c>
      <c r="G118" s="2">
        <f t="shared" si="1"/>
        <v>98.405501313718887</v>
      </c>
      <c r="H118" s="2">
        <f t="shared" si="2"/>
        <v>2.3788529214031384</v>
      </c>
      <c r="I118" s="2">
        <f t="shared" si="3"/>
        <v>147.08447613035605</v>
      </c>
      <c r="J118" s="2">
        <f t="shared" si="4"/>
        <v>48.678974816637165</v>
      </c>
      <c r="K118" s="15">
        <f t="shared" si="19"/>
        <v>0.4095619658119658</v>
      </c>
      <c r="L118" s="2">
        <f t="shared" si="14"/>
        <v>113</v>
      </c>
      <c r="M118" s="2">
        <f t="shared" si="21"/>
        <v>61.58</v>
      </c>
      <c r="N118" s="2">
        <v>7.5</v>
      </c>
      <c r="O118" s="2">
        <v>50.26548245743669</v>
      </c>
      <c r="P118" s="11">
        <f t="shared" si="5"/>
        <v>1.492077591486519</v>
      </c>
      <c r="Q118" s="2">
        <f t="shared" si="6"/>
        <v>91.882138083739832</v>
      </c>
      <c r="R118" s="2">
        <f t="shared" si="7"/>
        <v>2.4234467528176626</v>
      </c>
      <c r="S118" s="2">
        <f t="shared" si="8"/>
        <v>149.23585103851167</v>
      </c>
      <c r="T118" s="2">
        <f t="shared" si="9"/>
        <v>57.353712954771837</v>
      </c>
    </row>
    <row r="119" spans="1:20" x14ac:dyDescent="0.25">
      <c r="A119" s="14">
        <f t="shared" si="18"/>
        <v>0.45005341880341881</v>
      </c>
      <c r="B119" s="2">
        <f t="shared" si="11"/>
        <v>114</v>
      </c>
      <c r="C119" s="4">
        <f t="shared" si="20"/>
        <v>62.33</v>
      </c>
      <c r="D119" s="2">
        <v>8</v>
      </c>
      <c r="E119" s="2">
        <v>50.26548245743669</v>
      </c>
      <c r="F119" s="11">
        <f t="shared" si="0"/>
        <v>1.5915494309189535</v>
      </c>
      <c r="G119" s="2">
        <f t="shared" si="1"/>
        <v>99.201276029178374</v>
      </c>
      <c r="H119" s="2">
        <f t="shared" si="2"/>
        <v>2.3788529214031384</v>
      </c>
      <c r="I119" s="2">
        <f t="shared" si="3"/>
        <v>148.27390259105761</v>
      </c>
      <c r="J119" s="2">
        <f t="shared" si="4"/>
        <v>49.072626561879233</v>
      </c>
      <c r="K119" s="15">
        <f t="shared" si="19"/>
        <v>0.40977564102564101</v>
      </c>
      <c r="L119" s="2">
        <f t="shared" si="14"/>
        <v>114</v>
      </c>
      <c r="M119" s="2">
        <f t="shared" si="21"/>
        <v>62.08</v>
      </c>
      <c r="N119" s="2">
        <v>7.5</v>
      </c>
      <c r="O119" s="2">
        <v>50.26548245743669</v>
      </c>
      <c r="P119" s="11">
        <f t="shared" si="5"/>
        <v>1.492077591486519</v>
      </c>
      <c r="Q119" s="2">
        <f t="shared" si="6"/>
        <v>92.628176879483092</v>
      </c>
      <c r="R119" s="2">
        <f t="shared" si="7"/>
        <v>2.4234467528176626</v>
      </c>
      <c r="S119" s="2">
        <f t="shared" si="8"/>
        <v>150.4475744149205</v>
      </c>
      <c r="T119" s="2">
        <f t="shared" si="9"/>
        <v>57.819397535437403</v>
      </c>
    </row>
    <row r="120" spans="1:20" x14ac:dyDescent="0.25">
      <c r="A120" s="14">
        <f t="shared" si="18"/>
        <v>0.45026709401709403</v>
      </c>
      <c r="B120" s="2">
        <f t="shared" si="11"/>
        <v>115</v>
      </c>
      <c r="C120" s="4">
        <f t="shared" si="20"/>
        <v>62.83</v>
      </c>
      <c r="D120" s="2">
        <v>8</v>
      </c>
      <c r="E120" s="2">
        <v>50.26548245743669</v>
      </c>
      <c r="F120" s="11">
        <f t="shared" si="0"/>
        <v>1.5915494309189535</v>
      </c>
      <c r="G120" s="2">
        <f t="shared" si="1"/>
        <v>99.997050744637846</v>
      </c>
      <c r="H120" s="2">
        <f t="shared" si="2"/>
        <v>2.3788529214031384</v>
      </c>
      <c r="I120" s="2">
        <f t="shared" si="3"/>
        <v>149.46332905175919</v>
      </c>
      <c r="J120" s="2">
        <f t="shared" si="4"/>
        <v>49.466278307121343</v>
      </c>
      <c r="K120" s="15">
        <f t="shared" si="19"/>
        <v>0.40998931623931623</v>
      </c>
      <c r="L120" s="2">
        <f t="shared" si="14"/>
        <v>115</v>
      </c>
      <c r="M120" s="2">
        <f t="shared" si="21"/>
        <v>62.58</v>
      </c>
      <c r="N120" s="2">
        <v>7.5</v>
      </c>
      <c r="O120" s="2">
        <v>50.26548245743669</v>
      </c>
      <c r="P120" s="11">
        <f t="shared" si="5"/>
        <v>1.492077591486519</v>
      </c>
      <c r="Q120" s="2">
        <f t="shared" si="6"/>
        <v>93.374215675226353</v>
      </c>
      <c r="R120" s="2">
        <f t="shared" si="7"/>
        <v>2.4234467528176626</v>
      </c>
      <c r="S120" s="2">
        <f t="shared" si="8"/>
        <v>151.65929779132932</v>
      </c>
      <c r="T120" s="2">
        <f t="shared" si="9"/>
        <v>58.28508211610297</v>
      </c>
    </row>
    <row r="121" spans="1:20" x14ac:dyDescent="0.25">
      <c r="A121" s="14">
        <f t="shared" si="18"/>
        <v>0.45048076923076924</v>
      </c>
      <c r="B121" s="2">
        <f t="shared" si="11"/>
        <v>116</v>
      </c>
      <c r="C121" s="4">
        <f t="shared" si="20"/>
        <v>63.33</v>
      </c>
      <c r="D121" s="2">
        <v>8.5</v>
      </c>
      <c r="E121" s="2">
        <v>50.26548245743669</v>
      </c>
      <c r="F121" s="11">
        <f t="shared" si="0"/>
        <v>1.6910212703513881</v>
      </c>
      <c r="G121" s="2">
        <f t="shared" si="1"/>
        <v>107.09237705135341</v>
      </c>
      <c r="H121" s="2">
        <f t="shared" si="2"/>
        <v>2.3788529214031384</v>
      </c>
      <c r="I121" s="2">
        <f t="shared" si="3"/>
        <v>150.65275551246074</v>
      </c>
      <c r="J121" s="2">
        <f t="shared" si="4"/>
        <v>43.560378461107334</v>
      </c>
      <c r="K121" s="15">
        <f t="shared" si="19"/>
        <v>0.41020299145299144</v>
      </c>
      <c r="L121" s="2">
        <f t="shared" si="14"/>
        <v>116</v>
      </c>
      <c r="M121" s="2">
        <f t="shared" si="21"/>
        <v>63.08</v>
      </c>
      <c r="N121" s="2">
        <v>10</v>
      </c>
      <c r="O121" s="2">
        <v>50.26548245743669</v>
      </c>
      <c r="P121" s="11">
        <f t="shared" si="5"/>
        <v>1.9894367886486919</v>
      </c>
      <c r="Q121" s="2">
        <f t="shared" si="6"/>
        <v>125.49367262795948</v>
      </c>
      <c r="R121" s="2">
        <f t="shared" si="7"/>
        <v>2.4234467528176626</v>
      </c>
      <c r="S121" s="2">
        <f t="shared" si="8"/>
        <v>152.87102116773815</v>
      </c>
      <c r="T121" s="2">
        <f t="shared" si="9"/>
        <v>27.377348539778666</v>
      </c>
    </row>
    <row r="122" spans="1:20" x14ac:dyDescent="0.25">
      <c r="A122" s="10">
        <v>0.45069444444444445</v>
      </c>
      <c r="B122" s="2">
        <f t="shared" si="11"/>
        <v>117</v>
      </c>
      <c r="C122" s="4">
        <f t="shared" si="20"/>
        <v>63.83</v>
      </c>
      <c r="D122" s="2">
        <v>9.5</v>
      </c>
      <c r="E122" s="2">
        <v>50.26548245743669</v>
      </c>
      <c r="F122" s="11">
        <f t="shared" si="0"/>
        <v>1.8899649492162571</v>
      </c>
      <c r="G122" s="2">
        <f t="shared" si="1"/>
        <v>120.63646270847369</v>
      </c>
      <c r="H122" s="2">
        <f t="shared" si="2"/>
        <v>2.3788529214031384</v>
      </c>
      <c r="I122" s="2">
        <f t="shared" si="3"/>
        <v>151.84218197316233</v>
      </c>
      <c r="J122" s="2">
        <f t="shared" si="4"/>
        <v>31.205719264688639</v>
      </c>
      <c r="K122" s="12">
        <v>0.41041666666666665</v>
      </c>
      <c r="L122" s="2">
        <f t="shared" si="14"/>
        <v>117</v>
      </c>
      <c r="M122" s="2">
        <f t="shared" si="21"/>
        <v>63.58</v>
      </c>
      <c r="N122" s="2">
        <v>10</v>
      </c>
      <c r="O122" s="2">
        <v>50.26548245743669</v>
      </c>
      <c r="P122" s="11">
        <f t="shared" si="5"/>
        <v>1.9894367886486919</v>
      </c>
      <c r="Q122" s="2">
        <f t="shared" si="6"/>
        <v>126.48839102228382</v>
      </c>
      <c r="R122" s="2">
        <f t="shared" si="7"/>
        <v>2.4234467528176626</v>
      </c>
      <c r="S122" s="2">
        <f t="shared" si="8"/>
        <v>154.08274454414698</v>
      </c>
      <c r="T122" s="2">
        <f t="shared" si="9"/>
        <v>27.594353521863155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0.45090811965811967</v>
      </c>
      <c r="B123" s="2">
        <f t="shared" si="11"/>
        <v>118</v>
      </c>
      <c r="C123" s="4">
        <f t="shared" si="20"/>
        <v>64.33</v>
      </c>
      <c r="D123" s="2">
        <v>11</v>
      </c>
      <c r="E123" s="2">
        <v>50.26548245743669</v>
      </c>
      <c r="F123" s="11">
        <f t="shared" si="0"/>
        <v>2.1883804675135607</v>
      </c>
      <c r="G123" s="2">
        <f t="shared" si="1"/>
        <v>140.77851547514737</v>
      </c>
      <c r="H123" s="2">
        <f t="shared" si="2"/>
        <v>2.3788529214031384</v>
      </c>
      <c r="I123" s="2">
        <f t="shared" si="3"/>
        <v>153.03160843386388</v>
      </c>
      <c r="J123" s="2">
        <f t="shared" si="4"/>
        <v>12.253092958716508</v>
      </c>
      <c r="K123" s="15">
        <f t="shared" ref="K123:K160" si="23">IF(AND($K$122&lt;&gt;"",$K$161&lt;&gt;""), $K$122 + (L123 - $L$122) * (($K$161 - $K$122) / ($L$161 - $L$122)), "")</f>
        <v>0.41066595441595438</v>
      </c>
      <c r="L123" s="2">
        <f t="shared" si="14"/>
        <v>118</v>
      </c>
      <c r="M123" s="2">
        <f t="shared" si="21"/>
        <v>64.08</v>
      </c>
      <c r="N123" s="2">
        <v>10.5</v>
      </c>
      <c r="O123" s="2">
        <v>50.26548245743669</v>
      </c>
      <c r="P123" s="11">
        <f t="shared" si="5"/>
        <v>2.0889086280811267</v>
      </c>
      <c r="Q123" s="2">
        <f t="shared" si="6"/>
        <v>133.85726488743859</v>
      </c>
      <c r="R123" s="2">
        <f t="shared" si="7"/>
        <v>2.4234467528176626</v>
      </c>
      <c r="S123" s="2">
        <f t="shared" si="8"/>
        <v>155.29446792055583</v>
      </c>
      <c r="T123" s="2">
        <f t="shared" si="9"/>
        <v>21.437203033117243</v>
      </c>
    </row>
    <row r="124" spans="1:20" x14ac:dyDescent="0.25">
      <c r="A124" s="14">
        <f t="shared" si="22"/>
        <v>0.45112179487179488</v>
      </c>
      <c r="B124" s="2">
        <f t="shared" si="11"/>
        <v>119</v>
      </c>
      <c r="C124" s="4">
        <f t="shared" si="20"/>
        <v>64.83</v>
      </c>
      <c r="D124" s="2">
        <v>11</v>
      </c>
      <c r="E124" s="2">
        <v>50.26548245743669</v>
      </c>
      <c r="F124" s="11">
        <f t="shared" si="0"/>
        <v>2.1883804675135607</v>
      </c>
      <c r="G124" s="2">
        <f t="shared" si="1"/>
        <v>141.87270570890414</v>
      </c>
      <c r="H124" s="2">
        <f t="shared" si="2"/>
        <v>2.3788529214031384</v>
      </c>
      <c r="I124" s="2">
        <f t="shared" si="3"/>
        <v>154.22103489456546</v>
      </c>
      <c r="J124" s="2">
        <f t="shared" si="4"/>
        <v>12.348329185661328</v>
      </c>
      <c r="K124" s="15">
        <f t="shared" si="23"/>
        <v>0.41091524216524217</v>
      </c>
      <c r="L124" s="2">
        <f t="shared" si="14"/>
        <v>119</v>
      </c>
      <c r="M124" s="2">
        <f t="shared" si="21"/>
        <v>64.58</v>
      </c>
      <c r="N124" s="2">
        <v>10.5</v>
      </c>
      <c r="O124" s="2">
        <v>50.26548245743669</v>
      </c>
      <c r="P124" s="11">
        <f t="shared" si="5"/>
        <v>2.0889086280811267</v>
      </c>
      <c r="Q124" s="2">
        <f t="shared" si="6"/>
        <v>134.90171920147915</v>
      </c>
      <c r="R124" s="2">
        <f t="shared" si="7"/>
        <v>2.4234467528176626</v>
      </c>
      <c r="S124" s="2">
        <f t="shared" si="8"/>
        <v>156.50619129696466</v>
      </c>
      <c r="T124" s="2">
        <f t="shared" si="9"/>
        <v>21.604472095485505</v>
      </c>
    </row>
    <row r="125" spans="1:20" x14ac:dyDescent="0.25">
      <c r="A125" s="14">
        <f t="shared" si="22"/>
        <v>0.45133547008547009</v>
      </c>
      <c r="B125" s="2">
        <f t="shared" si="11"/>
        <v>120</v>
      </c>
      <c r="C125" s="4">
        <f t="shared" si="20"/>
        <v>65.33</v>
      </c>
      <c r="D125" s="2">
        <v>15</v>
      </c>
      <c r="E125" s="2">
        <v>50.26548245743669</v>
      </c>
      <c r="F125" s="11">
        <f t="shared" si="0"/>
        <v>2.9841551829730379</v>
      </c>
      <c r="G125" s="2">
        <f t="shared" si="1"/>
        <v>194.95485810362857</v>
      </c>
      <c r="H125" s="2">
        <f t="shared" si="2"/>
        <v>2.3788529214031384</v>
      </c>
      <c r="I125" s="2">
        <f t="shared" si="3"/>
        <v>155.41046135526702</v>
      </c>
      <c r="J125" s="2">
        <f t="shared" si="4"/>
        <v>39.544396748361549</v>
      </c>
      <c r="K125" s="15">
        <f t="shared" si="23"/>
        <v>0.4111645299145299</v>
      </c>
      <c r="L125" s="2">
        <f t="shared" si="14"/>
        <v>120</v>
      </c>
      <c r="M125" s="2">
        <f t="shared" si="21"/>
        <v>65.08</v>
      </c>
      <c r="N125" s="2">
        <v>10.5</v>
      </c>
      <c r="O125" s="2">
        <v>50.26548245743669</v>
      </c>
      <c r="P125" s="11">
        <f t="shared" si="5"/>
        <v>2.0889086280811267</v>
      </c>
      <c r="Q125" s="2">
        <f t="shared" si="6"/>
        <v>135.94617351551972</v>
      </c>
      <c r="R125" s="2">
        <f t="shared" si="7"/>
        <v>2.4234467528176626</v>
      </c>
      <c r="S125" s="2">
        <f t="shared" si="8"/>
        <v>157.71791467337349</v>
      </c>
      <c r="T125" s="2">
        <f t="shared" si="9"/>
        <v>21.771741157853768</v>
      </c>
    </row>
    <row r="126" spans="1:20" x14ac:dyDescent="0.25">
      <c r="A126" s="14">
        <f t="shared" si="22"/>
        <v>0.4515491452991453</v>
      </c>
      <c r="B126" s="2">
        <f t="shared" si="11"/>
        <v>121</v>
      </c>
      <c r="C126" s="4">
        <f t="shared" si="20"/>
        <v>65.83</v>
      </c>
      <c r="D126" s="2">
        <v>11.5</v>
      </c>
      <c r="E126" s="2">
        <v>50.26548245743669</v>
      </c>
      <c r="F126" s="11">
        <f t="shared" si="0"/>
        <v>2.2878523069459957</v>
      </c>
      <c r="G126" s="2">
        <f t="shared" si="1"/>
        <v>150.60931736625488</v>
      </c>
      <c r="H126" s="2">
        <f t="shared" si="2"/>
        <v>2.3788529214031384</v>
      </c>
      <c r="I126" s="2">
        <f t="shared" si="3"/>
        <v>156.5998878159686</v>
      </c>
      <c r="J126" s="2">
        <f t="shared" si="4"/>
        <v>5.9905704497137151</v>
      </c>
      <c r="K126" s="15">
        <f t="shared" si="23"/>
        <v>0.41141381766381763</v>
      </c>
      <c r="L126" s="2">
        <f t="shared" si="14"/>
        <v>121</v>
      </c>
      <c r="M126" s="2">
        <f t="shared" si="21"/>
        <v>65.58</v>
      </c>
      <c r="N126" s="2">
        <v>12</v>
      </c>
      <c r="O126" s="2">
        <v>50.26548245743669</v>
      </c>
      <c r="P126" s="11">
        <f t="shared" si="5"/>
        <v>2.3873241463784298</v>
      </c>
      <c r="Q126" s="2">
        <f t="shared" si="6"/>
        <v>156.56071751949742</v>
      </c>
      <c r="R126" s="2">
        <f t="shared" si="7"/>
        <v>2.4234467528176626</v>
      </c>
      <c r="S126" s="2">
        <f t="shared" si="8"/>
        <v>158.92963804978231</v>
      </c>
      <c r="T126" s="2">
        <f t="shared" si="9"/>
        <v>2.3689205302848961</v>
      </c>
    </row>
    <row r="127" spans="1:20" x14ac:dyDescent="0.25">
      <c r="A127" s="14">
        <f t="shared" si="22"/>
        <v>0.45176282051282052</v>
      </c>
      <c r="B127" s="2">
        <f t="shared" si="11"/>
        <v>122</v>
      </c>
      <c r="C127" s="4">
        <f t="shared" si="20"/>
        <v>66.33</v>
      </c>
      <c r="D127" s="2">
        <v>13.5</v>
      </c>
      <c r="E127" s="2">
        <v>50.26548245743669</v>
      </c>
      <c r="F127" s="11">
        <f t="shared" si="0"/>
        <v>2.6857396646757339</v>
      </c>
      <c r="G127" s="2">
        <f t="shared" si="1"/>
        <v>178.14511195794142</v>
      </c>
      <c r="H127" s="2">
        <f t="shared" si="2"/>
        <v>2.3788529214031384</v>
      </c>
      <c r="I127" s="2">
        <f t="shared" si="3"/>
        <v>157.78931427667015</v>
      </c>
      <c r="J127" s="2">
        <f t="shared" si="4"/>
        <v>20.35579768127127</v>
      </c>
      <c r="K127" s="15">
        <f t="shared" si="23"/>
        <v>0.41166310541310541</v>
      </c>
      <c r="L127" s="2">
        <f t="shared" si="14"/>
        <v>122</v>
      </c>
      <c r="M127" s="2">
        <f t="shared" si="21"/>
        <v>66.08</v>
      </c>
      <c r="N127" s="2">
        <v>13</v>
      </c>
      <c r="O127" s="2">
        <v>50.26548245743669</v>
      </c>
      <c r="P127" s="11">
        <f t="shared" si="5"/>
        <v>2.5862678252432989</v>
      </c>
      <c r="Q127" s="2">
        <f t="shared" si="6"/>
        <v>170.90057789207719</v>
      </c>
      <c r="R127" s="2">
        <f t="shared" si="7"/>
        <v>2.4234467528176626</v>
      </c>
      <c r="S127" s="2">
        <f t="shared" si="8"/>
        <v>160.14136142619114</v>
      </c>
      <c r="T127" s="2">
        <f t="shared" si="9"/>
        <v>10.759216465886055</v>
      </c>
    </row>
    <row r="128" spans="1:20" x14ac:dyDescent="0.25">
      <c r="A128" s="14">
        <f t="shared" si="22"/>
        <v>0.45197649572649573</v>
      </c>
      <c r="B128" s="2">
        <f t="shared" si="11"/>
        <v>123</v>
      </c>
      <c r="C128" s="4">
        <f t="shared" si="20"/>
        <v>66.83</v>
      </c>
      <c r="D128" s="2">
        <v>12.5</v>
      </c>
      <c r="E128" s="2">
        <v>50.26548245743669</v>
      </c>
      <c r="F128" s="11">
        <f t="shared" si="0"/>
        <v>2.4867959858108648</v>
      </c>
      <c r="G128" s="2">
        <f t="shared" si="1"/>
        <v>166.19257573174008</v>
      </c>
      <c r="H128" s="2">
        <f t="shared" si="2"/>
        <v>2.3788529214031384</v>
      </c>
      <c r="I128" s="2">
        <f t="shared" si="3"/>
        <v>158.97874073737174</v>
      </c>
      <c r="J128" s="2">
        <f t="shared" si="4"/>
        <v>7.2138349943683409</v>
      </c>
      <c r="K128" s="15">
        <f t="shared" si="23"/>
        <v>0.41191239316239314</v>
      </c>
      <c r="L128" s="2">
        <f t="shared" si="14"/>
        <v>123</v>
      </c>
      <c r="M128" s="2">
        <f t="shared" si="21"/>
        <v>66.58</v>
      </c>
      <c r="N128" s="2">
        <v>12.5</v>
      </c>
      <c r="O128" s="2">
        <v>50.26548245743669</v>
      </c>
      <c r="P128" s="11">
        <f t="shared" si="5"/>
        <v>2.4867959858108648</v>
      </c>
      <c r="Q128" s="2">
        <f t="shared" si="6"/>
        <v>165.57087673528738</v>
      </c>
      <c r="R128" s="2">
        <f t="shared" si="7"/>
        <v>2.4234467528176626</v>
      </c>
      <c r="S128" s="2">
        <f t="shared" si="8"/>
        <v>161.35308480259997</v>
      </c>
      <c r="T128" s="2">
        <f t="shared" si="9"/>
        <v>4.2177919326874189</v>
      </c>
    </row>
    <row r="129" spans="1:20" x14ac:dyDescent="0.25">
      <c r="A129" s="14">
        <f t="shared" si="22"/>
        <v>0.45219017094017094</v>
      </c>
      <c r="B129" s="2">
        <f t="shared" si="11"/>
        <v>124</v>
      </c>
      <c r="C129" s="4">
        <f t="shared" si="20"/>
        <v>67.33</v>
      </c>
      <c r="D129" s="2">
        <v>14.5</v>
      </c>
      <c r="E129" s="2">
        <v>50.26548245743669</v>
      </c>
      <c r="F129" s="11">
        <f t="shared" si="0"/>
        <v>2.8846833435406034</v>
      </c>
      <c r="G129" s="2">
        <f t="shared" si="1"/>
        <v>194.22572952058883</v>
      </c>
      <c r="H129" s="2">
        <f t="shared" si="2"/>
        <v>2.3788529214031384</v>
      </c>
      <c r="I129" s="2">
        <f t="shared" si="3"/>
        <v>160.16816719807332</v>
      </c>
      <c r="J129" s="2">
        <f t="shared" si="4"/>
        <v>34.057562322515508</v>
      </c>
      <c r="K129" s="15">
        <f t="shared" si="23"/>
        <v>0.41216168091168093</v>
      </c>
      <c r="L129" s="2">
        <f t="shared" si="14"/>
        <v>124</v>
      </c>
      <c r="M129" s="2">
        <f t="shared" si="21"/>
        <v>67.08</v>
      </c>
      <c r="N129" s="2">
        <v>12.5</v>
      </c>
      <c r="O129" s="2">
        <v>50.26548245743669</v>
      </c>
      <c r="P129" s="11">
        <f t="shared" si="5"/>
        <v>2.4867959858108648</v>
      </c>
      <c r="Q129" s="2">
        <f t="shared" si="6"/>
        <v>166.8142747281928</v>
      </c>
      <c r="R129" s="2">
        <f t="shared" si="7"/>
        <v>2.4234467528176626</v>
      </c>
      <c r="S129" s="2">
        <f t="shared" si="8"/>
        <v>162.56480817900879</v>
      </c>
      <c r="T129" s="2">
        <f t="shared" si="9"/>
        <v>4.2494665491840067</v>
      </c>
    </row>
    <row r="130" spans="1:20" x14ac:dyDescent="0.25">
      <c r="A130" s="14">
        <f t="shared" si="22"/>
        <v>0.45240384615384616</v>
      </c>
      <c r="B130" s="2">
        <f t="shared" si="11"/>
        <v>125</v>
      </c>
      <c r="C130" s="4">
        <f t="shared" si="20"/>
        <v>67.83</v>
      </c>
      <c r="D130" s="2">
        <v>12.5</v>
      </c>
      <c r="E130" s="2">
        <v>50.26548245743669</v>
      </c>
      <c r="F130" s="11">
        <f t="shared" si="0"/>
        <v>2.4867959858108648</v>
      </c>
      <c r="G130" s="2">
        <f t="shared" si="1"/>
        <v>168.67937171755096</v>
      </c>
      <c r="H130" s="2">
        <f t="shared" si="2"/>
        <v>2.3788529214031384</v>
      </c>
      <c r="I130" s="2">
        <f t="shared" si="3"/>
        <v>161.35759365877487</v>
      </c>
      <c r="J130" s="2">
        <f t="shared" si="4"/>
        <v>7.3217780587760899</v>
      </c>
      <c r="K130" s="15">
        <f t="shared" si="23"/>
        <v>0.41241096866096866</v>
      </c>
      <c r="L130" s="2">
        <f t="shared" si="14"/>
        <v>125</v>
      </c>
      <c r="M130" s="2">
        <f t="shared" si="21"/>
        <v>67.58</v>
      </c>
      <c r="N130" s="2">
        <v>13.5</v>
      </c>
      <c r="O130" s="2">
        <v>50.26548245743669</v>
      </c>
      <c r="P130" s="11">
        <f t="shared" si="5"/>
        <v>2.6857396646757339</v>
      </c>
      <c r="Q130" s="2">
        <f t="shared" si="6"/>
        <v>181.50228653878608</v>
      </c>
      <c r="R130" s="2">
        <f t="shared" si="7"/>
        <v>2.4234467528176626</v>
      </c>
      <c r="S130" s="2">
        <f t="shared" si="8"/>
        <v>163.77653155541765</v>
      </c>
      <c r="T130" s="2">
        <f t="shared" si="9"/>
        <v>17.725754983368432</v>
      </c>
    </row>
    <row r="131" spans="1:20" x14ac:dyDescent="0.25">
      <c r="A131" s="14">
        <f t="shared" si="22"/>
        <v>0.45261752136752137</v>
      </c>
      <c r="B131" s="2">
        <f t="shared" si="11"/>
        <v>126</v>
      </c>
      <c r="C131" s="4">
        <f t="shared" si="20"/>
        <v>68.33</v>
      </c>
      <c r="D131" s="2">
        <v>13.5</v>
      </c>
      <c r="E131" s="2">
        <v>50.26548245743669</v>
      </c>
      <c r="F131" s="11">
        <f t="shared" si="0"/>
        <v>2.6857396646757339</v>
      </c>
      <c r="G131" s="2">
        <f t="shared" si="1"/>
        <v>183.5165912872929</v>
      </c>
      <c r="H131" s="2">
        <f t="shared" si="2"/>
        <v>2.3788529214031384</v>
      </c>
      <c r="I131" s="2">
        <f t="shared" si="3"/>
        <v>162.54702011947646</v>
      </c>
      <c r="J131" s="2">
        <f t="shared" si="4"/>
        <v>20.96957116781644</v>
      </c>
      <c r="K131" s="15">
        <f t="shared" si="23"/>
        <v>0.41266025641025639</v>
      </c>
      <c r="L131" s="2">
        <f t="shared" si="14"/>
        <v>126</v>
      </c>
      <c r="M131" s="2">
        <f t="shared" si="21"/>
        <v>68.08</v>
      </c>
      <c r="N131" s="2">
        <v>13.5</v>
      </c>
      <c r="O131" s="2">
        <v>50.26548245743669</v>
      </c>
      <c r="P131" s="11">
        <f t="shared" si="5"/>
        <v>2.6857396646757339</v>
      </c>
      <c r="Q131" s="2">
        <f t="shared" si="6"/>
        <v>182.84515637112395</v>
      </c>
      <c r="R131" s="2">
        <f t="shared" si="7"/>
        <v>2.4234467528176626</v>
      </c>
      <c r="S131" s="2">
        <f t="shared" si="8"/>
        <v>164.98825493182648</v>
      </c>
      <c r="T131" s="2">
        <f t="shared" si="9"/>
        <v>17.856901439297474</v>
      </c>
    </row>
    <row r="132" spans="1:20" x14ac:dyDescent="0.25">
      <c r="A132" s="14">
        <f t="shared" si="22"/>
        <v>0.45283119658119658</v>
      </c>
      <c r="B132" s="2">
        <f t="shared" si="11"/>
        <v>127</v>
      </c>
      <c r="C132" s="4">
        <f t="shared" si="20"/>
        <v>68.83</v>
      </c>
      <c r="D132" s="2">
        <v>13</v>
      </c>
      <c r="E132" s="2">
        <v>50.26548245743669</v>
      </c>
      <c r="F132" s="11">
        <f t="shared" si="0"/>
        <v>2.5862678252432989</v>
      </c>
      <c r="G132" s="2">
        <f t="shared" si="1"/>
        <v>178.01281441149627</v>
      </c>
      <c r="H132" s="2">
        <f t="shared" si="2"/>
        <v>2.3788529214031384</v>
      </c>
      <c r="I132" s="2">
        <f t="shared" si="3"/>
        <v>163.73644658017801</v>
      </c>
      <c r="J132" s="2">
        <f t="shared" si="4"/>
        <v>14.276367831318254</v>
      </c>
      <c r="K132" s="15">
        <f t="shared" si="23"/>
        <v>0.41290954415954417</v>
      </c>
      <c r="L132" s="2">
        <f t="shared" si="14"/>
        <v>127</v>
      </c>
      <c r="M132" s="2">
        <f t="shared" si="21"/>
        <v>68.58</v>
      </c>
      <c r="N132" s="2">
        <v>13</v>
      </c>
      <c r="O132" s="2">
        <v>50.26548245743669</v>
      </c>
      <c r="P132" s="11">
        <f t="shared" si="5"/>
        <v>2.5862678252432989</v>
      </c>
      <c r="Q132" s="2">
        <f t="shared" si="6"/>
        <v>177.36624745518543</v>
      </c>
      <c r="R132" s="2">
        <f t="shared" si="7"/>
        <v>2.4234467528176626</v>
      </c>
      <c r="S132" s="2">
        <f t="shared" si="8"/>
        <v>166.1999783082353</v>
      </c>
      <c r="T132" s="2">
        <f t="shared" si="9"/>
        <v>11.166269146950128</v>
      </c>
    </row>
    <row r="133" spans="1:20" x14ac:dyDescent="0.25">
      <c r="A133" s="14">
        <f t="shared" si="22"/>
        <v>0.4530448717948718</v>
      </c>
      <c r="B133" s="2">
        <f t="shared" si="11"/>
        <v>128</v>
      </c>
      <c r="C133" s="4">
        <f t="shared" si="20"/>
        <v>69.33</v>
      </c>
      <c r="D133" s="2">
        <v>12.5</v>
      </c>
      <c r="E133" s="2">
        <v>50.26548245743669</v>
      </c>
      <c r="F133" s="11">
        <f t="shared" si="0"/>
        <v>2.4867959858108648</v>
      </c>
      <c r="G133" s="2">
        <f t="shared" si="1"/>
        <v>172.40956569626726</v>
      </c>
      <c r="H133" s="2">
        <f t="shared" si="2"/>
        <v>2.3788529214031384</v>
      </c>
      <c r="I133" s="2">
        <f t="shared" si="3"/>
        <v>164.92587304087959</v>
      </c>
      <c r="J133" s="2">
        <f t="shared" si="4"/>
        <v>7.4836926553876708</v>
      </c>
      <c r="K133" s="15">
        <f t="shared" si="23"/>
        <v>0.4131588319088319</v>
      </c>
      <c r="L133" s="2">
        <f t="shared" si="14"/>
        <v>128</v>
      </c>
      <c r="M133" s="2">
        <f t="shared" si="21"/>
        <v>69.08</v>
      </c>
      <c r="N133" s="2">
        <v>13</v>
      </c>
      <c r="O133" s="2">
        <v>50.26548245743669</v>
      </c>
      <c r="P133" s="11">
        <f t="shared" si="5"/>
        <v>2.5862678252432989</v>
      </c>
      <c r="Q133" s="2">
        <f t="shared" si="6"/>
        <v>178.65938136780707</v>
      </c>
      <c r="R133" s="2">
        <f t="shared" si="7"/>
        <v>2.4234467528176626</v>
      </c>
      <c r="S133" s="2">
        <f t="shared" si="8"/>
        <v>167.41170168464413</v>
      </c>
      <c r="T133" s="2">
        <f t="shared" si="9"/>
        <v>11.247679683162943</v>
      </c>
    </row>
    <row r="134" spans="1:20" x14ac:dyDescent="0.25">
      <c r="A134" s="14">
        <f t="shared" si="22"/>
        <v>0.45325854700854701</v>
      </c>
      <c r="B134" s="2">
        <f t="shared" si="11"/>
        <v>129</v>
      </c>
      <c r="C134" s="4">
        <f t="shared" si="20"/>
        <v>69.83</v>
      </c>
      <c r="D134" s="2">
        <v>11.5</v>
      </c>
      <c r="E134" s="2">
        <v>50.26548245743669</v>
      </c>
      <c r="F134" s="11">
        <f t="shared" si="0"/>
        <v>2.2878523069459957</v>
      </c>
      <c r="G134" s="2">
        <f t="shared" si="1"/>
        <v>159.76072659403889</v>
      </c>
      <c r="H134" s="2">
        <f t="shared" si="2"/>
        <v>2.3788529214031384</v>
      </c>
      <c r="I134" s="2">
        <f t="shared" si="3"/>
        <v>166.11529950158115</v>
      </c>
      <c r="J134" s="2">
        <f t="shared" si="4"/>
        <v>6.3545729075422628</v>
      </c>
      <c r="K134" s="15">
        <f t="shared" si="23"/>
        <v>0.41340811965811963</v>
      </c>
      <c r="L134" s="2">
        <f t="shared" si="14"/>
        <v>129</v>
      </c>
      <c r="M134" s="2">
        <f t="shared" si="21"/>
        <v>69.58</v>
      </c>
      <c r="N134" s="2">
        <v>12.5</v>
      </c>
      <c r="O134" s="2">
        <v>50.26548245743669</v>
      </c>
      <c r="P134" s="11">
        <f t="shared" si="5"/>
        <v>2.4867959858108648</v>
      </c>
      <c r="Q134" s="2">
        <f t="shared" si="6"/>
        <v>173.03126469271996</v>
      </c>
      <c r="R134" s="2">
        <f t="shared" si="7"/>
        <v>2.4234467528176626</v>
      </c>
      <c r="S134" s="2">
        <f t="shared" si="8"/>
        <v>168.62342506105296</v>
      </c>
      <c r="T134" s="2">
        <f t="shared" si="9"/>
        <v>4.4078396316670023</v>
      </c>
    </row>
    <row r="135" spans="1:20" x14ac:dyDescent="0.25">
      <c r="A135" s="14">
        <f t="shared" si="22"/>
        <v>0.45347222222222222</v>
      </c>
      <c r="B135" s="2">
        <f t="shared" si="11"/>
        <v>130</v>
      </c>
      <c r="C135" s="4">
        <f t="shared" si="20"/>
        <v>70.33</v>
      </c>
      <c r="D135" s="2">
        <v>12</v>
      </c>
      <c r="E135" s="2">
        <v>50.26548245743669</v>
      </c>
      <c r="F135" s="11">
        <f t="shared" si="0"/>
        <v>2.3873241463784298</v>
      </c>
      <c r="G135" s="2">
        <f t="shared" si="1"/>
        <v>167.90050721479497</v>
      </c>
      <c r="H135" s="2">
        <f t="shared" si="2"/>
        <v>2.3788529214031384</v>
      </c>
      <c r="I135" s="2">
        <f t="shared" si="3"/>
        <v>167.30472596228273</v>
      </c>
      <c r="J135" s="2">
        <f t="shared" si="4"/>
        <v>0.59578125251223923</v>
      </c>
      <c r="K135" s="15">
        <f t="shared" si="23"/>
        <v>0.41365740740740742</v>
      </c>
      <c r="L135" s="2">
        <f t="shared" si="14"/>
        <v>130</v>
      </c>
      <c r="M135" s="2">
        <f t="shared" si="21"/>
        <v>70.08</v>
      </c>
      <c r="N135" s="2">
        <v>12</v>
      </c>
      <c r="O135" s="2">
        <v>50.26548245743669</v>
      </c>
      <c r="P135" s="11">
        <f t="shared" si="5"/>
        <v>2.3873241463784298</v>
      </c>
      <c r="Q135" s="2">
        <f t="shared" si="6"/>
        <v>167.30367617820036</v>
      </c>
      <c r="R135" s="2">
        <f t="shared" si="7"/>
        <v>2.4234467528176626</v>
      </c>
      <c r="S135" s="2">
        <f t="shared" si="8"/>
        <v>169.83514843746178</v>
      </c>
      <c r="T135" s="2">
        <f t="shared" si="9"/>
        <v>2.5314722592614203</v>
      </c>
    </row>
    <row r="136" spans="1:20" x14ac:dyDescent="0.25">
      <c r="A136" s="14">
        <f t="shared" si="22"/>
        <v>0.45368589743589743</v>
      </c>
      <c r="B136" s="2">
        <f t="shared" si="11"/>
        <v>131</v>
      </c>
      <c r="C136" s="4">
        <f t="shared" si="20"/>
        <v>70.83</v>
      </c>
      <c r="D136" s="2">
        <v>13</v>
      </c>
      <c r="E136" s="2">
        <v>50.26548245743669</v>
      </c>
      <c r="F136" s="11">
        <f t="shared" si="0"/>
        <v>2.5862678252432989</v>
      </c>
      <c r="G136" s="2">
        <f t="shared" si="1"/>
        <v>183.18535006198286</v>
      </c>
      <c r="H136" s="2">
        <f t="shared" si="2"/>
        <v>2.3788529214031384</v>
      </c>
      <c r="I136" s="2">
        <f t="shared" si="3"/>
        <v>168.49415242298429</v>
      </c>
      <c r="J136" s="2">
        <f t="shared" si="4"/>
        <v>14.691197638998574</v>
      </c>
      <c r="K136" s="15">
        <f t="shared" si="23"/>
        <v>0.41390669515669515</v>
      </c>
      <c r="L136" s="2">
        <f t="shared" si="14"/>
        <v>131</v>
      </c>
      <c r="M136" s="2">
        <f t="shared" si="21"/>
        <v>70.58</v>
      </c>
      <c r="N136" s="2">
        <v>12</v>
      </c>
      <c r="O136" s="2">
        <v>50.26548245743669</v>
      </c>
      <c r="P136" s="11">
        <f t="shared" si="5"/>
        <v>2.3873241463784298</v>
      </c>
      <c r="Q136" s="2">
        <f t="shared" si="6"/>
        <v>168.49733825138958</v>
      </c>
      <c r="R136" s="2">
        <f t="shared" si="7"/>
        <v>2.4234467528176626</v>
      </c>
      <c r="S136" s="2">
        <f t="shared" si="8"/>
        <v>171.04687181387064</v>
      </c>
      <c r="T136" s="2">
        <f t="shared" si="9"/>
        <v>2.5495335624810593</v>
      </c>
    </row>
    <row r="137" spans="1:20" x14ac:dyDescent="0.25">
      <c r="A137" s="14">
        <f t="shared" si="22"/>
        <v>0.45389957264957265</v>
      </c>
      <c r="B137" s="2">
        <f t="shared" si="11"/>
        <v>132</v>
      </c>
      <c r="C137" s="4">
        <f t="shared" si="20"/>
        <v>71.33</v>
      </c>
      <c r="D137" s="2">
        <v>12.5</v>
      </c>
      <c r="E137" s="2">
        <v>50.26548245743669</v>
      </c>
      <c r="F137" s="11">
        <f t="shared" si="0"/>
        <v>2.4867959858108648</v>
      </c>
      <c r="G137" s="2">
        <f t="shared" si="1"/>
        <v>177.38315766788898</v>
      </c>
      <c r="H137" s="2">
        <f t="shared" si="2"/>
        <v>2.3788529214031384</v>
      </c>
      <c r="I137" s="2">
        <f t="shared" si="3"/>
        <v>169.68357888368587</v>
      </c>
      <c r="J137" s="2">
        <f t="shared" si="4"/>
        <v>7.699578784203112</v>
      </c>
      <c r="K137" s="15">
        <f t="shared" si="23"/>
        <v>0.41415598290598288</v>
      </c>
      <c r="L137" s="2">
        <f t="shared" si="14"/>
        <v>132</v>
      </c>
      <c r="M137" s="2">
        <f t="shared" si="21"/>
        <v>71.08</v>
      </c>
      <c r="N137" s="2">
        <v>11.5</v>
      </c>
      <c r="O137" s="2">
        <v>50.26548245743669</v>
      </c>
      <c r="P137" s="11">
        <f t="shared" si="5"/>
        <v>2.2878523069459957</v>
      </c>
      <c r="Q137" s="2">
        <f t="shared" si="6"/>
        <v>162.62054197772136</v>
      </c>
      <c r="R137" s="2">
        <f t="shared" si="7"/>
        <v>2.4234467528176626</v>
      </c>
      <c r="S137" s="2">
        <f t="shared" si="8"/>
        <v>172.25859519027946</v>
      </c>
      <c r="T137" s="2">
        <f t="shared" si="9"/>
        <v>9.6380532125581055</v>
      </c>
    </row>
    <row r="138" spans="1:20" x14ac:dyDescent="0.25">
      <c r="A138" s="14">
        <f t="shared" si="22"/>
        <v>0.45411324786324786</v>
      </c>
      <c r="B138" s="2">
        <f t="shared" si="11"/>
        <v>133</v>
      </c>
      <c r="C138" s="4">
        <f t="shared" si="20"/>
        <v>71.83</v>
      </c>
      <c r="D138" s="2">
        <v>12.5</v>
      </c>
      <c r="E138" s="2">
        <v>50.26548245743669</v>
      </c>
      <c r="F138" s="11">
        <f t="shared" si="0"/>
        <v>2.4867959858108648</v>
      </c>
      <c r="G138" s="2">
        <f t="shared" si="1"/>
        <v>178.62655566079442</v>
      </c>
      <c r="H138" s="2">
        <f t="shared" si="2"/>
        <v>2.3788529214031384</v>
      </c>
      <c r="I138" s="2">
        <f t="shared" si="3"/>
        <v>170.87300534438742</v>
      </c>
      <c r="J138" s="2">
        <f t="shared" si="4"/>
        <v>7.7535503164070008</v>
      </c>
      <c r="K138" s="15">
        <f t="shared" si="23"/>
        <v>0.41440527065527066</v>
      </c>
      <c r="L138" s="2">
        <f t="shared" si="14"/>
        <v>133</v>
      </c>
      <c r="M138" s="2">
        <f t="shared" si="21"/>
        <v>71.58</v>
      </c>
      <c r="N138" s="2">
        <v>12</v>
      </c>
      <c r="O138" s="2">
        <v>50.26548245743669</v>
      </c>
      <c r="P138" s="11">
        <f t="shared" si="5"/>
        <v>2.3873241463784298</v>
      </c>
      <c r="Q138" s="2">
        <f t="shared" si="6"/>
        <v>170.88466239776801</v>
      </c>
      <c r="R138" s="2">
        <f t="shared" si="7"/>
        <v>2.4234467528176626</v>
      </c>
      <c r="S138" s="2">
        <f t="shared" si="8"/>
        <v>173.47031856668829</v>
      </c>
      <c r="T138" s="2">
        <f t="shared" si="9"/>
        <v>2.5856561689202806</v>
      </c>
    </row>
    <row r="139" spans="1:20" x14ac:dyDescent="0.25">
      <c r="A139" s="14">
        <f t="shared" si="22"/>
        <v>0.45432692307692307</v>
      </c>
      <c r="B139" s="2">
        <f t="shared" si="11"/>
        <v>134</v>
      </c>
      <c r="C139" s="4">
        <f t="shared" si="20"/>
        <v>72.33</v>
      </c>
      <c r="D139" s="2">
        <v>14</v>
      </c>
      <c r="E139" s="2">
        <v>50.26548245743669</v>
      </c>
      <c r="F139" s="11">
        <f t="shared" si="0"/>
        <v>2.7852115041081689</v>
      </c>
      <c r="G139" s="2">
        <f t="shared" si="1"/>
        <v>201.45434809214385</v>
      </c>
      <c r="H139" s="2">
        <f t="shared" si="2"/>
        <v>2.3788529214031384</v>
      </c>
      <c r="I139" s="2">
        <f t="shared" si="3"/>
        <v>172.06243180508901</v>
      </c>
      <c r="J139" s="2">
        <f t="shared" si="4"/>
        <v>29.39191628705484</v>
      </c>
      <c r="K139" s="15">
        <f t="shared" si="23"/>
        <v>0.41465455840455839</v>
      </c>
      <c r="L139" s="2">
        <f t="shared" si="14"/>
        <v>134</v>
      </c>
      <c r="M139" s="2">
        <f t="shared" si="21"/>
        <v>72.08</v>
      </c>
      <c r="N139" s="2">
        <v>11.5</v>
      </c>
      <c r="O139" s="2">
        <v>50.26548245743669</v>
      </c>
      <c r="P139" s="11">
        <f t="shared" si="5"/>
        <v>2.2878523069459957</v>
      </c>
      <c r="Q139" s="2">
        <f t="shared" si="6"/>
        <v>164.90839428466737</v>
      </c>
      <c r="R139" s="2">
        <f t="shared" si="7"/>
        <v>2.4234467528176626</v>
      </c>
      <c r="S139" s="2">
        <f t="shared" si="8"/>
        <v>174.68204194309712</v>
      </c>
      <c r="T139" s="2">
        <f t="shared" si="9"/>
        <v>9.773647658429752</v>
      </c>
    </row>
    <row r="140" spans="1:20" x14ac:dyDescent="0.25">
      <c r="A140" s="14">
        <f t="shared" si="22"/>
        <v>0.45454059829059829</v>
      </c>
      <c r="B140" s="2">
        <f t="shared" si="11"/>
        <v>135</v>
      </c>
      <c r="C140" s="4">
        <f t="shared" si="20"/>
        <v>72.83</v>
      </c>
      <c r="D140" s="2">
        <v>10.5</v>
      </c>
      <c r="E140" s="2">
        <v>50.26548245743669</v>
      </c>
      <c r="F140" s="11">
        <f t="shared" si="0"/>
        <v>2.0889086280811267</v>
      </c>
      <c r="G140" s="2">
        <f t="shared" si="1"/>
        <v>152.13521538314845</v>
      </c>
      <c r="H140" s="2">
        <f t="shared" si="2"/>
        <v>2.3788529214031384</v>
      </c>
      <c r="I140" s="2">
        <f t="shared" si="3"/>
        <v>173.25185826579056</v>
      </c>
      <c r="J140" s="2">
        <f t="shared" si="4"/>
        <v>21.116642882642111</v>
      </c>
      <c r="K140" s="15">
        <f t="shared" si="23"/>
        <v>0.41490384615384612</v>
      </c>
      <c r="L140" s="2">
        <f t="shared" si="14"/>
        <v>135</v>
      </c>
      <c r="M140" s="2">
        <f t="shared" si="21"/>
        <v>72.58</v>
      </c>
      <c r="N140" s="2">
        <v>11.5</v>
      </c>
      <c r="O140" s="2">
        <v>50.26548245743669</v>
      </c>
      <c r="P140" s="11">
        <f t="shared" si="5"/>
        <v>2.2878523069459957</v>
      </c>
      <c r="Q140" s="2">
        <f t="shared" si="6"/>
        <v>166.05232043814036</v>
      </c>
      <c r="R140" s="2">
        <f t="shared" si="7"/>
        <v>2.4234467528176626</v>
      </c>
      <c r="S140" s="2">
        <f t="shared" si="8"/>
        <v>175.89376531950595</v>
      </c>
      <c r="T140" s="2">
        <f t="shared" si="9"/>
        <v>9.8414448813655895</v>
      </c>
    </row>
    <row r="141" spans="1:20" x14ac:dyDescent="0.25">
      <c r="A141" s="14">
        <f t="shared" si="22"/>
        <v>0.4547542735042735</v>
      </c>
      <c r="B141" s="2">
        <f t="shared" si="11"/>
        <v>136</v>
      </c>
      <c r="C141" s="4">
        <f t="shared" si="20"/>
        <v>73.33</v>
      </c>
      <c r="D141" s="2">
        <v>13</v>
      </c>
      <c r="E141" s="2">
        <v>50.26548245743669</v>
      </c>
      <c r="F141" s="11">
        <f t="shared" si="0"/>
        <v>2.5862678252432989</v>
      </c>
      <c r="G141" s="2">
        <f t="shared" si="1"/>
        <v>189.6510196250911</v>
      </c>
      <c r="H141" s="2">
        <f t="shared" si="2"/>
        <v>2.3788529214031384</v>
      </c>
      <c r="I141" s="2">
        <f t="shared" si="3"/>
        <v>174.44128472649214</v>
      </c>
      <c r="J141" s="2">
        <f t="shared" si="4"/>
        <v>15.209734898598953</v>
      </c>
      <c r="K141" s="15">
        <f t="shared" si="23"/>
        <v>0.41515313390313391</v>
      </c>
      <c r="L141" s="2">
        <f t="shared" si="14"/>
        <v>136</v>
      </c>
      <c r="M141" s="2">
        <f t="shared" si="21"/>
        <v>73.08</v>
      </c>
      <c r="N141" s="2">
        <v>12</v>
      </c>
      <c r="O141" s="2">
        <v>50.26548245743669</v>
      </c>
      <c r="P141" s="11">
        <f t="shared" si="5"/>
        <v>2.3873241463784298</v>
      </c>
      <c r="Q141" s="2">
        <f t="shared" si="6"/>
        <v>174.46564861733566</v>
      </c>
      <c r="R141" s="2">
        <f t="shared" si="7"/>
        <v>2.4234467528176626</v>
      </c>
      <c r="S141" s="2">
        <f t="shared" si="8"/>
        <v>177.10548869591477</v>
      </c>
      <c r="T141" s="2">
        <f t="shared" si="9"/>
        <v>2.6398400785791125</v>
      </c>
    </row>
    <row r="142" spans="1:20" x14ac:dyDescent="0.25">
      <c r="A142" s="14">
        <f t="shared" si="22"/>
        <v>0.45496794871794871</v>
      </c>
      <c r="B142" s="2">
        <f t="shared" si="11"/>
        <v>137</v>
      </c>
      <c r="C142" s="4">
        <f t="shared" si="20"/>
        <v>73.83</v>
      </c>
      <c r="D142" s="2">
        <v>12.5</v>
      </c>
      <c r="E142" s="2">
        <v>50.26548245743669</v>
      </c>
      <c r="F142" s="11">
        <f t="shared" si="0"/>
        <v>2.4867959858108648</v>
      </c>
      <c r="G142" s="2">
        <f t="shared" si="1"/>
        <v>183.60014763241614</v>
      </c>
      <c r="H142" s="2">
        <f t="shared" si="2"/>
        <v>2.3788529214031384</v>
      </c>
      <c r="I142" s="2">
        <f t="shared" si="3"/>
        <v>175.6307111871937</v>
      </c>
      <c r="J142" s="2">
        <f t="shared" si="4"/>
        <v>7.969436445222442</v>
      </c>
      <c r="K142" s="15">
        <f t="shared" si="23"/>
        <v>0.41540242165242164</v>
      </c>
      <c r="L142" s="2">
        <f t="shared" si="14"/>
        <v>137</v>
      </c>
      <c r="M142" s="2">
        <f t="shared" si="21"/>
        <v>73.58</v>
      </c>
      <c r="N142" s="2">
        <v>12.5</v>
      </c>
      <c r="O142" s="2">
        <v>50.26548245743669</v>
      </c>
      <c r="P142" s="11">
        <f t="shared" si="5"/>
        <v>2.4867959858108648</v>
      </c>
      <c r="Q142" s="2">
        <f t="shared" si="6"/>
        <v>182.97844863596342</v>
      </c>
      <c r="R142" s="2">
        <f t="shared" si="7"/>
        <v>2.4234467528176626</v>
      </c>
      <c r="S142" s="2">
        <f t="shared" si="8"/>
        <v>178.3172120723236</v>
      </c>
      <c r="T142" s="2">
        <f t="shared" si="9"/>
        <v>4.6612365636398181</v>
      </c>
    </row>
    <row r="143" spans="1:20" x14ac:dyDescent="0.25">
      <c r="A143" s="14">
        <f t="shared" si="22"/>
        <v>0.45518162393162392</v>
      </c>
      <c r="B143" s="2">
        <f t="shared" si="11"/>
        <v>138</v>
      </c>
      <c r="C143" s="4">
        <f t="shared" si="20"/>
        <v>74.33</v>
      </c>
      <c r="D143" s="2">
        <v>12.5</v>
      </c>
      <c r="E143" s="2">
        <v>50.26548245743669</v>
      </c>
      <c r="F143" s="11">
        <f t="shared" si="0"/>
        <v>2.4867959858108648</v>
      </c>
      <c r="G143" s="2">
        <f t="shared" si="1"/>
        <v>184.84354562532158</v>
      </c>
      <c r="H143" s="2">
        <f t="shared" si="2"/>
        <v>2.3788529214031384</v>
      </c>
      <c r="I143" s="2">
        <f t="shared" si="3"/>
        <v>176.82013764789528</v>
      </c>
      <c r="J143" s="2">
        <f t="shared" si="4"/>
        <v>8.0234079774263023</v>
      </c>
      <c r="K143" s="15">
        <f t="shared" si="23"/>
        <v>0.41565170940170942</v>
      </c>
      <c r="L143" s="2">
        <f t="shared" si="14"/>
        <v>138</v>
      </c>
      <c r="M143" s="2">
        <f t="shared" si="21"/>
        <v>74.08</v>
      </c>
      <c r="N143" s="2">
        <v>12.5</v>
      </c>
      <c r="O143" s="2">
        <v>50.26548245743669</v>
      </c>
      <c r="P143" s="11">
        <f t="shared" si="5"/>
        <v>2.4867959858108648</v>
      </c>
      <c r="Q143" s="2">
        <f t="shared" si="6"/>
        <v>184.22184662886886</v>
      </c>
      <c r="R143" s="2">
        <f t="shared" si="7"/>
        <v>2.4234467528176626</v>
      </c>
      <c r="S143" s="2">
        <f t="shared" si="8"/>
        <v>179.52893544873245</v>
      </c>
      <c r="T143" s="2">
        <f t="shared" si="9"/>
        <v>4.6929111801364058</v>
      </c>
    </row>
    <row r="144" spans="1:20" x14ac:dyDescent="0.25">
      <c r="A144" s="14">
        <f t="shared" si="22"/>
        <v>0.45539529914529914</v>
      </c>
      <c r="B144" s="2">
        <f t="shared" si="11"/>
        <v>139</v>
      </c>
      <c r="C144" s="4">
        <f t="shared" si="20"/>
        <v>74.83</v>
      </c>
      <c r="D144" s="2">
        <v>14.5</v>
      </c>
      <c r="E144" s="2">
        <v>50.26548245743669</v>
      </c>
      <c r="F144" s="11">
        <f t="shared" si="0"/>
        <v>2.8846833435406034</v>
      </c>
      <c r="G144" s="2">
        <f t="shared" si="1"/>
        <v>215.86085459714334</v>
      </c>
      <c r="H144" s="2">
        <f t="shared" si="2"/>
        <v>2.3788529214031384</v>
      </c>
      <c r="I144" s="2">
        <f t="shared" si="3"/>
        <v>178.00956410859683</v>
      </c>
      <c r="J144" s="2">
        <f t="shared" si="4"/>
        <v>37.85129048854651</v>
      </c>
      <c r="K144" s="15">
        <f t="shared" si="23"/>
        <v>0.41590099715099715</v>
      </c>
      <c r="L144" s="2">
        <f t="shared" si="14"/>
        <v>139</v>
      </c>
      <c r="M144" s="2">
        <f t="shared" si="21"/>
        <v>74.58</v>
      </c>
      <c r="N144" s="2">
        <v>13</v>
      </c>
      <c r="O144" s="2">
        <v>50.26548245743669</v>
      </c>
      <c r="P144" s="11">
        <f t="shared" si="5"/>
        <v>2.5862678252432989</v>
      </c>
      <c r="Q144" s="2">
        <f t="shared" si="6"/>
        <v>192.88385440664524</v>
      </c>
      <c r="R144" s="2">
        <f t="shared" si="7"/>
        <v>2.4234467528176626</v>
      </c>
      <c r="S144" s="2">
        <f t="shared" si="8"/>
        <v>180.74065882514128</v>
      </c>
      <c r="T144" s="2">
        <f t="shared" si="9"/>
        <v>12.14319558150396</v>
      </c>
    </row>
    <row r="145" spans="1:20" x14ac:dyDescent="0.25">
      <c r="A145" s="14">
        <f t="shared" si="22"/>
        <v>0.45560897435897435</v>
      </c>
      <c r="B145" s="2">
        <f t="shared" si="11"/>
        <v>140</v>
      </c>
      <c r="C145" s="4">
        <f t="shared" si="20"/>
        <v>75.33</v>
      </c>
      <c r="D145" s="2">
        <v>13</v>
      </c>
      <c r="E145" s="2">
        <v>50.26548245743669</v>
      </c>
      <c r="F145" s="11">
        <f t="shared" si="0"/>
        <v>2.5862678252432989</v>
      </c>
      <c r="G145" s="2">
        <f t="shared" si="1"/>
        <v>194.82355527557769</v>
      </c>
      <c r="H145" s="2">
        <f t="shared" si="2"/>
        <v>2.3788529214031384</v>
      </c>
      <c r="I145" s="2">
        <f t="shared" si="3"/>
        <v>179.19899056929842</v>
      </c>
      <c r="J145" s="2">
        <f t="shared" si="4"/>
        <v>15.624564706279273</v>
      </c>
      <c r="K145" s="15">
        <f t="shared" si="23"/>
        <v>0.41615028490028488</v>
      </c>
      <c r="L145" s="2">
        <f t="shared" si="14"/>
        <v>140</v>
      </c>
      <c r="M145" s="2">
        <f t="shared" si="21"/>
        <v>75.08</v>
      </c>
      <c r="N145" s="2">
        <v>11.5</v>
      </c>
      <c r="O145" s="2">
        <v>50.26548245743669</v>
      </c>
      <c r="P145" s="11">
        <f t="shared" si="5"/>
        <v>2.2878523069459957</v>
      </c>
      <c r="Q145" s="2">
        <f t="shared" si="6"/>
        <v>171.77195120550536</v>
      </c>
      <c r="R145" s="2">
        <f t="shared" si="7"/>
        <v>2.4234467528176626</v>
      </c>
      <c r="S145" s="2">
        <f t="shared" si="8"/>
        <v>181.95238220155011</v>
      </c>
      <c r="T145" s="2">
        <f t="shared" si="9"/>
        <v>10.180430996044748</v>
      </c>
    </row>
    <row r="146" spans="1:20" x14ac:dyDescent="0.25">
      <c r="A146" s="14">
        <f t="shared" si="22"/>
        <v>0.45582264957264956</v>
      </c>
      <c r="B146" s="2">
        <f t="shared" si="11"/>
        <v>141</v>
      </c>
      <c r="C146" s="4">
        <f t="shared" si="20"/>
        <v>75.83</v>
      </c>
      <c r="D146" s="2">
        <v>14.5</v>
      </c>
      <c r="E146" s="2">
        <v>50.26548245743669</v>
      </c>
      <c r="F146" s="11">
        <f t="shared" si="0"/>
        <v>2.8846833435406034</v>
      </c>
      <c r="G146" s="2">
        <f t="shared" si="1"/>
        <v>218.74553794068396</v>
      </c>
      <c r="H146" s="2">
        <f t="shared" si="2"/>
        <v>2.3788529214031384</v>
      </c>
      <c r="I146" s="2">
        <f t="shared" si="3"/>
        <v>180.38841702999997</v>
      </c>
      <c r="J146" s="2">
        <f t="shared" si="4"/>
        <v>38.357120910683989</v>
      </c>
      <c r="K146" s="15">
        <f t="shared" si="23"/>
        <v>0.41639957264957267</v>
      </c>
      <c r="L146" s="2">
        <f t="shared" si="14"/>
        <v>141</v>
      </c>
      <c r="M146" s="2">
        <f t="shared" si="21"/>
        <v>75.58</v>
      </c>
      <c r="N146" s="2">
        <v>12</v>
      </c>
      <c r="O146" s="2">
        <v>50.26548245743669</v>
      </c>
      <c r="P146" s="11">
        <f t="shared" si="5"/>
        <v>2.3873241463784298</v>
      </c>
      <c r="Q146" s="2">
        <f t="shared" si="6"/>
        <v>180.43395898328171</v>
      </c>
      <c r="R146" s="2">
        <f t="shared" si="7"/>
        <v>2.4234467528176626</v>
      </c>
      <c r="S146" s="2">
        <f t="shared" si="8"/>
        <v>183.16410557795894</v>
      </c>
      <c r="T146" s="2">
        <f t="shared" si="9"/>
        <v>2.7301465946772225</v>
      </c>
    </row>
    <row r="147" spans="1:20" x14ac:dyDescent="0.25">
      <c r="A147" s="14">
        <f t="shared" si="22"/>
        <v>0.45603632478632478</v>
      </c>
      <c r="B147" s="2">
        <f t="shared" si="11"/>
        <v>142</v>
      </c>
      <c r="C147" s="4">
        <f t="shared" si="20"/>
        <v>76.33</v>
      </c>
      <c r="D147" s="2">
        <v>13.5</v>
      </c>
      <c r="E147" s="2">
        <v>50.26548245743669</v>
      </c>
      <c r="F147" s="11">
        <f t="shared" si="0"/>
        <v>2.6857396646757339</v>
      </c>
      <c r="G147" s="2">
        <f t="shared" si="1"/>
        <v>205.00250860469876</v>
      </c>
      <c r="H147" s="2">
        <f t="shared" si="2"/>
        <v>2.3788529214031384</v>
      </c>
      <c r="I147" s="2">
        <f t="shared" si="3"/>
        <v>181.57784349070155</v>
      </c>
      <c r="J147" s="2">
        <f t="shared" si="4"/>
        <v>23.424665113997207</v>
      </c>
      <c r="K147" s="15">
        <f t="shared" si="23"/>
        <v>0.4166488603988604</v>
      </c>
      <c r="L147" s="2">
        <f t="shared" si="14"/>
        <v>142</v>
      </c>
      <c r="M147" s="2">
        <f t="shared" si="21"/>
        <v>76.08</v>
      </c>
      <c r="N147" s="2">
        <v>12</v>
      </c>
      <c r="O147" s="2">
        <v>50.26548245743669</v>
      </c>
      <c r="P147" s="11">
        <f t="shared" si="5"/>
        <v>2.3873241463784298</v>
      </c>
      <c r="Q147" s="2">
        <f t="shared" si="6"/>
        <v>181.62762105647093</v>
      </c>
      <c r="R147" s="2">
        <f t="shared" si="7"/>
        <v>2.4234467528176626</v>
      </c>
      <c r="S147" s="2">
        <f t="shared" si="8"/>
        <v>184.37582895436776</v>
      </c>
      <c r="T147" s="2">
        <f t="shared" si="9"/>
        <v>2.7482078978968332</v>
      </c>
    </row>
    <row r="148" spans="1:20" x14ac:dyDescent="0.25">
      <c r="A148" s="14">
        <f t="shared" si="22"/>
        <v>0.45624999999999999</v>
      </c>
      <c r="B148" s="2">
        <f t="shared" si="11"/>
        <v>143</v>
      </c>
      <c r="C148" s="4">
        <f t="shared" si="20"/>
        <v>76.83</v>
      </c>
      <c r="D148" s="2">
        <v>14.5</v>
      </c>
      <c r="E148" s="2">
        <v>50.26548245743669</v>
      </c>
      <c r="F148" s="11">
        <f t="shared" si="0"/>
        <v>2.8846833435406034</v>
      </c>
      <c r="G148" s="2">
        <f t="shared" si="1"/>
        <v>221.63022128422455</v>
      </c>
      <c r="H148" s="2">
        <f t="shared" si="2"/>
        <v>2.3788529214031384</v>
      </c>
      <c r="I148" s="2">
        <f t="shared" si="3"/>
        <v>182.76726995140311</v>
      </c>
      <c r="J148" s="2">
        <f t="shared" si="4"/>
        <v>38.862951332821439</v>
      </c>
      <c r="K148" s="15">
        <f t="shared" si="23"/>
        <v>0.41689814814814813</v>
      </c>
      <c r="L148" s="2">
        <f t="shared" si="14"/>
        <v>143</v>
      </c>
      <c r="M148" s="2">
        <f t="shared" si="21"/>
        <v>76.58</v>
      </c>
      <c r="N148" s="2">
        <v>13</v>
      </c>
      <c r="O148" s="2">
        <v>50.26548245743669</v>
      </c>
      <c r="P148" s="11">
        <f t="shared" si="5"/>
        <v>2.5862678252432989</v>
      </c>
      <c r="Q148" s="2">
        <f t="shared" si="6"/>
        <v>198.05639005713184</v>
      </c>
      <c r="R148" s="2">
        <f t="shared" si="7"/>
        <v>2.4234467528176626</v>
      </c>
      <c r="S148" s="2">
        <f t="shared" si="8"/>
        <v>185.58755233077659</v>
      </c>
      <c r="T148" s="2">
        <f t="shared" si="9"/>
        <v>12.468837726355247</v>
      </c>
    </row>
    <row r="149" spans="1:20" x14ac:dyDescent="0.25">
      <c r="A149" s="14">
        <f t="shared" si="22"/>
        <v>0.4564636752136752</v>
      </c>
      <c r="B149" s="2">
        <f t="shared" si="11"/>
        <v>144</v>
      </c>
      <c r="C149" s="4">
        <f t="shared" si="20"/>
        <v>77.33</v>
      </c>
      <c r="D149" s="2">
        <v>11.5</v>
      </c>
      <c r="E149" s="2">
        <v>50.26548245743669</v>
      </c>
      <c r="F149" s="11">
        <f t="shared" si="0"/>
        <v>2.2878523069459957</v>
      </c>
      <c r="G149" s="2">
        <f t="shared" si="1"/>
        <v>176.91961889613384</v>
      </c>
      <c r="H149" s="2">
        <f t="shared" si="2"/>
        <v>2.3788529214031384</v>
      </c>
      <c r="I149" s="2">
        <f t="shared" si="3"/>
        <v>183.95669641210469</v>
      </c>
      <c r="J149" s="2">
        <f t="shared" si="4"/>
        <v>7.0370775159708501</v>
      </c>
      <c r="K149" s="15">
        <f t="shared" si="23"/>
        <v>0.41714743589743591</v>
      </c>
      <c r="L149" s="2">
        <f t="shared" si="14"/>
        <v>144</v>
      </c>
      <c r="M149" s="2">
        <f t="shared" si="21"/>
        <v>77.08</v>
      </c>
      <c r="N149" s="2">
        <v>13</v>
      </c>
      <c r="O149" s="2">
        <v>50.26548245743669</v>
      </c>
      <c r="P149" s="11">
        <f t="shared" si="5"/>
        <v>2.5862678252432989</v>
      </c>
      <c r="Q149" s="2">
        <f t="shared" si="6"/>
        <v>199.34952396975348</v>
      </c>
      <c r="R149" s="2">
        <f t="shared" si="7"/>
        <v>2.4234467528176626</v>
      </c>
      <c r="S149" s="2">
        <f t="shared" si="8"/>
        <v>186.79927570718544</v>
      </c>
      <c r="T149" s="2">
        <f t="shared" si="9"/>
        <v>12.550248262568033</v>
      </c>
    </row>
    <row r="150" spans="1:20" x14ac:dyDescent="0.25">
      <c r="A150" s="14">
        <f t="shared" si="22"/>
        <v>0.45667735042735041</v>
      </c>
      <c r="B150" s="2">
        <f t="shared" si="11"/>
        <v>145</v>
      </c>
      <c r="C150" s="4">
        <f t="shared" si="20"/>
        <v>77.83</v>
      </c>
      <c r="D150" s="2">
        <v>12.5</v>
      </c>
      <c r="E150" s="2">
        <v>50.26548245743669</v>
      </c>
      <c r="F150" s="11">
        <f t="shared" si="0"/>
        <v>2.4867959858108648</v>
      </c>
      <c r="G150" s="2">
        <f t="shared" si="1"/>
        <v>193.5473315756596</v>
      </c>
      <c r="H150" s="2">
        <f t="shared" si="2"/>
        <v>2.3788529214031384</v>
      </c>
      <c r="I150" s="2">
        <f t="shared" si="3"/>
        <v>185.14612287280625</v>
      </c>
      <c r="J150" s="2">
        <f t="shared" si="4"/>
        <v>8.4012087028533529</v>
      </c>
      <c r="K150" s="15">
        <f t="shared" si="23"/>
        <v>0.41739672364672364</v>
      </c>
      <c r="L150" s="2">
        <f t="shared" si="14"/>
        <v>145</v>
      </c>
      <c r="M150" s="2">
        <f t="shared" si="21"/>
        <v>77.58</v>
      </c>
      <c r="N150" s="2">
        <v>12.5</v>
      </c>
      <c r="O150" s="2">
        <v>50.26548245743669</v>
      </c>
      <c r="P150" s="11">
        <f t="shared" si="5"/>
        <v>2.4867959858108648</v>
      </c>
      <c r="Q150" s="2">
        <f t="shared" si="6"/>
        <v>192.92563257920688</v>
      </c>
      <c r="R150" s="2">
        <f t="shared" si="7"/>
        <v>2.4234467528176626</v>
      </c>
      <c r="S150" s="2">
        <f t="shared" si="8"/>
        <v>188.01099908359427</v>
      </c>
      <c r="T150" s="2">
        <f t="shared" si="9"/>
        <v>4.9146334956126054</v>
      </c>
    </row>
    <row r="151" spans="1:20" x14ac:dyDescent="0.25">
      <c r="A151" s="14">
        <f t="shared" si="22"/>
        <v>0.45689102564102563</v>
      </c>
      <c r="B151" s="2">
        <f t="shared" si="11"/>
        <v>146</v>
      </c>
      <c r="C151" s="4">
        <f t="shared" si="20"/>
        <v>78.33</v>
      </c>
      <c r="D151" s="2">
        <v>12.5</v>
      </c>
      <c r="E151" s="2">
        <v>50.26548245743669</v>
      </c>
      <c r="F151" s="11">
        <f t="shared" si="0"/>
        <v>2.4867959858108648</v>
      </c>
      <c r="G151" s="2">
        <f t="shared" si="1"/>
        <v>194.79072956856504</v>
      </c>
      <c r="H151" s="2">
        <f t="shared" si="2"/>
        <v>2.3788529214031384</v>
      </c>
      <c r="I151" s="2">
        <f t="shared" si="3"/>
        <v>186.33554933350783</v>
      </c>
      <c r="J151" s="2">
        <f t="shared" si="4"/>
        <v>8.4551802350572132</v>
      </c>
      <c r="K151" s="15">
        <f t="shared" si="23"/>
        <v>0.41764601139601137</v>
      </c>
      <c r="L151" s="2">
        <f t="shared" si="14"/>
        <v>146</v>
      </c>
      <c r="M151" s="2">
        <f t="shared" si="21"/>
        <v>78.08</v>
      </c>
      <c r="N151" s="2">
        <v>12</v>
      </c>
      <c r="O151" s="2">
        <v>50.26548245743669</v>
      </c>
      <c r="P151" s="11">
        <f t="shared" si="5"/>
        <v>2.3873241463784298</v>
      </c>
      <c r="Q151" s="2">
        <f t="shared" si="6"/>
        <v>186.40226934922779</v>
      </c>
      <c r="R151" s="2">
        <f t="shared" si="7"/>
        <v>2.4234467528176626</v>
      </c>
      <c r="S151" s="2">
        <f t="shared" si="8"/>
        <v>189.2227224600031</v>
      </c>
      <c r="T151" s="2">
        <f t="shared" si="9"/>
        <v>2.8204531107753041</v>
      </c>
    </row>
    <row r="152" spans="1:20" x14ac:dyDescent="0.25">
      <c r="A152" s="14">
        <f t="shared" si="22"/>
        <v>0.45710470085470084</v>
      </c>
      <c r="B152" s="2">
        <f t="shared" si="11"/>
        <v>147</v>
      </c>
      <c r="C152" s="4">
        <f t="shared" si="20"/>
        <v>78.83</v>
      </c>
      <c r="D152" s="2">
        <v>12.5</v>
      </c>
      <c r="E152" s="2">
        <v>50.26548245743669</v>
      </c>
      <c r="F152" s="11">
        <f t="shared" si="0"/>
        <v>2.4867959858108648</v>
      </c>
      <c r="G152" s="2">
        <f t="shared" si="1"/>
        <v>196.03412756147046</v>
      </c>
      <c r="H152" s="2">
        <f t="shared" si="2"/>
        <v>2.3788529214031384</v>
      </c>
      <c r="I152" s="2">
        <f t="shared" si="3"/>
        <v>187.52497579420941</v>
      </c>
      <c r="J152" s="2">
        <f t="shared" si="4"/>
        <v>8.5091517672610451</v>
      </c>
      <c r="K152" s="15">
        <f t="shared" si="23"/>
        <v>0.41789529914529916</v>
      </c>
      <c r="L152" s="2">
        <f t="shared" si="14"/>
        <v>147</v>
      </c>
      <c r="M152" s="2">
        <f t="shared" si="21"/>
        <v>78.58</v>
      </c>
      <c r="N152" s="2">
        <v>13</v>
      </c>
      <c r="O152" s="2">
        <v>50.26548245743669</v>
      </c>
      <c r="P152" s="11">
        <f t="shared" si="5"/>
        <v>2.5862678252432989</v>
      </c>
      <c r="Q152" s="2">
        <f t="shared" si="6"/>
        <v>203.22892570761843</v>
      </c>
      <c r="R152" s="2">
        <f t="shared" si="7"/>
        <v>2.4234467528176626</v>
      </c>
      <c r="S152" s="2">
        <f t="shared" si="8"/>
        <v>190.43444583641192</v>
      </c>
      <c r="T152" s="2">
        <f t="shared" si="9"/>
        <v>12.794479871206505</v>
      </c>
    </row>
    <row r="153" spans="1:20" x14ac:dyDescent="0.25">
      <c r="A153" s="14">
        <f t="shared" si="22"/>
        <v>0.45731837606837605</v>
      </c>
      <c r="B153" s="2">
        <f t="shared" si="11"/>
        <v>148</v>
      </c>
      <c r="C153" s="4">
        <f t="shared" si="20"/>
        <v>79.33</v>
      </c>
      <c r="D153" s="2">
        <v>12.5</v>
      </c>
      <c r="E153" s="2">
        <v>50.26548245743669</v>
      </c>
      <c r="F153" s="11">
        <f t="shared" si="0"/>
        <v>2.4867959858108648</v>
      </c>
      <c r="G153" s="2">
        <f t="shared" si="1"/>
        <v>197.2775255543759</v>
      </c>
      <c r="H153" s="2">
        <f t="shared" si="2"/>
        <v>2.3788529214031384</v>
      </c>
      <c r="I153" s="2">
        <f t="shared" si="3"/>
        <v>188.71440225491096</v>
      </c>
      <c r="J153" s="2">
        <f t="shared" si="4"/>
        <v>8.5631232994649338</v>
      </c>
      <c r="K153" s="15">
        <f t="shared" si="23"/>
        <v>0.41814458689458689</v>
      </c>
      <c r="L153" s="2">
        <f t="shared" si="14"/>
        <v>148</v>
      </c>
      <c r="M153" s="2">
        <f t="shared" si="21"/>
        <v>79.08</v>
      </c>
      <c r="N153" s="2">
        <v>12</v>
      </c>
      <c r="O153" s="2">
        <v>50.26548245743669</v>
      </c>
      <c r="P153" s="11">
        <f t="shared" si="5"/>
        <v>2.3873241463784298</v>
      </c>
      <c r="Q153" s="2">
        <f t="shared" si="6"/>
        <v>188.78959349560623</v>
      </c>
      <c r="R153" s="2">
        <f t="shared" si="7"/>
        <v>2.4234467528176626</v>
      </c>
      <c r="S153" s="2">
        <f t="shared" si="8"/>
        <v>191.64616921282075</v>
      </c>
      <c r="T153" s="2">
        <f t="shared" si="9"/>
        <v>2.8565757172145254</v>
      </c>
    </row>
    <row r="154" spans="1:20" x14ac:dyDescent="0.25">
      <c r="A154" s="14">
        <f t="shared" si="22"/>
        <v>0.45753205128205127</v>
      </c>
      <c r="B154" s="2">
        <f t="shared" si="11"/>
        <v>149</v>
      </c>
      <c r="C154" s="4">
        <f t="shared" si="20"/>
        <v>79.83</v>
      </c>
      <c r="D154" s="2">
        <v>13.5</v>
      </c>
      <c r="E154" s="2">
        <v>50.26548245743669</v>
      </c>
      <c r="F154" s="11">
        <f t="shared" si="0"/>
        <v>2.6857396646757339</v>
      </c>
      <c r="G154" s="2">
        <f t="shared" si="1"/>
        <v>214.40259743106384</v>
      </c>
      <c r="H154" s="2">
        <f t="shared" si="2"/>
        <v>2.3788529214031384</v>
      </c>
      <c r="I154" s="2">
        <f t="shared" si="3"/>
        <v>189.90382871561255</v>
      </c>
      <c r="J154" s="2">
        <f t="shared" si="4"/>
        <v>24.498768715451291</v>
      </c>
      <c r="K154" s="15">
        <f t="shared" si="23"/>
        <v>0.41839387464387467</v>
      </c>
      <c r="L154" s="2">
        <f t="shared" si="14"/>
        <v>149</v>
      </c>
      <c r="M154" s="2">
        <f t="shared" si="21"/>
        <v>79.58</v>
      </c>
      <c r="N154" s="2">
        <v>11</v>
      </c>
      <c r="O154" s="2">
        <v>50.26548245743669</v>
      </c>
      <c r="P154" s="11">
        <f t="shared" si="5"/>
        <v>2.1883804675135607</v>
      </c>
      <c r="Q154" s="2">
        <f t="shared" si="6"/>
        <v>174.15131760472917</v>
      </c>
      <c r="R154" s="2">
        <f t="shared" si="7"/>
        <v>2.4234467528176626</v>
      </c>
      <c r="S154" s="2">
        <f t="shared" si="8"/>
        <v>192.85789258922958</v>
      </c>
      <c r="T154" s="2">
        <f t="shared" si="9"/>
        <v>18.706574984500406</v>
      </c>
    </row>
    <row r="155" spans="1:20" x14ac:dyDescent="0.25">
      <c r="A155" s="14">
        <f t="shared" si="22"/>
        <v>0.45774572649572648</v>
      </c>
      <c r="B155" s="2">
        <f t="shared" si="11"/>
        <v>150</v>
      </c>
      <c r="C155" s="4">
        <f t="shared" si="20"/>
        <v>80.33</v>
      </c>
      <c r="D155" s="2">
        <v>14</v>
      </c>
      <c r="E155" s="2">
        <v>50.26548245743669</v>
      </c>
      <c r="F155" s="11">
        <f t="shared" si="0"/>
        <v>2.7852115041081689</v>
      </c>
      <c r="G155" s="2">
        <f t="shared" si="1"/>
        <v>223.7360401250092</v>
      </c>
      <c r="H155" s="2">
        <f t="shared" si="2"/>
        <v>2.3788529214031384</v>
      </c>
      <c r="I155" s="2">
        <f t="shared" si="3"/>
        <v>191.0932551763141</v>
      </c>
      <c r="J155" s="2">
        <f t="shared" si="4"/>
        <v>32.642784948695095</v>
      </c>
      <c r="K155" s="15">
        <f t="shared" si="23"/>
        <v>0.4186431623931624</v>
      </c>
      <c r="L155" s="2">
        <f t="shared" si="14"/>
        <v>150</v>
      </c>
      <c r="M155" s="2">
        <f t="shared" si="21"/>
        <v>80.08</v>
      </c>
      <c r="N155" s="2">
        <v>13</v>
      </c>
      <c r="O155" s="2">
        <v>50.26548245743669</v>
      </c>
      <c r="P155" s="11">
        <f t="shared" si="5"/>
        <v>2.5862678252432989</v>
      </c>
      <c r="Q155" s="2">
        <f t="shared" si="6"/>
        <v>207.10832744548338</v>
      </c>
      <c r="R155" s="2">
        <f t="shared" si="7"/>
        <v>2.4234467528176626</v>
      </c>
      <c r="S155" s="2">
        <f t="shared" si="8"/>
        <v>194.06961596563843</v>
      </c>
      <c r="T155" s="2">
        <f t="shared" si="9"/>
        <v>13.038711479844949</v>
      </c>
    </row>
    <row r="156" spans="1:20" x14ac:dyDescent="0.25">
      <c r="A156" s="14">
        <f t="shared" si="22"/>
        <v>0.45795940170940169</v>
      </c>
      <c r="B156" s="2">
        <f t="shared" si="11"/>
        <v>151</v>
      </c>
      <c r="C156" s="4">
        <f t="shared" si="20"/>
        <v>80.83</v>
      </c>
      <c r="D156" s="2">
        <v>13.5</v>
      </c>
      <c r="E156" s="2">
        <v>50.26548245743669</v>
      </c>
      <c r="F156" s="11">
        <f t="shared" si="0"/>
        <v>2.6857396646757339</v>
      </c>
      <c r="G156" s="2">
        <f t="shared" si="1"/>
        <v>217.08833709573958</v>
      </c>
      <c r="H156" s="2">
        <f t="shared" si="2"/>
        <v>2.3788529214031384</v>
      </c>
      <c r="I156" s="2">
        <f t="shared" si="3"/>
        <v>192.28268163701568</v>
      </c>
      <c r="J156" s="2">
        <f t="shared" si="4"/>
        <v>24.805655458723891</v>
      </c>
      <c r="K156" s="15">
        <f t="shared" si="23"/>
        <v>0.41889245014245013</v>
      </c>
      <c r="L156" s="2">
        <f t="shared" si="14"/>
        <v>151</v>
      </c>
      <c r="M156" s="2">
        <f t="shared" si="21"/>
        <v>80.58</v>
      </c>
      <c r="N156" s="2">
        <v>13.5</v>
      </c>
      <c r="O156" s="2">
        <v>50.26548245743669</v>
      </c>
      <c r="P156" s="11">
        <f t="shared" si="5"/>
        <v>2.6857396646757339</v>
      </c>
      <c r="Q156" s="2">
        <f t="shared" si="6"/>
        <v>216.41690217957063</v>
      </c>
      <c r="R156" s="2">
        <f t="shared" si="7"/>
        <v>2.4234467528176626</v>
      </c>
      <c r="S156" s="2">
        <f t="shared" si="8"/>
        <v>195.28133934204726</v>
      </c>
      <c r="T156" s="2">
        <f t="shared" si="9"/>
        <v>21.135562837523366</v>
      </c>
    </row>
    <row r="157" spans="1:20" x14ac:dyDescent="0.25">
      <c r="A157" s="14">
        <f t="shared" si="22"/>
        <v>0.45817307692307691</v>
      </c>
      <c r="B157" s="2">
        <f t="shared" si="11"/>
        <v>152</v>
      </c>
      <c r="C157" s="4">
        <f t="shared" si="20"/>
        <v>81.33</v>
      </c>
      <c r="D157" s="2">
        <v>14.5</v>
      </c>
      <c r="E157" s="2">
        <v>50.26548245743669</v>
      </c>
      <c r="F157" s="11">
        <f t="shared" si="0"/>
        <v>2.8846833435406034</v>
      </c>
      <c r="G157" s="2">
        <f t="shared" si="1"/>
        <v>234.61129633015727</v>
      </c>
      <c r="H157" s="2">
        <f t="shared" si="2"/>
        <v>2.3788529214031384</v>
      </c>
      <c r="I157" s="2">
        <f t="shared" si="3"/>
        <v>193.47210809771724</v>
      </c>
      <c r="J157" s="2">
        <f t="shared" si="4"/>
        <v>41.139188232440034</v>
      </c>
      <c r="K157" s="15">
        <f t="shared" si="23"/>
        <v>0.41914173789173792</v>
      </c>
      <c r="L157" s="2">
        <f t="shared" si="14"/>
        <v>152</v>
      </c>
      <c r="M157" s="2">
        <f t="shared" si="21"/>
        <v>81.08</v>
      </c>
      <c r="N157" s="2">
        <v>14</v>
      </c>
      <c r="O157" s="2">
        <v>50.26548245743669</v>
      </c>
      <c r="P157" s="11">
        <f t="shared" si="5"/>
        <v>2.7852115041081689</v>
      </c>
      <c r="Q157" s="2">
        <f t="shared" si="6"/>
        <v>225.82494875309033</v>
      </c>
      <c r="R157" s="2">
        <f t="shared" si="7"/>
        <v>2.4234467528176626</v>
      </c>
      <c r="S157" s="2">
        <f t="shared" si="8"/>
        <v>196.49306271845609</v>
      </c>
      <c r="T157" s="2">
        <f t="shared" si="9"/>
        <v>29.331886034634238</v>
      </c>
    </row>
    <row r="158" spans="1:20" x14ac:dyDescent="0.25">
      <c r="A158" s="14">
        <f t="shared" si="22"/>
        <v>0.45838675213675212</v>
      </c>
      <c r="B158" s="2">
        <f t="shared" si="11"/>
        <v>153</v>
      </c>
      <c r="C158" s="4">
        <f t="shared" si="20"/>
        <v>81.83</v>
      </c>
      <c r="D158" s="2">
        <v>14</v>
      </c>
      <c r="E158" s="2">
        <v>50.26548245743669</v>
      </c>
      <c r="F158" s="11">
        <f t="shared" si="0"/>
        <v>2.7852115041081689</v>
      </c>
      <c r="G158" s="2">
        <f t="shared" si="1"/>
        <v>227.91385738117145</v>
      </c>
      <c r="H158" s="2">
        <f t="shared" si="2"/>
        <v>2.3788529214031384</v>
      </c>
      <c r="I158" s="2">
        <f t="shared" si="3"/>
        <v>194.66153455841882</v>
      </c>
      <c r="J158" s="2">
        <f t="shared" si="4"/>
        <v>33.252322822752632</v>
      </c>
      <c r="K158" s="15">
        <f t="shared" si="23"/>
        <v>0.41939102564102565</v>
      </c>
      <c r="L158" s="2">
        <f t="shared" si="14"/>
        <v>153</v>
      </c>
      <c r="M158" s="2">
        <f t="shared" si="21"/>
        <v>81.58</v>
      </c>
      <c r="N158" s="2">
        <v>14.5</v>
      </c>
      <c r="O158" s="2">
        <v>50.26548245743669</v>
      </c>
      <c r="P158" s="11">
        <f t="shared" si="5"/>
        <v>2.8846833435406034</v>
      </c>
      <c r="Q158" s="2">
        <f t="shared" si="6"/>
        <v>235.33246716604242</v>
      </c>
      <c r="R158" s="2">
        <f t="shared" si="7"/>
        <v>2.4234467528176626</v>
      </c>
      <c r="S158" s="2">
        <f t="shared" si="8"/>
        <v>197.70478609486491</v>
      </c>
      <c r="T158" s="2">
        <f t="shared" si="9"/>
        <v>37.627681071177506</v>
      </c>
    </row>
    <row r="159" spans="1:20" x14ac:dyDescent="0.25">
      <c r="A159" s="14">
        <f t="shared" si="22"/>
        <v>0.45860042735042733</v>
      </c>
      <c r="B159" s="2">
        <f t="shared" si="11"/>
        <v>154</v>
      </c>
      <c r="C159" s="4">
        <f t="shared" si="20"/>
        <v>82.33</v>
      </c>
      <c r="D159" s="2">
        <v>13.5</v>
      </c>
      <c r="E159" s="2">
        <v>50.26548245743669</v>
      </c>
      <c r="F159" s="11">
        <f t="shared" si="0"/>
        <v>2.6857396646757339</v>
      </c>
      <c r="G159" s="2">
        <f t="shared" si="1"/>
        <v>221.11694659275318</v>
      </c>
      <c r="H159" s="2">
        <f t="shared" si="2"/>
        <v>2.3788529214031384</v>
      </c>
      <c r="I159" s="2">
        <f t="shared" si="3"/>
        <v>195.85096101912038</v>
      </c>
      <c r="J159" s="2">
        <f t="shared" si="4"/>
        <v>25.265985573632804</v>
      </c>
      <c r="K159" s="15">
        <f t="shared" si="23"/>
        <v>0.41964031339031338</v>
      </c>
      <c r="L159" s="2">
        <f t="shared" si="14"/>
        <v>154</v>
      </c>
      <c r="M159" s="2">
        <f t="shared" si="21"/>
        <v>82.08</v>
      </c>
      <c r="N159" s="2">
        <v>13</v>
      </c>
      <c r="O159" s="2">
        <v>50.26548245743669</v>
      </c>
      <c r="P159" s="11">
        <f t="shared" si="5"/>
        <v>2.5862678252432989</v>
      </c>
      <c r="Q159" s="2">
        <f t="shared" si="6"/>
        <v>212.28086309596998</v>
      </c>
      <c r="R159" s="2">
        <f t="shared" si="7"/>
        <v>2.4234467528176626</v>
      </c>
      <c r="S159" s="2">
        <f t="shared" si="8"/>
        <v>198.91650947127374</v>
      </c>
      <c r="T159" s="2">
        <f t="shared" si="9"/>
        <v>13.364353624696236</v>
      </c>
    </row>
    <row r="160" spans="1:20" x14ac:dyDescent="0.25">
      <c r="A160" s="14">
        <f t="shared" si="22"/>
        <v>0.45881410256410254</v>
      </c>
      <c r="B160" s="2">
        <f t="shared" si="11"/>
        <v>155</v>
      </c>
      <c r="C160" s="4">
        <f t="shared" si="20"/>
        <v>82.83</v>
      </c>
      <c r="D160" s="2">
        <v>12.5</v>
      </c>
      <c r="E160" s="2">
        <v>50.26548245743669</v>
      </c>
      <c r="F160" s="11">
        <f t="shared" si="0"/>
        <v>2.4867959858108648</v>
      </c>
      <c r="G160" s="2">
        <f t="shared" si="1"/>
        <v>205.98131150471391</v>
      </c>
      <c r="H160" s="2">
        <f t="shared" si="2"/>
        <v>2.3788529214031384</v>
      </c>
      <c r="I160" s="2">
        <f t="shared" si="3"/>
        <v>197.04038747982196</v>
      </c>
      <c r="J160" s="2">
        <f t="shared" si="4"/>
        <v>8.9409240248919559</v>
      </c>
      <c r="K160" s="15">
        <f t="shared" si="23"/>
        <v>0.41988960113960117</v>
      </c>
      <c r="L160" s="2">
        <f t="shared" si="14"/>
        <v>155</v>
      </c>
      <c r="M160" s="2">
        <f t="shared" si="21"/>
        <v>82.58</v>
      </c>
      <c r="N160" s="2">
        <v>13</v>
      </c>
      <c r="O160" s="2">
        <v>50.26548245743669</v>
      </c>
      <c r="P160" s="11">
        <f t="shared" si="5"/>
        <v>2.5862678252432989</v>
      </c>
      <c r="Q160" s="2">
        <f t="shared" si="6"/>
        <v>213.57399700859162</v>
      </c>
      <c r="R160" s="2">
        <f t="shared" si="7"/>
        <v>2.4234467528176626</v>
      </c>
      <c r="S160" s="2">
        <f t="shared" si="8"/>
        <v>200.12823284768257</v>
      </c>
      <c r="T160" s="2">
        <f t="shared" si="9"/>
        <v>13.44576416090905</v>
      </c>
    </row>
    <row r="161" spans="1:20" x14ac:dyDescent="0.25">
      <c r="A161" s="10">
        <v>0.45902777777777776</v>
      </c>
      <c r="B161" s="2">
        <f t="shared" si="11"/>
        <v>156</v>
      </c>
      <c r="C161" s="4">
        <f t="shared" si="20"/>
        <v>83.33</v>
      </c>
      <c r="D161" s="2">
        <v>11.5</v>
      </c>
      <c r="E161" s="2">
        <v>50.26548245743669</v>
      </c>
      <c r="F161" s="11">
        <f t="shared" si="0"/>
        <v>2.2878523069459957</v>
      </c>
      <c r="G161" s="2">
        <f t="shared" si="1"/>
        <v>190.64673273780983</v>
      </c>
      <c r="H161" s="2">
        <f t="shared" si="2"/>
        <v>2.3788529214031384</v>
      </c>
      <c r="I161" s="2">
        <f t="shared" si="3"/>
        <v>198.22981394052351</v>
      </c>
      <c r="J161" s="2">
        <f t="shared" si="4"/>
        <v>7.5830812027136858</v>
      </c>
      <c r="K161" s="12">
        <v>0.4201388888888889</v>
      </c>
      <c r="L161" s="2">
        <f t="shared" si="14"/>
        <v>156</v>
      </c>
      <c r="M161" s="2">
        <f t="shared" si="21"/>
        <v>83.08</v>
      </c>
      <c r="N161" s="2">
        <v>11</v>
      </c>
      <c r="O161" s="2">
        <v>50.26548245743669</v>
      </c>
      <c r="P161" s="11">
        <f t="shared" si="5"/>
        <v>2.1883804675135607</v>
      </c>
      <c r="Q161" s="2">
        <f t="shared" si="6"/>
        <v>181.81064924102662</v>
      </c>
      <c r="R161" s="2">
        <f t="shared" si="7"/>
        <v>2.4234467528176626</v>
      </c>
      <c r="S161" s="2">
        <f t="shared" si="8"/>
        <v>201.3399562240914</v>
      </c>
      <c r="T161" s="2">
        <f t="shared" si="9"/>
        <v>19.529306983064771</v>
      </c>
    </row>
    <row r="162" spans="1:20" x14ac:dyDescent="0.25">
      <c r="A162" s="10">
        <v>0.45902777777777776</v>
      </c>
      <c r="B162" s="2">
        <f t="shared" si="11"/>
        <v>157</v>
      </c>
      <c r="C162" s="4">
        <f t="shared" si="20"/>
        <v>83.83</v>
      </c>
      <c r="D162" s="2">
        <v>10.5</v>
      </c>
      <c r="E162" s="2">
        <v>50.26548245743669</v>
      </c>
      <c r="F162" s="11">
        <f t="shared" si="0"/>
        <v>2.0889086280811267</v>
      </c>
      <c r="G162" s="2">
        <f t="shared" si="1"/>
        <v>175.11321029204083</v>
      </c>
      <c r="H162" s="2">
        <f t="shared" si="2"/>
        <v>2.3788529214031384</v>
      </c>
      <c r="I162" s="2">
        <f t="shared" si="3"/>
        <v>199.4192404012251</v>
      </c>
      <c r="J162" s="2">
        <f t="shared" si="4"/>
        <v>24.306030109184263</v>
      </c>
      <c r="K162" s="12">
        <v>0.4201388888888889</v>
      </c>
      <c r="L162" s="2">
        <f t="shared" si="14"/>
        <v>157</v>
      </c>
      <c r="M162" s="2">
        <f t="shared" si="21"/>
        <v>83.58</v>
      </c>
      <c r="N162" s="2">
        <v>10.5</v>
      </c>
      <c r="O162" s="2">
        <v>50.26548245743669</v>
      </c>
      <c r="P162" s="11">
        <f t="shared" si="5"/>
        <v>2.0889086280811267</v>
      </c>
      <c r="Q162" s="2">
        <f t="shared" si="6"/>
        <v>174.59098313502056</v>
      </c>
      <c r="R162" s="2">
        <f t="shared" si="7"/>
        <v>2.4234467528176626</v>
      </c>
      <c r="S162" s="2">
        <f t="shared" si="8"/>
        <v>202.55167960050025</v>
      </c>
      <c r="T162" s="2">
        <f t="shared" si="9"/>
        <v>27.960696465479685</v>
      </c>
    </row>
    <row r="163" spans="1:20" x14ac:dyDescent="0.25">
      <c r="A163" s="10"/>
      <c r="C163" s="4"/>
      <c r="F163" s="11"/>
      <c r="K163" s="12"/>
      <c r="P163" s="11"/>
    </row>
    <row r="164" spans="1:20" x14ac:dyDescent="0.25">
      <c r="A164" s="10"/>
      <c r="C164" s="4"/>
      <c r="F164" s="11"/>
      <c r="K164" s="12"/>
      <c r="P164" s="11"/>
    </row>
    <row r="165" spans="1:20" x14ac:dyDescent="0.25">
      <c r="A165" s="10"/>
      <c r="C165" s="4"/>
      <c r="F165" s="11"/>
      <c r="K165" s="12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29">
    <mergeCell ref="V23:X23"/>
    <mergeCell ref="V24:X24"/>
    <mergeCell ref="V25:X25"/>
    <mergeCell ref="V26:X26"/>
    <mergeCell ref="V11:W11"/>
    <mergeCell ref="V12:W12"/>
    <mergeCell ref="V13:W13"/>
    <mergeCell ref="V14:W14"/>
    <mergeCell ref="V15:W15"/>
    <mergeCell ref="V16:W16"/>
    <mergeCell ref="V17:W17"/>
    <mergeCell ref="V10:W10"/>
    <mergeCell ref="V18:W18"/>
    <mergeCell ref="V19:X19"/>
    <mergeCell ref="W20:X20"/>
    <mergeCell ref="V21:W21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E4:F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X174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17770.063199062155</v>
      </c>
      <c r="G2" s="4">
        <f>SUM(C6:C174)</f>
        <v>6934.3099999999931</v>
      </c>
      <c r="H2" s="2">
        <f>F2/G2</f>
        <v>2.5626288987746686</v>
      </c>
      <c r="I2" s="2">
        <f>SUM(J6:J174)</f>
        <v>2430.6785303096894</v>
      </c>
      <c r="J2" s="2">
        <f>(1-(I2/(F2)))*100</f>
        <v>86.321497548540108</v>
      </c>
      <c r="K2" s="1"/>
      <c r="L2" s="1"/>
      <c r="M2" s="1"/>
      <c r="N2" s="1"/>
      <c r="O2" s="1"/>
      <c r="P2" s="2">
        <f>SUM(Q6:Q174)</f>
        <v>18216.343606675771</v>
      </c>
      <c r="Q2" s="2">
        <f>SUM(M6:M174)</f>
        <v>6895.0599999999931</v>
      </c>
      <c r="R2" s="2">
        <f>P2/Q2</f>
        <v>2.6419412748657432</v>
      </c>
      <c r="S2" s="2">
        <f>SUM(T6:T174)</f>
        <v>2309.2339864731443</v>
      </c>
      <c r="T2" s="2">
        <f>(1-(S2/(P2)))*100</f>
        <v>87.323284868062785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48" t="s">
        <v>81</v>
      </c>
      <c r="F4" s="32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48" t="s">
        <v>81</v>
      </c>
      <c r="P4" s="32"/>
      <c r="V4" s="34" t="s">
        <v>12</v>
      </c>
      <c r="W4" s="36"/>
      <c r="X4" s="6" t="s">
        <v>81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45793</v>
      </c>
    </row>
    <row r="6" spans="1:24" x14ac:dyDescent="0.25">
      <c r="A6" s="10">
        <v>0.38194444444444442</v>
      </c>
      <c r="B6" s="2">
        <v>1</v>
      </c>
      <c r="C6" s="4">
        <v>4.83</v>
      </c>
      <c r="D6" s="2">
        <v>7.5</v>
      </c>
      <c r="E6" s="2">
        <v>50.26548245743669</v>
      </c>
      <c r="F6" s="11">
        <f t="shared" ref="F6:F162" si="0">(D6/E6)*10</f>
        <v>1.492077591486519</v>
      </c>
      <c r="G6" s="2">
        <f t="shared" ref="G6:G162" si="1">F6*C6</f>
        <v>7.2067347668798867</v>
      </c>
      <c r="H6" s="2">
        <f t="shared" ref="H6:H162" si="2">$H$2</f>
        <v>2.5626288987746686</v>
      </c>
      <c r="I6" s="2">
        <f t="shared" ref="I6:I162" si="3">H6*C6</f>
        <v>12.37749758108165</v>
      </c>
      <c r="J6" s="2">
        <f t="shared" ref="J6:J162" si="4">ABS(G6-I6)</f>
        <v>5.1707628142017636</v>
      </c>
      <c r="K6" s="12">
        <v>0.35833333333333334</v>
      </c>
      <c r="L6" s="2">
        <v>1</v>
      </c>
      <c r="M6" s="2">
        <v>4.58</v>
      </c>
      <c r="N6" s="2">
        <v>6</v>
      </c>
      <c r="O6" s="2">
        <v>50.26548245743669</v>
      </c>
      <c r="P6" s="11">
        <f t="shared" ref="P6:P162" si="5">(N6/O6)*10</f>
        <v>1.1936620731892149</v>
      </c>
      <c r="Q6" s="2">
        <f t="shared" ref="Q6:Q162" si="6">P6*M6</f>
        <v>5.4669722952066042</v>
      </c>
      <c r="R6" s="2">
        <f t="shared" ref="R6:R162" si="7">$R$2</f>
        <v>2.6419412748657432</v>
      </c>
      <c r="S6" s="2">
        <f t="shared" ref="S6:S162" si="8">R6*M6</f>
        <v>12.100091038885104</v>
      </c>
      <c r="T6" s="2">
        <f t="shared" ref="T6:T162" si="9">ABS(Q6-S6)</f>
        <v>6.6331187436784997</v>
      </c>
      <c r="V6" s="37" t="s">
        <v>23</v>
      </c>
      <c r="W6" s="36"/>
      <c r="X6" s="13" t="s">
        <v>82</v>
      </c>
    </row>
    <row r="7" spans="1:24" x14ac:dyDescent="0.25">
      <c r="A7" s="30">
        <f t="shared" ref="A7:A43" si="10">IF(AND($A$6&lt;&gt;"",$A$44&lt;&gt;""), $A$6 + (B7 - $B$6) * (($A$44 - $A$6) / ($B$44 - $B$6)), "")</f>
        <v>0.38205409356725145</v>
      </c>
      <c r="B7" s="2">
        <f t="shared" ref="B7:B162" si="11">B6+1</f>
        <v>2</v>
      </c>
      <c r="C7" s="4">
        <f t="shared" ref="C7:C109" si="12">C6+0.5</f>
        <v>5.33</v>
      </c>
      <c r="D7" s="2">
        <v>8</v>
      </c>
      <c r="E7" s="2">
        <v>50.26548245743669</v>
      </c>
      <c r="F7" s="11">
        <f t="shared" si="0"/>
        <v>1.5915494309189535</v>
      </c>
      <c r="G7" s="2">
        <f t="shared" si="1"/>
        <v>8.4829584667980225</v>
      </c>
      <c r="H7" s="2">
        <f t="shared" si="2"/>
        <v>2.5626288987746686</v>
      </c>
      <c r="I7" s="2">
        <f t="shared" si="3"/>
        <v>13.658812030468983</v>
      </c>
      <c r="J7" s="2">
        <f t="shared" si="4"/>
        <v>5.1758535636709606</v>
      </c>
      <c r="K7" s="15">
        <f t="shared" ref="K7:K43" si="13">IF(AND($K$6&lt;&gt;"",$K$44&lt;&gt;""), $K$6 + (L7 - $L$6) * (($K$44 - $K$6) / ($L$44 - $L$6)), "")</f>
        <v>0.35844298245614037</v>
      </c>
      <c r="L7" s="2">
        <f t="shared" ref="L7:L162" si="14">L6+1</f>
        <v>2</v>
      </c>
      <c r="M7" s="2">
        <f t="shared" ref="M7:M109" si="15">M6+0.5</f>
        <v>5.08</v>
      </c>
      <c r="N7" s="2">
        <v>8</v>
      </c>
      <c r="O7" s="2">
        <v>50.26548245743669</v>
      </c>
      <c r="P7" s="11">
        <f t="shared" si="5"/>
        <v>1.5915494309189535</v>
      </c>
      <c r="Q7" s="2">
        <f t="shared" si="6"/>
        <v>8.0850711090682843</v>
      </c>
      <c r="R7" s="2">
        <f t="shared" si="7"/>
        <v>2.6419412748657432</v>
      </c>
      <c r="S7" s="2">
        <f t="shared" si="8"/>
        <v>13.421061676317976</v>
      </c>
      <c r="T7" s="2">
        <f t="shared" si="9"/>
        <v>5.3359905672496915</v>
      </c>
      <c r="V7" s="37" t="s">
        <v>24</v>
      </c>
      <c r="W7" s="36"/>
      <c r="X7" s="6" t="s">
        <v>83</v>
      </c>
    </row>
    <row r="8" spans="1:24" x14ac:dyDescent="0.25">
      <c r="A8" s="30">
        <f t="shared" si="10"/>
        <v>0.38216374269005848</v>
      </c>
      <c r="B8" s="2">
        <f t="shared" si="11"/>
        <v>3</v>
      </c>
      <c r="C8" s="4">
        <f t="shared" si="12"/>
        <v>5.83</v>
      </c>
      <c r="D8" s="2">
        <v>9</v>
      </c>
      <c r="E8" s="2">
        <v>50.26548245743669</v>
      </c>
      <c r="F8" s="11">
        <f t="shared" si="0"/>
        <v>1.7904931097838226</v>
      </c>
      <c r="G8" s="2">
        <f t="shared" si="1"/>
        <v>10.438574830039686</v>
      </c>
      <c r="H8" s="2">
        <f t="shared" si="2"/>
        <v>2.5626288987746686</v>
      </c>
      <c r="I8" s="2">
        <f t="shared" si="3"/>
        <v>14.940126479856318</v>
      </c>
      <c r="J8" s="2">
        <f t="shared" si="4"/>
        <v>4.5015516498166317</v>
      </c>
      <c r="K8" s="15">
        <f t="shared" si="13"/>
        <v>0.35855263157894735</v>
      </c>
      <c r="L8" s="2">
        <f t="shared" si="14"/>
        <v>3</v>
      </c>
      <c r="M8" s="2">
        <f t="shared" si="15"/>
        <v>5.58</v>
      </c>
      <c r="N8" s="2">
        <v>9</v>
      </c>
      <c r="O8" s="2">
        <v>50.26548245743669</v>
      </c>
      <c r="P8" s="11">
        <f t="shared" si="5"/>
        <v>1.7904931097838226</v>
      </c>
      <c r="Q8" s="2">
        <f t="shared" si="6"/>
        <v>9.9909515525937298</v>
      </c>
      <c r="R8" s="2">
        <f t="shared" si="7"/>
        <v>2.6419412748657432</v>
      </c>
      <c r="S8" s="2">
        <f t="shared" si="8"/>
        <v>14.742032313750848</v>
      </c>
      <c r="T8" s="2">
        <f t="shared" si="9"/>
        <v>4.7510807611571177</v>
      </c>
      <c r="V8" s="34" t="s">
        <v>25</v>
      </c>
      <c r="W8" s="35"/>
      <c r="X8" s="36"/>
    </row>
    <row r="9" spans="1:24" x14ac:dyDescent="0.25">
      <c r="A9" s="30">
        <f t="shared" si="10"/>
        <v>0.38227339181286546</v>
      </c>
      <c r="B9" s="2">
        <f t="shared" si="11"/>
        <v>4</v>
      </c>
      <c r="C9" s="4">
        <f t="shared" si="12"/>
        <v>6.33</v>
      </c>
      <c r="D9" s="2">
        <v>11.5</v>
      </c>
      <c r="E9" s="2">
        <v>50.26548245743669</v>
      </c>
      <c r="F9" s="11">
        <f t="shared" si="0"/>
        <v>2.2878523069459957</v>
      </c>
      <c r="G9" s="2">
        <f t="shared" si="1"/>
        <v>14.482105102968154</v>
      </c>
      <c r="H9" s="2">
        <f t="shared" si="2"/>
        <v>2.5626288987746686</v>
      </c>
      <c r="I9" s="2">
        <f t="shared" si="3"/>
        <v>16.221440929243652</v>
      </c>
      <c r="J9" s="2">
        <f t="shared" si="4"/>
        <v>1.7393358262754983</v>
      </c>
      <c r="K9" s="15">
        <f t="shared" si="13"/>
        <v>0.35866228070175438</v>
      </c>
      <c r="L9" s="2">
        <f t="shared" si="14"/>
        <v>4</v>
      </c>
      <c r="M9" s="2">
        <f t="shared" si="15"/>
        <v>6.08</v>
      </c>
      <c r="N9" s="2">
        <v>11</v>
      </c>
      <c r="O9" s="2">
        <v>50.26548245743669</v>
      </c>
      <c r="P9" s="11">
        <f t="shared" si="5"/>
        <v>2.1883804675135607</v>
      </c>
      <c r="Q9" s="2">
        <f t="shared" si="6"/>
        <v>13.30535324248245</v>
      </c>
      <c r="R9" s="2">
        <f t="shared" si="7"/>
        <v>2.6419412748657432</v>
      </c>
      <c r="S9" s="2">
        <f t="shared" si="8"/>
        <v>16.063002951183719</v>
      </c>
      <c r="T9" s="2">
        <f t="shared" si="9"/>
        <v>2.757649708701269</v>
      </c>
      <c r="V9" s="34" t="s">
        <v>26</v>
      </c>
      <c r="W9" s="36"/>
      <c r="X9" s="16">
        <v>0.30138888888888887</v>
      </c>
    </row>
    <row r="10" spans="1:24" x14ac:dyDescent="0.25">
      <c r="A10" s="30">
        <f t="shared" si="10"/>
        <v>0.38238304093567249</v>
      </c>
      <c r="B10" s="2">
        <f t="shared" si="11"/>
        <v>5</v>
      </c>
      <c r="C10" s="4">
        <f t="shared" si="12"/>
        <v>6.83</v>
      </c>
      <c r="D10" s="2">
        <v>13.5</v>
      </c>
      <c r="E10" s="2">
        <v>50.26548245743669</v>
      </c>
      <c r="F10" s="11">
        <f t="shared" si="0"/>
        <v>2.6857396646757339</v>
      </c>
      <c r="G10" s="2">
        <f t="shared" si="1"/>
        <v>18.343601909735263</v>
      </c>
      <c r="H10" s="2">
        <f t="shared" si="2"/>
        <v>2.5626288987746686</v>
      </c>
      <c r="I10" s="2">
        <f t="shared" si="3"/>
        <v>17.502755378630987</v>
      </c>
      <c r="J10" s="2">
        <f t="shared" si="4"/>
        <v>0.8408465311042761</v>
      </c>
      <c r="K10" s="15">
        <f t="shared" si="13"/>
        <v>0.35877192982456141</v>
      </c>
      <c r="L10" s="2">
        <f t="shared" si="14"/>
        <v>5</v>
      </c>
      <c r="M10" s="2">
        <f t="shared" si="15"/>
        <v>6.58</v>
      </c>
      <c r="N10" s="2">
        <v>13</v>
      </c>
      <c r="O10" s="2">
        <v>50.26548245743669</v>
      </c>
      <c r="P10" s="11">
        <f t="shared" si="5"/>
        <v>2.5862678252432989</v>
      </c>
      <c r="Q10" s="2">
        <f t="shared" si="6"/>
        <v>17.017642290100905</v>
      </c>
      <c r="R10" s="2">
        <f t="shared" si="7"/>
        <v>2.6419412748657432</v>
      </c>
      <c r="S10" s="2">
        <f t="shared" si="8"/>
        <v>17.383973588616591</v>
      </c>
      <c r="T10" s="2">
        <f t="shared" si="9"/>
        <v>0.36633129851568569</v>
      </c>
      <c r="V10" s="34" t="s">
        <v>27</v>
      </c>
      <c r="W10" s="36"/>
      <c r="X10" s="6">
        <v>50</v>
      </c>
    </row>
    <row r="11" spans="1:24" x14ac:dyDescent="0.25">
      <c r="A11" s="30">
        <f t="shared" si="10"/>
        <v>0.38249269005847952</v>
      </c>
      <c r="B11" s="2">
        <f t="shared" si="11"/>
        <v>6</v>
      </c>
      <c r="C11" s="4">
        <f t="shared" si="12"/>
        <v>7.33</v>
      </c>
      <c r="D11" s="2">
        <v>17.5</v>
      </c>
      <c r="E11" s="2">
        <v>50.26548245743669</v>
      </c>
      <c r="F11" s="11">
        <f t="shared" si="0"/>
        <v>3.4815143801352106</v>
      </c>
      <c r="G11" s="2">
        <f t="shared" si="1"/>
        <v>25.519500406391096</v>
      </c>
      <c r="H11" s="2">
        <f t="shared" si="2"/>
        <v>2.5626288987746686</v>
      </c>
      <c r="I11" s="2">
        <f t="shared" si="3"/>
        <v>18.784069828018321</v>
      </c>
      <c r="J11" s="2">
        <f t="shared" si="4"/>
        <v>6.7354305783727746</v>
      </c>
      <c r="K11" s="15">
        <f t="shared" si="13"/>
        <v>0.35888157894736844</v>
      </c>
      <c r="L11" s="2">
        <f t="shared" si="14"/>
        <v>6</v>
      </c>
      <c r="M11" s="2">
        <f t="shared" si="15"/>
        <v>7.08</v>
      </c>
      <c r="N11" s="2">
        <v>15</v>
      </c>
      <c r="O11" s="2">
        <v>50.26548245743669</v>
      </c>
      <c r="P11" s="11">
        <f t="shared" si="5"/>
        <v>2.9841551829730379</v>
      </c>
      <c r="Q11" s="2">
        <f t="shared" si="6"/>
        <v>21.127818695449108</v>
      </c>
      <c r="R11" s="2">
        <f t="shared" si="7"/>
        <v>2.6419412748657432</v>
      </c>
      <c r="S11" s="2">
        <f t="shared" si="8"/>
        <v>18.704944226049463</v>
      </c>
      <c r="T11" s="2">
        <f t="shared" si="9"/>
        <v>2.4228744693996447</v>
      </c>
      <c r="V11" s="34" t="s">
        <v>28</v>
      </c>
      <c r="W11" s="36"/>
      <c r="X11" s="6">
        <v>50</v>
      </c>
    </row>
    <row r="12" spans="1:24" x14ac:dyDescent="0.25">
      <c r="A12" s="30">
        <f t="shared" si="10"/>
        <v>0.38260233918128655</v>
      </c>
      <c r="B12" s="2">
        <f t="shared" si="11"/>
        <v>7</v>
      </c>
      <c r="C12" s="4">
        <f t="shared" si="12"/>
        <v>7.83</v>
      </c>
      <c r="D12" s="23">
        <v>19</v>
      </c>
      <c r="E12" s="2">
        <v>50.26548245743669</v>
      </c>
      <c r="F12" s="11">
        <f t="shared" si="0"/>
        <v>3.7799298984325143</v>
      </c>
      <c r="G12" s="2">
        <f t="shared" si="1"/>
        <v>29.596851104726586</v>
      </c>
      <c r="H12" s="2">
        <f t="shared" si="2"/>
        <v>2.5626288987746686</v>
      </c>
      <c r="I12" s="2">
        <f t="shared" si="3"/>
        <v>20.065384277405656</v>
      </c>
      <c r="J12" s="2">
        <f t="shared" si="4"/>
        <v>9.53146682732093</v>
      </c>
      <c r="K12" s="15">
        <f t="shared" si="13"/>
        <v>0.35899122807017542</v>
      </c>
      <c r="L12" s="2">
        <f t="shared" si="14"/>
        <v>7</v>
      </c>
      <c r="M12" s="2">
        <f t="shared" si="15"/>
        <v>7.58</v>
      </c>
      <c r="N12" s="23">
        <v>18</v>
      </c>
      <c r="O12" s="2">
        <v>50.26548245743669</v>
      </c>
      <c r="P12" s="11">
        <f t="shared" si="5"/>
        <v>3.5809862195676452</v>
      </c>
      <c r="Q12" s="2">
        <f t="shared" si="6"/>
        <v>27.14387554432275</v>
      </c>
      <c r="R12" s="2">
        <f t="shared" si="7"/>
        <v>2.6419412748657432</v>
      </c>
      <c r="S12" s="2">
        <f t="shared" si="8"/>
        <v>20.025914863482335</v>
      </c>
      <c r="T12" s="2">
        <f t="shared" si="9"/>
        <v>7.1179606808404152</v>
      </c>
      <c r="V12" s="34" t="s">
        <v>29</v>
      </c>
      <c r="W12" s="36"/>
      <c r="X12" s="6">
        <v>50</v>
      </c>
    </row>
    <row r="13" spans="1:24" x14ac:dyDescent="0.25">
      <c r="A13" s="30">
        <f t="shared" si="10"/>
        <v>0.38271198830409353</v>
      </c>
      <c r="B13" s="2">
        <f t="shared" si="11"/>
        <v>8</v>
      </c>
      <c r="C13" s="4">
        <f t="shared" si="12"/>
        <v>8.33</v>
      </c>
      <c r="D13" s="2">
        <v>19</v>
      </c>
      <c r="E13" s="2">
        <v>50.26548245743669</v>
      </c>
      <c r="F13" s="11">
        <f t="shared" si="0"/>
        <v>3.7799298984325143</v>
      </c>
      <c r="G13" s="2">
        <f t="shared" si="1"/>
        <v>31.486816053942842</v>
      </c>
      <c r="H13" s="2">
        <f t="shared" si="2"/>
        <v>2.5626288987746686</v>
      </c>
      <c r="I13" s="2">
        <f t="shared" si="3"/>
        <v>21.34669872679299</v>
      </c>
      <c r="J13" s="2">
        <f t="shared" si="4"/>
        <v>10.140117327149852</v>
      </c>
      <c r="K13" s="15">
        <f t="shared" si="13"/>
        <v>0.35910087719298245</v>
      </c>
      <c r="L13" s="2">
        <f t="shared" si="14"/>
        <v>8</v>
      </c>
      <c r="M13" s="2">
        <f t="shared" si="15"/>
        <v>8.08</v>
      </c>
      <c r="N13" s="2">
        <v>20</v>
      </c>
      <c r="O13" s="2">
        <v>50.26548245743669</v>
      </c>
      <c r="P13" s="11">
        <f t="shared" si="5"/>
        <v>3.9788735772973838</v>
      </c>
      <c r="Q13" s="2">
        <f t="shared" si="6"/>
        <v>32.149298504562864</v>
      </c>
      <c r="R13" s="2">
        <f t="shared" si="7"/>
        <v>2.6419412748657432</v>
      </c>
      <c r="S13" s="2">
        <f t="shared" si="8"/>
        <v>21.346885500915207</v>
      </c>
      <c r="T13" s="2">
        <f t="shared" si="9"/>
        <v>10.802413003647658</v>
      </c>
      <c r="V13" s="34" t="s">
        <v>30</v>
      </c>
      <c r="W13" s="36"/>
      <c r="X13" s="16">
        <v>0.4</v>
      </c>
    </row>
    <row r="14" spans="1:24" x14ac:dyDescent="0.25">
      <c r="A14" s="30">
        <f t="shared" si="10"/>
        <v>0.38282163742690056</v>
      </c>
      <c r="B14" s="2">
        <f t="shared" si="11"/>
        <v>9</v>
      </c>
      <c r="C14" s="4">
        <f t="shared" si="12"/>
        <v>8.83</v>
      </c>
      <c r="D14" s="2">
        <v>20.5</v>
      </c>
      <c r="E14" s="2">
        <v>50.26548245743669</v>
      </c>
      <c r="F14" s="11">
        <f t="shared" si="0"/>
        <v>4.0783454167298183</v>
      </c>
      <c r="G14" s="2">
        <f t="shared" si="1"/>
        <v>36.011790029724295</v>
      </c>
      <c r="H14" s="2">
        <f t="shared" si="2"/>
        <v>2.5626288987746686</v>
      </c>
      <c r="I14" s="2">
        <f t="shared" si="3"/>
        <v>22.628013176180325</v>
      </c>
      <c r="J14" s="2">
        <f t="shared" si="4"/>
        <v>13.383776853543971</v>
      </c>
      <c r="K14" s="15">
        <f t="shared" si="13"/>
        <v>0.35921052631578948</v>
      </c>
      <c r="L14" s="2">
        <f t="shared" si="14"/>
        <v>9</v>
      </c>
      <c r="M14" s="2">
        <f t="shared" si="15"/>
        <v>8.58</v>
      </c>
      <c r="N14" s="2">
        <v>21.5</v>
      </c>
      <c r="O14" s="2">
        <v>50.26548245743669</v>
      </c>
      <c r="P14" s="11">
        <f t="shared" si="5"/>
        <v>4.2772890955946874</v>
      </c>
      <c r="Q14" s="2">
        <f t="shared" si="6"/>
        <v>36.69914044020242</v>
      </c>
      <c r="R14" s="2">
        <f t="shared" si="7"/>
        <v>2.6419412748657432</v>
      </c>
      <c r="S14" s="2">
        <f t="shared" si="8"/>
        <v>22.667856138348075</v>
      </c>
      <c r="T14" s="2">
        <f t="shared" si="9"/>
        <v>14.031284301854345</v>
      </c>
      <c r="V14" s="34" t="s">
        <v>31</v>
      </c>
      <c r="W14" s="36"/>
      <c r="X14" s="6">
        <v>47</v>
      </c>
    </row>
    <row r="15" spans="1:24" x14ac:dyDescent="0.25">
      <c r="A15" s="30">
        <f t="shared" si="10"/>
        <v>0.38293128654970759</v>
      </c>
      <c r="B15" s="2">
        <f t="shared" si="11"/>
        <v>10</v>
      </c>
      <c r="C15" s="4">
        <f t="shared" si="12"/>
        <v>9.33</v>
      </c>
      <c r="D15" s="2">
        <v>21.5</v>
      </c>
      <c r="E15" s="2">
        <v>50.26548245743669</v>
      </c>
      <c r="F15" s="11">
        <f t="shared" si="0"/>
        <v>4.2772890955946874</v>
      </c>
      <c r="G15" s="2">
        <f t="shared" si="1"/>
        <v>39.907107261898432</v>
      </c>
      <c r="H15" s="2">
        <f t="shared" si="2"/>
        <v>2.5626288987746686</v>
      </c>
      <c r="I15" s="2">
        <f t="shared" si="3"/>
        <v>23.909327625567659</v>
      </c>
      <c r="J15" s="2">
        <f t="shared" si="4"/>
        <v>15.997779636330772</v>
      </c>
      <c r="K15" s="15">
        <f t="shared" si="13"/>
        <v>0.35932017543859651</v>
      </c>
      <c r="L15" s="2">
        <f t="shared" si="14"/>
        <v>10</v>
      </c>
      <c r="M15" s="2">
        <f t="shared" si="15"/>
        <v>9.08</v>
      </c>
      <c r="N15" s="2">
        <v>22.5</v>
      </c>
      <c r="O15" s="2">
        <v>50.26548245743669</v>
      </c>
      <c r="P15" s="11">
        <f t="shared" si="5"/>
        <v>4.4762327744595565</v>
      </c>
      <c r="Q15" s="2">
        <f t="shared" si="6"/>
        <v>40.644193592092776</v>
      </c>
      <c r="R15" s="2">
        <f t="shared" si="7"/>
        <v>2.6419412748657432</v>
      </c>
      <c r="S15" s="2">
        <f t="shared" si="8"/>
        <v>23.988826775780947</v>
      </c>
      <c r="T15" s="2">
        <f t="shared" si="9"/>
        <v>16.65536681631183</v>
      </c>
      <c r="V15" s="34" t="s">
        <v>32</v>
      </c>
      <c r="W15" s="36"/>
      <c r="X15" s="6">
        <v>47</v>
      </c>
    </row>
    <row r="16" spans="1:24" x14ac:dyDescent="0.25">
      <c r="A16" s="30">
        <f t="shared" si="10"/>
        <v>0.38304093567251463</v>
      </c>
      <c r="B16" s="2">
        <f t="shared" si="11"/>
        <v>11</v>
      </c>
      <c r="C16" s="4">
        <f t="shared" si="12"/>
        <v>9.83</v>
      </c>
      <c r="D16" s="2">
        <v>21.5</v>
      </c>
      <c r="E16" s="2">
        <v>50.26548245743669</v>
      </c>
      <c r="F16" s="11">
        <f t="shared" si="0"/>
        <v>4.2772890955946874</v>
      </c>
      <c r="G16" s="2">
        <f t="shared" si="1"/>
        <v>42.04575180969578</v>
      </c>
      <c r="H16" s="2">
        <f t="shared" si="2"/>
        <v>2.5626288987746686</v>
      </c>
      <c r="I16" s="2">
        <f t="shared" si="3"/>
        <v>25.190642074954994</v>
      </c>
      <c r="J16" s="2">
        <f t="shared" si="4"/>
        <v>16.855109734740786</v>
      </c>
      <c r="K16" s="15">
        <f t="shared" si="13"/>
        <v>0.35942982456140349</v>
      </c>
      <c r="L16" s="2">
        <f t="shared" si="14"/>
        <v>11</v>
      </c>
      <c r="M16" s="2">
        <f t="shared" si="15"/>
        <v>9.58</v>
      </c>
      <c r="N16" s="2">
        <v>22.5</v>
      </c>
      <c r="O16" s="2">
        <v>50.26548245743669</v>
      </c>
      <c r="P16" s="11">
        <f t="shared" si="5"/>
        <v>4.4762327744595565</v>
      </c>
      <c r="Q16" s="2">
        <f t="shared" si="6"/>
        <v>42.88230997932255</v>
      </c>
      <c r="R16" s="2">
        <f t="shared" si="7"/>
        <v>2.6419412748657432</v>
      </c>
      <c r="S16" s="2">
        <f t="shared" si="8"/>
        <v>25.309797413213818</v>
      </c>
      <c r="T16" s="2">
        <f t="shared" si="9"/>
        <v>17.572512566108731</v>
      </c>
      <c r="V16" s="34" t="s">
        <v>33</v>
      </c>
      <c r="W16" s="36"/>
      <c r="X16" s="6">
        <v>47</v>
      </c>
    </row>
    <row r="17" spans="1:24" x14ac:dyDescent="0.25">
      <c r="A17" s="30">
        <f t="shared" si="10"/>
        <v>0.3831505847953216</v>
      </c>
      <c r="B17" s="2">
        <f t="shared" si="11"/>
        <v>12</v>
      </c>
      <c r="C17" s="4">
        <f t="shared" si="12"/>
        <v>10.33</v>
      </c>
      <c r="D17" s="2">
        <v>20</v>
      </c>
      <c r="E17" s="2">
        <v>50.26548245743669</v>
      </c>
      <c r="F17" s="11">
        <f t="shared" si="0"/>
        <v>3.9788735772973838</v>
      </c>
      <c r="G17" s="2">
        <f t="shared" si="1"/>
        <v>41.101764053481972</v>
      </c>
      <c r="H17" s="2">
        <f t="shared" si="2"/>
        <v>2.5626288987746686</v>
      </c>
      <c r="I17" s="2">
        <f t="shared" si="3"/>
        <v>26.471956524342328</v>
      </c>
      <c r="J17" s="2">
        <f t="shared" si="4"/>
        <v>14.629807529139644</v>
      </c>
      <c r="K17" s="15">
        <f t="shared" si="13"/>
        <v>0.35953947368421052</v>
      </c>
      <c r="L17" s="2">
        <f t="shared" si="14"/>
        <v>12</v>
      </c>
      <c r="M17" s="2">
        <f t="shared" si="15"/>
        <v>10.08</v>
      </c>
      <c r="N17" s="2">
        <v>21.5</v>
      </c>
      <c r="O17" s="2">
        <v>50.26548245743669</v>
      </c>
      <c r="P17" s="11">
        <f t="shared" si="5"/>
        <v>4.2772890955946874</v>
      </c>
      <c r="Q17" s="2">
        <f t="shared" si="6"/>
        <v>43.11507408359445</v>
      </c>
      <c r="R17" s="2">
        <f t="shared" si="7"/>
        <v>2.6419412748657432</v>
      </c>
      <c r="S17" s="2">
        <f t="shared" si="8"/>
        <v>26.63076805064669</v>
      </c>
      <c r="T17" s="2">
        <f t="shared" si="9"/>
        <v>16.48430603294776</v>
      </c>
      <c r="V17" s="38" t="s">
        <v>34</v>
      </c>
      <c r="W17" s="36"/>
      <c r="X17" s="17">
        <f>((X10-X14)+(X11-X15)+(X12-X16))/3</f>
        <v>3</v>
      </c>
    </row>
    <row r="18" spans="1:24" x14ac:dyDescent="0.25">
      <c r="A18" s="30">
        <f t="shared" si="10"/>
        <v>0.38326023391812863</v>
      </c>
      <c r="B18" s="2">
        <f t="shared" si="11"/>
        <v>13</v>
      </c>
      <c r="C18" s="4">
        <f t="shared" si="12"/>
        <v>10.83</v>
      </c>
      <c r="D18" s="2">
        <v>20.5</v>
      </c>
      <c r="E18" s="2">
        <v>50.26548245743669</v>
      </c>
      <c r="F18" s="11">
        <f t="shared" si="0"/>
        <v>4.0783454167298183</v>
      </c>
      <c r="G18" s="2">
        <f t="shared" si="1"/>
        <v>44.16848086318393</v>
      </c>
      <c r="H18" s="2">
        <f t="shared" si="2"/>
        <v>2.5626288987746686</v>
      </c>
      <c r="I18" s="2">
        <f t="shared" si="3"/>
        <v>27.753270973729663</v>
      </c>
      <c r="J18" s="2">
        <f t="shared" si="4"/>
        <v>16.415209889454268</v>
      </c>
      <c r="K18" s="15">
        <f t="shared" si="13"/>
        <v>0.35964912280701755</v>
      </c>
      <c r="L18" s="2">
        <f t="shared" si="14"/>
        <v>13</v>
      </c>
      <c r="M18" s="2">
        <f t="shared" si="15"/>
        <v>10.58</v>
      </c>
      <c r="N18" s="2">
        <v>20</v>
      </c>
      <c r="O18" s="2">
        <v>50.26548245743669</v>
      </c>
      <c r="P18" s="11">
        <f t="shared" si="5"/>
        <v>3.9788735772973838</v>
      </c>
      <c r="Q18" s="2">
        <f t="shared" si="6"/>
        <v>42.096482447806324</v>
      </c>
      <c r="R18" s="2">
        <f t="shared" si="7"/>
        <v>2.6419412748657432</v>
      </c>
      <c r="S18" s="2">
        <f t="shared" si="8"/>
        <v>27.951738688079562</v>
      </c>
      <c r="T18" s="2">
        <f t="shared" si="9"/>
        <v>14.144743759726762</v>
      </c>
      <c r="V18" s="38" t="s">
        <v>35</v>
      </c>
      <c r="W18" s="36"/>
      <c r="X18" s="18" t="s">
        <v>41</v>
      </c>
    </row>
    <row r="19" spans="1:24" x14ac:dyDescent="0.25">
      <c r="A19" s="30">
        <f t="shared" si="10"/>
        <v>0.38336988304093567</v>
      </c>
      <c r="B19" s="2">
        <f t="shared" si="11"/>
        <v>14</v>
      </c>
      <c r="C19" s="4">
        <f t="shared" si="12"/>
        <v>11.33</v>
      </c>
      <c r="D19" s="2">
        <v>19</v>
      </c>
      <c r="E19" s="2">
        <v>50.26548245743669</v>
      </c>
      <c r="F19" s="11">
        <f t="shared" si="0"/>
        <v>3.7799298984325143</v>
      </c>
      <c r="G19" s="2">
        <f t="shared" si="1"/>
        <v>42.826605749240386</v>
      </c>
      <c r="H19" s="2">
        <f t="shared" si="2"/>
        <v>2.5626288987746686</v>
      </c>
      <c r="I19" s="2">
        <f t="shared" si="3"/>
        <v>29.034585423116994</v>
      </c>
      <c r="J19" s="2">
        <f t="shared" si="4"/>
        <v>13.792020326123392</v>
      </c>
      <c r="K19" s="15">
        <f t="shared" si="13"/>
        <v>0.35975877192982458</v>
      </c>
      <c r="L19" s="2">
        <f t="shared" si="14"/>
        <v>14</v>
      </c>
      <c r="M19" s="2">
        <f t="shared" si="15"/>
        <v>11.08</v>
      </c>
      <c r="N19" s="2">
        <v>19</v>
      </c>
      <c r="O19" s="2">
        <v>50.26548245743669</v>
      </c>
      <c r="P19" s="11">
        <f t="shared" si="5"/>
        <v>3.7799298984325143</v>
      </c>
      <c r="Q19" s="2">
        <f t="shared" si="6"/>
        <v>41.881623274632261</v>
      </c>
      <c r="R19" s="2">
        <f t="shared" si="7"/>
        <v>2.6419412748657432</v>
      </c>
      <c r="S19" s="2">
        <f t="shared" si="8"/>
        <v>29.272709325512434</v>
      </c>
      <c r="T19" s="2">
        <f t="shared" si="9"/>
        <v>12.608913949119827</v>
      </c>
      <c r="V19" s="39" t="s">
        <v>37</v>
      </c>
      <c r="W19" s="35"/>
      <c r="X19" s="36"/>
    </row>
    <row r="20" spans="1:24" x14ac:dyDescent="0.25">
      <c r="A20" s="30">
        <f t="shared" si="10"/>
        <v>0.3834795321637427</v>
      </c>
      <c r="B20" s="2">
        <f t="shared" si="11"/>
        <v>15</v>
      </c>
      <c r="C20" s="4">
        <f t="shared" si="12"/>
        <v>11.83</v>
      </c>
      <c r="D20" s="2">
        <v>17.5</v>
      </c>
      <c r="E20" s="2">
        <v>50.26548245743669</v>
      </c>
      <c r="F20" s="11">
        <f t="shared" si="0"/>
        <v>3.4815143801352106</v>
      </c>
      <c r="G20" s="2">
        <f t="shared" si="1"/>
        <v>41.186315116999545</v>
      </c>
      <c r="H20" s="2">
        <f t="shared" si="2"/>
        <v>2.5626288987746686</v>
      </c>
      <c r="I20" s="2">
        <f t="shared" si="3"/>
        <v>30.315899872504328</v>
      </c>
      <c r="J20" s="2">
        <f t="shared" si="4"/>
        <v>10.870415244495216</v>
      </c>
      <c r="K20" s="15">
        <f t="shared" si="13"/>
        <v>0.35986842105263156</v>
      </c>
      <c r="L20" s="2">
        <f t="shared" si="14"/>
        <v>15</v>
      </c>
      <c r="M20" s="2">
        <f t="shared" si="15"/>
        <v>11.58</v>
      </c>
      <c r="N20" s="2">
        <v>19.5</v>
      </c>
      <c r="O20" s="2">
        <v>50.26548245743669</v>
      </c>
      <c r="P20" s="11">
        <f t="shared" si="5"/>
        <v>3.8794017378649488</v>
      </c>
      <c r="Q20" s="2">
        <f t="shared" si="6"/>
        <v>44.923472124476106</v>
      </c>
      <c r="R20" s="2">
        <f t="shared" si="7"/>
        <v>2.6419412748657432</v>
      </c>
      <c r="S20" s="2">
        <f t="shared" si="8"/>
        <v>30.593679962945306</v>
      </c>
      <c r="T20" s="2">
        <f t="shared" si="9"/>
        <v>14.329792161530801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30">
        <f t="shared" si="10"/>
        <v>0.38358918128654967</v>
      </c>
      <c r="B21" s="2">
        <f t="shared" si="11"/>
        <v>16</v>
      </c>
      <c r="C21" s="4">
        <f t="shared" si="12"/>
        <v>12.33</v>
      </c>
      <c r="D21" s="2">
        <v>16</v>
      </c>
      <c r="E21" s="2">
        <v>50.26548245743669</v>
      </c>
      <c r="F21" s="11">
        <f t="shared" si="0"/>
        <v>3.183098861837907</v>
      </c>
      <c r="G21" s="2">
        <f t="shared" si="1"/>
        <v>39.247608966461392</v>
      </c>
      <c r="H21" s="2">
        <f t="shared" si="2"/>
        <v>2.5626288987746686</v>
      </c>
      <c r="I21" s="2">
        <f t="shared" si="3"/>
        <v>31.597214321891663</v>
      </c>
      <c r="J21" s="2">
        <f t="shared" si="4"/>
        <v>7.6503946445697295</v>
      </c>
      <c r="K21" s="15">
        <f t="shared" si="13"/>
        <v>0.35997807017543859</v>
      </c>
      <c r="L21" s="2">
        <f t="shared" si="14"/>
        <v>16</v>
      </c>
      <c r="M21" s="2">
        <f t="shared" si="15"/>
        <v>12.08</v>
      </c>
      <c r="N21" s="2">
        <v>15.5</v>
      </c>
      <c r="O21" s="2">
        <v>50.26548245743669</v>
      </c>
      <c r="P21" s="11">
        <f t="shared" si="5"/>
        <v>3.0836270224054725</v>
      </c>
      <c r="Q21" s="2">
        <f t="shared" si="6"/>
        <v>37.250214430658104</v>
      </c>
      <c r="R21" s="2">
        <f t="shared" si="7"/>
        <v>2.6419412748657432</v>
      </c>
      <c r="S21" s="2">
        <f t="shared" si="8"/>
        <v>31.914650600378177</v>
      </c>
      <c r="T21" s="2">
        <f t="shared" si="9"/>
        <v>5.3355638302799271</v>
      </c>
      <c r="V21" s="39" t="s">
        <v>39</v>
      </c>
      <c r="W21" s="36"/>
      <c r="X21" s="20">
        <f>(J2+T2)/2</f>
        <v>86.82239120830144</v>
      </c>
    </row>
    <row r="22" spans="1:24" x14ac:dyDescent="0.25">
      <c r="A22" s="30">
        <f t="shared" si="10"/>
        <v>0.38369883040935671</v>
      </c>
      <c r="B22" s="2">
        <f t="shared" si="11"/>
        <v>17</v>
      </c>
      <c r="C22" s="4">
        <f t="shared" si="12"/>
        <v>12.83</v>
      </c>
      <c r="D22" s="2">
        <v>15</v>
      </c>
      <c r="E22" s="2">
        <v>50.26548245743669</v>
      </c>
      <c r="F22" s="11">
        <f t="shared" si="0"/>
        <v>2.9841551829730379</v>
      </c>
      <c r="G22" s="2">
        <f t="shared" si="1"/>
        <v>38.286710997544077</v>
      </c>
      <c r="H22" s="2">
        <f t="shared" si="2"/>
        <v>2.5626288987746686</v>
      </c>
      <c r="I22" s="2">
        <f t="shared" si="3"/>
        <v>32.878528771279001</v>
      </c>
      <c r="J22" s="2">
        <f t="shared" si="4"/>
        <v>5.4081822262650761</v>
      </c>
      <c r="K22" s="15">
        <f t="shared" si="13"/>
        <v>0.36008771929824562</v>
      </c>
      <c r="L22" s="2">
        <f t="shared" si="14"/>
        <v>17</v>
      </c>
      <c r="M22" s="2">
        <f t="shared" si="15"/>
        <v>12.58</v>
      </c>
      <c r="N22" s="2">
        <v>15.5</v>
      </c>
      <c r="O22" s="2">
        <v>50.26548245743669</v>
      </c>
      <c r="P22" s="11">
        <f t="shared" si="5"/>
        <v>3.0836270224054725</v>
      </c>
      <c r="Q22" s="2">
        <f t="shared" si="6"/>
        <v>38.792027941860844</v>
      </c>
      <c r="R22" s="2">
        <f t="shared" si="7"/>
        <v>2.6419412748657432</v>
      </c>
      <c r="S22" s="2">
        <f t="shared" si="8"/>
        <v>33.235621237811046</v>
      </c>
      <c r="T22" s="2">
        <f t="shared" si="9"/>
        <v>5.5564067040497989</v>
      </c>
      <c r="V22" s="27"/>
      <c r="W22" s="27"/>
      <c r="X22" s="28"/>
    </row>
    <row r="23" spans="1:24" x14ac:dyDescent="0.25">
      <c r="A23" s="30">
        <f t="shared" si="10"/>
        <v>0.38380847953216374</v>
      </c>
      <c r="B23" s="2">
        <f t="shared" si="11"/>
        <v>18</v>
      </c>
      <c r="C23" s="4">
        <f t="shared" si="12"/>
        <v>13.33</v>
      </c>
      <c r="D23" s="2">
        <v>15</v>
      </c>
      <c r="E23" s="2">
        <v>50.26548245743669</v>
      </c>
      <c r="F23" s="11">
        <f t="shared" si="0"/>
        <v>2.9841551829730379</v>
      </c>
      <c r="G23" s="2">
        <f t="shared" si="1"/>
        <v>39.778788589030597</v>
      </c>
      <c r="H23" s="2">
        <f t="shared" si="2"/>
        <v>2.5626288987746686</v>
      </c>
      <c r="I23" s="2">
        <f t="shared" si="3"/>
        <v>34.159843220666332</v>
      </c>
      <c r="J23" s="2">
        <f t="shared" si="4"/>
        <v>5.6189453683642654</v>
      </c>
      <c r="K23" s="15">
        <f t="shared" si="13"/>
        <v>0.36019736842105265</v>
      </c>
      <c r="L23" s="2">
        <f t="shared" si="14"/>
        <v>18</v>
      </c>
      <c r="M23" s="2">
        <f t="shared" si="15"/>
        <v>13.08</v>
      </c>
      <c r="N23" s="2">
        <v>15.5</v>
      </c>
      <c r="O23" s="2">
        <v>50.26548245743669</v>
      </c>
      <c r="P23" s="11">
        <f t="shared" si="5"/>
        <v>3.0836270224054725</v>
      </c>
      <c r="Q23" s="2">
        <f t="shared" si="6"/>
        <v>40.333841453063577</v>
      </c>
      <c r="R23" s="2">
        <f t="shared" si="7"/>
        <v>2.6419412748657432</v>
      </c>
      <c r="S23" s="2">
        <f t="shared" si="8"/>
        <v>34.556591875243917</v>
      </c>
      <c r="T23" s="2">
        <f t="shared" si="9"/>
        <v>5.77724957781966</v>
      </c>
      <c r="V23" s="34" t="s">
        <v>45</v>
      </c>
      <c r="W23" s="35"/>
      <c r="X23" s="36"/>
    </row>
    <row r="24" spans="1:24" x14ac:dyDescent="0.25">
      <c r="A24" s="30">
        <f t="shared" si="10"/>
        <v>0.38391812865497077</v>
      </c>
      <c r="B24" s="2">
        <f t="shared" si="11"/>
        <v>19</v>
      </c>
      <c r="C24" s="4">
        <f t="shared" si="12"/>
        <v>13.83</v>
      </c>
      <c r="D24" s="2">
        <v>15</v>
      </c>
      <c r="E24" s="2">
        <v>50.26548245743669</v>
      </c>
      <c r="F24" s="11">
        <f t="shared" si="0"/>
        <v>2.9841551829730379</v>
      </c>
      <c r="G24" s="2">
        <f t="shared" si="1"/>
        <v>41.270866180517118</v>
      </c>
      <c r="H24" s="2">
        <f t="shared" si="2"/>
        <v>2.5626288987746686</v>
      </c>
      <c r="I24" s="2">
        <f t="shared" si="3"/>
        <v>35.44115767005367</v>
      </c>
      <c r="J24" s="2">
        <f t="shared" si="4"/>
        <v>5.8297085104634476</v>
      </c>
      <c r="K24" s="15">
        <f t="shared" si="13"/>
        <v>0.36030701754385963</v>
      </c>
      <c r="L24" s="2">
        <f t="shared" si="14"/>
        <v>19</v>
      </c>
      <c r="M24" s="2">
        <f t="shared" si="15"/>
        <v>13.58</v>
      </c>
      <c r="N24" s="2">
        <v>15.5</v>
      </c>
      <c r="O24" s="2">
        <v>50.26548245743669</v>
      </c>
      <c r="P24" s="11">
        <f t="shared" si="5"/>
        <v>3.0836270224054725</v>
      </c>
      <c r="Q24" s="2">
        <f t="shared" si="6"/>
        <v>41.875654964266317</v>
      </c>
      <c r="R24" s="2">
        <f t="shared" si="7"/>
        <v>2.6419412748657432</v>
      </c>
      <c r="S24" s="2">
        <f t="shared" si="8"/>
        <v>35.877562512676789</v>
      </c>
      <c r="T24" s="2">
        <f t="shared" si="9"/>
        <v>5.9980924515895282</v>
      </c>
      <c r="V24" s="49" t="s">
        <v>46</v>
      </c>
      <c r="W24" s="35"/>
      <c r="X24" s="36"/>
    </row>
    <row r="25" spans="1:24" x14ac:dyDescent="0.25">
      <c r="A25" s="30">
        <f t="shared" si="10"/>
        <v>0.38402777777777775</v>
      </c>
      <c r="B25" s="2">
        <f t="shared" si="11"/>
        <v>20</v>
      </c>
      <c r="C25" s="4">
        <f t="shared" si="12"/>
        <v>14.33</v>
      </c>
      <c r="D25" s="2">
        <v>14</v>
      </c>
      <c r="E25" s="2">
        <v>50.26548245743669</v>
      </c>
      <c r="F25" s="11">
        <f t="shared" si="0"/>
        <v>2.7852115041081689</v>
      </c>
      <c r="G25" s="2">
        <f t="shared" si="1"/>
        <v>39.912080853870059</v>
      </c>
      <c r="H25" s="2">
        <f t="shared" si="2"/>
        <v>2.5626288987746686</v>
      </c>
      <c r="I25" s="2">
        <f t="shared" si="3"/>
        <v>36.722472119441001</v>
      </c>
      <c r="J25" s="2">
        <f t="shared" si="4"/>
        <v>3.1896087344290578</v>
      </c>
      <c r="K25" s="15">
        <f t="shared" si="13"/>
        <v>0.36041666666666666</v>
      </c>
      <c r="L25" s="2">
        <f t="shared" si="14"/>
        <v>20</v>
      </c>
      <c r="M25" s="2">
        <f t="shared" si="15"/>
        <v>14.08</v>
      </c>
      <c r="N25" s="2">
        <v>24.5</v>
      </c>
      <c r="O25" s="2">
        <v>50.26548245743669</v>
      </c>
      <c r="P25" s="11">
        <f t="shared" si="5"/>
        <v>4.8741201321892946</v>
      </c>
      <c r="Q25" s="2">
        <f t="shared" si="6"/>
        <v>68.627611461225271</v>
      </c>
      <c r="R25" s="2">
        <f t="shared" si="7"/>
        <v>2.6419412748657432</v>
      </c>
      <c r="S25" s="2">
        <f t="shared" si="8"/>
        <v>37.198533150109661</v>
      </c>
      <c r="T25" s="2">
        <f t="shared" si="9"/>
        <v>31.42907831111561</v>
      </c>
      <c r="V25" s="34" t="s">
        <v>47</v>
      </c>
      <c r="W25" s="35"/>
      <c r="X25" s="36"/>
    </row>
    <row r="26" spans="1:24" x14ac:dyDescent="0.25">
      <c r="A26" s="30">
        <f t="shared" si="10"/>
        <v>0.38413742690058478</v>
      </c>
      <c r="B26" s="2">
        <f t="shared" si="11"/>
        <v>21</v>
      </c>
      <c r="C26" s="4">
        <f t="shared" si="12"/>
        <v>14.83</v>
      </c>
      <c r="D26" s="2">
        <v>12</v>
      </c>
      <c r="E26" s="2">
        <v>50.26548245743669</v>
      </c>
      <c r="F26" s="11">
        <f t="shared" si="0"/>
        <v>2.3873241463784298</v>
      </c>
      <c r="G26" s="2">
        <f t="shared" si="1"/>
        <v>35.404017090792117</v>
      </c>
      <c r="H26" s="2">
        <f t="shared" si="2"/>
        <v>2.5626288987746686</v>
      </c>
      <c r="I26" s="2">
        <f t="shared" si="3"/>
        <v>38.003786568828339</v>
      </c>
      <c r="J26" s="2">
        <f t="shared" si="4"/>
        <v>2.5997694780362224</v>
      </c>
      <c r="K26" s="15">
        <f t="shared" si="13"/>
        <v>0.36052631578947369</v>
      </c>
      <c r="L26" s="2">
        <f t="shared" si="14"/>
        <v>21</v>
      </c>
      <c r="M26" s="2">
        <f t="shared" si="15"/>
        <v>14.58</v>
      </c>
      <c r="N26" s="2">
        <v>14</v>
      </c>
      <c r="O26" s="2">
        <v>50.26548245743669</v>
      </c>
      <c r="P26" s="11">
        <f t="shared" si="5"/>
        <v>2.7852115041081689</v>
      </c>
      <c r="Q26" s="2">
        <f t="shared" si="6"/>
        <v>40.608383729897099</v>
      </c>
      <c r="R26" s="2">
        <f t="shared" si="7"/>
        <v>2.6419412748657432</v>
      </c>
      <c r="S26" s="2">
        <f t="shared" si="8"/>
        <v>38.519503787542533</v>
      </c>
      <c r="T26" s="2">
        <f t="shared" si="9"/>
        <v>2.0888799423545663</v>
      </c>
      <c r="V26" s="49" t="s">
        <v>48</v>
      </c>
      <c r="W26" s="35"/>
      <c r="X26" s="36"/>
    </row>
    <row r="27" spans="1:24" x14ac:dyDescent="0.25">
      <c r="A27" s="30">
        <f t="shared" si="10"/>
        <v>0.38424707602339181</v>
      </c>
      <c r="B27" s="2">
        <f t="shared" si="11"/>
        <v>22</v>
      </c>
      <c r="C27" s="4">
        <f t="shared" si="12"/>
        <v>15.33</v>
      </c>
      <c r="D27" s="2">
        <v>13.5</v>
      </c>
      <c r="E27" s="2">
        <v>50.26548245743669</v>
      </c>
      <c r="F27" s="11">
        <f t="shared" si="0"/>
        <v>2.6857396646757339</v>
      </c>
      <c r="G27" s="2">
        <f t="shared" si="1"/>
        <v>41.172389059479002</v>
      </c>
      <c r="H27" s="2">
        <f t="shared" si="2"/>
        <v>2.5626288987746686</v>
      </c>
      <c r="I27" s="2">
        <f t="shared" si="3"/>
        <v>39.28510101821567</v>
      </c>
      <c r="J27" s="2">
        <f t="shared" si="4"/>
        <v>1.8872880412633322</v>
      </c>
      <c r="K27" s="15">
        <f t="shared" si="13"/>
        <v>0.36063596491228067</v>
      </c>
      <c r="L27" s="2">
        <f t="shared" si="14"/>
        <v>22</v>
      </c>
      <c r="M27" s="2">
        <f t="shared" si="15"/>
        <v>15.08</v>
      </c>
      <c r="N27" s="2">
        <v>13</v>
      </c>
      <c r="O27" s="2">
        <v>50.26548245743669</v>
      </c>
      <c r="P27" s="11">
        <f t="shared" si="5"/>
        <v>2.5862678252432989</v>
      </c>
      <c r="Q27" s="2">
        <f t="shared" si="6"/>
        <v>39.000918804668949</v>
      </c>
      <c r="R27" s="2">
        <f t="shared" si="7"/>
        <v>2.6419412748657432</v>
      </c>
      <c r="S27" s="2">
        <f t="shared" si="8"/>
        <v>39.840474424975405</v>
      </c>
      <c r="T27" s="2">
        <f t="shared" si="9"/>
        <v>0.83955562030645581</v>
      </c>
      <c r="V27" s="29"/>
      <c r="W27" s="29"/>
      <c r="X27" s="29"/>
    </row>
    <row r="28" spans="1:24" x14ac:dyDescent="0.25">
      <c r="A28" s="30">
        <f t="shared" si="10"/>
        <v>0.38435672514619884</v>
      </c>
      <c r="B28" s="2">
        <f t="shared" si="11"/>
        <v>23</v>
      </c>
      <c r="C28" s="4">
        <f t="shared" si="12"/>
        <v>15.83</v>
      </c>
      <c r="D28" s="2">
        <v>14.5</v>
      </c>
      <c r="E28" s="2">
        <v>50.26548245743669</v>
      </c>
      <c r="F28" s="11">
        <f t="shared" si="0"/>
        <v>2.8846833435406034</v>
      </c>
      <c r="G28" s="2">
        <f t="shared" si="1"/>
        <v>45.664537328247754</v>
      </c>
      <c r="H28" s="2">
        <f t="shared" si="2"/>
        <v>2.5626288987746686</v>
      </c>
      <c r="I28" s="2">
        <f t="shared" si="3"/>
        <v>40.566415467603001</v>
      </c>
      <c r="J28" s="2">
        <f t="shared" si="4"/>
        <v>5.0981218606447527</v>
      </c>
      <c r="K28" s="15">
        <f t="shared" si="13"/>
        <v>0.3607456140350877</v>
      </c>
      <c r="L28" s="2">
        <f t="shared" si="14"/>
        <v>23</v>
      </c>
      <c r="M28" s="2">
        <f t="shared" si="15"/>
        <v>15.58</v>
      </c>
      <c r="N28" s="2">
        <v>14</v>
      </c>
      <c r="O28" s="2">
        <v>50.26548245743669</v>
      </c>
      <c r="P28" s="11">
        <f t="shared" si="5"/>
        <v>2.7852115041081689</v>
      </c>
      <c r="Q28" s="2">
        <f t="shared" si="6"/>
        <v>43.393595234005268</v>
      </c>
      <c r="R28" s="2">
        <f t="shared" si="7"/>
        <v>2.6419412748657432</v>
      </c>
      <c r="S28" s="2">
        <f t="shared" si="8"/>
        <v>41.161445062408276</v>
      </c>
      <c r="T28" s="2">
        <f t="shared" si="9"/>
        <v>2.2321501715969916</v>
      </c>
      <c r="V28" s="24" t="s">
        <v>49</v>
      </c>
      <c r="W28" s="24" t="s">
        <v>50</v>
      </c>
      <c r="X28" s="29"/>
    </row>
    <row r="29" spans="1:24" x14ac:dyDescent="0.25">
      <c r="A29" s="30">
        <f t="shared" si="10"/>
        <v>0.38446637426900587</v>
      </c>
      <c r="B29" s="2">
        <f t="shared" si="11"/>
        <v>24</v>
      </c>
      <c r="C29" s="4">
        <f t="shared" si="12"/>
        <v>16.329999999999998</v>
      </c>
      <c r="D29" s="2">
        <v>14.5</v>
      </c>
      <c r="E29" s="2">
        <v>50.26548245743669</v>
      </c>
      <c r="F29" s="11">
        <f t="shared" si="0"/>
        <v>2.8846833435406034</v>
      </c>
      <c r="G29" s="2">
        <f t="shared" si="1"/>
        <v>47.106879000018047</v>
      </c>
      <c r="H29" s="2">
        <f t="shared" si="2"/>
        <v>2.5626288987746686</v>
      </c>
      <c r="I29" s="2">
        <f t="shared" si="3"/>
        <v>41.847729916990332</v>
      </c>
      <c r="J29" s="2">
        <f t="shared" si="4"/>
        <v>5.2591490830277152</v>
      </c>
      <c r="K29" s="15">
        <f t="shared" si="13"/>
        <v>0.36085526315789473</v>
      </c>
      <c r="L29" s="2">
        <f t="shared" si="14"/>
        <v>24</v>
      </c>
      <c r="M29" s="2">
        <f t="shared" si="15"/>
        <v>16.079999999999998</v>
      </c>
      <c r="N29" s="2">
        <v>15</v>
      </c>
      <c r="O29" s="2">
        <v>50.26548245743669</v>
      </c>
      <c r="P29" s="11">
        <f t="shared" si="5"/>
        <v>2.9841551829730379</v>
      </c>
      <c r="Q29" s="2">
        <f t="shared" si="6"/>
        <v>47.985215342206445</v>
      </c>
      <c r="R29" s="2">
        <f t="shared" si="7"/>
        <v>2.6419412748657432</v>
      </c>
      <c r="S29" s="2">
        <f t="shared" si="8"/>
        <v>42.482415699841148</v>
      </c>
      <c r="T29" s="2">
        <f t="shared" si="9"/>
        <v>5.5027996423652965</v>
      </c>
      <c r="V29" s="24">
        <f>MAX(D4:D160)</f>
        <v>24.5</v>
      </c>
      <c r="W29" s="24">
        <f>MAX(N4:N160)</f>
        <v>24.5</v>
      </c>
      <c r="X29" s="29"/>
    </row>
    <row r="30" spans="1:24" x14ac:dyDescent="0.25">
      <c r="A30" s="30">
        <f t="shared" si="10"/>
        <v>0.38457602339181285</v>
      </c>
      <c r="B30" s="2">
        <f t="shared" si="11"/>
        <v>25</v>
      </c>
      <c r="C30" s="4">
        <f t="shared" si="12"/>
        <v>16.829999999999998</v>
      </c>
      <c r="D30" s="2">
        <v>13.5</v>
      </c>
      <c r="E30" s="2">
        <v>50.26548245743669</v>
      </c>
      <c r="F30" s="11">
        <f t="shared" si="0"/>
        <v>2.6857396646757339</v>
      </c>
      <c r="G30" s="2">
        <f t="shared" si="1"/>
        <v>45.2009985564926</v>
      </c>
      <c r="H30" s="2">
        <f t="shared" si="2"/>
        <v>2.5626288987746686</v>
      </c>
      <c r="I30" s="2">
        <f t="shared" si="3"/>
        <v>43.12904436637767</v>
      </c>
      <c r="J30" s="2">
        <f t="shared" si="4"/>
        <v>2.0719541901149299</v>
      </c>
      <c r="K30" s="15">
        <f t="shared" si="13"/>
        <v>0.36096491228070177</v>
      </c>
      <c r="L30" s="2">
        <f t="shared" si="14"/>
        <v>25</v>
      </c>
      <c r="M30" s="2">
        <f t="shared" si="15"/>
        <v>16.579999999999998</v>
      </c>
      <c r="N30" s="2">
        <v>14.5</v>
      </c>
      <c r="O30" s="2">
        <v>50.26548245743669</v>
      </c>
      <c r="P30" s="11">
        <f t="shared" si="5"/>
        <v>2.8846833435406034</v>
      </c>
      <c r="Q30" s="2">
        <f t="shared" si="6"/>
        <v>47.828049835903201</v>
      </c>
      <c r="R30" s="2">
        <f t="shared" si="7"/>
        <v>2.6419412748657432</v>
      </c>
      <c r="S30" s="2">
        <f t="shared" si="8"/>
        <v>43.80338633727402</v>
      </c>
      <c r="T30" s="2">
        <f t="shared" si="9"/>
        <v>4.0246634986291809</v>
      </c>
      <c r="V30" s="24" t="s">
        <v>14</v>
      </c>
      <c r="W30" s="24" t="s">
        <v>14</v>
      </c>
      <c r="X30" s="29"/>
    </row>
    <row r="31" spans="1:24" x14ac:dyDescent="0.25">
      <c r="A31" s="30">
        <f t="shared" si="10"/>
        <v>0.38468567251461988</v>
      </c>
      <c r="B31" s="2">
        <f t="shared" si="11"/>
        <v>26</v>
      </c>
      <c r="C31" s="4">
        <f t="shared" si="12"/>
        <v>17.329999999999998</v>
      </c>
      <c r="D31" s="2">
        <v>14.5</v>
      </c>
      <c r="E31" s="2">
        <v>50.26548245743669</v>
      </c>
      <c r="F31" s="11">
        <f t="shared" si="0"/>
        <v>2.8846833435406034</v>
      </c>
      <c r="G31" s="2">
        <f t="shared" si="1"/>
        <v>49.991562343558655</v>
      </c>
      <c r="H31" s="2">
        <f t="shared" si="2"/>
        <v>2.5626288987746686</v>
      </c>
      <c r="I31" s="2">
        <f t="shared" si="3"/>
        <v>44.410358815765001</v>
      </c>
      <c r="J31" s="2">
        <f t="shared" si="4"/>
        <v>5.5812035277936545</v>
      </c>
      <c r="K31" s="15">
        <f t="shared" si="13"/>
        <v>0.36107456140350874</v>
      </c>
      <c r="L31" s="2">
        <f t="shared" si="14"/>
        <v>26</v>
      </c>
      <c r="M31" s="2">
        <f t="shared" si="15"/>
        <v>17.079999999999998</v>
      </c>
      <c r="N31" s="2">
        <v>14</v>
      </c>
      <c r="O31" s="2">
        <v>50.26548245743669</v>
      </c>
      <c r="P31" s="11">
        <f t="shared" si="5"/>
        <v>2.7852115041081689</v>
      </c>
      <c r="Q31" s="2">
        <f t="shared" si="6"/>
        <v>47.571412490167518</v>
      </c>
      <c r="R31" s="2">
        <f t="shared" si="7"/>
        <v>2.6419412748657432</v>
      </c>
      <c r="S31" s="2">
        <f t="shared" si="8"/>
        <v>45.124356974706892</v>
      </c>
      <c r="T31" s="2">
        <f t="shared" si="9"/>
        <v>2.4470555154606259</v>
      </c>
      <c r="V31" s="24">
        <f t="array" ref="V31">INDEX(B4:B160, MATCH(MAX(D4:D160), D4:D160, 0))</f>
        <v>28</v>
      </c>
      <c r="W31" s="24">
        <f t="array" ref="W31">INDEX(L4:L160, MATCH(MAX(N4:N160), N4:N160, 0))</f>
        <v>20</v>
      </c>
      <c r="X31" s="29"/>
    </row>
    <row r="32" spans="1:24" x14ac:dyDescent="0.25">
      <c r="A32" s="30">
        <f t="shared" si="10"/>
        <v>0.38479532163742691</v>
      </c>
      <c r="B32" s="2">
        <f t="shared" si="11"/>
        <v>27</v>
      </c>
      <c r="C32" s="4">
        <f t="shared" si="12"/>
        <v>17.829999999999998</v>
      </c>
      <c r="D32" s="2">
        <v>14</v>
      </c>
      <c r="E32" s="2">
        <v>50.26548245743669</v>
      </c>
      <c r="F32" s="11">
        <f t="shared" si="0"/>
        <v>2.7852115041081689</v>
      </c>
      <c r="G32" s="2">
        <f t="shared" si="1"/>
        <v>49.660321118248646</v>
      </c>
      <c r="H32" s="2">
        <f t="shared" si="2"/>
        <v>2.5626288987746686</v>
      </c>
      <c r="I32" s="2">
        <f t="shared" si="3"/>
        <v>45.691673265152339</v>
      </c>
      <c r="J32" s="2">
        <f t="shared" si="4"/>
        <v>3.9686478530963072</v>
      </c>
      <c r="K32" s="15">
        <f t="shared" si="13"/>
        <v>0.36118421052631577</v>
      </c>
      <c r="L32" s="2">
        <f t="shared" si="14"/>
        <v>27</v>
      </c>
      <c r="M32" s="2">
        <f t="shared" si="15"/>
        <v>17.579999999999998</v>
      </c>
      <c r="N32" s="2">
        <v>14</v>
      </c>
      <c r="O32" s="2">
        <v>50.26548245743669</v>
      </c>
      <c r="P32" s="11">
        <f t="shared" si="5"/>
        <v>2.7852115041081689</v>
      </c>
      <c r="Q32" s="2">
        <f t="shared" si="6"/>
        <v>48.964018242221606</v>
      </c>
      <c r="R32" s="2">
        <f t="shared" si="7"/>
        <v>2.6419412748657432</v>
      </c>
      <c r="S32" s="2">
        <f t="shared" si="8"/>
        <v>46.445327612139764</v>
      </c>
      <c r="T32" s="2">
        <f t="shared" si="9"/>
        <v>2.5186906300818421</v>
      </c>
    </row>
    <row r="33" spans="1:20" x14ac:dyDescent="0.25">
      <c r="A33" s="30">
        <f t="shared" si="10"/>
        <v>0.38490497076023394</v>
      </c>
      <c r="B33" s="2">
        <f t="shared" si="11"/>
        <v>28</v>
      </c>
      <c r="C33" s="4">
        <f t="shared" si="12"/>
        <v>18.329999999999998</v>
      </c>
      <c r="D33" s="2">
        <v>24.5</v>
      </c>
      <c r="E33" s="2">
        <v>50.26548245743669</v>
      </c>
      <c r="F33" s="11">
        <f t="shared" si="0"/>
        <v>4.8741201321892946</v>
      </c>
      <c r="G33" s="2">
        <f t="shared" si="1"/>
        <v>89.342622023029762</v>
      </c>
      <c r="H33" s="2">
        <f t="shared" si="2"/>
        <v>2.5626288987746686</v>
      </c>
      <c r="I33" s="2">
        <f t="shared" si="3"/>
        <v>46.97298771453967</v>
      </c>
      <c r="J33" s="2">
        <f t="shared" si="4"/>
        <v>42.369634308490092</v>
      </c>
      <c r="K33" s="15">
        <f t="shared" si="13"/>
        <v>0.36129385964912281</v>
      </c>
      <c r="L33" s="2">
        <f t="shared" si="14"/>
        <v>28</v>
      </c>
      <c r="M33" s="2">
        <f t="shared" si="15"/>
        <v>18.079999999999998</v>
      </c>
      <c r="N33" s="2">
        <v>15</v>
      </c>
      <c r="O33" s="2">
        <v>50.26548245743669</v>
      </c>
      <c r="P33" s="11">
        <f t="shared" si="5"/>
        <v>2.9841551829730379</v>
      </c>
      <c r="Q33" s="2">
        <f t="shared" si="6"/>
        <v>53.953525708152519</v>
      </c>
      <c r="R33" s="2">
        <f t="shared" si="7"/>
        <v>2.6419412748657432</v>
      </c>
      <c r="S33" s="2">
        <f t="shared" si="8"/>
        <v>47.766298249572628</v>
      </c>
      <c r="T33" s="2">
        <f t="shared" si="9"/>
        <v>6.1872274585798905</v>
      </c>
    </row>
    <row r="34" spans="1:20" x14ac:dyDescent="0.25">
      <c r="A34" s="30">
        <f t="shared" si="10"/>
        <v>0.38501461988304092</v>
      </c>
      <c r="B34" s="2">
        <f t="shared" si="11"/>
        <v>29</v>
      </c>
      <c r="C34" s="4">
        <f t="shared" si="12"/>
        <v>18.829999999999998</v>
      </c>
      <c r="D34" s="2">
        <v>15</v>
      </c>
      <c r="E34" s="2">
        <v>50.26548245743669</v>
      </c>
      <c r="F34" s="11">
        <f t="shared" si="0"/>
        <v>2.9841551829730379</v>
      </c>
      <c r="G34" s="2">
        <f t="shared" si="1"/>
        <v>56.191642095382299</v>
      </c>
      <c r="H34" s="2">
        <f t="shared" si="2"/>
        <v>2.5626288987746686</v>
      </c>
      <c r="I34" s="2">
        <f t="shared" si="3"/>
        <v>48.254302163927008</v>
      </c>
      <c r="J34" s="2">
        <f t="shared" si="4"/>
        <v>7.9373399314552913</v>
      </c>
      <c r="K34" s="15">
        <f t="shared" si="13"/>
        <v>0.36140350877192984</v>
      </c>
      <c r="L34" s="2">
        <f t="shared" si="14"/>
        <v>29</v>
      </c>
      <c r="M34" s="2">
        <f t="shared" si="15"/>
        <v>18.579999999999998</v>
      </c>
      <c r="N34" s="2">
        <v>15</v>
      </c>
      <c r="O34" s="2">
        <v>50.26548245743669</v>
      </c>
      <c r="P34" s="11">
        <f t="shared" si="5"/>
        <v>2.9841551829730379</v>
      </c>
      <c r="Q34" s="2">
        <f t="shared" si="6"/>
        <v>55.445603299639039</v>
      </c>
      <c r="R34" s="2">
        <f t="shared" si="7"/>
        <v>2.6419412748657432</v>
      </c>
      <c r="S34" s="2">
        <f t="shared" si="8"/>
        <v>49.0872688870055</v>
      </c>
      <c r="T34" s="2">
        <f t="shared" si="9"/>
        <v>6.358334412633539</v>
      </c>
    </row>
    <row r="35" spans="1:20" x14ac:dyDescent="0.25">
      <c r="A35" s="30">
        <f t="shared" si="10"/>
        <v>0.38512426900584795</v>
      </c>
      <c r="B35" s="2">
        <f t="shared" si="11"/>
        <v>30</v>
      </c>
      <c r="C35" s="4">
        <f t="shared" si="12"/>
        <v>19.329999999999998</v>
      </c>
      <c r="D35" s="2">
        <v>13.5</v>
      </c>
      <c r="E35" s="2">
        <v>50.26548245743669</v>
      </c>
      <c r="F35" s="11">
        <f t="shared" si="0"/>
        <v>2.6857396646757339</v>
      </c>
      <c r="G35" s="2">
        <f t="shared" si="1"/>
        <v>51.915347718181934</v>
      </c>
      <c r="H35" s="2">
        <f t="shared" si="2"/>
        <v>2.5626288987746686</v>
      </c>
      <c r="I35" s="2">
        <f t="shared" si="3"/>
        <v>49.535616613314339</v>
      </c>
      <c r="J35" s="2">
        <f t="shared" si="4"/>
        <v>2.3797311048675951</v>
      </c>
      <c r="K35" s="15">
        <f t="shared" si="13"/>
        <v>0.36151315789473681</v>
      </c>
      <c r="L35" s="2">
        <f t="shared" si="14"/>
        <v>30</v>
      </c>
      <c r="M35" s="2">
        <f t="shared" si="15"/>
        <v>19.079999999999998</v>
      </c>
      <c r="N35" s="2">
        <v>14</v>
      </c>
      <c r="O35" s="2">
        <v>50.26548245743669</v>
      </c>
      <c r="P35" s="11">
        <f t="shared" si="5"/>
        <v>2.7852115041081689</v>
      </c>
      <c r="Q35" s="2">
        <f t="shared" si="6"/>
        <v>53.141835498383855</v>
      </c>
      <c r="R35" s="2">
        <f t="shared" si="7"/>
        <v>2.6419412748657432</v>
      </c>
      <c r="S35" s="2">
        <f t="shared" si="8"/>
        <v>50.408239524438372</v>
      </c>
      <c r="T35" s="2">
        <f t="shared" si="9"/>
        <v>2.7335959739454836</v>
      </c>
    </row>
    <row r="36" spans="1:20" x14ac:dyDescent="0.25">
      <c r="A36" s="30">
        <f t="shared" si="10"/>
        <v>0.38523391812865498</v>
      </c>
      <c r="B36" s="2">
        <f t="shared" si="11"/>
        <v>31</v>
      </c>
      <c r="C36" s="4">
        <f t="shared" si="12"/>
        <v>19.829999999999998</v>
      </c>
      <c r="D36" s="2">
        <v>13.5</v>
      </c>
      <c r="E36" s="2">
        <v>50.26548245743669</v>
      </c>
      <c r="F36" s="11">
        <f t="shared" si="0"/>
        <v>2.6857396646757339</v>
      </c>
      <c r="G36" s="2">
        <f t="shared" si="1"/>
        <v>53.258217550519795</v>
      </c>
      <c r="H36" s="2">
        <f t="shared" si="2"/>
        <v>2.5626288987746686</v>
      </c>
      <c r="I36" s="2">
        <f t="shared" si="3"/>
        <v>50.816931062701677</v>
      </c>
      <c r="J36" s="2">
        <f t="shared" si="4"/>
        <v>2.4412864878181182</v>
      </c>
      <c r="K36" s="15">
        <f t="shared" si="13"/>
        <v>0.36162280701754385</v>
      </c>
      <c r="L36" s="2">
        <f t="shared" si="14"/>
        <v>31</v>
      </c>
      <c r="M36" s="2">
        <f t="shared" si="15"/>
        <v>19.579999999999998</v>
      </c>
      <c r="N36" s="2">
        <v>13</v>
      </c>
      <c r="O36" s="2">
        <v>50.26548245743669</v>
      </c>
      <c r="P36" s="11">
        <f t="shared" si="5"/>
        <v>2.5862678252432989</v>
      </c>
      <c r="Q36" s="2">
        <f t="shared" si="6"/>
        <v>50.639124018263786</v>
      </c>
      <c r="R36" s="2">
        <f t="shared" si="7"/>
        <v>2.6419412748657432</v>
      </c>
      <c r="S36" s="2">
        <f t="shared" si="8"/>
        <v>51.729210161871244</v>
      </c>
      <c r="T36" s="2">
        <f t="shared" si="9"/>
        <v>1.0900861436074578</v>
      </c>
    </row>
    <row r="37" spans="1:20" x14ac:dyDescent="0.25">
      <c r="A37" s="30">
        <f t="shared" si="10"/>
        <v>0.38534356725146202</v>
      </c>
      <c r="B37" s="2">
        <f t="shared" si="11"/>
        <v>32</v>
      </c>
      <c r="C37" s="4">
        <f t="shared" si="12"/>
        <v>20.329999999999998</v>
      </c>
      <c r="D37" s="23">
        <v>14</v>
      </c>
      <c r="E37" s="2">
        <v>50.26548245743669</v>
      </c>
      <c r="F37" s="11">
        <f t="shared" si="0"/>
        <v>2.7852115041081689</v>
      </c>
      <c r="G37" s="2">
        <f t="shared" si="1"/>
        <v>56.623349878519072</v>
      </c>
      <c r="H37" s="2">
        <f t="shared" si="2"/>
        <v>2.5626288987746686</v>
      </c>
      <c r="I37" s="2">
        <f t="shared" si="3"/>
        <v>52.098245512089008</v>
      </c>
      <c r="J37" s="2">
        <f t="shared" si="4"/>
        <v>4.5251043664300639</v>
      </c>
      <c r="K37" s="15">
        <f t="shared" si="13"/>
        <v>0.36173245614035088</v>
      </c>
      <c r="L37" s="23">
        <f t="shared" si="14"/>
        <v>32</v>
      </c>
      <c r="M37" s="23">
        <f t="shared" si="15"/>
        <v>20.079999999999998</v>
      </c>
      <c r="N37" s="23">
        <v>13.5</v>
      </c>
      <c r="O37" s="2">
        <v>50.26548245743669</v>
      </c>
      <c r="P37" s="11">
        <f t="shared" si="5"/>
        <v>2.6857396646757339</v>
      </c>
      <c r="Q37" s="2">
        <f t="shared" si="6"/>
        <v>53.929652466688729</v>
      </c>
      <c r="R37" s="2">
        <f t="shared" si="7"/>
        <v>2.6419412748657432</v>
      </c>
      <c r="S37" s="2">
        <f t="shared" si="8"/>
        <v>53.050180799304115</v>
      </c>
      <c r="T37" s="2">
        <f t="shared" si="9"/>
        <v>0.87947166738461391</v>
      </c>
    </row>
    <row r="38" spans="1:20" x14ac:dyDescent="0.25">
      <c r="A38" s="30">
        <f t="shared" si="10"/>
        <v>0.38545321637426899</v>
      </c>
      <c r="B38" s="2">
        <f t="shared" si="11"/>
        <v>33</v>
      </c>
      <c r="C38" s="4">
        <f t="shared" si="12"/>
        <v>20.83</v>
      </c>
      <c r="D38" s="2">
        <v>14</v>
      </c>
      <c r="E38" s="2">
        <v>50.26548245743669</v>
      </c>
      <c r="F38" s="11">
        <f t="shared" si="0"/>
        <v>2.7852115041081689</v>
      </c>
      <c r="G38" s="2">
        <f t="shared" si="1"/>
        <v>58.015955630573153</v>
      </c>
      <c r="H38" s="2">
        <f t="shared" si="2"/>
        <v>2.5626288987746686</v>
      </c>
      <c r="I38" s="2">
        <f t="shared" si="3"/>
        <v>53.379559961476339</v>
      </c>
      <c r="J38" s="2">
        <f t="shared" si="4"/>
        <v>4.6363956690968138</v>
      </c>
      <c r="K38" s="15">
        <f t="shared" si="13"/>
        <v>0.36184210526315791</v>
      </c>
      <c r="L38" s="2">
        <f t="shared" si="14"/>
        <v>33</v>
      </c>
      <c r="M38" s="2">
        <f t="shared" si="15"/>
        <v>20.58</v>
      </c>
      <c r="N38" s="2">
        <v>13.5</v>
      </c>
      <c r="O38" s="2">
        <v>50.26548245743669</v>
      </c>
      <c r="P38" s="11">
        <f t="shared" si="5"/>
        <v>2.6857396646757339</v>
      </c>
      <c r="Q38" s="2">
        <f t="shared" si="6"/>
        <v>55.272522299026598</v>
      </c>
      <c r="R38" s="2">
        <f t="shared" si="7"/>
        <v>2.6419412748657432</v>
      </c>
      <c r="S38" s="2">
        <f t="shared" si="8"/>
        <v>54.371151436736987</v>
      </c>
      <c r="T38" s="2">
        <f t="shared" si="9"/>
        <v>0.90137086228961039</v>
      </c>
    </row>
    <row r="39" spans="1:20" x14ac:dyDescent="0.25">
      <c r="A39" s="30">
        <f t="shared" si="10"/>
        <v>0.38556286549707602</v>
      </c>
      <c r="B39" s="2">
        <f t="shared" si="11"/>
        <v>34</v>
      </c>
      <c r="C39" s="4">
        <f t="shared" si="12"/>
        <v>21.33</v>
      </c>
      <c r="D39" s="2">
        <v>14</v>
      </c>
      <c r="E39" s="2">
        <v>50.26548245743669</v>
      </c>
      <c r="F39" s="11">
        <f t="shared" si="0"/>
        <v>2.7852115041081689</v>
      </c>
      <c r="G39" s="2">
        <f t="shared" si="1"/>
        <v>59.408561382627241</v>
      </c>
      <c r="H39" s="2">
        <f t="shared" si="2"/>
        <v>2.5626288987746686</v>
      </c>
      <c r="I39" s="2">
        <f t="shared" si="3"/>
        <v>54.660874410863677</v>
      </c>
      <c r="J39" s="2">
        <f t="shared" si="4"/>
        <v>4.7476869717635637</v>
      </c>
      <c r="K39" s="15">
        <f t="shared" si="13"/>
        <v>0.36195175438596489</v>
      </c>
      <c r="L39" s="2">
        <f t="shared" si="14"/>
        <v>34</v>
      </c>
      <c r="M39" s="2">
        <f t="shared" si="15"/>
        <v>21.08</v>
      </c>
      <c r="N39" s="2">
        <v>13.5</v>
      </c>
      <c r="O39" s="2">
        <v>50.26548245743669</v>
      </c>
      <c r="P39" s="11">
        <f t="shared" si="5"/>
        <v>2.6857396646757339</v>
      </c>
      <c r="Q39" s="2">
        <f t="shared" si="6"/>
        <v>56.615392131364466</v>
      </c>
      <c r="R39" s="2">
        <f t="shared" si="7"/>
        <v>2.6419412748657432</v>
      </c>
      <c r="S39" s="2">
        <f t="shared" si="8"/>
        <v>55.692122074169859</v>
      </c>
      <c r="T39" s="2">
        <f t="shared" si="9"/>
        <v>0.92327005719460686</v>
      </c>
    </row>
    <row r="40" spans="1:20" x14ac:dyDescent="0.25">
      <c r="A40" s="30">
        <f t="shared" si="10"/>
        <v>0.38567251461988306</v>
      </c>
      <c r="B40" s="2">
        <f t="shared" si="11"/>
        <v>35</v>
      </c>
      <c r="C40" s="4">
        <f t="shared" si="12"/>
        <v>21.83</v>
      </c>
      <c r="D40" s="2">
        <v>13</v>
      </c>
      <c r="E40" s="2">
        <v>50.26548245743669</v>
      </c>
      <c r="F40" s="11">
        <f t="shared" si="0"/>
        <v>2.5862678252432989</v>
      </c>
      <c r="G40" s="2">
        <f t="shared" si="1"/>
        <v>56.458226625061208</v>
      </c>
      <c r="H40" s="2">
        <f t="shared" si="2"/>
        <v>2.5626288987746686</v>
      </c>
      <c r="I40" s="2">
        <f t="shared" si="3"/>
        <v>55.942188860251008</v>
      </c>
      <c r="J40" s="2">
        <f t="shared" si="4"/>
        <v>0.51603776481019992</v>
      </c>
      <c r="K40" s="15">
        <f t="shared" si="13"/>
        <v>0.36206140350877192</v>
      </c>
      <c r="L40" s="2">
        <f t="shared" si="14"/>
        <v>35</v>
      </c>
      <c r="M40" s="2">
        <f t="shared" si="15"/>
        <v>21.58</v>
      </c>
      <c r="N40" s="2">
        <v>13.5</v>
      </c>
      <c r="O40" s="2">
        <v>50.26548245743669</v>
      </c>
      <c r="P40" s="11">
        <f t="shared" si="5"/>
        <v>2.6857396646757339</v>
      </c>
      <c r="Q40" s="2">
        <f t="shared" si="6"/>
        <v>57.958261963702334</v>
      </c>
      <c r="R40" s="2">
        <f t="shared" si="7"/>
        <v>2.6419412748657432</v>
      </c>
      <c r="S40" s="2">
        <f t="shared" si="8"/>
        <v>57.013092711602731</v>
      </c>
      <c r="T40" s="2">
        <f t="shared" si="9"/>
        <v>0.94516925209960334</v>
      </c>
    </row>
    <row r="41" spans="1:20" x14ac:dyDescent="0.25">
      <c r="A41" s="30">
        <f t="shared" si="10"/>
        <v>0.38578216374269009</v>
      </c>
      <c r="B41" s="2">
        <f t="shared" si="11"/>
        <v>36</v>
      </c>
      <c r="C41" s="4">
        <f t="shared" si="12"/>
        <v>22.33</v>
      </c>
      <c r="D41" s="2">
        <v>13.5</v>
      </c>
      <c r="E41" s="2">
        <v>50.26548245743669</v>
      </c>
      <c r="F41" s="11">
        <f t="shared" si="0"/>
        <v>2.6857396646757339</v>
      </c>
      <c r="G41" s="2">
        <f t="shared" si="1"/>
        <v>59.972566712209137</v>
      </c>
      <c r="H41" s="2">
        <f t="shared" si="2"/>
        <v>2.5626288987746686</v>
      </c>
      <c r="I41" s="2">
        <f t="shared" si="3"/>
        <v>57.223503309638346</v>
      </c>
      <c r="J41" s="2">
        <f t="shared" si="4"/>
        <v>2.7490634025707905</v>
      </c>
      <c r="K41" s="15">
        <f t="shared" si="13"/>
        <v>0.36217105263157895</v>
      </c>
      <c r="L41" s="2">
        <f t="shared" si="14"/>
        <v>36</v>
      </c>
      <c r="M41" s="2">
        <f t="shared" si="15"/>
        <v>22.08</v>
      </c>
      <c r="N41" s="2">
        <v>12.5</v>
      </c>
      <c r="O41" s="2">
        <v>50.26548245743669</v>
      </c>
      <c r="P41" s="11">
        <f t="shared" si="5"/>
        <v>2.4867959858108648</v>
      </c>
      <c r="Q41" s="2">
        <f t="shared" si="6"/>
        <v>54.90845536670389</v>
      </c>
      <c r="R41" s="2">
        <f t="shared" si="7"/>
        <v>2.6419412748657432</v>
      </c>
      <c r="S41" s="2">
        <f t="shared" si="8"/>
        <v>58.334063349035603</v>
      </c>
      <c r="T41" s="2">
        <f t="shared" si="9"/>
        <v>3.4256079823317123</v>
      </c>
    </row>
    <row r="42" spans="1:20" x14ac:dyDescent="0.25">
      <c r="A42" s="30">
        <f t="shared" si="10"/>
        <v>0.38589181286549706</v>
      </c>
      <c r="B42" s="2">
        <f t="shared" si="11"/>
        <v>37</v>
      </c>
      <c r="C42" s="4">
        <f t="shared" si="12"/>
        <v>22.83</v>
      </c>
      <c r="D42" s="2">
        <v>14</v>
      </c>
      <c r="E42" s="2">
        <v>50.26548245743669</v>
      </c>
      <c r="F42" s="11">
        <f t="shared" si="0"/>
        <v>2.7852115041081689</v>
      </c>
      <c r="G42" s="2">
        <f t="shared" si="1"/>
        <v>63.58637863878949</v>
      </c>
      <c r="H42" s="2">
        <f t="shared" si="2"/>
        <v>2.5626288987746686</v>
      </c>
      <c r="I42" s="2">
        <f t="shared" si="3"/>
        <v>58.504817759025677</v>
      </c>
      <c r="J42" s="2">
        <f t="shared" si="4"/>
        <v>5.0815608797638134</v>
      </c>
      <c r="K42" s="15">
        <f t="shared" si="13"/>
        <v>0.36228070175438598</v>
      </c>
      <c r="L42" s="2">
        <f t="shared" si="14"/>
        <v>37</v>
      </c>
      <c r="M42" s="2">
        <f t="shared" si="15"/>
        <v>22.58</v>
      </c>
      <c r="N42" s="2">
        <v>21.5</v>
      </c>
      <c r="O42" s="2">
        <v>50.26548245743669</v>
      </c>
      <c r="P42" s="11">
        <f t="shared" si="5"/>
        <v>4.2772890955946874</v>
      </c>
      <c r="Q42" s="2">
        <f t="shared" si="6"/>
        <v>96.581187778528033</v>
      </c>
      <c r="R42" s="2">
        <f t="shared" si="7"/>
        <v>2.6419412748657432</v>
      </c>
      <c r="S42" s="2">
        <f t="shared" si="8"/>
        <v>59.655033986468474</v>
      </c>
      <c r="T42" s="2">
        <f t="shared" si="9"/>
        <v>36.926153792059559</v>
      </c>
    </row>
    <row r="43" spans="1:20" x14ac:dyDescent="0.25">
      <c r="A43" s="30">
        <f t="shared" si="10"/>
        <v>0.3860014619883041</v>
      </c>
      <c r="B43" s="2">
        <f t="shared" si="11"/>
        <v>38</v>
      </c>
      <c r="C43" s="4">
        <f t="shared" si="12"/>
        <v>23.33</v>
      </c>
      <c r="D43" s="2">
        <v>14</v>
      </c>
      <c r="E43" s="2">
        <v>50.26548245743669</v>
      </c>
      <c r="F43" s="11">
        <f t="shared" si="0"/>
        <v>2.7852115041081689</v>
      </c>
      <c r="G43" s="2">
        <f t="shared" si="1"/>
        <v>64.978984390843578</v>
      </c>
      <c r="H43" s="2">
        <f t="shared" si="2"/>
        <v>2.5626288987746686</v>
      </c>
      <c r="I43" s="2">
        <f t="shared" si="3"/>
        <v>59.786132208413015</v>
      </c>
      <c r="J43" s="2">
        <f t="shared" si="4"/>
        <v>5.1928521824305633</v>
      </c>
      <c r="K43" s="15">
        <f t="shared" si="13"/>
        <v>0.36239035087719296</v>
      </c>
      <c r="L43" s="2">
        <f t="shared" si="14"/>
        <v>38</v>
      </c>
      <c r="M43" s="2">
        <f t="shared" si="15"/>
        <v>23.08</v>
      </c>
      <c r="N43" s="2">
        <v>14</v>
      </c>
      <c r="O43" s="2">
        <v>50.26548245743669</v>
      </c>
      <c r="P43" s="11">
        <f t="shared" si="5"/>
        <v>2.7852115041081689</v>
      </c>
      <c r="Q43" s="2">
        <f t="shared" si="6"/>
        <v>64.282681514816531</v>
      </c>
      <c r="R43" s="2">
        <f t="shared" si="7"/>
        <v>2.6419412748657432</v>
      </c>
      <c r="S43" s="2">
        <f t="shared" si="8"/>
        <v>60.976004623901346</v>
      </c>
      <c r="T43" s="2">
        <f t="shared" si="9"/>
        <v>3.3066768909151847</v>
      </c>
    </row>
    <row r="44" spans="1:20" x14ac:dyDescent="0.25">
      <c r="A44" s="10">
        <v>0.38611111111111113</v>
      </c>
      <c r="B44" s="2">
        <f t="shared" si="11"/>
        <v>39</v>
      </c>
      <c r="C44" s="4">
        <f t="shared" si="12"/>
        <v>23.83</v>
      </c>
      <c r="D44" s="2">
        <v>14</v>
      </c>
      <c r="E44" s="2">
        <v>50.26548245743669</v>
      </c>
      <c r="F44" s="11">
        <f t="shared" si="0"/>
        <v>2.7852115041081689</v>
      </c>
      <c r="G44" s="2">
        <f t="shared" si="1"/>
        <v>66.371590142897659</v>
      </c>
      <c r="H44" s="2">
        <f t="shared" si="2"/>
        <v>2.5626288987746686</v>
      </c>
      <c r="I44" s="2">
        <f t="shared" si="3"/>
        <v>61.067446657800346</v>
      </c>
      <c r="J44" s="2">
        <f t="shared" si="4"/>
        <v>5.3041434850973133</v>
      </c>
      <c r="K44" s="12">
        <v>0.36249999999999999</v>
      </c>
      <c r="L44" s="2">
        <f t="shared" si="14"/>
        <v>39</v>
      </c>
      <c r="M44" s="2">
        <f t="shared" si="15"/>
        <v>23.58</v>
      </c>
      <c r="N44" s="2">
        <v>13</v>
      </c>
      <c r="O44" s="2">
        <v>50.26548245743669</v>
      </c>
      <c r="P44" s="11">
        <f t="shared" si="5"/>
        <v>2.5862678252432989</v>
      </c>
      <c r="Q44" s="2">
        <f t="shared" si="6"/>
        <v>60.984195319236981</v>
      </c>
      <c r="R44" s="2">
        <f t="shared" si="7"/>
        <v>2.6419412748657432</v>
      </c>
      <c r="S44" s="2">
        <f t="shared" si="8"/>
        <v>62.296975261334218</v>
      </c>
      <c r="T44" s="2">
        <f t="shared" si="9"/>
        <v>1.3127799420972366</v>
      </c>
    </row>
    <row r="45" spans="1:20" x14ac:dyDescent="0.25">
      <c r="A45" s="14">
        <f t="shared" ref="A45:A82" si="16">IF(AND($A$44&lt;&gt;"",$A$83&lt;&gt;""), $A$44 + (B45 - $B$44) * (($A$83 - $A$44) / ($B$83 - $B$44)), "")</f>
        <v>0.38621794871794873</v>
      </c>
      <c r="B45" s="2">
        <f t="shared" si="11"/>
        <v>40</v>
      </c>
      <c r="C45" s="4">
        <f t="shared" si="12"/>
        <v>24.33</v>
      </c>
      <c r="D45" s="2">
        <v>15</v>
      </c>
      <c r="E45" s="2">
        <v>50.26548245743669</v>
      </c>
      <c r="F45" s="11">
        <f t="shared" si="0"/>
        <v>2.9841551829730379</v>
      </c>
      <c r="G45" s="2">
        <f t="shared" si="1"/>
        <v>72.604495601734001</v>
      </c>
      <c r="H45" s="2">
        <f t="shared" si="2"/>
        <v>2.5626288987746686</v>
      </c>
      <c r="I45" s="2">
        <f t="shared" si="3"/>
        <v>62.348761107187684</v>
      </c>
      <c r="J45" s="2">
        <f t="shared" si="4"/>
        <v>10.255734494546317</v>
      </c>
      <c r="K45" s="15">
        <f t="shared" ref="K45:K82" si="17">IF(AND($K$44&lt;&gt;"",$K$83&lt;&gt;""), $K$44 + (L45 - $L$44) * (($K$83 - $K$44) / ($L$83 - $L$44)), "")</f>
        <v>0.3626068376068376</v>
      </c>
      <c r="L45" s="2">
        <f t="shared" si="14"/>
        <v>40</v>
      </c>
      <c r="M45" s="2">
        <f t="shared" si="15"/>
        <v>24.08</v>
      </c>
      <c r="N45" s="2">
        <v>14</v>
      </c>
      <c r="O45" s="2">
        <v>50.26548245743669</v>
      </c>
      <c r="P45" s="11">
        <f t="shared" si="5"/>
        <v>2.7852115041081689</v>
      </c>
      <c r="Q45" s="2">
        <f t="shared" si="6"/>
        <v>67.067893018924707</v>
      </c>
      <c r="R45" s="2">
        <f t="shared" si="7"/>
        <v>2.6419412748657432</v>
      </c>
      <c r="S45" s="2">
        <f t="shared" si="8"/>
        <v>63.61794589876709</v>
      </c>
      <c r="T45" s="2">
        <f t="shared" si="9"/>
        <v>3.4499471201576171</v>
      </c>
    </row>
    <row r="46" spans="1:20" x14ac:dyDescent="0.25">
      <c r="A46" s="14">
        <f t="shared" si="16"/>
        <v>0.38632478632478634</v>
      </c>
      <c r="B46" s="2">
        <f t="shared" si="11"/>
        <v>41</v>
      </c>
      <c r="C46" s="4">
        <f t="shared" si="12"/>
        <v>24.83</v>
      </c>
      <c r="D46" s="2">
        <v>23</v>
      </c>
      <c r="E46" s="2">
        <v>50.26548245743669</v>
      </c>
      <c r="F46" s="11">
        <f t="shared" si="0"/>
        <v>4.5757046138919915</v>
      </c>
      <c r="G46" s="2">
        <f t="shared" si="1"/>
        <v>113.61474556293814</v>
      </c>
      <c r="H46" s="2">
        <f t="shared" si="2"/>
        <v>2.5626288987746686</v>
      </c>
      <c r="I46" s="2">
        <f t="shared" si="3"/>
        <v>63.630075556575015</v>
      </c>
      <c r="J46" s="2">
        <f t="shared" si="4"/>
        <v>49.984670006363125</v>
      </c>
      <c r="K46" s="15">
        <f t="shared" si="17"/>
        <v>0.3627136752136752</v>
      </c>
      <c r="L46" s="2">
        <f t="shared" si="14"/>
        <v>41</v>
      </c>
      <c r="M46" s="2">
        <f t="shared" si="15"/>
        <v>24.58</v>
      </c>
      <c r="N46" s="2">
        <v>16</v>
      </c>
      <c r="O46" s="2">
        <v>50.26548245743669</v>
      </c>
      <c r="P46" s="11">
        <f t="shared" si="5"/>
        <v>3.183098861837907</v>
      </c>
      <c r="Q46" s="2">
        <f t="shared" si="6"/>
        <v>78.240570023975749</v>
      </c>
      <c r="R46" s="2">
        <f t="shared" si="7"/>
        <v>2.6419412748657432</v>
      </c>
      <c r="S46" s="2">
        <f t="shared" si="8"/>
        <v>64.938916536199969</v>
      </c>
      <c r="T46" s="2">
        <f t="shared" si="9"/>
        <v>13.301653487775781</v>
      </c>
    </row>
    <row r="47" spans="1:20" x14ac:dyDescent="0.25">
      <c r="A47" s="14">
        <f t="shared" si="16"/>
        <v>0.38643162393162395</v>
      </c>
      <c r="B47" s="2">
        <f t="shared" si="11"/>
        <v>42</v>
      </c>
      <c r="C47" s="4">
        <f t="shared" si="12"/>
        <v>25.33</v>
      </c>
      <c r="D47" s="2">
        <v>14</v>
      </c>
      <c r="E47" s="2">
        <v>50.26548245743669</v>
      </c>
      <c r="F47" s="11">
        <f t="shared" si="0"/>
        <v>2.7852115041081689</v>
      </c>
      <c r="G47" s="2">
        <f t="shared" si="1"/>
        <v>70.549407399059916</v>
      </c>
      <c r="H47" s="2">
        <f t="shared" si="2"/>
        <v>2.5626288987746686</v>
      </c>
      <c r="I47" s="2">
        <f t="shared" si="3"/>
        <v>64.911390005962346</v>
      </c>
      <c r="J47" s="2">
        <f t="shared" si="4"/>
        <v>5.6380173930975701</v>
      </c>
      <c r="K47" s="15">
        <f t="shared" si="17"/>
        <v>0.36282051282051281</v>
      </c>
      <c r="L47" s="2">
        <f t="shared" si="14"/>
        <v>42</v>
      </c>
      <c r="M47" s="2">
        <f t="shared" si="15"/>
        <v>25.08</v>
      </c>
      <c r="N47" s="2">
        <v>15</v>
      </c>
      <c r="O47" s="2">
        <v>50.26548245743669</v>
      </c>
      <c r="P47" s="11">
        <f t="shared" si="5"/>
        <v>2.9841551829730379</v>
      </c>
      <c r="Q47" s="2">
        <f t="shared" si="6"/>
        <v>74.842611988963782</v>
      </c>
      <c r="R47" s="2">
        <f t="shared" si="7"/>
        <v>2.6419412748657432</v>
      </c>
      <c r="S47" s="2">
        <f t="shared" si="8"/>
        <v>66.259887173632833</v>
      </c>
      <c r="T47" s="2">
        <f t="shared" si="9"/>
        <v>8.5827248153309483</v>
      </c>
    </row>
    <row r="48" spans="1:20" x14ac:dyDescent="0.25">
      <c r="A48" s="14">
        <f t="shared" si="16"/>
        <v>0.38653846153846155</v>
      </c>
      <c r="B48" s="2">
        <f t="shared" si="11"/>
        <v>43</v>
      </c>
      <c r="C48" s="4">
        <f t="shared" si="12"/>
        <v>25.83</v>
      </c>
      <c r="D48" s="2">
        <v>16</v>
      </c>
      <c r="E48" s="2">
        <v>50.26548245743669</v>
      </c>
      <c r="F48" s="11">
        <f t="shared" si="0"/>
        <v>3.183098861837907</v>
      </c>
      <c r="G48" s="2">
        <f t="shared" si="1"/>
        <v>82.219443601273127</v>
      </c>
      <c r="H48" s="2">
        <f t="shared" si="2"/>
        <v>2.5626288987746686</v>
      </c>
      <c r="I48" s="2">
        <f t="shared" si="3"/>
        <v>66.192704455349684</v>
      </c>
      <c r="J48" s="2">
        <f t="shared" si="4"/>
        <v>16.026739145923443</v>
      </c>
      <c r="K48" s="15">
        <f t="shared" si="17"/>
        <v>0.36292735042735041</v>
      </c>
      <c r="L48" s="2">
        <f t="shared" si="14"/>
        <v>43</v>
      </c>
      <c r="M48" s="2">
        <f t="shared" si="15"/>
        <v>25.58</v>
      </c>
      <c r="N48" s="2">
        <v>13.5</v>
      </c>
      <c r="O48" s="2">
        <v>50.26548245743669</v>
      </c>
      <c r="P48" s="11">
        <f t="shared" si="5"/>
        <v>2.6857396646757339</v>
      </c>
      <c r="Q48" s="2">
        <f t="shared" si="6"/>
        <v>68.701220622405273</v>
      </c>
      <c r="R48" s="2">
        <f t="shared" si="7"/>
        <v>2.6419412748657432</v>
      </c>
      <c r="S48" s="2">
        <f t="shared" si="8"/>
        <v>67.580857811065712</v>
      </c>
      <c r="T48" s="2">
        <f t="shared" si="9"/>
        <v>1.1203628113395609</v>
      </c>
    </row>
    <row r="49" spans="1:20" x14ac:dyDescent="0.25">
      <c r="A49" s="14">
        <f t="shared" si="16"/>
        <v>0.38664529914529916</v>
      </c>
      <c r="B49" s="2">
        <f t="shared" si="11"/>
        <v>44</v>
      </c>
      <c r="C49" s="4">
        <f t="shared" si="12"/>
        <v>26.33</v>
      </c>
      <c r="D49" s="2">
        <v>14.5</v>
      </c>
      <c r="E49" s="2">
        <v>50.26548245743669</v>
      </c>
      <c r="F49" s="11">
        <f t="shared" si="0"/>
        <v>2.8846833435406034</v>
      </c>
      <c r="G49" s="2">
        <f t="shared" si="1"/>
        <v>75.95371243542408</v>
      </c>
      <c r="H49" s="2">
        <f t="shared" si="2"/>
        <v>2.5626288987746686</v>
      </c>
      <c r="I49" s="2">
        <f t="shared" si="3"/>
        <v>67.474018904737022</v>
      </c>
      <c r="J49" s="2">
        <f t="shared" si="4"/>
        <v>8.479693530687058</v>
      </c>
      <c r="K49" s="15">
        <f t="shared" si="17"/>
        <v>0.36303418803418802</v>
      </c>
      <c r="L49" s="2">
        <f t="shared" si="14"/>
        <v>44</v>
      </c>
      <c r="M49" s="2">
        <f t="shared" si="15"/>
        <v>26.08</v>
      </c>
      <c r="N49" s="2">
        <v>15</v>
      </c>
      <c r="O49" s="2">
        <v>50.26548245743669</v>
      </c>
      <c r="P49" s="11">
        <f t="shared" si="5"/>
        <v>2.9841551829730379</v>
      </c>
      <c r="Q49" s="2">
        <f t="shared" si="6"/>
        <v>77.826767171936822</v>
      </c>
      <c r="R49" s="2">
        <f t="shared" si="7"/>
        <v>2.6419412748657432</v>
      </c>
      <c r="S49" s="2">
        <f t="shared" si="8"/>
        <v>68.901828448498577</v>
      </c>
      <c r="T49" s="2">
        <f t="shared" si="9"/>
        <v>8.9249387234382453</v>
      </c>
    </row>
    <row r="50" spans="1:20" x14ac:dyDescent="0.25">
      <c r="A50" s="14">
        <f t="shared" si="16"/>
        <v>0.38675213675213677</v>
      </c>
      <c r="B50" s="2">
        <f t="shared" si="11"/>
        <v>45</v>
      </c>
      <c r="C50" s="4">
        <f t="shared" si="12"/>
        <v>26.83</v>
      </c>
      <c r="D50" s="2">
        <v>21</v>
      </c>
      <c r="E50" s="2">
        <v>50.26548245743669</v>
      </c>
      <c r="F50" s="11">
        <f t="shared" si="0"/>
        <v>4.1778172561622533</v>
      </c>
      <c r="G50" s="2">
        <f t="shared" si="1"/>
        <v>112.09083698283325</v>
      </c>
      <c r="H50" s="2">
        <f t="shared" si="2"/>
        <v>2.5626288987746686</v>
      </c>
      <c r="I50" s="2">
        <f t="shared" si="3"/>
        <v>68.75533335412436</v>
      </c>
      <c r="J50" s="2">
        <f t="shared" si="4"/>
        <v>43.335503628708892</v>
      </c>
      <c r="K50" s="15">
        <f t="shared" si="17"/>
        <v>0.36314102564102563</v>
      </c>
      <c r="L50" s="2">
        <f t="shared" si="14"/>
        <v>45</v>
      </c>
      <c r="M50" s="2">
        <f t="shared" si="15"/>
        <v>26.58</v>
      </c>
      <c r="N50" s="2">
        <v>15</v>
      </c>
      <c r="O50" s="2">
        <v>50.26548245743669</v>
      </c>
      <c r="P50" s="11">
        <f t="shared" si="5"/>
        <v>2.9841551829730379</v>
      </c>
      <c r="Q50" s="2">
        <f t="shared" si="6"/>
        <v>79.318844763423343</v>
      </c>
      <c r="R50" s="2">
        <f t="shared" si="7"/>
        <v>2.6419412748657432</v>
      </c>
      <c r="S50" s="2">
        <f t="shared" si="8"/>
        <v>70.222799085931442</v>
      </c>
      <c r="T50" s="2">
        <f t="shared" si="9"/>
        <v>9.096045677491901</v>
      </c>
    </row>
    <row r="51" spans="1:20" x14ac:dyDescent="0.25">
      <c r="A51" s="14">
        <f t="shared" si="16"/>
        <v>0.38685897435897437</v>
      </c>
      <c r="B51" s="2">
        <f t="shared" si="11"/>
        <v>46</v>
      </c>
      <c r="C51" s="4">
        <f t="shared" si="12"/>
        <v>27.33</v>
      </c>
      <c r="D51" s="2">
        <v>15</v>
      </c>
      <c r="E51" s="2">
        <v>50.26548245743669</v>
      </c>
      <c r="F51" s="11">
        <f t="shared" si="0"/>
        <v>2.9841551829730379</v>
      </c>
      <c r="G51" s="2">
        <f t="shared" si="1"/>
        <v>81.556961150653123</v>
      </c>
      <c r="H51" s="2">
        <f t="shared" si="2"/>
        <v>2.5626288987746686</v>
      </c>
      <c r="I51" s="2">
        <f t="shared" si="3"/>
        <v>70.036647803511684</v>
      </c>
      <c r="J51" s="2">
        <f t="shared" si="4"/>
        <v>11.520313347141439</v>
      </c>
      <c r="K51" s="15">
        <f t="shared" si="17"/>
        <v>0.36324786324786323</v>
      </c>
      <c r="L51" s="2">
        <f t="shared" si="14"/>
        <v>46</v>
      </c>
      <c r="M51" s="2">
        <f t="shared" si="15"/>
        <v>27.08</v>
      </c>
      <c r="N51" s="2">
        <v>14.5</v>
      </c>
      <c r="O51" s="2">
        <v>50.26548245743669</v>
      </c>
      <c r="P51" s="11">
        <f t="shared" si="5"/>
        <v>2.8846833435406034</v>
      </c>
      <c r="Q51" s="2">
        <f t="shared" si="6"/>
        <v>78.117224943079535</v>
      </c>
      <c r="R51" s="2">
        <f t="shared" si="7"/>
        <v>2.6419412748657432</v>
      </c>
      <c r="S51" s="2">
        <f t="shared" si="8"/>
        <v>71.543769723364321</v>
      </c>
      <c r="T51" s="2">
        <f t="shared" si="9"/>
        <v>6.5734552197152141</v>
      </c>
    </row>
    <row r="52" spans="1:20" x14ac:dyDescent="0.25">
      <c r="A52" s="14">
        <f t="shared" si="16"/>
        <v>0.38696581196581198</v>
      </c>
      <c r="B52" s="2">
        <f t="shared" si="11"/>
        <v>47</v>
      </c>
      <c r="C52" s="4">
        <f t="shared" si="12"/>
        <v>27.83</v>
      </c>
      <c r="D52" s="2">
        <v>15</v>
      </c>
      <c r="E52" s="2">
        <v>50.26548245743669</v>
      </c>
      <c r="F52" s="11">
        <f t="shared" si="0"/>
        <v>2.9841551829730379</v>
      </c>
      <c r="G52" s="2">
        <f t="shared" si="1"/>
        <v>83.049038742139643</v>
      </c>
      <c r="H52" s="2">
        <f t="shared" si="2"/>
        <v>2.5626288987746686</v>
      </c>
      <c r="I52" s="2">
        <f t="shared" si="3"/>
        <v>71.317962252899022</v>
      </c>
      <c r="J52" s="2">
        <f t="shared" si="4"/>
        <v>11.731076489240621</v>
      </c>
      <c r="K52" s="15">
        <f t="shared" si="17"/>
        <v>0.36335470085470084</v>
      </c>
      <c r="L52" s="2">
        <f t="shared" si="14"/>
        <v>47</v>
      </c>
      <c r="M52" s="2">
        <f t="shared" si="15"/>
        <v>27.58</v>
      </c>
      <c r="N52" s="2">
        <v>14.5</v>
      </c>
      <c r="O52" s="2">
        <v>50.26548245743669</v>
      </c>
      <c r="P52" s="11">
        <f t="shared" si="5"/>
        <v>2.8846833435406034</v>
      </c>
      <c r="Q52" s="2">
        <f t="shared" si="6"/>
        <v>79.559566614849842</v>
      </c>
      <c r="R52" s="2">
        <f t="shared" si="7"/>
        <v>2.6419412748657432</v>
      </c>
      <c r="S52" s="2">
        <f t="shared" si="8"/>
        <v>72.864740360797185</v>
      </c>
      <c r="T52" s="2">
        <f t="shared" si="9"/>
        <v>6.6948262540526571</v>
      </c>
    </row>
    <row r="53" spans="1:20" x14ac:dyDescent="0.25">
      <c r="A53" s="14">
        <f t="shared" si="16"/>
        <v>0.38707264957264959</v>
      </c>
      <c r="B53" s="2">
        <f t="shared" si="11"/>
        <v>48</v>
      </c>
      <c r="C53" s="4">
        <f t="shared" si="12"/>
        <v>28.33</v>
      </c>
      <c r="D53" s="2">
        <v>15</v>
      </c>
      <c r="E53" s="2">
        <v>50.26548245743669</v>
      </c>
      <c r="F53" s="11">
        <f t="shared" si="0"/>
        <v>2.9841551829730379</v>
      </c>
      <c r="G53" s="2">
        <f t="shared" si="1"/>
        <v>84.541116333626164</v>
      </c>
      <c r="H53" s="2">
        <f t="shared" si="2"/>
        <v>2.5626288987746686</v>
      </c>
      <c r="I53" s="2">
        <f t="shared" si="3"/>
        <v>72.59927670228636</v>
      </c>
      <c r="J53" s="2">
        <f t="shared" si="4"/>
        <v>11.941839631339803</v>
      </c>
      <c r="K53" s="15">
        <f t="shared" si="17"/>
        <v>0.36346153846153845</v>
      </c>
      <c r="L53" s="2">
        <f t="shared" si="14"/>
        <v>48</v>
      </c>
      <c r="M53" s="2">
        <f t="shared" si="15"/>
        <v>28.08</v>
      </c>
      <c r="N53" s="2">
        <v>15</v>
      </c>
      <c r="O53" s="2">
        <v>50.26548245743669</v>
      </c>
      <c r="P53" s="11">
        <f t="shared" si="5"/>
        <v>2.9841551829730379</v>
      </c>
      <c r="Q53" s="2">
        <f t="shared" si="6"/>
        <v>83.795077537882904</v>
      </c>
      <c r="R53" s="2">
        <f t="shared" si="7"/>
        <v>2.6419412748657432</v>
      </c>
      <c r="S53" s="2">
        <f t="shared" si="8"/>
        <v>74.185710998230064</v>
      </c>
      <c r="T53" s="2">
        <f t="shared" si="9"/>
        <v>9.6093665396528394</v>
      </c>
    </row>
    <row r="54" spans="1:20" x14ac:dyDescent="0.25">
      <c r="A54" s="14">
        <f t="shared" si="16"/>
        <v>0.38717948717948719</v>
      </c>
      <c r="B54" s="2">
        <f t="shared" si="11"/>
        <v>49</v>
      </c>
      <c r="C54" s="4">
        <f t="shared" si="12"/>
        <v>28.83</v>
      </c>
      <c r="D54" s="2">
        <v>14.5</v>
      </c>
      <c r="E54" s="2">
        <v>50.26548245743669</v>
      </c>
      <c r="F54" s="11">
        <f t="shared" si="0"/>
        <v>2.8846833435406034</v>
      </c>
      <c r="G54" s="2">
        <f t="shared" si="1"/>
        <v>83.16542079427559</v>
      </c>
      <c r="H54" s="2">
        <f t="shared" si="2"/>
        <v>2.5626288987746686</v>
      </c>
      <c r="I54" s="2">
        <f t="shared" si="3"/>
        <v>73.880591151673684</v>
      </c>
      <c r="J54" s="2">
        <f t="shared" si="4"/>
        <v>9.2848296426019061</v>
      </c>
      <c r="K54" s="15">
        <f t="shared" si="17"/>
        <v>0.36356837606837605</v>
      </c>
      <c r="L54" s="2">
        <f t="shared" si="14"/>
        <v>49</v>
      </c>
      <c r="M54" s="2">
        <f t="shared" si="15"/>
        <v>28.58</v>
      </c>
      <c r="N54" s="2">
        <v>15.5</v>
      </c>
      <c r="O54" s="2">
        <v>50.26548245743669</v>
      </c>
      <c r="P54" s="11">
        <f t="shared" si="5"/>
        <v>3.0836270224054725</v>
      </c>
      <c r="Q54" s="2">
        <f t="shared" si="6"/>
        <v>88.130060300348404</v>
      </c>
      <c r="R54" s="2">
        <f t="shared" si="7"/>
        <v>2.6419412748657432</v>
      </c>
      <c r="S54" s="2">
        <f t="shared" si="8"/>
        <v>75.506681635662929</v>
      </c>
      <c r="T54" s="2">
        <f t="shared" si="9"/>
        <v>12.623378664685475</v>
      </c>
    </row>
    <row r="55" spans="1:20" x14ac:dyDescent="0.25">
      <c r="A55" s="14">
        <f t="shared" si="16"/>
        <v>0.3872863247863248</v>
      </c>
      <c r="B55" s="2">
        <f t="shared" si="11"/>
        <v>50</v>
      </c>
      <c r="C55" s="4">
        <f t="shared" si="12"/>
        <v>29.33</v>
      </c>
      <c r="D55" s="2">
        <v>14</v>
      </c>
      <c r="E55" s="2">
        <v>50.26548245743669</v>
      </c>
      <c r="F55" s="11">
        <f t="shared" si="0"/>
        <v>2.7852115041081689</v>
      </c>
      <c r="G55" s="2">
        <f t="shared" si="1"/>
        <v>81.690253415492592</v>
      </c>
      <c r="H55" s="2">
        <f t="shared" si="2"/>
        <v>2.5626288987746686</v>
      </c>
      <c r="I55" s="2">
        <f t="shared" si="3"/>
        <v>75.161905601061022</v>
      </c>
      <c r="J55" s="2">
        <f t="shared" si="4"/>
        <v>6.5283478144315694</v>
      </c>
      <c r="K55" s="15">
        <f t="shared" si="17"/>
        <v>0.36367521367521366</v>
      </c>
      <c r="L55" s="2">
        <f t="shared" si="14"/>
        <v>50</v>
      </c>
      <c r="M55" s="2">
        <f t="shared" si="15"/>
        <v>29.08</v>
      </c>
      <c r="N55" s="2">
        <v>17</v>
      </c>
      <c r="O55" s="2">
        <v>50.26548245743669</v>
      </c>
      <c r="P55" s="11">
        <f t="shared" si="5"/>
        <v>3.3820425407027761</v>
      </c>
      <c r="Q55" s="2">
        <f t="shared" si="6"/>
        <v>98.34979708363673</v>
      </c>
      <c r="R55" s="2">
        <f t="shared" si="7"/>
        <v>2.6419412748657432</v>
      </c>
      <c r="S55" s="2">
        <f t="shared" si="8"/>
        <v>76.827652273095808</v>
      </c>
      <c r="T55" s="2">
        <f t="shared" si="9"/>
        <v>21.522144810540922</v>
      </c>
    </row>
    <row r="56" spans="1:20" x14ac:dyDescent="0.25">
      <c r="A56" s="14">
        <f t="shared" si="16"/>
        <v>0.3873931623931624</v>
      </c>
      <c r="B56" s="2">
        <f t="shared" si="11"/>
        <v>51</v>
      </c>
      <c r="C56" s="4">
        <f t="shared" si="12"/>
        <v>29.83</v>
      </c>
      <c r="D56" s="2">
        <v>14</v>
      </c>
      <c r="E56" s="2">
        <v>50.26548245743669</v>
      </c>
      <c r="F56" s="11">
        <f t="shared" si="0"/>
        <v>2.7852115041081689</v>
      </c>
      <c r="G56" s="2">
        <f t="shared" si="1"/>
        <v>83.082859167546673</v>
      </c>
      <c r="H56" s="2">
        <f t="shared" si="2"/>
        <v>2.5626288987746686</v>
      </c>
      <c r="I56" s="2">
        <f t="shared" si="3"/>
        <v>76.44322005044836</v>
      </c>
      <c r="J56" s="2">
        <f t="shared" si="4"/>
        <v>6.6396391170983122</v>
      </c>
      <c r="K56" s="15">
        <f t="shared" si="17"/>
        <v>0.36378205128205127</v>
      </c>
      <c r="L56" s="2">
        <f t="shared" si="14"/>
        <v>51</v>
      </c>
      <c r="M56" s="2">
        <f t="shared" si="15"/>
        <v>29.58</v>
      </c>
      <c r="N56" s="2">
        <v>14.5</v>
      </c>
      <c r="O56" s="2">
        <v>50.26548245743669</v>
      </c>
      <c r="P56" s="11">
        <f t="shared" si="5"/>
        <v>2.8846833435406034</v>
      </c>
      <c r="Q56" s="2">
        <f t="shared" si="6"/>
        <v>85.328933301931045</v>
      </c>
      <c r="R56" s="2">
        <f t="shared" si="7"/>
        <v>2.6419412748657432</v>
      </c>
      <c r="S56" s="2">
        <f t="shared" si="8"/>
        <v>78.148622910528672</v>
      </c>
      <c r="T56" s="2">
        <f t="shared" si="9"/>
        <v>7.1803103914023723</v>
      </c>
    </row>
    <row r="57" spans="1:20" x14ac:dyDescent="0.25">
      <c r="A57" s="14">
        <f t="shared" si="16"/>
        <v>0.38750000000000001</v>
      </c>
      <c r="B57" s="2">
        <f t="shared" si="11"/>
        <v>52</v>
      </c>
      <c r="C57" s="4">
        <f t="shared" si="12"/>
        <v>30.33</v>
      </c>
      <c r="D57" s="2">
        <v>14</v>
      </c>
      <c r="E57" s="2">
        <v>50.26548245743669</v>
      </c>
      <c r="F57" s="11">
        <f t="shared" si="0"/>
        <v>2.7852115041081689</v>
      </c>
      <c r="G57" s="2">
        <f t="shared" si="1"/>
        <v>84.475464919600753</v>
      </c>
      <c r="H57" s="2">
        <f t="shared" si="2"/>
        <v>2.5626288987746686</v>
      </c>
      <c r="I57" s="2">
        <f t="shared" si="3"/>
        <v>77.724534499835698</v>
      </c>
      <c r="J57" s="2">
        <f t="shared" si="4"/>
        <v>6.750930419765055</v>
      </c>
      <c r="K57" s="15">
        <f t="shared" si="17"/>
        <v>0.36388888888888887</v>
      </c>
      <c r="L57" s="2">
        <f t="shared" si="14"/>
        <v>52</v>
      </c>
      <c r="M57" s="2">
        <f t="shared" si="15"/>
        <v>30.08</v>
      </c>
      <c r="N57" s="2">
        <v>13.5</v>
      </c>
      <c r="O57" s="2">
        <v>50.26548245743669</v>
      </c>
      <c r="P57" s="11">
        <f t="shared" si="5"/>
        <v>2.6857396646757339</v>
      </c>
      <c r="Q57" s="2">
        <f t="shared" si="6"/>
        <v>80.787049113446074</v>
      </c>
      <c r="R57" s="2">
        <f t="shared" si="7"/>
        <v>2.6419412748657432</v>
      </c>
      <c r="S57" s="2">
        <f t="shared" si="8"/>
        <v>79.469593547961551</v>
      </c>
      <c r="T57" s="2">
        <f t="shared" si="9"/>
        <v>1.3174555654845221</v>
      </c>
    </row>
    <row r="58" spans="1:20" x14ac:dyDescent="0.25">
      <c r="A58" s="14">
        <f t="shared" si="16"/>
        <v>0.38760683760683762</v>
      </c>
      <c r="B58" s="2">
        <f t="shared" si="11"/>
        <v>53</v>
      </c>
      <c r="C58" s="4">
        <f t="shared" si="12"/>
        <v>30.83</v>
      </c>
      <c r="D58" s="2">
        <v>14.5</v>
      </c>
      <c r="E58" s="2">
        <v>50.26548245743669</v>
      </c>
      <c r="F58" s="11">
        <f t="shared" si="0"/>
        <v>2.8846833435406034</v>
      </c>
      <c r="G58" s="2">
        <f t="shared" si="1"/>
        <v>88.934787481356793</v>
      </c>
      <c r="H58" s="2">
        <f t="shared" si="2"/>
        <v>2.5626288987746686</v>
      </c>
      <c r="I58" s="2">
        <f t="shared" si="3"/>
        <v>79.005848949223022</v>
      </c>
      <c r="J58" s="2">
        <f t="shared" si="4"/>
        <v>9.9289385321337704</v>
      </c>
      <c r="K58" s="15">
        <f t="shared" si="17"/>
        <v>0.36399572649572648</v>
      </c>
      <c r="L58" s="2">
        <f t="shared" si="14"/>
        <v>53</v>
      </c>
      <c r="M58" s="2">
        <f t="shared" si="15"/>
        <v>30.58</v>
      </c>
      <c r="N58" s="2">
        <v>15.5</v>
      </c>
      <c r="O58" s="2">
        <v>50.26548245743669</v>
      </c>
      <c r="P58" s="11">
        <f t="shared" si="5"/>
        <v>3.0836270224054725</v>
      </c>
      <c r="Q58" s="2">
        <f t="shared" si="6"/>
        <v>94.29731434515935</v>
      </c>
      <c r="R58" s="2">
        <f t="shared" si="7"/>
        <v>2.6419412748657432</v>
      </c>
      <c r="S58" s="2">
        <f t="shared" si="8"/>
        <v>80.790564185394416</v>
      </c>
      <c r="T58" s="2">
        <f t="shared" si="9"/>
        <v>13.506750159764934</v>
      </c>
    </row>
    <row r="59" spans="1:20" x14ac:dyDescent="0.25">
      <c r="A59" s="14">
        <f t="shared" si="16"/>
        <v>0.38771367521367522</v>
      </c>
      <c r="B59" s="2">
        <f t="shared" si="11"/>
        <v>54</v>
      </c>
      <c r="C59" s="4">
        <f t="shared" si="12"/>
        <v>31.33</v>
      </c>
      <c r="D59" s="2">
        <v>13.5</v>
      </c>
      <c r="E59" s="2">
        <v>50.26548245743669</v>
      </c>
      <c r="F59" s="11">
        <f t="shared" si="0"/>
        <v>2.6857396646757339</v>
      </c>
      <c r="G59" s="2">
        <f t="shared" si="1"/>
        <v>84.144223694290744</v>
      </c>
      <c r="H59" s="2">
        <f t="shared" si="2"/>
        <v>2.5626288987746686</v>
      </c>
      <c r="I59" s="2">
        <f t="shared" si="3"/>
        <v>80.28716339861036</v>
      </c>
      <c r="J59" s="2">
        <f t="shared" si="4"/>
        <v>3.8570602956803839</v>
      </c>
      <c r="K59" s="15">
        <f t="shared" si="17"/>
        <v>0.36410256410256409</v>
      </c>
      <c r="L59" s="2">
        <f t="shared" si="14"/>
        <v>54</v>
      </c>
      <c r="M59" s="2">
        <f t="shared" si="15"/>
        <v>31.08</v>
      </c>
      <c r="N59" s="2">
        <v>22</v>
      </c>
      <c r="O59" s="2">
        <v>50.26548245743669</v>
      </c>
      <c r="P59" s="11">
        <f t="shared" si="5"/>
        <v>4.3767609350271215</v>
      </c>
      <c r="Q59" s="2">
        <f t="shared" si="6"/>
        <v>136.02972986064293</v>
      </c>
      <c r="R59" s="2">
        <f t="shared" si="7"/>
        <v>2.6419412748657432</v>
      </c>
      <c r="S59" s="2">
        <f t="shared" si="8"/>
        <v>82.111534822827295</v>
      </c>
      <c r="T59" s="2">
        <f t="shared" si="9"/>
        <v>53.918195037815636</v>
      </c>
    </row>
    <row r="60" spans="1:20" x14ac:dyDescent="0.25">
      <c r="A60" s="14">
        <f t="shared" si="16"/>
        <v>0.38782051282051283</v>
      </c>
      <c r="B60" s="2">
        <f t="shared" si="11"/>
        <v>55</v>
      </c>
      <c r="C60" s="4">
        <f t="shared" si="12"/>
        <v>31.83</v>
      </c>
      <c r="D60" s="2">
        <v>14</v>
      </c>
      <c r="E60" s="2">
        <v>50.26548245743669</v>
      </c>
      <c r="F60" s="11">
        <f t="shared" si="0"/>
        <v>2.7852115041081689</v>
      </c>
      <c r="G60" s="2">
        <f t="shared" si="1"/>
        <v>88.65328217576301</v>
      </c>
      <c r="H60" s="2">
        <f t="shared" si="2"/>
        <v>2.5626288987746686</v>
      </c>
      <c r="I60" s="2">
        <f t="shared" si="3"/>
        <v>81.568477847997698</v>
      </c>
      <c r="J60" s="2">
        <f t="shared" si="4"/>
        <v>7.0848043277653119</v>
      </c>
      <c r="K60" s="15">
        <f t="shared" si="17"/>
        <v>0.36420940170940169</v>
      </c>
      <c r="L60" s="2">
        <f t="shared" si="14"/>
        <v>55</v>
      </c>
      <c r="M60" s="2">
        <f t="shared" si="15"/>
        <v>31.58</v>
      </c>
      <c r="N60" s="2">
        <v>14.5</v>
      </c>
      <c r="O60" s="2">
        <v>50.26548245743669</v>
      </c>
      <c r="P60" s="11">
        <f t="shared" si="5"/>
        <v>2.8846833435406034</v>
      </c>
      <c r="Q60" s="2">
        <f t="shared" si="6"/>
        <v>91.098299989012247</v>
      </c>
      <c r="R60" s="2">
        <f t="shared" si="7"/>
        <v>2.6419412748657432</v>
      </c>
      <c r="S60" s="2">
        <f t="shared" si="8"/>
        <v>83.43250546026016</v>
      </c>
      <c r="T60" s="2">
        <f t="shared" si="9"/>
        <v>7.6657945287520874</v>
      </c>
    </row>
    <row r="61" spans="1:20" x14ac:dyDescent="0.25">
      <c r="A61" s="14">
        <f t="shared" si="16"/>
        <v>0.38792735042735044</v>
      </c>
      <c r="B61" s="2">
        <f t="shared" si="11"/>
        <v>56</v>
      </c>
      <c r="C61" s="4">
        <f t="shared" si="12"/>
        <v>32.33</v>
      </c>
      <c r="D61" s="2">
        <v>15</v>
      </c>
      <c r="E61" s="2">
        <v>50.26548245743669</v>
      </c>
      <c r="F61" s="11">
        <f t="shared" si="0"/>
        <v>2.9841551829730379</v>
      </c>
      <c r="G61" s="2">
        <f t="shared" si="1"/>
        <v>96.477737065518312</v>
      </c>
      <c r="H61" s="2">
        <f t="shared" si="2"/>
        <v>2.5626288987746686</v>
      </c>
      <c r="I61" s="2">
        <f t="shared" si="3"/>
        <v>82.849792297385036</v>
      </c>
      <c r="J61" s="2">
        <f t="shared" si="4"/>
        <v>13.627944768133275</v>
      </c>
      <c r="K61" s="15">
        <f t="shared" si="17"/>
        <v>0.3643162393162393</v>
      </c>
      <c r="L61" s="2">
        <f t="shared" si="14"/>
        <v>56</v>
      </c>
      <c r="M61" s="2">
        <f t="shared" si="15"/>
        <v>32.08</v>
      </c>
      <c r="N61" s="2">
        <v>14</v>
      </c>
      <c r="O61" s="2">
        <v>50.26548245743669</v>
      </c>
      <c r="P61" s="11">
        <f t="shared" si="5"/>
        <v>2.7852115041081689</v>
      </c>
      <c r="Q61" s="2">
        <f t="shared" si="6"/>
        <v>89.349585051790058</v>
      </c>
      <c r="R61" s="2">
        <f t="shared" si="7"/>
        <v>2.6419412748657432</v>
      </c>
      <c r="S61" s="2">
        <f t="shared" si="8"/>
        <v>84.753476097693039</v>
      </c>
      <c r="T61" s="2">
        <f t="shared" si="9"/>
        <v>4.5961089540970193</v>
      </c>
    </row>
    <row r="62" spans="1:20" x14ac:dyDescent="0.25">
      <c r="A62" s="14">
        <f t="shared" si="16"/>
        <v>0.38803418803418804</v>
      </c>
      <c r="B62" s="2">
        <f t="shared" si="11"/>
        <v>57</v>
      </c>
      <c r="C62" s="4">
        <f t="shared" si="12"/>
        <v>32.83</v>
      </c>
      <c r="D62" s="2">
        <v>14.5</v>
      </c>
      <c r="E62" s="2">
        <v>50.26548245743669</v>
      </c>
      <c r="F62" s="11">
        <f t="shared" si="0"/>
        <v>2.8846833435406034</v>
      </c>
      <c r="G62" s="2">
        <f t="shared" si="1"/>
        <v>94.704154168438009</v>
      </c>
      <c r="H62" s="2">
        <f t="shared" si="2"/>
        <v>2.5626288987746686</v>
      </c>
      <c r="I62" s="2">
        <f t="shared" si="3"/>
        <v>84.13110674677236</v>
      </c>
      <c r="J62" s="2">
        <f t="shared" si="4"/>
        <v>10.573047421665649</v>
      </c>
      <c r="K62" s="15">
        <f t="shared" si="17"/>
        <v>0.36442307692307691</v>
      </c>
      <c r="L62" s="2">
        <f t="shared" si="14"/>
        <v>57</v>
      </c>
      <c r="M62" s="2">
        <f t="shared" si="15"/>
        <v>32.58</v>
      </c>
      <c r="N62" s="2">
        <v>14</v>
      </c>
      <c r="O62" s="2">
        <v>50.26548245743669</v>
      </c>
      <c r="P62" s="11">
        <f t="shared" si="5"/>
        <v>2.7852115041081689</v>
      </c>
      <c r="Q62" s="2">
        <f t="shared" si="6"/>
        <v>90.742190803844139</v>
      </c>
      <c r="R62" s="2">
        <f t="shared" si="7"/>
        <v>2.6419412748657432</v>
      </c>
      <c r="S62" s="2">
        <f t="shared" si="8"/>
        <v>86.074446735125903</v>
      </c>
      <c r="T62" s="2">
        <f t="shared" si="9"/>
        <v>4.6677440687182354</v>
      </c>
    </row>
    <row r="63" spans="1:20" x14ac:dyDescent="0.25">
      <c r="A63" s="14">
        <f t="shared" si="16"/>
        <v>0.38814102564102565</v>
      </c>
      <c r="B63" s="2">
        <f t="shared" si="11"/>
        <v>58</v>
      </c>
      <c r="C63" s="4">
        <f t="shared" si="12"/>
        <v>33.33</v>
      </c>
      <c r="D63" s="2">
        <v>14.5</v>
      </c>
      <c r="E63" s="2">
        <v>50.26548245743669</v>
      </c>
      <c r="F63" s="11">
        <f t="shared" si="0"/>
        <v>2.8846833435406034</v>
      </c>
      <c r="G63" s="2">
        <f t="shared" si="1"/>
        <v>96.146495840208303</v>
      </c>
      <c r="H63" s="2">
        <f t="shared" si="2"/>
        <v>2.5626288987746686</v>
      </c>
      <c r="I63" s="2">
        <f t="shared" si="3"/>
        <v>85.412421196159698</v>
      </c>
      <c r="J63" s="2">
        <f t="shared" si="4"/>
        <v>10.734074644048604</v>
      </c>
      <c r="K63" s="15">
        <f t="shared" si="17"/>
        <v>0.36452991452991451</v>
      </c>
      <c r="L63" s="2">
        <f t="shared" si="14"/>
        <v>58</v>
      </c>
      <c r="M63" s="2">
        <f t="shared" si="15"/>
        <v>33.08</v>
      </c>
      <c r="N63" s="2">
        <v>14.5</v>
      </c>
      <c r="O63" s="2">
        <v>50.26548245743669</v>
      </c>
      <c r="P63" s="11">
        <f t="shared" si="5"/>
        <v>2.8846833435406034</v>
      </c>
      <c r="Q63" s="2">
        <f t="shared" si="6"/>
        <v>95.425325004323156</v>
      </c>
      <c r="R63" s="2">
        <f t="shared" si="7"/>
        <v>2.6419412748657432</v>
      </c>
      <c r="S63" s="2">
        <f t="shared" si="8"/>
        <v>87.395417372558782</v>
      </c>
      <c r="T63" s="2">
        <f t="shared" si="9"/>
        <v>8.0299076317643738</v>
      </c>
    </row>
    <row r="64" spans="1:20" x14ac:dyDescent="0.25">
      <c r="A64" s="14">
        <f t="shared" si="16"/>
        <v>0.38824786324786326</v>
      </c>
      <c r="B64" s="2">
        <f t="shared" si="11"/>
        <v>59</v>
      </c>
      <c r="C64" s="4">
        <f t="shared" si="12"/>
        <v>33.83</v>
      </c>
      <c r="D64" s="2">
        <v>14</v>
      </c>
      <c r="E64" s="2">
        <v>50.26548245743669</v>
      </c>
      <c r="F64" s="11">
        <f t="shared" si="0"/>
        <v>2.7852115041081689</v>
      </c>
      <c r="G64" s="2">
        <f t="shared" si="1"/>
        <v>94.223705183979348</v>
      </c>
      <c r="H64" s="2">
        <f t="shared" si="2"/>
        <v>2.5626288987746686</v>
      </c>
      <c r="I64" s="2">
        <f t="shared" si="3"/>
        <v>86.693735645547036</v>
      </c>
      <c r="J64" s="2">
        <f t="shared" si="4"/>
        <v>7.5299695384323115</v>
      </c>
      <c r="K64" s="15">
        <f t="shared" si="17"/>
        <v>0.36463675213675212</v>
      </c>
      <c r="L64" s="2">
        <f t="shared" si="14"/>
        <v>59</v>
      </c>
      <c r="M64" s="2">
        <f t="shared" si="15"/>
        <v>33.58</v>
      </c>
      <c r="N64" s="2">
        <v>14</v>
      </c>
      <c r="O64" s="2">
        <v>50.26548245743669</v>
      </c>
      <c r="P64" s="11">
        <f t="shared" si="5"/>
        <v>2.7852115041081689</v>
      </c>
      <c r="Q64" s="2">
        <f t="shared" si="6"/>
        <v>93.5274023079523</v>
      </c>
      <c r="R64" s="2">
        <f t="shared" si="7"/>
        <v>2.6419412748657432</v>
      </c>
      <c r="S64" s="2">
        <f t="shared" si="8"/>
        <v>88.716388009991647</v>
      </c>
      <c r="T64" s="2">
        <f t="shared" si="9"/>
        <v>4.8110142979606536</v>
      </c>
    </row>
    <row r="65" spans="1:20" x14ac:dyDescent="0.25">
      <c r="A65" s="14">
        <f t="shared" si="16"/>
        <v>0.38835470085470086</v>
      </c>
      <c r="B65" s="2">
        <f t="shared" si="11"/>
        <v>60</v>
      </c>
      <c r="C65" s="4">
        <f t="shared" si="12"/>
        <v>34.33</v>
      </c>
      <c r="D65" s="2">
        <v>14</v>
      </c>
      <c r="E65" s="2">
        <v>50.26548245743669</v>
      </c>
      <c r="F65" s="11">
        <f t="shared" si="0"/>
        <v>2.7852115041081689</v>
      </c>
      <c r="G65" s="2">
        <f t="shared" si="1"/>
        <v>95.616310936033429</v>
      </c>
      <c r="H65" s="2">
        <f t="shared" si="2"/>
        <v>2.5626288987746686</v>
      </c>
      <c r="I65" s="2">
        <f t="shared" si="3"/>
        <v>87.975050094934375</v>
      </c>
      <c r="J65" s="2">
        <f t="shared" si="4"/>
        <v>7.6412608410990543</v>
      </c>
      <c r="K65" s="15">
        <f t="shared" si="17"/>
        <v>0.36474358974358972</v>
      </c>
      <c r="L65" s="2">
        <f t="shared" si="14"/>
        <v>60</v>
      </c>
      <c r="M65" s="2">
        <f t="shared" si="15"/>
        <v>34.08</v>
      </c>
      <c r="N65" s="2">
        <v>13</v>
      </c>
      <c r="O65" s="2">
        <v>50.26548245743669</v>
      </c>
      <c r="P65" s="11">
        <f t="shared" si="5"/>
        <v>2.5862678252432989</v>
      </c>
      <c r="Q65" s="2">
        <f t="shared" si="6"/>
        <v>88.140007484291615</v>
      </c>
      <c r="R65" s="2">
        <f t="shared" si="7"/>
        <v>2.6419412748657432</v>
      </c>
      <c r="S65" s="2">
        <f t="shared" si="8"/>
        <v>90.037358647424526</v>
      </c>
      <c r="T65" s="2">
        <f t="shared" si="9"/>
        <v>1.8973511631329103</v>
      </c>
    </row>
    <row r="66" spans="1:20" x14ac:dyDescent="0.25">
      <c r="A66" s="14">
        <f t="shared" si="16"/>
        <v>0.38846153846153847</v>
      </c>
      <c r="B66" s="2">
        <f t="shared" si="11"/>
        <v>61</v>
      </c>
      <c r="C66" s="4">
        <f t="shared" si="12"/>
        <v>34.83</v>
      </c>
      <c r="D66" s="2">
        <v>13.5</v>
      </c>
      <c r="E66" s="2">
        <v>50.26548245743669</v>
      </c>
      <c r="F66" s="11">
        <f t="shared" si="0"/>
        <v>2.6857396646757339</v>
      </c>
      <c r="G66" s="2">
        <f t="shared" si="1"/>
        <v>93.544312520655808</v>
      </c>
      <c r="H66" s="2">
        <f t="shared" si="2"/>
        <v>2.5626288987746686</v>
      </c>
      <c r="I66" s="2">
        <f t="shared" si="3"/>
        <v>89.256364544321698</v>
      </c>
      <c r="J66" s="2">
        <f t="shared" si="4"/>
        <v>4.2879479763341095</v>
      </c>
      <c r="K66" s="15">
        <f t="shared" si="17"/>
        <v>0.36485042735042733</v>
      </c>
      <c r="L66" s="2">
        <f t="shared" si="14"/>
        <v>61</v>
      </c>
      <c r="M66" s="2">
        <f t="shared" si="15"/>
        <v>34.58</v>
      </c>
      <c r="N66" s="2">
        <v>13.5</v>
      </c>
      <c r="O66" s="2">
        <v>50.26548245743669</v>
      </c>
      <c r="P66" s="11">
        <f t="shared" si="5"/>
        <v>2.6857396646757339</v>
      </c>
      <c r="Q66" s="2">
        <f t="shared" si="6"/>
        <v>92.872877604486874</v>
      </c>
      <c r="R66" s="2">
        <f t="shared" si="7"/>
        <v>2.6419412748657432</v>
      </c>
      <c r="S66" s="2">
        <f t="shared" si="8"/>
        <v>91.35832928485739</v>
      </c>
      <c r="T66" s="2">
        <f t="shared" si="9"/>
        <v>1.5145483196294833</v>
      </c>
    </row>
    <row r="67" spans="1:20" x14ac:dyDescent="0.25">
      <c r="A67" s="14">
        <f t="shared" si="16"/>
        <v>0.38856837606837608</v>
      </c>
      <c r="B67" s="2">
        <f t="shared" si="11"/>
        <v>62</v>
      </c>
      <c r="C67" s="4">
        <f t="shared" si="12"/>
        <v>35.33</v>
      </c>
      <c r="D67" s="2">
        <v>14</v>
      </c>
      <c r="E67" s="2">
        <v>50.26548245743669</v>
      </c>
      <c r="F67" s="11">
        <f t="shared" si="0"/>
        <v>2.7852115041081689</v>
      </c>
      <c r="G67" s="2">
        <f t="shared" si="1"/>
        <v>98.401522440141605</v>
      </c>
      <c r="H67" s="2">
        <f t="shared" si="2"/>
        <v>2.5626288987746686</v>
      </c>
      <c r="I67" s="2">
        <f t="shared" si="3"/>
        <v>90.537678993709036</v>
      </c>
      <c r="J67" s="2">
        <f t="shared" si="4"/>
        <v>7.8638434464325684</v>
      </c>
      <c r="K67" s="15">
        <f t="shared" si="17"/>
        <v>0.36495726495726494</v>
      </c>
      <c r="L67" s="2">
        <f t="shared" si="14"/>
        <v>62</v>
      </c>
      <c r="M67" s="2">
        <f t="shared" si="15"/>
        <v>35.08</v>
      </c>
      <c r="N67" s="2">
        <v>13.5</v>
      </c>
      <c r="O67" s="2">
        <v>50.26548245743669</v>
      </c>
      <c r="P67" s="11">
        <f t="shared" si="5"/>
        <v>2.6857396646757339</v>
      </c>
      <c r="Q67" s="2">
        <f t="shared" si="6"/>
        <v>94.215747436824742</v>
      </c>
      <c r="R67" s="2">
        <f t="shared" si="7"/>
        <v>2.6419412748657432</v>
      </c>
      <c r="S67" s="2">
        <f t="shared" si="8"/>
        <v>92.679299922290269</v>
      </c>
      <c r="T67" s="2">
        <f t="shared" si="9"/>
        <v>1.5364475145344727</v>
      </c>
    </row>
    <row r="68" spans="1:20" x14ac:dyDescent="0.25">
      <c r="A68" s="14">
        <f t="shared" si="16"/>
        <v>0.38867521367521368</v>
      </c>
      <c r="B68" s="2">
        <f t="shared" si="11"/>
        <v>63</v>
      </c>
      <c r="C68" s="4">
        <f t="shared" si="12"/>
        <v>35.83</v>
      </c>
      <c r="D68" s="2">
        <v>14.5</v>
      </c>
      <c r="E68" s="2">
        <v>50.26548245743669</v>
      </c>
      <c r="F68" s="11">
        <f t="shared" si="0"/>
        <v>2.8846833435406034</v>
      </c>
      <c r="G68" s="2">
        <f t="shared" si="1"/>
        <v>103.35820419905981</v>
      </c>
      <c r="H68" s="2">
        <f t="shared" si="2"/>
        <v>2.5626288987746686</v>
      </c>
      <c r="I68" s="2">
        <f t="shared" si="3"/>
        <v>91.818993443096375</v>
      </c>
      <c r="J68" s="2">
        <f t="shared" si="4"/>
        <v>11.539210755963438</v>
      </c>
      <c r="K68" s="15">
        <f t="shared" si="17"/>
        <v>0.36506410256410254</v>
      </c>
      <c r="L68" s="2">
        <f t="shared" si="14"/>
        <v>63</v>
      </c>
      <c r="M68" s="2">
        <f t="shared" si="15"/>
        <v>35.58</v>
      </c>
      <c r="N68" s="2">
        <v>14.5</v>
      </c>
      <c r="O68" s="2">
        <v>50.26548245743669</v>
      </c>
      <c r="P68" s="11">
        <f t="shared" si="5"/>
        <v>2.8846833435406034</v>
      </c>
      <c r="Q68" s="2">
        <f t="shared" si="6"/>
        <v>102.63703336317467</v>
      </c>
      <c r="R68" s="2">
        <f t="shared" si="7"/>
        <v>2.6419412748657432</v>
      </c>
      <c r="S68" s="2">
        <f t="shared" si="8"/>
        <v>94.000270559723134</v>
      </c>
      <c r="T68" s="2">
        <f t="shared" si="9"/>
        <v>8.636762803451532</v>
      </c>
    </row>
    <row r="69" spans="1:20" x14ac:dyDescent="0.25">
      <c r="A69" s="14">
        <f t="shared" si="16"/>
        <v>0.38878205128205129</v>
      </c>
      <c r="B69" s="2">
        <f t="shared" si="11"/>
        <v>64</v>
      </c>
      <c r="C69" s="4">
        <f t="shared" si="12"/>
        <v>36.33</v>
      </c>
      <c r="D69" s="2">
        <v>14</v>
      </c>
      <c r="E69" s="2">
        <v>50.26548245743669</v>
      </c>
      <c r="F69" s="11">
        <f t="shared" si="0"/>
        <v>2.7852115041081689</v>
      </c>
      <c r="G69" s="2">
        <f t="shared" si="1"/>
        <v>101.18673394424977</v>
      </c>
      <c r="H69" s="2">
        <f t="shared" si="2"/>
        <v>2.5626288987746686</v>
      </c>
      <c r="I69" s="2">
        <f t="shared" si="3"/>
        <v>93.100307892483713</v>
      </c>
      <c r="J69" s="2">
        <f t="shared" si="4"/>
        <v>8.086426051766054</v>
      </c>
      <c r="K69" s="15">
        <f t="shared" si="17"/>
        <v>0.36517094017094015</v>
      </c>
      <c r="L69" s="2">
        <f t="shared" si="14"/>
        <v>64</v>
      </c>
      <c r="M69" s="2">
        <f t="shared" si="15"/>
        <v>36.08</v>
      </c>
      <c r="N69" s="2">
        <v>15</v>
      </c>
      <c r="O69" s="2">
        <v>50.26548245743669</v>
      </c>
      <c r="P69" s="11">
        <f t="shared" si="5"/>
        <v>2.9841551829730379</v>
      </c>
      <c r="Q69" s="2">
        <f t="shared" si="6"/>
        <v>107.6683190016672</v>
      </c>
      <c r="R69" s="2">
        <f t="shared" si="7"/>
        <v>2.6419412748657432</v>
      </c>
      <c r="S69" s="2">
        <f t="shared" si="8"/>
        <v>95.321241197156013</v>
      </c>
      <c r="T69" s="2">
        <f t="shared" si="9"/>
        <v>12.347077804511187</v>
      </c>
    </row>
    <row r="70" spans="1:20" x14ac:dyDescent="0.25">
      <c r="A70" s="14">
        <f t="shared" si="16"/>
        <v>0.3888888888888889</v>
      </c>
      <c r="B70" s="2">
        <f t="shared" si="11"/>
        <v>65</v>
      </c>
      <c r="C70" s="4">
        <f t="shared" si="12"/>
        <v>36.83</v>
      </c>
      <c r="D70" s="2">
        <v>13.5</v>
      </c>
      <c r="E70" s="2">
        <v>50.26548245743669</v>
      </c>
      <c r="F70" s="11">
        <f t="shared" si="0"/>
        <v>2.6857396646757339</v>
      </c>
      <c r="G70" s="2">
        <f t="shared" si="1"/>
        <v>98.915791850007281</v>
      </c>
      <c r="H70" s="2">
        <f t="shared" si="2"/>
        <v>2.5626288987746686</v>
      </c>
      <c r="I70" s="2">
        <f t="shared" si="3"/>
        <v>94.381622341871036</v>
      </c>
      <c r="J70" s="2">
        <f t="shared" si="4"/>
        <v>4.5341695081362445</v>
      </c>
      <c r="K70" s="15">
        <f t="shared" si="17"/>
        <v>0.36527777777777776</v>
      </c>
      <c r="L70" s="2">
        <f t="shared" si="14"/>
        <v>65</v>
      </c>
      <c r="M70" s="2">
        <f t="shared" si="15"/>
        <v>36.58</v>
      </c>
      <c r="N70" s="2">
        <v>13.5</v>
      </c>
      <c r="O70" s="2">
        <v>50.26548245743669</v>
      </c>
      <c r="P70" s="11">
        <f t="shared" si="5"/>
        <v>2.6857396646757339</v>
      </c>
      <c r="Q70" s="2">
        <f t="shared" si="6"/>
        <v>98.244356933838347</v>
      </c>
      <c r="R70" s="2">
        <f t="shared" si="7"/>
        <v>2.6419412748657432</v>
      </c>
      <c r="S70" s="2">
        <f t="shared" si="8"/>
        <v>96.642211834588878</v>
      </c>
      <c r="T70" s="2">
        <f t="shared" si="9"/>
        <v>1.6021450992494692</v>
      </c>
    </row>
    <row r="71" spans="1:20" x14ac:dyDescent="0.25">
      <c r="A71" s="14">
        <f t="shared" si="16"/>
        <v>0.3889957264957265</v>
      </c>
      <c r="B71" s="2">
        <f t="shared" si="11"/>
        <v>66</v>
      </c>
      <c r="C71" s="4">
        <f t="shared" si="12"/>
        <v>37.33</v>
      </c>
      <c r="D71" s="2">
        <v>15</v>
      </c>
      <c r="E71" s="2">
        <v>50.26548245743669</v>
      </c>
      <c r="F71" s="11">
        <f t="shared" si="0"/>
        <v>2.9841551829730379</v>
      </c>
      <c r="G71" s="2">
        <f t="shared" si="1"/>
        <v>111.3985129803835</v>
      </c>
      <c r="H71" s="2">
        <f t="shared" si="2"/>
        <v>2.5626288987746686</v>
      </c>
      <c r="I71" s="2">
        <f t="shared" si="3"/>
        <v>95.662936791258375</v>
      </c>
      <c r="J71" s="2">
        <f t="shared" si="4"/>
        <v>15.735576189125126</v>
      </c>
      <c r="K71" s="15">
        <f t="shared" si="17"/>
        <v>0.36538461538461536</v>
      </c>
      <c r="L71" s="2">
        <f t="shared" si="14"/>
        <v>66</v>
      </c>
      <c r="M71" s="2">
        <f t="shared" si="15"/>
        <v>37.08</v>
      </c>
      <c r="N71" s="2">
        <v>14.5</v>
      </c>
      <c r="O71" s="2">
        <v>50.26548245743669</v>
      </c>
      <c r="P71" s="11">
        <f t="shared" si="5"/>
        <v>2.8846833435406034</v>
      </c>
      <c r="Q71" s="2">
        <f t="shared" si="6"/>
        <v>106.96405837848557</v>
      </c>
      <c r="R71" s="2">
        <f t="shared" si="7"/>
        <v>2.6419412748657432</v>
      </c>
      <c r="S71" s="2">
        <f t="shared" si="8"/>
        <v>97.963182472021757</v>
      </c>
      <c r="T71" s="2">
        <f t="shared" si="9"/>
        <v>9.0008759064638184</v>
      </c>
    </row>
    <row r="72" spans="1:20" x14ac:dyDescent="0.25">
      <c r="A72" s="14">
        <f t="shared" si="16"/>
        <v>0.38910256410256411</v>
      </c>
      <c r="B72" s="2">
        <f t="shared" si="11"/>
        <v>67</v>
      </c>
      <c r="C72" s="4">
        <f t="shared" si="12"/>
        <v>37.83</v>
      </c>
      <c r="D72" s="2">
        <v>14.5</v>
      </c>
      <c r="E72" s="2">
        <v>50.26548245743669</v>
      </c>
      <c r="F72" s="11">
        <f t="shared" si="0"/>
        <v>2.8846833435406034</v>
      </c>
      <c r="G72" s="2">
        <f t="shared" si="1"/>
        <v>109.12757088614102</v>
      </c>
      <c r="H72" s="2">
        <f t="shared" si="2"/>
        <v>2.5626288987746686</v>
      </c>
      <c r="I72" s="2">
        <f t="shared" si="3"/>
        <v>96.944251240645713</v>
      </c>
      <c r="J72" s="2">
        <f t="shared" si="4"/>
        <v>12.183319645495303</v>
      </c>
      <c r="K72" s="15">
        <f t="shared" si="17"/>
        <v>0.36549145299145297</v>
      </c>
      <c r="L72" s="2">
        <f t="shared" si="14"/>
        <v>67</v>
      </c>
      <c r="M72" s="2">
        <f t="shared" si="15"/>
        <v>37.58</v>
      </c>
      <c r="N72" s="2">
        <v>14</v>
      </c>
      <c r="O72" s="2">
        <v>50.26548245743669</v>
      </c>
      <c r="P72" s="11">
        <f t="shared" si="5"/>
        <v>2.7852115041081689</v>
      </c>
      <c r="Q72" s="2">
        <f t="shared" si="6"/>
        <v>104.66824832438498</v>
      </c>
      <c r="R72" s="2">
        <f t="shared" si="7"/>
        <v>2.6419412748657432</v>
      </c>
      <c r="S72" s="2">
        <f t="shared" si="8"/>
        <v>99.284153109454621</v>
      </c>
      <c r="T72" s="2">
        <f t="shared" si="9"/>
        <v>5.3840952149303547</v>
      </c>
    </row>
    <row r="73" spans="1:20" x14ac:dyDescent="0.25">
      <c r="A73" s="14">
        <f t="shared" si="16"/>
        <v>0.38920940170940171</v>
      </c>
      <c r="B73" s="2">
        <f t="shared" si="11"/>
        <v>68</v>
      </c>
      <c r="C73" s="4">
        <f t="shared" si="12"/>
        <v>38.33</v>
      </c>
      <c r="D73" s="2">
        <v>13.5</v>
      </c>
      <c r="E73" s="2">
        <v>50.26548245743669</v>
      </c>
      <c r="F73" s="11">
        <f t="shared" si="0"/>
        <v>2.6857396646757339</v>
      </c>
      <c r="G73" s="2">
        <f t="shared" si="1"/>
        <v>102.94440134702087</v>
      </c>
      <c r="H73" s="2">
        <f t="shared" si="2"/>
        <v>2.5626288987746686</v>
      </c>
      <c r="I73" s="2">
        <f t="shared" si="3"/>
        <v>98.225565690033037</v>
      </c>
      <c r="J73" s="2">
        <f t="shared" si="4"/>
        <v>4.7188356569878351</v>
      </c>
      <c r="K73" s="15">
        <f t="shared" si="17"/>
        <v>0.36559829059829058</v>
      </c>
      <c r="L73" s="2">
        <f t="shared" si="14"/>
        <v>68</v>
      </c>
      <c r="M73" s="2">
        <f t="shared" si="15"/>
        <v>38.08</v>
      </c>
      <c r="N73" s="2">
        <v>13.5</v>
      </c>
      <c r="O73" s="2">
        <v>50.26548245743669</v>
      </c>
      <c r="P73" s="11">
        <f t="shared" si="5"/>
        <v>2.6857396646757339</v>
      </c>
      <c r="Q73" s="2">
        <f t="shared" si="6"/>
        <v>102.27296643085194</v>
      </c>
      <c r="R73" s="2">
        <f t="shared" si="7"/>
        <v>2.6419412748657432</v>
      </c>
      <c r="S73" s="2">
        <f t="shared" si="8"/>
        <v>100.6051237468875</v>
      </c>
      <c r="T73" s="2">
        <f t="shared" si="9"/>
        <v>1.6678426839644374</v>
      </c>
    </row>
    <row r="74" spans="1:20" x14ac:dyDescent="0.25">
      <c r="A74" s="14">
        <f t="shared" si="16"/>
        <v>0.38931623931623932</v>
      </c>
      <c r="B74" s="2">
        <f t="shared" si="11"/>
        <v>69</v>
      </c>
      <c r="C74" s="4">
        <f t="shared" si="12"/>
        <v>38.83</v>
      </c>
      <c r="D74" s="2">
        <v>14</v>
      </c>
      <c r="E74" s="2">
        <v>50.26548245743669</v>
      </c>
      <c r="F74" s="11">
        <f t="shared" si="0"/>
        <v>2.7852115041081689</v>
      </c>
      <c r="G74" s="2">
        <f t="shared" si="1"/>
        <v>108.1497627045202</v>
      </c>
      <c r="H74" s="2">
        <f t="shared" si="2"/>
        <v>2.5626288987746686</v>
      </c>
      <c r="I74" s="2">
        <f t="shared" si="3"/>
        <v>99.506880139420375</v>
      </c>
      <c r="J74" s="2">
        <f t="shared" si="4"/>
        <v>8.6428825650998249</v>
      </c>
      <c r="K74" s="15">
        <f t="shared" si="17"/>
        <v>0.36570512820512818</v>
      </c>
      <c r="L74" s="2">
        <f t="shared" si="14"/>
        <v>69</v>
      </c>
      <c r="M74" s="2">
        <f t="shared" si="15"/>
        <v>38.58</v>
      </c>
      <c r="N74" s="2">
        <v>15</v>
      </c>
      <c r="O74" s="2">
        <v>50.26548245743669</v>
      </c>
      <c r="P74" s="11">
        <f t="shared" si="5"/>
        <v>2.9841551829730379</v>
      </c>
      <c r="Q74" s="2">
        <f t="shared" si="6"/>
        <v>115.1287069590998</v>
      </c>
      <c r="R74" s="2">
        <f t="shared" si="7"/>
        <v>2.6419412748657432</v>
      </c>
      <c r="S74" s="2">
        <f t="shared" si="8"/>
        <v>101.92609438432036</v>
      </c>
      <c r="T74" s="2">
        <f t="shared" si="9"/>
        <v>13.202612574779437</v>
      </c>
    </row>
    <row r="75" spans="1:20" x14ac:dyDescent="0.25">
      <c r="A75" s="14">
        <f t="shared" si="16"/>
        <v>0.38942307692307693</v>
      </c>
      <c r="B75" s="2">
        <f t="shared" si="11"/>
        <v>70</v>
      </c>
      <c r="C75" s="4">
        <f t="shared" si="12"/>
        <v>39.33</v>
      </c>
      <c r="D75" s="2">
        <v>14</v>
      </c>
      <c r="E75" s="2">
        <v>50.26548245743669</v>
      </c>
      <c r="F75" s="11">
        <f t="shared" si="0"/>
        <v>2.7852115041081689</v>
      </c>
      <c r="G75" s="2">
        <f t="shared" si="1"/>
        <v>109.54236845657428</v>
      </c>
      <c r="H75" s="2">
        <f t="shared" si="2"/>
        <v>2.5626288987746686</v>
      </c>
      <c r="I75" s="2">
        <f t="shared" si="3"/>
        <v>100.78819458880771</v>
      </c>
      <c r="J75" s="2">
        <f t="shared" si="4"/>
        <v>8.7541738677665677</v>
      </c>
      <c r="K75" s="15">
        <f t="shared" si="17"/>
        <v>0.36581196581196579</v>
      </c>
      <c r="L75" s="2">
        <f t="shared" si="14"/>
        <v>70</v>
      </c>
      <c r="M75" s="2">
        <f t="shared" si="15"/>
        <v>39.08</v>
      </c>
      <c r="N75" s="2">
        <v>14</v>
      </c>
      <c r="O75" s="2">
        <v>50.26548245743669</v>
      </c>
      <c r="P75" s="11">
        <f t="shared" si="5"/>
        <v>2.7852115041081689</v>
      </c>
      <c r="Q75" s="2">
        <f t="shared" si="6"/>
        <v>108.84606558054723</v>
      </c>
      <c r="R75" s="2">
        <f t="shared" si="7"/>
        <v>2.6419412748657432</v>
      </c>
      <c r="S75" s="2">
        <f t="shared" si="8"/>
        <v>103.24706502175324</v>
      </c>
      <c r="T75" s="2">
        <f t="shared" si="9"/>
        <v>5.5990005587939891</v>
      </c>
    </row>
    <row r="76" spans="1:20" x14ac:dyDescent="0.25">
      <c r="A76" s="14">
        <f t="shared" si="16"/>
        <v>0.38952991452991453</v>
      </c>
      <c r="B76" s="2">
        <f t="shared" si="11"/>
        <v>71</v>
      </c>
      <c r="C76" s="4">
        <f t="shared" si="12"/>
        <v>39.83</v>
      </c>
      <c r="D76" s="2">
        <v>14.5</v>
      </c>
      <c r="E76" s="2">
        <v>50.26548245743669</v>
      </c>
      <c r="F76" s="11">
        <f t="shared" si="0"/>
        <v>2.8846833435406034</v>
      </c>
      <c r="G76" s="2">
        <f t="shared" si="1"/>
        <v>114.89693757322223</v>
      </c>
      <c r="H76" s="2">
        <f t="shared" si="2"/>
        <v>2.5626288987746686</v>
      </c>
      <c r="I76" s="2">
        <f t="shared" si="3"/>
        <v>102.06950903819505</v>
      </c>
      <c r="J76" s="2">
        <f t="shared" si="4"/>
        <v>12.827428535027181</v>
      </c>
      <c r="K76" s="15">
        <f t="shared" si="17"/>
        <v>0.3659188034188034</v>
      </c>
      <c r="L76" s="2">
        <f t="shared" si="14"/>
        <v>71</v>
      </c>
      <c r="M76" s="2">
        <f t="shared" si="15"/>
        <v>39.58</v>
      </c>
      <c r="N76" s="2">
        <v>17</v>
      </c>
      <c r="O76" s="2">
        <v>50.26548245743669</v>
      </c>
      <c r="P76" s="11">
        <f t="shared" si="5"/>
        <v>3.3820425407027761</v>
      </c>
      <c r="Q76" s="2">
        <f t="shared" si="6"/>
        <v>133.86124376101588</v>
      </c>
      <c r="R76" s="2">
        <f t="shared" si="7"/>
        <v>2.6419412748657432</v>
      </c>
      <c r="S76" s="2">
        <f t="shared" si="8"/>
        <v>104.56803565918611</v>
      </c>
      <c r="T76" s="2">
        <f t="shared" si="9"/>
        <v>29.293208101829777</v>
      </c>
    </row>
    <row r="77" spans="1:20" x14ac:dyDescent="0.25">
      <c r="A77" s="14">
        <f t="shared" si="16"/>
        <v>0.38963675213675214</v>
      </c>
      <c r="B77" s="2">
        <f t="shared" si="11"/>
        <v>72</v>
      </c>
      <c r="C77" s="4">
        <f t="shared" si="12"/>
        <v>40.33</v>
      </c>
      <c r="D77" s="2">
        <v>13</v>
      </c>
      <c r="E77" s="2">
        <v>50.26548245743669</v>
      </c>
      <c r="F77" s="11">
        <f t="shared" si="0"/>
        <v>2.5862678252432989</v>
      </c>
      <c r="G77" s="2">
        <f t="shared" si="1"/>
        <v>104.30418139206225</v>
      </c>
      <c r="H77" s="2">
        <f t="shared" si="2"/>
        <v>2.5626288987746686</v>
      </c>
      <c r="I77" s="2">
        <f t="shared" si="3"/>
        <v>103.35082348758237</v>
      </c>
      <c r="J77" s="2">
        <f t="shared" si="4"/>
        <v>0.95335790447987279</v>
      </c>
      <c r="K77" s="15">
        <f t="shared" si="17"/>
        <v>0.366025641025641</v>
      </c>
      <c r="L77" s="2">
        <f t="shared" si="14"/>
        <v>72</v>
      </c>
      <c r="M77" s="2">
        <f t="shared" si="15"/>
        <v>40.08</v>
      </c>
      <c r="N77" s="2">
        <v>13.5</v>
      </c>
      <c r="O77" s="2">
        <v>50.26548245743669</v>
      </c>
      <c r="P77" s="11">
        <f t="shared" si="5"/>
        <v>2.6857396646757339</v>
      </c>
      <c r="Q77" s="2">
        <f t="shared" si="6"/>
        <v>107.64444576020341</v>
      </c>
      <c r="R77" s="2">
        <f t="shared" si="7"/>
        <v>2.6419412748657432</v>
      </c>
      <c r="S77" s="2">
        <f t="shared" si="8"/>
        <v>105.88900629661899</v>
      </c>
      <c r="T77" s="2">
        <f t="shared" si="9"/>
        <v>1.7554394635844233</v>
      </c>
    </row>
    <row r="78" spans="1:20" x14ac:dyDescent="0.25">
      <c r="A78" s="14">
        <f t="shared" si="16"/>
        <v>0.38974358974358975</v>
      </c>
      <c r="B78" s="2">
        <f t="shared" si="11"/>
        <v>73</v>
      </c>
      <c r="C78" s="4">
        <f t="shared" si="12"/>
        <v>40.83</v>
      </c>
      <c r="D78" s="2">
        <v>12.5</v>
      </c>
      <c r="E78" s="2">
        <v>50.26548245743669</v>
      </c>
      <c r="F78" s="11">
        <f t="shared" si="0"/>
        <v>2.4867959858108648</v>
      </c>
      <c r="G78" s="2">
        <f t="shared" si="1"/>
        <v>101.53588010065761</v>
      </c>
      <c r="H78" s="2">
        <f t="shared" si="2"/>
        <v>2.5626288987746686</v>
      </c>
      <c r="I78" s="2">
        <f t="shared" si="3"/>
        <v>104.63213793696971</v>
      </c>
      <c r="J78" s="2">
        <f t="shared" si="4"/>
        <v>3.0962578363121054</v>
      </c>
      <c r="K78" s="15">
        <f t="shared" si="17"/>
        <v>0.36613247863247861</v>
      </c>
      <c r="L78" s="2">
        <f t="shared" si="14"/>
        <v>73</v>
      </c>
      <c r="M78" s="2">
        <f t="shared" si="15"/>
        <v>40.58</v>
      </c>
      <c r="N78" s="2">
        <v>12</v>
      </c>
      <c r="O78" s="2">
        <v>50.26548245743669</v>
      </c>
      <c r="P78" s="11">
        <f t="shared" si="5"/>
        <v>2.3873241463784298</v>
      </c>
      <c r="Q78" s="2">
        <f t="shared" si="6"/>
        <v>96.877613860036675</v>
      </c>
      <c r="R78" s="2">
        <f t="shared" si="7"/>
        <v>2.6419412748657432</v>
      </c>
      <c r="S78" s="2">
        <f t="shared" si="8"/>
        <v>107.20997693405185</v>
      </c>
      <c r="T78" s="2">
        <f t="shared" si="9"/>
        <v>10.332363074015177</v>
      </c>
    </row>
    <row r="79" spans="1:20" x14ac:dyDescent="0.25">
      <c r="A79" s="14">
        <f t="shared" si="16"/>
        <v>0.38985042735042735</v>
      </c>
      <c r="B79" s="2">
        <f t="shared" si="11"/>
        <v>74</v>
      </c>
      <c r="C79" s="4">
        <f t="shared" si="12"/>
        <v>41.33</v>
      </c>
      <c r="D79" s="2">
        <v>15.5</v>
      </c>
      <c r="E79" s="2">
        <v>50.26548245743669</v>
      </c>
      <c r="F79" s="11">
        <f t="shared" si="0"/>
        <v>3.0836270224054725</v>
      </c>
      <c r="G79" s="2">
        <f t="shared" si="1"/>
        <v>127.44630483601817</v>
      </c>
      <c r="H79" s="2">
        <f t="shared" si="2"/>
        <v>2.5626288987746686</v>
      </c>
      <c r="I79" s="2">
        <f t="shared" si="3"/>
        <v>105.91345238635705</v>
      </c>
      <c r="J79" s="2">
        <f t="shared" si="4"/>
        <v>21.532852449661121</v>
      </c>
      <c r="K79" s="15">
        <f t="shared" si="17"/>
        <v>0.36623931623931621</v>
      </c>
      <c r="L79" s="2">
        <f t="shared" si="14"/>
        <v>74</v>
      </c>
      <c r="M79" s="2">
        <f t="shared" si="15"/>
        <v>41.08</v>
      </c>
      <c r="N79" s="2">
        <v>13.5</v>
      </c>
      <c r="O79" s="2">
        <v>50.26548245743669</v>
      </c>
      <c r="P79" s="11">
        <f t="shared" si="5"/>
        <v>2.6857396646757339</v>
      </c>
      <c r="Q79" s="2">
        <f t="shared" si="6"/>
        <v>110.33018542487915</v>
      </c>
      <c r="R79" s="2">
        <f t="shared" si="7"/>
        <v>2.6419412748657432</v>
      </c>
      <c r="S79" s="2">
        <f t="shared" si="8"/>
        <v>108.53094757148473</v>
      </c>
      <c r="T79" s="2">
        <f t="shared" si="9"/>
        <v>1.7992378533944162</v>
      </c>
    </row>
    <row r="80" spans="1:20" x14ac:dyDescent="0.25">
      <c r="A80" s="14">
        <f t="shared" si="16"/>
        <v>0.38995726495726496</v>
      </c>
      <c r="B80" s="2">
        <f t="shared" si="11"/>
        <v>75</v>
      </c>
      <c r="C80" s="4">
        <f t="shared" si="12"/>
        <v>41.83</v>
      </c>
      <c r="D80" s="2">
        <v>15.5</v>
      </c>
      <c r="E80" s="2">
        <v>50.26548245743669</v>
      </c>
      <c r="F80" s="11">
        <f t="shared" si="0"/>
        <v>3.0836270224054725</v>
      </c>
      <c r="G80" s="2">
        <f t="shared" si="1"/>
        <v>128.9881183472209</v>
      </c>
      <c r="H80" s="2">
        <f t="shared" si="2"/>
        <v>2.5626288987746686</v>
      </c>
      <c r="I80" s="2">
        <f t="shared" si="3"/>
        <v>107.19476683574439</v>
      </c>
      <c r="J80" s="2">
        <f t="shared" si="4"/>
        <v>21.793351511476516</v>
      </c>
      <c r="K80" s="15">
        <f t="shared" si="17"/>
        <v>0.36634615384615382</v>
      </c>
      <c r="L80" s="2">
        <f t="shared" si="14"/>
        <v>75</v>
      </c>
      <c r="M80" s="2">
        <f t="shared" si="15"/>
        <v>41.58</v>
      </c>
      <c r="N80" s="2">
        <v>15</v>
      </c>
      <c r="O80" s="2">
        <v>50.26548245743669</v>
      </c>
      <c r="P80" s="11">
        <f t="shared" si="5"/>
        <v>2.9841551829730379</v>
      </c>
      <c r="Q80" s="2">
        <f t="shared" si="6"/>
        <v>124.08117250801891</v>
      </c>
      <c r="R80" s="2">
        <f t="shared" si="7"/>
        <v>2.6419412748657432</v>
      </c>
      <c r="S80" s="2">
        <f t="shared" si="8"/>
        <v>109.8519182089176</v>
      </c>
      <c r="T80" s="2">
        <f t="shared" si="9"/>
        <v>14.229254299101314</v>
      </c>
    </row>
    <row r="81" spans="1:20" x14ac:dyDescent="0.25">
      <c r="A81" s="14">
        <f t="shared" si="16"/>
        <v>0.39006410256410257</v>
      </c>
      <c r="B81" s="2">
        <f t="shared" si="11"/>
        <v>76</v>
      </c>
      <c r="C81" s="4">
        <f t="shared" si="12"/>
        <v>42.33</v>
      </c>
      <c r="D81" s="2">
        <v>13.5</v>
      </c>
      <c r="E81" s="2">
        <v>50.26548245743669</v>
      </c>
      <c r="F81" s="11">
        <f t="shared" si="0"/>
        <v>2.6857396646757339</v>
      </c>
      <c r="G81" s="2">
        <f t="shared" si="1"/>
        <v>113.68736000572382</v>
      </c>
      <c r="H81" s="2">
        <f t="shared" si="2"/>
        <v>2.5626288987746686</v>
      </c>
      <c r="I81" s="2">
        <f t="shared" si="3"/>
        <v>108.47608128513171</v>
      </c>
      <c r="J81" s="2">
        <f t="shared" si="4"/>
        <v>5.2112787205921052</v>
      </c>
      <c r="K81" s="15">
        <f t="shared" si="17"/>
        <v>0.36645299145299143</v>
      </c>
      <c r="L81" s="2">
        <f t="shared" si="14"/>
        <v>76</v>
      </c>
      <c r="M81" s="2">
        <f t="shared" si="15"/>
        <v>42.08</v>
      </c>
      <c r="N81" s="2">
        <v>14</v>
      </c>
      <c r="O81" s="2">
        <v>50.26548245743669</v>
      </c>
      <c r="P81" s="11">
        <f t="shared" si="5"/>
        <v>2.7852115041081689</v>
      </c>
      <c r="Q81" s="2">
        <f t="shared" si="6"/>
        <v>117.20170009287175</v>
      </c>
      <c r="R81" s="2">
        <f t="shared" si="7"/>
        <v>2.6419412748657432</v>
      </c>
      <c r="S81" s="2">
        <f t="shared" si="8"/>
        <v>111.17288884635046</v>
      </c>
      <c r="T81" s="2">
        <f t="shared" si="9"/>
        <v>6.0288112465212862</v>
      </c>
    </row>
    <row r="82" spans="1:20" x14ac:dyDescent="0.25">
      <c r="A82" s="14">
        <f t="shared" si="16"/>
        <v>0.39017094017094017</v>
      </c>
      <c r="B82" s="2">
        <f t="shared" si="11"/>
        <v>77</v>
      </c>
      <c r="C82" s="4">
        <f t="shared" si="12"/>
        <v>42.83</v>
      </c>
      <c r="D82" s="2">
        <v>14</v>
      </c>
      <c r="E82" s="2">
        <v>50.26548245743669</v>
      </c>
      <c r="F82" s="11">
        <f t="shared" si="0"/>
        <v>2.7852115041081689</v>
      </c>
      <c r="G82" s="2">
        <f t="shared" si="1"/>
        <v>119.29060872095287</v>
      </c>
      <c r="H82" s="2">
        <f t="shared" si="2"/>
        <v>2.5626288987746686</v>
      </c>
      <c r="I82" s="2">
        <f t="shared" si="3"/>
        <v>109.75739573451905</v>
      </c>
      <c r="J82" s="2">
        <f t="shared" si="4"/>
        <v>9.5332129864338242</v>
      </c>
      <c r="K82" s="15">
        <f t="shared" si="17"/>
        <v>0.36655982905982903</v>
      </c>
      <c r="L82" s="2">
        <f t="shared" si="14"/>
        <v>77</v>
      </c>
      <c r="M82" s="2">
        <f t="shared" si="15"/>
        <v>42.58</v>
      </c>
      <c r="N82" s="2">
        <v>13.5</v>
      </c>
      <c r="O82" s="2">
        <v>50.26548245743669</v>
      </c>
      <c r="P82" s="11">
        <f t="shared" si="5"/>
        <v>2.6857396646757339</v>
      </c>
      <c r="Q82" s="2">
        <f t="shared" si="6"/>
        <v>114.35879492189274</v>
      </c>
      <c r="R82" s="2">
        <f t="shared" si="7"/>
        <v>2.6419412748657432</v>
      </c>
      <c r="S82" s="2">
        <f t="shared" si="8"/>
        <v>112.49385948378334</v>
      </c>
      <c r="T82" s="2">
        <f t="shared" si="9"/>
        <v>1.8649354381093985</v>
      </c>
    </row>
    <row r="83" spans="1:20" x14ac:dyDescent="0.25">
      <c r="A83" s="10">
        <v>0.39027777777777778</v>
      </c>
      <c r="B83" s="2">
        <f t="shared" si="11"/>
        <v>78</v>
      </c>
      <c r="C83" s="4">
        <f t="shared" si="12"/>
        <v>43.33</v>
      </c>
      <c r="D83" s="2">
        <v>15</v>
      </c>
      <c r="E83" s="2">
        <v>50.26548245743669</v>
      </c>
      <c r="F83" s="11">
        <f t="shared" si="0"/>
        <v>2.9841551829730379</v>
      </c>
      <c r="G83" s="2">
        <f t="shared" si="1"/>
        <v>129.30344407822173</v>
      </c>
      <c r="H83" s="2">
        <f t="shared" si="2"/>
        <v>2.5626288987746686</v>
      </c>
      <c r="I83" s="2">
        <f t="shared" si="3"/>
        <v>111.03871018390639</v>
      </c>
      <c r="J83" s="2">
        <f t="shared" si="4"/>
        <v>18.264733894315341</v>
      </c>
      <c r="K83" s="12">
        <v>0.36666666666666664</v>
      </c>
      <c r="L83" s="2">
        <f t="shared" si="14"/>
        <v>78</v>
      </c>
      <c r="M83" s="2">
        <f t="shared" si="15"/>
        <v>43.08</v>
      </c>
      <c r="N83" s="2">
        <v>13.5</v>
      </c>
      <c r="O83" s="2">
        <v>50.26548245743669</v>
      </c>
      <c r="P83" s="11">
        <f t="shared" si="5"/>
        <v>2.6857396646757339</v>
      </c>
      <c r="Q83" s="2">
        <f t="shared" si="6"/>
        <v>115.70166475423061</v>
      </c>
      <c r="R83" s="2">
        <f t="shared" si="7"/>
        <v>2.6419412748657432</v>
      </c>
      <c r="S83" s="2">
        <f t="shared" si="8"/>
        <v>113.8148301212162</v>
      </c>
      <c r="T83" s="2">
        <f t="shared" si="9"/>
        <v>1.8868346330144021</v>
      </c>
    </row>
    <row r="84" spans="1:20" x14ac:dyDescent="0.25">
      <c r="A84" s="14">
        <f t="shared" ref="A84:A121" si="18">IF(AND($A$83&lt;&gt;"",$A$122&lt;&gt;""), $A$83 + (B84 - $B$83) * (($A$122 - $A$83) / ($B$122 - $B$83)), "")</f>
        <v>0.39038461538461539</v>
      </c>
      <c r="B84" s="2">
        <f t="shared" si="11"/>
        <v>79</v>
      </c>
      <c r="C84" s="4">
        <f t="shared" si="12"/>
        <v>43.83</v>
      </c>
      <c r="D84" s="2">
        <v>15</v>
      </c>
      <c r="E84" s="2">
        <v>50.26548245743669</v>
      </c>
      <c r="F84" s="11">
        <f t="shared" si="0"/>
        <v>2.9841551829730379</v>
      </c>
      <c r="G84" s="2">
        <f t="shared" si="1"/>
        <v>130.79552166970825</v>
      </c>
      <c r="H84" s="2">
        <f t="shared" si="2"/>
        <v>2.5626288987746686</v>
      </c>
      <c r="I84" s="2">
        <f t="shared" si="3"/>
        <v>112.32002463329373</v>
      </c>
      <c r="J84" s="2">
        <f t="shared" si="4"/>
        <v>18.475497036414524</v>
      </c>
      <c r="K84" s="15">
        <f t="shared" ref="K84:K121" si="19">IF(AND($K$83&lt;&gt;"",$K$122&lt;&gt;""), $K$83 + (L84 - $L$83) * (($K$122 - $K$83) / ($L$122 - $L$83)), "")</f>
        <v>0.36677350427350425</v>
      </c>
      <c r="L84" s="2">
        <f t="shared" si="14"/>
        <v>79</v>
      </c>
      <c r="M84" s="2">
        <f t="shared" si="15"/>
        <v>43.58</v>
      </c>
      <c r="N84" s="2">
        <v>14.5</v>
      </c>
      <c r="O84" s="2">
        <v>50.26548245743669</v>
      </c>
      <c r="P84" s="11">
        <f t="shared" si="5"/>
        <v>2.8846833435406034</v>
      </c>
      <c r="Q84" s="2">
        <f t="shared" si="6"/>
        <v>125.71450011149949</v>
      </c>
      <c r="R84" s="2">
        <f t="shared" si="7"/>
        <v>2.6419412748657432</v>
      </c>
      <c r="S84" s="2">
        <f t="shared" si="8"/>
        <v>115.13580075864908</v>
      </c>
      <c r="T84" s="2">
        <f t="shared" si="9"/>
        <v>10.578699352850407</v>
      </c>
    </row>
    <row r="85" spans="1:20" x14ac:dyDescent="0.25">
      <c r="A85" s="14">
        <f t="shared" si="18"/>
        <v>0.39049145299145299</v>
      </c>
      <c r="B85" s="2">
        <f t="shared" si="11"/>
        <v>80</v>
      </c>
      <c r="C85" s="4">
        <f t="shared" si="12"/>
        <v>44.33</v>
      </c>
      <c r="D85" s="2">
        <v>14</v>
      </c>
      <c r="E85" s="2">
        <v>50.26548245743669</v>
      </c>
      <c r="F85" s="11">
        <f t="shared" si="0"/>
        <v>2.7852115041081689</v>
      </c>
      <c r="G85" s="2">
        <f t="shared" si="1"/>
        <v>123.46842597711512</v>
      </c>
      <c r="H85" s="2">
        <f t="shared" si="2"/>
        <v>2.5626288987746686</v>
      </c>
      <c r="I85" s="2">
        <f t="shared" si="3"/>
        <v>113.60133908268105</v>
      </c>
      <c r="J85" s="2">
        <f t="shared" si="4"/>
        <v>9.8670868944340668</v>
      </c>
      <c r="K85" s="15">
        <f t="shared" si="19"/>
        <v>0.36688034188034185</v>
      </c>
      <c r="L85" s="2">
        <f t="shared" si="14"/>
        <v>80</v>
      </c>
      <c r="M85" s="2">
        <f t="shared" si="15"/>
        <v>44.08</v>
      </c>
      <c r="N85" s="2">
        <v>15</v>
      </c>
      <c r="O85" s="2">
        <v>50.26548245743669</v>
      </c>
      <c r="P85" s="11">
        <f t="shared" si="5"/>
        <v>2.9841551829730379</v>
      </c>
      <c r="Q85" s="2">
        <f t="shared" si="6"/>
        <v>131.54156046545151</v>
      </c>
      <c r="R85" s="2">
        <f t="shared" si="7"/>
        <v>2.6419412748657432</v>
      </c>
      <c r="S85" s="2">
        <f t="shared" si="8"/>
        <v>116.45677139608195</v>
      </c>
      <c r="T85" s="2">
        <f t="shared" si="9"/>
        <v>15.084789069369563</v>
      </c>
    </row>
    <row r="86" spans="1:20" x14ac:dyDescent="0.25">
      <c r="A86" s="14">
        <f t="shared" si="18"/>
        <v>0.3905982905982906</v>
      </c>
      <c r="B86" s="2">
        <f t="shared" si="11"/>
        <v>81</v>
      </c>
      <c r="C86" s="4">
        <f t="shared" si="12"/>
        <v>44.83</v>
      </c>
      <c r="D86" s="2">
        <v>13</v>
      </c>
      <c r="E86" s="2">
        <v>50.26548245743669</v>
      </c>
      <c r="F86" s="11">
        <f t="shared" si="0"/>
        <v>2.5862678252432989</v>
      </c>
      <c r="G86" s="2">
        <f t="shared" si="1"/>
        <v>115.94238660565709</v>
      </c>
      <c r="H86" s="2">
        <f t="shared" si="2"/>
        <v>2.5626288987746686</v>
      </c>
      <c r="I86" s="2">
        <f t="shared" si="3"/>
        <v>114.88265353206839</v>
      </c>
      <c r="J86" s="2">
        <f t="shared" si="4"/>
        <v>1.0597330735887027</v>
      </c>
      <c r="K86" s="15">
        <f t="shared" si="19"/>
        <v>0.36698717948717946</v>
      </c>
      <c r="L86" s="2">
        <f t="shared" si="14"/>
        <v>81</v>
      </c>
      <c r="M86" s="2">
        <f t="shared" si="15"/>
        <v>44.58</v>
      </c>
      <c r="N86" s="2">
        <v>14.5</v>
      </c>
      <c r="O86" s="2">
        <v>50.26548245743669</v>
      </c>
      <c r="P86" s="11">
        <f t="shared" si="5"/>
        <v>2.8846833435406034</v>
      </c>
      <c r="Q86" s="2">
        <f t="shared" si="6"/>
        <v>128.59918345504011</v>
      </c>
      <c r="R86" s="2">
        <f t="shared" si="7"/>
        <v>2.6419412748657432</v>
      </c>
      <c r="S86" s="2">
        <f t="shared" si="8"/>
        <v>117.77774203351483</v>
      </c>
      <c r="T86" s="2">
        <f t="shared" si="9"/>
        <v>10.821441421525279</v>
      </c>
    </row>
    <row r="87" spans="1:20" x14ac:dyDescent="0.25">
      <c r="A87" s="14">
        <f t="shared" si="18"/>
        <v>0.3907051282051282</v>
      </c>
      <c r="B87" s="2">
        <f t="shared" si="11"/>
        <v>82</v>
      </c>
      <c r="C87" s="4">
        <f t="shared" si="12"/>
        <v>45.33</v>
      </c>
      <c r="D87" s="2">
        <v>13</v>
      </c>
      <c r="E87" s="2">
        <v>50.26548245743669</v>
      </c>
      <c r="F87" s="11">
        <f t="shared" si="0"/>
        <v>2.5862678252432989</v>
      </c>
      <c r="G87" s="2">
        <f t="shared" si="1"/>
        <v>117.23552051827873</v>
      </c>
      <c r="H87" s="2">
        <f t="shared" si="2"/>
        <v>2.5626288987746686</v>
      </c>
      <c r="I87" s="2">
        <f t="shared" si="3"/>
        <v>116.16396798145573</v>
      </c>
      <c r="J87" s="2">
        <f t="shared" si="4"/>
        <v>1.0715525368230061</v>
      </c>
      <c r="K87" s="15">
        <f t="shared" si="19"/>
        <v>0.36709401709401707</v>
      </c>
      <c r="L87" s="2">
        <f t="shared" si="14"/>
        <v>82</v>
      </c>
      <c r="M87" s="2">
        <f t="shared" si="15"/>
        <v>45.08</v>
      </c>
      <c r="N87" s="2">
        <v>13.5</v>
      </c>
      <c r="O87" s="2">
        <v>50.26548245743669</v>
      </c>
      <c r="P87" s="11">
        <f t="shared" si="5"/>
        <v>2.6857396646757339</v>
      </c>
      <c r="Q87" s="2">
        <f t="shared" si="6"/>
        <v>121.07314408358208</v>
      </c>
      <c r="R87" s="2">
        <f t="shared" si="7"/>
        <v>2.6419412748657432</v>
      </c>
      <c r="S87" s="2">
        <f t="shared" si="8"/>
        <v>119.09871267094769</v>
      </c>
      <c r="T87" s="2">
        <f t="shared" si="9"/>
        <v>1.974431412634388</v>
      </c>
    </row>
    <row r="88" spans="1:20" x14ac:dyDescent="0.25">
      <c r="A88" s="14">
        <f t="shared" si="18"/>
        <v>0.39081196581196581</v>
      </c>
      <c r="B88" s="2">
        <f t="shared" si="11"/>
        <v>83</v>
      </c>
      <c r="C88" s="4">
        <f t="shared" si="12"/>
        <v>45.83</v>
      </c>
      <c r="D88" s="2">
        <v>13.5</v>
      </c>
      <c r="E88" s="2">
        <v>50.26548245743669</v>
      </c>
      <c r="F88" s="11">
        <f t="shared" si="0"/>
        <v>2.6857396646757339</v>
      </c>
      <c r="G88" s="2">
        <f t="shared" si="1"/>
        <v>123.08744883208888</v>
      </c>
      <c r="H88" s="2">
        <f t="shared" si="2"/>
        <v>2.5626288987746686</v>
      </c>
      <c r="I88" s="2">
        <f t="shared" si="3"/>
        <v>117.44528243084305</v>
      </c>
      <c r="J88" s="2">
        <f t="shared" si="4"/>
        <v>5.6421664012458308</v>
      </c>
      <c r="K88" s="15">
        <f t="shared" si="19"/>
        <v>0.36720085470085467</v>
      </c>
      <c r="L88" s="2">
        <f t="shared" si="14"/>
        <v>83</v>
      </c>
      <c r="M88" s="2">
        <f t="shared" si="15"/>
        <v>45.58</v>
      </c>
      <c r="N88" s="2">
        <v>13.5</v>
      </c>
      <c r="O88" s="2">
        <v>50.26548245743669</v>
      </c>
      <c r="P88" s="11">
        <f t="shared" si="5"/>
        <v>2.6857396646757339</v>
      </c>
      <c r="Q88" s="2">
        <f t="shared" si="6"/>
        <v>122.41601391591995</v>
      </c>
      <c r="R88" s="2">
        <f t="shared" si="7"/>
        <v>2.6419412748657432</v>
      </c>
      <c r="S88" s="2">
        <f t="shared" si="8"/>
        <v>120.41968330838057</v>
      </c>
      <c r="T88" s="2">
        <f t="shared" si="9"/>
        <v>1.9963306075393774</v>
      </c>
    </row>
    <row r="89" spans="1:20" x14ac:dyDescent="0.25">
      <c r="A89" s="14">
        <f t="shared" si="18"/>
        <v>0.39091880341880342</v>
      </c>
      <c r="B89" s="2">
        <f t="shared" si="11"/>
        <v>84</v>
      </c>
      <c r="C89" s="4">
        <f t="shared" si="12"/>
        <v>46.33</v>
      </c>
      <c r="D89" s="2">
        <v>13.5</v>
      </c>
      <c r="E89" s="2">
        <v>50.26548245743669</v>
      </c>
      <c r="F89" s="11">
        <f t="shared" si="0"/>
        <v>2.6857396646757339</v>
      </c>
      <c r="G89" s="2">
        <f t="shared" si="1"/>
        <v>124.43031866442675</v>
      </c>
      <c r="H89" s="2">
        <f t="shared" si="2"/>
        <v>2.5626288987746686</v>
      </c>
      <c r="I89" s="2">
        <f t="shared" si="3"/>
        <v>118.72659688023039</v>
      </c>
      <c r="J89" s="2">
        <f t="shared" si="4"/>
        <v>5.703721784196361</v>
      </c>
      <c r="K89" s="15">
        <f t="shared" si="19"/>
        <v>0.36730769230769228</v>
      </c>
      <c r="L89" s="2">
        <f t="shared" si="14"/>
        <v>84</v>
      </c>
      <c r="M89" s="2">
        <f t="shared" si="15"/>
        <v>46.08</v>
      </c>
      <c r="N89" s="2">
        <v>14</v>
      </c>
      <c r="O89" s="2">
        <v>50.26548245743669</v>
      </c>
      <c r="P89" s="11">
        <f t="shared" si="5"/>
        <v>2.7852115041081689</v>
      </c>
      <c r="Q89" s="2">
        <f t="shared" si="6"/>
        <v>128.34254610930441</v>
      </c>
      <c r="R89" s="2">
        <f t="shared" si="7"/>
        <v>2.6419412748657432</v>
      </c>
      <c r="S89" s="2">
        <f t="shared" si="8"/>
        <v>121.74065394581343</v>
      </c>
      <c r="T89" s="2">
        <f t="shared" si="9"/>
        <v>6.6018921634909731</v>
      </c>
    </row>
    <row r="90" spans="1:20" x14ac:dyDescent="0.25">
      <c r="A90" s="14">
        <f t="shared" si="18"/>
        <v>0.39102564102564102</v>
      </c>
      <c r="B90" s="2">
        <f t="shared" si="11"/>
        <v>85</v>
      </c>
      <c r="C90" s="4">
        <f t="shared" si="12"/>
        <v>46.83</v>
      </c>
      <c r="D90" s="2">
        <v>14.5</v>
      </c>
      <c r="E90" s="2">
        <v>50.26548245743669</v>
      </c>
      <c r="F90" s="11">
        <f t="shared" si="0"/>
        <v>2.8846833435406034</v>
      </c>
      <c r="G90" s="2">
        <f t="shared" si="1"/>
        <v>135.08972097800645</v>
      </c>
      <c r="H90" s="2">
        <f t="shared" si="2"/>
        <v>2.5626288987746686</v>
      </c>
      <c r="I90" s="2">
        <f t="shared" si="3"/>
        <v>120.00791132961773</v>
      </c>
      <c r="J90" s="2">
        <f t="shared" si="4"/>
        <v>15.081809648388727</v>
      </c>
      <c r="K90" s="15">
        <f t="shared" si="19"/>
        <v>0.36741452991452989</v>
      </c>
      <c r="L90" s="2">
        <f t="shared" si="14"/>
        <v>85</v>
      </c>
      <c r="M90" s="2">
        <f t="shared" si="15"/>
        <v>46.58</v>
      </c>
      <c r="N90" s="2">
        <v>15.5</v>
      </c>
      <c r="O90" s="2">
        <v>50.26548245743669</v>
      </c>
      <c r="P90" s="11">
        <f t="shared" si="5"/>
        <v>3.0836270224054725</v>
      </c>
      <c r="Q90" s="2">
        <f t="shared" si="6"/>
        <v>143.63534670364692</v>
      </c>
      <c r="R90" s="2">
        <f t="shared" si="7"/>
        <v>2.6419412748657432</v>
      </c>
      <c r="S90" s="2">
        <f t="shared" si="8"/>
        <v>123.06162458324631</v>
      </c>
      <c r="T90" s="2">
        <f t="shared" si="9"/>
        <v>20.573722120400603</v>
      </c>
    </row>
    <row r="91" spans="1:20" x14ac:dyDescent="0.25">
      <c r="A91" s="14">
        <f t="shared" si="18"/>
        <v>0.39113247863247863</v>
      </c>
      <c r="B91" s="2">
        <f t="shared" si="11"/>
        <v>86</v>
      </c>
      <c r="C91" s="4">
        <f t="shared" si="12"/>
        <v>47.33</v>
      </c>
      <c r="D91" s="2">
        <v>13.5</v>
      </c>
      <c r="E91" s="2">
        <v>50.26548245743669</v>
      </c>
      <c r="F91" s="11">
        <f t="shared" si="0"/>
        <v>2.6857396646757339</v>
      </c>
      <c r="G91" s="2">
        <f t="shared" si="1"/>
        <v>127.11605832910249</v>
      </c>
      <c r="H91" s="2">
        <f t="shared" si="2"/>
        <v>2.5626288987746686</v>
      </c>
      <c r="I91" s="2">
        <f t="shared" si="3"/>
        <v>121.28922577900506</v>
      </c>
      <c r="J91" s="2">
        <f t="shared" si="4"/>
        <v>5.8268325500974214</v>
      </c>
      <c r="K91" s="15">
        <f t="shared" si="19"/>
        <v>0.36752136752136749</v>
      </c>
      <c r="L91" s="2">
        <f t="shared" si="14"/>
        <v>86</v>
      </c>
      <c r="M91" s="2">
        <f t="shared" si="15"/>
        <v>47.08</v>
      </c>
      <c r="N91" s="2">
        <v>15</v>
      </c>
      <c r="O91" s="2">
        <v>50.26548245743669</v>
      </c>
      <c r="P91" s="11">
        <f t="shared" si="5"/>
        <v>2.9841551829730379</v>
      </c>
      <c r="Q91" s="2">
        <f t="shared" si="6"/>
        <v>140.49402601437063</v>
      </c>
      <c r="R91" s="2">
        <f t="shared" si="7"/>
        <v>2.6419412748657432</v>
      </c>
      <c r="S91" s="2">
        <f t="shared" si="8"/>
        <v>124.38259522067918</v>
      </c>
      <c r="T91" s="2">
        <f t="shared" si="9"/>
        <v>16.111430793691454</v>
      </c>
    </row>
    <row r="92" spans="1:20" x14ac:dyDescent="0.25">
      <c r="A92" s="14">
        <f t="shared" si="18"/>
        <v>0.39123931623931624</v>
      </c>
      <c r="B92" s="2">
        <f t="shared" si="11"/>
        <v>87</v>
      </c>
      <c r="C92" s="4">
        <f t="shared" si="12"/>
        <v>47.83</v>
      </c>
      <c r="D92" s="2">
        <v>13.5</v>
      </c>
      <c r="E92" s="2">
        <v>50.26548245743669</v>
      </c>
      <c r="F92" s="11">
        <f t="shared" si="0"/>
        <v>2.6857396646757339</v>
      </c>
      <c r="G92" s="2">
        <f t="shared" si="1"/>
        <v>128.45892816144035</v>
      </c>
      <c r="H92" s="2">
        <f t="shared" si="2"/>
        <v>2.5626288987746686</v>
      </c>
      <c r="I92" s="2">
        <f t="shared" si="3"/>
        <v>122.57054022839239</v>
      </c>
      <c r="J92" s="2">
        <f t="shared" si="4"/>
        <v>5.8883879330479658</v>
      </c>
      <c r="K92" s="15">
        <f t="shared" si="19"/>
        <v>0.3676282051282051</v>
      </c>
      <c r="L92" s="2">
        <f t="shared" si="14"/>
        <v>87</v>
      </c>
      <c r="M92" s="2">
        <f t="shared" si="15"/>
        <v>47.58</v>
      </c>
      <c r="N92" s="2">
        <v>14</v>
      </c>
      <c r="O92" s="2">
        <v>50.26548245743669</v>
      </c>
      <c r="P92" s="11">
        <f t="shared" si="5"/>
        <v>2.7852115041081689</v>
      </c>
      <c r="Q92" s="2">
        <f t="shared" si="6"/>
        <v>132.52036336546666</v>
      </c>
      <c r="R92" s="2">
        <f t="shared" si="7"/>
        <v>2.6419412748657432</v>
      </c>
      <c r="S92" s="2">
        <f t="shared" si="8"/>
        <v>125.70356585811206</v>
      </c>
      <c r="T92" s="2">
        <f t="shared" si="9"/>
        <v>6.8167975073546074</v>
      </c>
    </row>
    <row r="93" spans="1:20" x14ac:dyDescent="0.25">
      <c r="A93" s="14">
        <f t="shared" si="18"/>
        <v>0.39134615384615384</v>
      </c>
      <c r="B93" s="2">
        <f t="shared" si="11"/>
        <v>88</v>
      </c>
      <c r="C93" s="4">
        <f t="shared" si="12"/>
        <v>48.33</v>
      </c>
      <c r="D93" s="2">
        <v>13.5</v>
      </c>
      <c r="E93" s="2">
        <v>50.26548245743669</v>
      </c>
      <c r="F93" s="11">
        <f t="shared" si="0"/>
        <v>2.6857396646757339</v>
      </c>
      <c r="G93" s="2">
        <f t="shared" si="1"/>
        <v>129.80179799377822</v>
      </c>
      <c r="H93" s="2">
        <f t="shared" si="2"/>
        <v>2.5626288987746686</v>
      </c>
      <c r="I93" s="2">
        <f t="shared" si="3"/>
        <v>123.85185467777973</v>
      </c>
      <c r="J93" s="2">
        <f t="shared" si="4"/>
        <v>5.949943315998496</v>
      </c>
      <c r="K93" s="15">
        <f t="shared" si="19"/>
        <v>0.36773504273504271</v>
      </c>
      <c r="L93" s="2">
        <f t="shared" si="14"/>
        <v>88</v>
      </c>
      <c r="M93" s="2">
        <f t="shared" si="15"/>
        <v>48.08</v>
      </c>
      <c r="N93" s="2">
        <v>14</v>
      </c>
      <c r="O93" s="2">
        <v>50.26548245743669</v>
      </c>
      <c r="P93" s="11">
        <f t="shared" si="5"/>
        <v>2.7852115041081689</v>
      </c>
      <c r="Q93" s="2">
        <f t="shared" si="6"/>
        <v>133.91296911752076</v>
      </c>
      <c r="R93" s="2">
        <f t="shared" si="7"/>
        <v>2.6419412748657432</v>
      </c>
      <c r="S93" s="2">
        <f t="shared" si="8"/>
        <v>127.02453649554492</v>
      </c>
      <c r="T93" s="2">
        <f t="shared" si="9"/>
        <v>6.8884326219758378</v>
      </c>
    </row>
    <row r="94" spans="1:20" x14ac:dyDescent="0.25">
      <c r="A94" s="14">
        <f t="shared" si="18"/>
        <v>0.39145299145299145</v>
      </c>
      <c r="B94" s="2">
        <f t="shared" si="11"/>
        <v>89</v>
      </c>
      <c r="C94" s="4">
        <f t="shared" si="12"/>
        <v>48.83</v>
      </c>
      <c r="D94" s="2">
        <v>4</v>
      </c>
      <c r="E94" s="2">
        <v>50.26548245743669</v>
      </c>
      <c r="F94" s="11">
        <f t="shared" si="0"/>
        <v>0.79577471545947676</v>
      </c>
      <c r="G94" s="2">
        <f t="shared" si="1"/>
        <v>38.857679355886248</v>
      </c>
      <c r="H94" s="2">
        <f t="shared" si="2"/>
        <v>2.5626288987746686</v>
      </c>
      <c r="I94" s="2">
        <f t="shared" si="3"/>
        <v>125.13316912716706</v>
      </c>
      <c r="J94" s="2">
        <f t="shared" si="4"/>
        <v>86.275489771280817</v>
      </c>
      <c r="K94" s="15">
        <f t="shared" si="19"/>
        <v>0.36784188034188031</v>
      </c>
      <c r="L94" s="2">
        <f t="shared" si="14"/>
        <v>89</v>
      </c>
      <c r="M94" s="2">
        <f t="shared" si="15"/>
        <v>48.58</v>
      </c>
      <c r="N94" s="2">
        <v>13</v>
      </c>
      <c r="O94" s="2">
        <v>50.26548245743669</v>
      </c>
      <c r="P94" s="11">
        <f t="shared" si="5"/>
        <v>2.5862678252432989</v>
      </c>
      <c r="Q94" s="2">
        <f t="shared" si="6"/>
        <v>125.64089095031946</v>
      </c>
      <c r="R94" s="2">
        <f t="shared" si="7"/>
        <v>2.6419412748657432</v>
      </c>
      <c r="S94" s="2">
        <f t="shared" si="8"/>
        <v>128.34550713297779</v>
      </c>
      <c r="T94" s="2">
        <f t="shared" si="9"/>
        <v>2.7046161826583273</v>
      </c>
    </row>
    <row r="95" spans="1:20" x14ac:dyDescent="0.25">
      <c r="A95" s="14">
        <f t="shared" si="18"/>
        <v>0.39155982905982906</v>
      </c>
      <c r="B95" s="2">
        <f t="shared" si="11"/>
        <v>90</v>
      </c>
      <c r="C95" s="4">
        <f t="shared" si="12"/>
        <v>49.33</v>
      </c>
      <c r="D95" s="2">
        <v>14</v>
      </c>
      <c r="E95" s="2">
        <v>50.26548245743669</v>
      </c>
      <c r="F95" s="11">
        <f t="shared" si="0"/>
        <v>2.7852115041081689</v>
      </c>
      <c r="G95" s="2">
        <f t="shared" si="1"/>
        <v>137.39448349765595</v>
      </c>
      <c r="H95" s="2">
        <f t="shared" si="2"/>
        <v>2.5626288987746686</v>
      </c>
      <c r="I95" s="2">
        <f t="shared" si="3"/>
        <v>126.4144835765544</v>
      </c>
      <c r="J95" s="2">
        <f t="shared" si="4"/>
        <v>10.979999921101552</v>
      </c>
      <c r="K95" s="15">
        <f t="shared" si="19"/>
        <v>0.36794871794871792</v>
      </c>
      <c r="L95" s="2">
        <f t="shared" si="14"/>
        <v>90</v>
      </c>
      <c r="M95" s="2">
        <f t="shared" si="15"/>
        <v>49.08</v>
      </c>
      <c r="N95" s="2">
        <v>14.5</v>
      </c>
      <c r="O95" s="2">
        <v>50.26548245743669</v>
      </c>
      <c r="P95" s="11">
        <f t="shared" si="5"/>
        <v>2.8846833435406034</v>
      </c>
      <c r="Q95" s="2">
        <f t="shared" si="6"/>
        <v>141.5802585009728</v>
      </c>
      <c r="R95" s="2">
        <f t="shared" si="7"/>
        <v>2.6419412748657432</v>
      </c>
      <c r="S95" s="2">
        <f t="shared" si="8"/>
        <v>129.66647777041067</v>
      </c>
      <c r="T95" s="2">
        <f t="shared" si="9"/>
        <v>11.913780730562138</v>
      </c>
    </row>
    <row r="96" spans="1:20" x14ac:dyDescent="0.25">
      <c r="A96" s="14">
        <f t="shared" si="18"/>
        <v>0.39166666666666666</v>
      </c>
      <c r="B96" s="2">
        <f t="shared" si="11"/>
        <v>91</v>
      </c>
      <c r="C96" s="4">
        <f t="shared" si="12"/>
        <v>49.83</v>
      </c>
      <c r="D96" s="2">
        <v>14.5</v>
      </c>
      <c r="E96" s="2">
        <v>50.26548245743669</v>
      </c>
      <c r="F96" s="11">
        <f t="shared" si="0"/>
        <v>2.8846833435406034</v>
      </c>
      <c r="G96" s="2">
        <f t="shared" si="1"/>
        <v>143.74377100862827</v>
      </c>
      <c r="H96" s="2">
        <f t="shared" si="2"/>
        <v>2.5626288987746686</v>
      </c>
      <c r="I96" s="2">
        <f t="shared" si="3"/>
        <v>127.69579802594173</v>
      </c>
      <c r="J96" s="2">
        <f t="shared" si="4"/>
        <v>16.047972982686545</v>
      </c>
      <c r="K96" s="15">
        <f t="shared" si="19"/>
        <v>0.36805555555555552</v>
      </c>
      <c r="L96" s="2">
        <f t="shared" si="14"/>
        <v>91</v>
      </c>
      <c r="M96" s="2">
        <f t="shared" si="15"/>
        <v>49.58</v>
      </c>
      <c r="N96" s="2">
        <v>14.5</v>
      </c>
      <c r="O96" s="2">
        <v>50.26548245743669</v>
      </c>
      <c r="P96" s="11">
        <f t="shared" si="5"/>
        <v>2.8846833435406034</v>
      </c>
      <c r="Q96" s="2">
        <f t="shared" si="6"/>
        <v>143.02260017274313</v>
      </c>
      <c r="R96" s="2">
        <f t="shared" si="7"/>
        <v>2.6419412748657432</v>
      </c>
      <c r="S96" s="2">
        <f t="shared" si="8"/>
        <v>130.98744840784354</v>
      </c>
      <c r="T96" s="2">
        <f t="shared" si="9"/>
        <v>12.035151764899581</v>
      </c>
    </row>
    <row r="97" spans="1:20" x14ac:dyDescent="0.25">
      <c r="A97" s="14">
        <f t="shared" si="18"/>
        <v>0.39177350427350427</v>
      </c>
      <c r="B97" s="2">
        <f t="shared" si="11"/>
        <v>92</v>
      </c>
      <c r="C97" s="4">
        <f t="shared" si="12"/>
        <v>50.33</v>
      </c>
      <c r="D97" s="2">
        <v>16</v>
      </c>
      <c r="E97" s="2">
        <v>50.26548245743669</v>
      </c>
      <c r="F97" s="11">
        <f t="shared" si="0"/>
        <v>3.183098861837907</v>
      </c>
      <c r="G97" s="2">
        <f t="shared" si="1"/>
        <v>160.20536571630186</v>
      </c>
      <c r="H97" s="2">
        <f t="shared" si="2"/>
        <v>2.5626288987746686</v>
      </c>
      <c r="I97" s="2">
        <f t="shared" si="3"/>
        <v>128.97711247532908</v>
      </c>
      <c r="J97" s="2">
        <f t="shared" si="4"/>
        <v>31.228253240972776</v>
      </c>
      <c r="K97" s="15">
        <f t="shared" si="19"/>
        <v>0.36816239316239313</v>
      </c>
      <c r="L97" s="2">
        <f t="shared" si="14"/>
        <v>92</v>
      </c>
      <c r="M97" s="2">
        <f t="shared" si="15"/>
        <v>50.08</v>
      </c>
      <c r="N97" s="2">
        <v>15.5</v>
      </c>
      <c r="O97" s="2">
        <v>50.26548245743669</v>
      </c>
      <c r="P97" s="11">
        <f t="shared" si="5"/>
        <v>3.0836270224054725</v>
      </c>
      <c r="Q97" s="2">
        <f t="shared" si="6"/>
        <v>154.42804128206606</v>
      </c>
      <c r="R97" s="2">
        <f t="shared" si="7"/>
        <v>2.6419412748657432</v>
      </c>
      <c r="S97" s="2">
        <f t="shared" si="8"/>
        <v>132.30841904527642</v>
      </c>
      <c r="T97" s="2">
        <f t="shared" si="9"/>
        <v>22.119622236789638</v>
      </c>
    </row>
    <row r="98" spans="1:20" x14ac:dyDescent="0.25">
      <c r="A98" s="14">
        <f t="shared" si="18"/>
        <v>0.39188034188034188</v>
      </c>
      <c r="B98" s="2">
        <f t="shared" si="11"/>
        <v>93</v>
      </c>
      <c r="C98" s="4">
        <f t="shared" si="12"/>
        <v>50.83</v>
      </c>
      <c r="D98" s="2">
        <v>14</v>
      </c>
      <c r="E98" s="2">
        <v>50.26548245743669</v>
      </c>
      <c r="F98" s="11">
        <f t="shared" si="0"/>
        <v>2.7852115041081689</v>
      </c>
      <c r="G98" s="2">
        <f t="shared" si="1"/>
        <v>141.57230075381821</v>
      </c>
      <c r="H98" s="2">
        <f t="shared" si="2"/>
        <v>2.5626288987746686</v>
      </c>
      <c r="I98" s="2">
        <f t="shared" si="3"/>
        <v>130.25842692471639</v>
      </c>
      <c r="J98" s="2">
        <f t="shared" si="4"/>
        <v>11.313873829101823</v>
      </c>
      <c r="K98" s="15">
        <f t="shared" si="19"/>
        <v>0.36826923076923074</v>
      </c>
      <c r="L98" s="2">
        <f t="shared" si="14"/>
        <v>93</v>
      </c>
      <c r="M98" s="2">
        <f t="shared" si="15"/>
        <v>50.58</v>
      </c>
      <c r="N98" s="2">
        <v>14</v>
      </c>
      <c r="O98" s="2">
        <v>50.26548245743669</v>
      </c>
      <c r="P98" s="11">
        <f t="shared" si="5"/>
        <v>2.7852115041081689</v>
      </c>
      <c r="Q98" s="2">
        <f t="shared" si="6"/>
        <v>140.87599787779118</v>
      </c>
      <c r="R98" s="2">
        <f t="shared" si="7"/>
        <v>2.6419412748657432</v>
      </c>
      <c r="S98" s="2">
        <f t="shared" si="8"/>
        <v>133.62938968270927</v>
      </c>
      <c r="T98" s="2">
        <f t="shared" si="9"/>
        <v>7.2466081950819046</v>
      </c>
    </row>
    <row r="99" spans="1:20" x14ac:dyDescent="0.25">
      <c r="A99" s="14">
        <f t="shared" si="18"/>
        <v>0.39198717948717948</v>
      </c>
      <c r="B99" s="2">
        <f t="shared" si="11"/>
        <v>94</v>
      </c>
      <c r="C99" s="4">
        <f t="shared" si="12"/>
        <v>51.33</v>
      </c>
      <c r="D99" s="2">
        <v>12</v>
      </c>
      <c r="E99" s="2">
        <v>50.26548245743669</v>
      </c>
      <c r="F99" s="11">
        <f t="shared" si="0"/>
        <v>2.3873241463784298</v>
      </c>
      <c r="G99" s="2">
        <f t="shared" si="1"/>
        <v>122.5413484336048</v>
      </c>
      <c r="H99" s="2">
        <f t="shared" si="2"/>
        <v>2.5626288987746686</v>
      </c>
      <c r="I99" s="2">
        <f t="shared" si="3"/>
        <v>131.53974137410373</v>
      </c>
      <c r="J99" s="2">
        <f t="shared" si="4"/>
        <v>8.9983929404989311</v>
      </c>
      <c r="K99" s="15">
        <f t="shared" si="19"/>
        <v>0.36837606837606834</v>
      </c>
      <c r="L99" s="2">
        <f t="shared" si="14"/>
        <v>94</v>
      </c>
      <c r="M99" s="2">
        <f t="shared" si="15"/>
        <v>51.08</v>
      </c>
      <c r="N99" s="2">
        <v>13.5</v>
      </c>
      <c r="O99" s="2">
        <v>50.26548245743669</v>
      </c>
      <c r="P99" s="11">
        <f t="shared" si="5"/>
        <v>2.6857396646757339</v>
      </c>
      <c r="Q99" s="2">
        <f t="shared" si="6"/>
        <v>137.18758207163648</v>
      </c>
      <c r="R99" s="2">
        <f t="shared" si="7"/>
        <v>2.6419412748657432</v>
      </c>
      <c r="S99" s="2">
        <f t="shared" si="8"/>
        <v>134.95036032014215</v>
      </c>
      <c r="T99" s="2">
        <f t="shared" si="9"/>
        <v>2.2372217514943316</v>
      </c>
    </row>
    <row r="100" spans="1:20" x14ac:dyDescent="0.25">
      <c r="A100" s="14">
        <f t="shared" si="18"/>
        <v>0.39209401709401709</v>
      </c>
      <c r="B100" s="2">
        <f t="shared" si="11"/>
        <v>95</v>
      </c>
      <c r="C100" s="4">
        <f t="shared" si="12"/>
        <v>51.83</v>
      </c>
      <c r="D100" s="2">
        <v>12</v>
      </c>
      <c r="E100" s="2">
        <v>50.26548245743669</v>
      </c>
      <c r="F100" s="11">
        <f t="shared" si="0"/>
        <v>2.3873241463784298</v>
      </c>
      <c r="G100" s="2">
        <f t="shared" si="1"/>
        <v>123.73501050679401</v>
      </c>
      <c r="H100" s="2">
        <f t="shared" si="2"/>
        <v>2.5626288987746686</v>
      </c>
      <c r="I100" s="2">
        <f t="shared" si="3"/>
        <v>132.82105582349106</v>
      </c>
      <c r="J100" s="2">
        <f t="shared" si="4"/>
        <v>9.086045316697053</v>
      </c>
      <c r="K100" s="15">
        <f t="shared" si="19"/>
        <v>0.36848290598290595</v>
      </c>
      <c r="L100" s="2">
        <f t="shared" si="14"/>
        <v>95</v>
      </c>
      <c r="M100" s="2">
        <f t="shared" si="15"/>
        <v>51.58</v>
      </c>
      <c r="N100" s="2">
        <v>12</v>
      </c>
      <c r="O100" s="2">
        <v>50.26548245743669</v>
      </c>
      <c r="P100" s="11">
        <f t="shared" si="5"/>
        <v>2.3873241463784298</v>
      </c>
      <c r="Q100" s="2">
        <f t="shared" si="6"/>
        <v>123.1381794701994</v>
      </c>
      <c r="R100" s="2">
        <f t="shared" si="7"/>
        <v>2.6419412748657432</v>
      </c>
      <c r="S100" s="2">
        <f t="shared" si="8"/>
        <v>136.27133095757503</v>
      </c>
      <c r="T100" s="2">
        <f t="shared" si="9"/>
        <v>13.133151487375628</v>
      </c>
    </row>
    <row r="101" spans="1:20" x14ac:dyDescent="0.25">
      <c r="A101" s="14">
        <f t="shared" si="18"/>
        <v>0.3922008547008547</v>
      </c>
      <c r="B101" s="2">
        <f t="shared" si="11"/>
        <v>96</v>
      </c>
      <c r="C101" s="4">
        <f t="shared" si="12"/>
        <v>52.33</v>
      </c>
      <c r="D101" s="2">
        <v>12</v>
      </c>
      <c r="E101" s="2">
        <v>50.26548245743669</v>
      </c>
      <c r="F101" s="11">
        <f t="shared" si="0"/>
        <v>2.3873241463784298</v>
      </c>
      <c r="G101" s="2">
        <f t="shared" si="1"/>
        <v>124.92867257998323</v>
      </c>
      <c r="H101" s="2">
        <f t="shared" si="2"/>
        <v>2.5626288987746686</v>
      </c>
      <c r="I101" s="2">
        <f t="shared" si="3"/>
        <v>134.1023702728784</v>
      </c>
      <c r="J101" s="2">
        <f t="shared" si="4"/>
        <v>9.1736976928951748</v>
      </c>
      <c r="K101" s="15">
        <f t="shared" si="19"/>
        <v>0.36858974358974356</v>
      </c>
      <c r="L101" s="2">
        <f t="shared" si="14"/>
        <v>96</v>
      </c>
      <c r="M101" s="2">
        <f t="shared" si="15"/>
        <v>52.08</v>
      </c>
      <c r="N101" s="2">
        <v>12.5</v>
      </c>
      <c r="O101" s="2">
        <v>50.26548245743669</v>
      </c>
      <c r="P101" s="11">
        <f t="shared" si="5"/>
        <v>2.4867959858108648</v>
      </c>
      <c r="Q101" s="2">
        <f t="shared" si="6"/>
        <v>129.51233494102985</v>
      </c>
      <c r="R101" s="2">
        <f t="shared" si="7"/>
        <v>2.6419412748657432</v>
      </c>
      <c r="S101" s="2">
        <f t="shared" si="8"/>
        <v>137.59230159500791</v>
      </c>
      <c r="T101" s="2">
        <f t="shared" si="9"/>
        <v>8.0799666539780617</v>
      </c>
    </row>
    <row r="102" spans="1:20" x14ac:dyDescent="0.25">
      <c r="A102" s="14">
        <f t="shared" si="18"/>
        <v>0.3923076923076923</v>
      </c>
      <c r="B102" s="2">
        <f t="shared" si="11"/>
        <v>97</v>
      </c>
      <c r="C102" s="4">
        <f t="shared" si="12"/>
        <v>52.83</v>
      </c>
      <c r="D102" s="2">
        <v>11.5</v>
      </c>
      <c r="E102" s="2">
        <v>50.26548245743669</v>
      </c>
      <c r="F102" s="11">
        <f t="shared" si="0"/>
        <v>2.2878523069459957</v>
      </c>
      <c r="G102" s="2">
        <f t="shared" si="1"/>
        <v>120.86723737595695</v>
      </c>
      <c r="H102" s="2">
        <f t="shared" si="2"/>
        <v>2.5626288987746686</v>
      </c>
      <c r="I102" s="2">
        <f t="shared" si="3"/>
        <v>135.38368472226574</v>
      </c>
      <c r="J102" s="2">
        <f t="shared" si="4"/>
        <v>14.516447346308794</v>
      </c>
      <c r="K102" s="15">
        <f t="shared" si="19"/>
        <v>0.36869658119658116</v>
      </c>
      <c r="L102" s="2">
        <f t="shared" si="14"/>
        <v>97</v>
      </c>
      <c r="M102" s="2">
        <f t="shared" si="15"/>
        <v>52.58</v>
      </c>
      <c r="N102" s="2">
        <v>12.5</v>
      </c>
      <c r="O102" s="2">
        <v>50.26548245743669</v>
      </c>
      <c r="P102" s="11">
        <f t="shared" si="5"/>
        <v>2.4867959858108648</v>
      </c>
      <c r="Q102" s="2">
        <f t="shared" si="6"/>
        <v>130.75573293393526</v>
      </c>
      <c r="R102" s="2">
        <f t="shared" si="7"/>
        <v>2.6419412748657432</v>
      </c>
      <c r="S102" s="2">
        <f t="shared" si="8"/>
        <v>138.91327223244076</v>
      </c>
      <c r="T102" s="2">
        <f t="shared" si="9"/>
        <v>8.1575392985054975</v>
      </c>
    </row>
    <row r="103" spans="1:20" x14ac:dyDescent="0.25">
      <c r="A103" s="14">
        <f t="shared" si="18"/>
        <v>0.39241452991452991</v>
      </c>
      <c r="B103" s="2">
        <f t="shared" si="11"/>
        <v>98</v>
      </c>
      <c r="C103" s="4">
        <f t="shared" si="12"/>
        <v>53.33</v>
      </c>
      <c r="D103" s="2">
        <v>10</v>
      </c>
      <c r="E103" s="2">
        <v>50.26548245743669</v>
      </c>
      <c r="F103" s="11">
        <f t="shared" si="0"/>
        <v>1.9894367886486919</v>
      </c>
      <c r="G103" s="2">
        <f t="shared" si="1"/>
        <v>106.09666393863473</v>
      </c>
      <c r="H103" s="2">
        <f t="shared" si="2"/>
        <v>2.5626288987746686</v>
      </c>
      <c r="I103" s="2">
        <f t="shared" si="3"/>
        <v>136.66499917165308</v>
      </c>
      <c r="J103" s="2">
        <f t="shared" si="4"/>
        <v>30.568335233018345</v>
      </c>
      <c r="K103" s="15">
        <f t="shared" si="19"/>
        <v>0.36880341880341883</v>
      </c>
      <c r="L103" s="2">
        <f t="shared" si="14"/>
        <v>98</v>
      </c>
      <c r="M103" s="2">
        <f t="shared" si="15"/>
        <v>53.08</v>
      </c>
      <c r="N103" s="2">
        <v>11.5</v>
      </c>
      <c r="O103" s="2">
        <v>50.26548245743669</v>
      </c>
      <c r="P103" s="11">
        <f t="shared" si="5"/>
        <v>2.2878523069459957</v>
      </c>
      <c r="Q103" s="2">
        <f t="shared" si="6"/>
        <v>121.43920045269346</v>
      </c>
      <c r="R103" s="2">
        <f t="shared" si="7"/>
        <v>2.6419412748657432</v>
      </c>
      <c r="S103" s="2">
        <f t="shared" si="8"/>
        <v>140.23424286987364</v>
      </c>
      <c r="T103" s="2">
        <f t="shared" si="9"/>
        <v>18.795042417180184</v>
      </c>
    </row>
    <row r="104" spans="1:20" x14ac:dyDescent="0.25">
      <c r="A104" s="14">
        <f t="shared" si="18"/>
        <v>0.39252136752136751</v>
      </c>
      <c r="B104" s="2">
        <f t="shared" si="11"/>
        <v>99</v>
      </c>
      <c r="C104" s="4">
        <f t="shared" si="12"/>
        <v>53.83</v>
      </c>
      <c r="D104" s="2">
        <v>10.5</v>
      </c>
      <c r="E104" s="2">
        <v>50.26548245743669</v>
      </c>
      <c r="F104" s="11">
        <f t="shared" si="0"/>
        <v>2.0889086280811267</v>
      </c>
      <c r="G104" s="2">
        <f t="shared" si="1"/>
        <v>112.44595144960705</v>
      </c>
      <c r="H104" s="2">
        <f t="shared" si="2"/>
        <v>2.5626288987746686</v>
      </c>
      <c r="I104" s="2">
        <f t="shared" si="3"/>
        <v>137.94631362104042</v>
      </c>
      <c r="J104" s="2">
        <f t="shared" si="4"/>
        <v>25.500362171433366</v>
      </c>
      <c r="K104" s="15">
        <f t="shared" si="19"/>
        <v>0.36891025641025643</v>
      </c>
      <c r="L104" s="2">
        <f t="shared" si="14"/>
        <v>99</v>
      </c>
      <c r="M104" s="2">
        <f t="shared" si="15"/>
        <v>53.58</v>
      </c>
      <c r="N104" s="2">
        <v>10</v>
      </c>
      <c r="O104" s="2">
        <v>50.26548245743669</v>
      </c>
      <c r="P104" s="11">
        <f t="shared" si="5"/>
        <v>1.9894367886486919</v>
      </c>
      <c r="Q104" s="2">
        <f t="shared" si="6"/>
        <v>106.5940231357969</v>
      </c>
      <c r="R104" s="2">
        <f t="shared" si="7"/>
        <v>2.6419412748657432</v>
      </c>
      <c r="S104" s="2">
        <f t="shared" si="8"/>
        <v>141.55521350730652</v>
      </c>
      <c r="T104" s="2">
        <f t="shared" si="9"/>
        <v>34.961190371509616</v>
      </c>
    </row>
    <row r="105" spans="1:20" x14ac:dyDescent="0.25">
      <c r="A105" s="14">
        <f t="shared" si="18"/>
        <v>0.39262820512820512</v>
      </c>
      <c r="B105" s="2">
        <f t="shared" si="11"/>
        <v>100</v>
      </c>
      <c r="C105" s="4">
        <f t="shared" si="12"/>
        <v>54.33</v>
      </c>
      <c r="D105" s="2">
        <v>10.5</v>
      </c>
      <c r="E105" s="2">
        <v>50.26548245743669</v>
      </c>
      <c r="F105" s="11">
        <f t="shared" si="0"/>
        <v>2.0889086280811267</v>
      </c>
      <c r="G105" s="2">
        <f t="shared" si="1"/>
        <v>113.4904057636476</v>
      </c>
      <c r="H105" s="2">
        <f t="shared" si="2"/>
        <v>2.5626288987746686</v>
      </c>
      <c r="I105" s="2">
        <f t="shared" si="3"/>
        <v>139.22762807042773</v>
      </c>
      <c r="J105" s="2">
        <f t="shared" si="4"/>
        <v>25.737222306780126</v>
      </c>
      <c r="K105" s="15">
        <f t="shared" si="19"/>
        <v>0.36901709401709404</v>
      </c>
      <c r="L105" s="2">
        <f t="shared" si="14"/>
        <v>100</v>
      </c>
      <c r="M105" s="2">
        <f t="shared" si="15"/>
        <v>54.08</v>
      </c>
      <c r="N105" s="2">
        <v>10</v>
      </c>
      <c r="O105" s="2">
        <v>50.26548245743669</v>
      </c>
      <c r="P105" s="11">
        <f t="shared" si="5"/>
        <v>1.9894367886486919</v>
      </c>
      <c r="Q105" s="2">
        <f t="shared" si="6"/>
        <v>107.58874153012125</v>
      </c>
      <c r="R105" s="2">
        <f t="shared" si="7"/>
        <v>2.6419412748657432</v>
      </c>
      <c r="S105" s="2">
        <f t="shared" si="8"/>
        <v>142.8761841447394</v>
      </c>
      <c r="T105" s="2">
        <f t="shared" si="9"/>
        <v>35.287442614618143</v>
      </c>
    </row>
    <row r="106" spans="1:20" x14ac:dyDescent="0.25">
      <c r="A106" s="14">
        <f t="shared" si="18"/>
        <v>0.39273504273504273</v>
      </c>
      <c r="B106" s="2">
        <f t="shared" si="11"/>
        <v>101</v>
      </c>
      <c r="C106" s="4">
        <f t="shared" si="12"/>
        <v>54.83</v>
      </c>
      <c r="D106" s="2">
        <v>11</v>
      </c>
      <c r="E106" s="2">
        <v>50.26548245743669</v>
      </c>
      <c r="F106" s="11">
        <f t="shared" si="0"/>
        <v>2.1883804675135607</v>
      </c>
      <c r="G106" s="2">
        <f t="shared" si="1"/>
        <v>119.98890103376853</v>
      </c>
      <c r="H106" s="2">
        <f t="shared" si="2"/>
        <v>2.5626288987746686</v>
      </c>
      <c r="I106" s="2">
        <f t="shared" si="3"/>
        <v>140.50894251981506</v>
      </c>
      <c r="J106" s="2">
        <f t="shared" si="4"/>
        <v>20.520041486046537</v>
      </c>
      <c r="K106" s="15">
        <f t="shared" si="19"/>
        <v>0.36912393162393164</v>
      </c>
      <c r="L106" s="2">
        <f t="shared" si="14"/>
        <v>101</v>
      </c>
      <c r="M106" s="2">
        <f t="shared" si="15"/>
        <v>54.58</v>
      </c>
      <c r="N106" s="2">
        <v>10.5</v>
      </c>
      <c r="O106" s="2">
        <v>50.26548245743669</v>
      </c>
      <c r="P106" s="11">
        <f t="shared" si="5"/>
        <v>2.0889086280811267</v>
      </c>
      <c r="Q106" s="2">
        <f t="shared" si="6"/>
        <v>114.01263292066788</v>
      </c>
      <c r="R106" s="2">
        <f t="shared" si="7"/>
        <v>2.6419412748657432</v>
      </c>
      <c r="S106" s="2">
        <f t="shared" si="8"/>
        <v>144.19715478217225</v>
      </c>
      <c r="T106" s="2">
        <f t="shared" si="9"/>
        <v>30.184521861504365</v>
      </c>
    </row>
    <row r="107" spans="1:20" x14ac:dyDescent="0.25">
      <c r="A107" s="14">
        <f t="shared" si="18"/>
        <v>0.39284188034188033</v>
      </c>
      <c r="B107" s="2">
        <f t="shared" si="11"/>
        <v>102</v>
      </c>
      <c r="C107" s="4">
        <f t="shared" si="12"/>
        <v>55.33</v>
      </c>
      <c r="D107" s="2">
        <v>10.5</v>
      </c>
      <c r="E107" s="2">
        <v>50.26548245743669</v>
      </c>
      <c r="F107" s="11">
        <f t="shared" si="0"/>
        <v>2.0889086280811267</v>
      </c>
      <c r="G107" s="2">
        <f t="shared" si="1"/>
        <v>115.57931439172873</v>
      </c>
      <c r="H107" s="2">
        <f t="shared" si="2"/>
        <v>2.5626288987746686</v>
      </c>
      <c r="I107" s="2">
        <f t="shared" si="3"/>
        <v>141.7902569692024</v>
      </c>
      <c r="J107" s="2">
        <f t="shared" si="4"/>
        <v>26.210942577473674</v>
      </c>
      <c r="K107" s="15">
        <f t="shared" si="19"/>
        <v>0.36923076923076925</v>
      </c>
      <c r="L107" s="2">
        <f t="shared" si="14"/>
        <v>102</v>
      </c>
      <c r="M107" s="2">
        <f t="shared" si="15"/>
        <v>55.08</v>
      </c>
      <c r="N107" s="2">
        <v>10</v>
      </c>
      <c r="O107" s="2">
        <v>50.26548245743669</v>
      </c>
      <c r="P107" s="11">
        <f t="shared" si="5"/>
        <v>1.9894367886486919</v>
      </c>
      <c r="Q107" s="2">
        <f t="shared" si="6"/>
        <v>109.57817831876994</v>
      </c>
      <c r="R107" s="2">
        <f t="shared" si="7"/>
        <v>2.6419412748657432</v>
      </c>
      <c r="S107" s="2">
        <f t="shared" si="8"/>
        <v>145.51812541960513</v>
      </c>
      <c r="T107" s="2">
        <f t="shared" si="9"/>
        <v>35.939947100835184</v>
      </c>
    </row>
    <row r="108" spans="1:20" x14ac:dyDescent="0.25">
      <c r="A108" s="14">
        <f t="shared" si="18"/>
        <v>0.39294871794871794</v>
      </c>
      <c r="B108" s="2">
        <f t="shared" si="11"/>
        <v>103</v>
      </c>
      <c r="C108" s="4">
        <f t="shared" si="12"/>
        <v>55.83</v>
      </c>
      <c r="D108" s="2">
        <v>9.5</v>
      </c>
      <c r="E108" s="2">
        <v>50.26548245743669</v>
      </c>
      <c r="F108" s="11">
        <f t="shared" si="0"/>
        <v>1.8899649492162571</v>
      </c>
      <c r="G108" s="2">
        <f t="shared" si="1"/>
        <v>105.51674311474363</v>
      </c>
      <c r="H108" s="2">
        <f t="shared" si="2"/>
        <v>2.5626288987746686</v>
      </c>
      <c r="I108" s="2">
        <f t="shared" si="3"/>
        <v>143.07157141858974</v>
      </c>
      <c r="J108" s="2">
        <f t="shared" si="4"/>
        <v>37.554828303846108</v>
      </c>
      <c r="K108" s="15">
        <f t="shared" si="19"/>
        <v>0.36933760683760686</v>
      </c>
      <c r="L108" s="2">
        <f t="shared" si="14"/>
        <v>103</v>
      </c>
      <c r="M108" s="2">
        <f t="shared" si="15"/>
        <v>55.58</v>
      </c>
      <c r="N108" s="2">
        <v>11.5</v>
      </c>
      <c r="O108" s="2">
        <v>50.26548245743669</v>
      </c>
      <c r="P108" s="11">
        <f t="shared" si="5"/>
        <v>2.2878523069459957</v>
      </c>
      <c r="Q108" s="2">
        <f t="shared" si="6"/>
        <v>127.15883122005845</v>
      </c>
      <c r="R108" s="2">
        <f t="shared" si="7"/>
        <v>2.6419412748657432</v>
      </c>
      <c r="S108" s="2">
        <f t="shared" si="8"/>
        <v>146.83909605703801</v>
      </c>
      <c r="T108" s="2">
        <f t="shared" si="9"/>
        <v>19.680264836979561</v>
      </c>
    </row>
    <row r="109" spans="1:20" x14ac:dyDescent="0.25">
      <c r="A109" s="14">
        <f t="shared" si="18"/>
        <v>0.39305555555555555</v>
      </c>
      <c r="B109" s="21">
        <f t="shared" si="11"/>
        <v>104</v>
      </c>
      <c r="C109" s="22">
        <f t="shared" si="12"/>
        <v>56.33</v>
      </c>
      <c r="D109" s="21">
        <v>10.5</v>
      </c>
      <c r="E109" s="2">
        <v>50.26548245743669</v>
      </c>
      <c r="F109" s="11">
        <f t="shared" si="0"/>
        <v>2.0889086280811267</v>
      </c>
      <c r="G109" s="2">
        <f t="shared" si="1"/>
        <v>117.66822301980986</v>
      </c>
      <c r="H109" s="2">
        <f t="shared" si="2"/>
        <v>2.5626288987746686</v>
      </c>
      <c r="I109" s="2">
        <f t="shared" si="3"/>
        <v>144.35288586797708</v>
      </c>
      <c r="J109" s="2">
        <f t="shared" si="4"/>
        <v>26.684662848167221</v>
      </c>
      <c r="K109" s="15">
        <f t="shared" si="19"/>
        <v>0.36944444444444446</v>
      </c>
      <c r="L109" s="21">
        <f t="shared" si="14"/>
        <v>104</v>
      </c>
      <c r="M109" s="21">
        <f t="shared" si="15"/>
        <v>56.08</v>
      </c>
      <c r="N109" s="21">
        <v>10.5</v>
      </c>
      <c r="O109" s="2">
        <v>50.26548245743669</v>
      </c>
      <c r="P109" s="11">
        <f t="shared" si="5"/>
        <v>2.0889086280811267</v>
      </c>
      <c r="Q109" s="2">
        <f t="shared" si="6"/>
        <v>117.14599586278958</v>
      </c>
      <c r="R109" s="2">
        <f t="shared" si="7"/>
        <v>2.6419412748657432</v>
      </c>
      <c r="S109" s="2">
        <f t="shared" si="8"/>
        <v>148.16006669447088</v>
      </c>
      <c r="T109" s="2">
        <f t="shared" si="9"/>
        <v>31.014070831681309</v>
      </c>
    </row>
    <row r="110" spans="1:20" x14ac:dyDescent="0.25">
      <c r="A110" s="14">
        <f t="shared" si="18"/>
        <v>0.39316239316239315</v>
      </c>
      <c r="B110" s="21">
        <f t="shared" si="11"/>
        <v>105</v>
      </c>
      <c r="C110" s="22">
        <f>C109+1.5</f>
        <v>57.83</v>
      </c>
      <c r="D110" s="21">
        <v>10.5</v>
      </c>
      <c r="E110" s="2">
        <v>50.26548245743669</v>
      </c>
      <c r="F110" s="11">
        <f t="shared" si="0"/>
        <v>2.0889086280811267</v>
      </c>
      <c r="G110" s="2">
        <f t="shared" si="1"/>
        <v>120.80158596193155</v>
      </c>
      <c r="H110" s="2">
        <f t="shared" si="2"/>
        <v>2.5626288987746686</v>
      </c>
      <c r="I110" s="2">
        <f t="shared" si="3"/>
        <v>148.19682921613909</v>
      </c>
      <c r="J110" s="2">
        <f t="shared" si="4"/>
        <v>27.395243254207543</v>
      </c>
      <c r="K110" s="15">
        <f t="shared" si="19"/>
        <v>0.36955128205128207</v>
      </c>
      <c r="L110" s="21">
        <f t="shared" si="14"/>
        <v>105</v>
      </c>
      <c r="M110" s="21">
        <f>M109+1.5</f>
        <v>57.58</v>
      </c>
      <c r="N110" s="21">
        <v>11.5</v>
      </c>
      <c r="O110" s="2">
        <v>50.26548245743669</v>
      </c>
      <c r="P110" s="11">
        <f t="shared" si="5"/>
        <v>2.2878523069459957</v>
      </c>
      <c r="Q110" s="2">
        <f t="shared" si="6"/>
        <v>131.73453583395042</v>
      </c>
      <c r="R110" s="2">
        <f t="shared" si="7"/>
        <v>2.6419412748657432</v>
      </c>
      <c r="S110" s="2">
        <f t="shared" si="8"/>
        <v>152.12297860676949</v>
      </c>
      <c r="T110" s="2">
        <f t="shared" si="9"/>
        <v>20.388442772819076</v>
      </c>
    </row>
    <row r="111" spans="1:20" x14ac:dyDescent="0.25">
      <c r="A111" s="14">
        <f t="shared" si="18"/>
        <v>0.39326923076923076</v>
      </c>
      <c r="B111" s="21">
        <f t="shared" si="11"/>
        <v>106</v>
      </c>
      <c r="C111" s="22">
        <f t="shared" ref="C111:C162" si="20">C110+0.5</f>
        <v>58.33</v>
      </c>
      <c r="D111" s="21">
        <v>10.5</v>
      </c>
      <c r="E111" s="2">
        <v>50.26548245743669</v>
      </c>
      <c r="F111" s="11">
        <f t="shared" si="0"/>
        <v>2.0889086280811267</v>
      </c>
      <c r="G111" s="2">
        <f t="shared" si="1"/>
        <v>121.84604027597211</v>
      </c>
      <c r="H111" s="2">
        <f t="shared" si="2"/>
        <v>2.5626288987746686</v>
      </c>
      <c r="I111" s="2">
        <f t="shared" si="3"/>
        <v>149.4781436655264</v>
      </c>
      <c r="J111" s="2">
        <f t="shared" si="4"/>
        <v>27.632103389554288</v>
      </c>
      <c r="K111" s="15">
        <f t="shared" si="19"/>
        <v>0.36965811965811968</v>
      </c>
      <c r="L111" s="21">
        <f t="shared" si="14"/>
        <v>106</v>
      </c>
      <c r="M111" s="21">
        <f t="shared" ref="M111:M162" si="21">M110+0.5</f>
        <v>58.08</v>
      </c>
      <c r="N111" s="21">
        <v>11</v>
      </c>
      <c r="O111" s="2">
        <v>50.26548245743669</v>
      </c>
      <c r="P111" s="11">
        <f t="shared" si="5"/>
        <v>2.1883804675135607</v>
      </c>
      <c r="Q111" s="2">
        <f t="shared" si="6"/>
        <v>127.1011375531876</v>
      </c>
      <c r="R111" s="2">
        <f t="shared" si="7"/>
        <v>2.6419412748657432</v>
      </c>
      <c r="S111" s="2">
        <f t="shared" si="8"/>
        <v>153.44394924420234</v>
      </c>
      <c r="T111" s="2">
        <f t="shared" si="9"/>
        <v>26.342811691014745</v>
      </c>
    </row>
    <row r="112" spans="1:20" x14ac:dyDescent="0.25">
      <c r="A112" s="14">
        <f t="shared" si="18"/>
        <v>0.39337606837606837</v>
      </c>
      <c r="B112" s="2">
        <f t="shared" si="11"/>
        <v>107</v>
      </c>
      <c r="C112" s="4">
        <f t="shared" si="20"/>
        <v>58.83</v>
      </c>
      <c r="D112" s="2">
        <v>12</v>
      </c>
      <c r="E112" s="2">
        <v>50.26548245743669</v>
      </c>
      <c r="F112" s="11">
        <f t="shared" si="0"/>
        <v>2.3873241463784298</v>
      </c>
      <c r="G112" s="2">
        <f t="shared" si="1"/>
        <v>140.44627953144303</v>
      </c>
      <c r="H112" s="2">
        <f t="shared" si="2"/>
        <v>2.5626288987746686</v>
      </c>
      <c r="I112" s="2">
        <f t="shared" si="3"/>
        <v>150.75945811491374</v>
      </c>
      <c r="J112" s="2">
        <f t="shared" si="4"/>
        <v>10.313178583470716</v>
      </c>
      <c r="K112" s="15">
        <f t="shared" si="19"/>
        <v>0.36976495726495728</v>
      </c>
      <c r="L112" s="2">
        <f t="shared" si="14"/>
        <v>107</v>
      </c>
      <c r="M112" s="2">
        <f t="shared" si="21"/>
        <v>58.58</v>
      </c>
      <c r="N112" s="2">
        <v>11</v>
      </c>
      <c r="O112" s="2">
        <v>50.26548245743669</v>
      </c>
      <c r="P112" s="11">
        <f t="shared" si="5"/>
        <v>2.1883804675135607</v>
      </c>
      <c r="Q112" s="2">
        <f t="shared" si="6"/>
        <v>128.19532778694438</v>
      </c>
      <c r="R112" s="2">
        <f t="shared" si="7"/>
        <v>2.6419412748657432</v>
      </c>
      <c r="S112" s="2">
        <f t="shared" si="8"/>
        <v>154.76491988163522</v>
      </c>
      <c r="T112" s="2">
        <f t="shared" si="9"/>
        <v>26.569592094690847</v>
      </c>
    </row>
    <row r="113" spans="1:20" x14ac:dyDescent="0.25">
      <c r="A113" s="14">
        <f t="shared" si="18"/>
        <v>0.39348290598290597</v>
      </c>
      <c r="B113" s="2">
        <f t="shared" si="11"/>
        <v>108</v>
      </c>
      <c r="C113" s="4">
        <f t="shared" si="20"/>
        <v>59.33</v>
      </c>
      <c r="D113" s="2">
        <v>10.5</v>
      </c>
      <c r="E113" s="2">
        <v>50.26548245743669</v>
      </c>
      <c r="F113" s="11">
        <f t="shared" si="0"/>
        <v>2.0889086280811267</v>
      </c>
      <c r="G113" s="2">
        <f t="shared" si="1"/>
        <v>123.93494890405324</v>
      </c>
      <c r="H113" s="2">
        <f t="shared" si="2"/>
        <v>2.5626288987746686</v>
      </c>
      <c r="I113" s="2">
        <f t="shared" si="3"/>
        <v>152.04077256430108</v>
      </c>
      <c r="J113" s="2">
        <f t="shared" si="4"/>
        <v>28.105823660247836</v>
      </c>
      <c r="K113" s="15">
        <f t="shared" si="19"/>
        <v>0.36987179487179489</v>
      </c>
      <c r="L113" s="2">
        <f t="shared" si="14"/>
        <v>108</v>
      </c>
      <c r="M113" s="2">
        <f t="shared" si="21"/>
        <v>59.08</v>
      </c>
      <c r="N113" s="2">
        <v>10.5</v>
      </c>
      <c r="O113" s="2">
        <v>50.26548245743669</v>
      </c>
      <c r="P113" s="11">
        <f t="shared" si="5"/>
        <v>2.0889086280811267</v>
      </c>
      <c r="Q113" s="2">
        <f t="shared" si="6"/>
        <v>123.41272174703296</v>
      </c>
      <c r="R113" s="2">
        <f t="shared" si="7"/>
        <v>2.6419412748657432</v>
      </c>
      <c r="S113" s="2">
        <f t="shared" si="8"/>
        <v>156.0858905190681</v>
      </c>
      <c r="T113" s="2">
        <f t="shared" si="9"/>
        <v>32.67316877203514</v>
      </c>
    </row>
    <row r="114" spans="1:20" x14ac:dyDescent="0.25">
      <c r="A114" s="14">
        <f t="shared" si="18"/>
        <v>0.39358974358974358</v>
      </c>
      <c r="B114" s="2">
        <f t="shared" si="11"/>
        <v>109</v>
      </c>
      <c r="C114" s="4">
        <f t="shared" si="20"/>
        <v>59.83</v>
      </c>
      <c r="D114" s="2">
        <v>8.5</v>
      </c>
      <c r="E114" s="2">
        <v>50.26548245743669</v>
      </c>
      <c r="F114" s="11">
        <f t="shared" si="0"/>
        <v>1.6910212703513881</v>
      </c>
      <c r="G114" s="2">
        <f t="shared" si="1"/>
        <v>101.17380260512354</v>
      </c>
      <c r="H114" s="2">
        <f t="shared" si="2"/>
        <v>2.5626288987746686</v>
      </c>
      <c r="I114" s="2">
        <f t="shared" si="3"/>
        <v>153.32208701368842</v>
      </c>
      <c r="J114" s="2">
        <f t="shared" si="4"/>
        <v>52.148284408564876</v>
      </c>
      <c r="K114" s="15">
        <f t="shared" si="19"/>
        <v>0.3699786324786325</v>
      </c>
      <c r="L114" s="2">
        <f t="shared" si="14"/>
        <v>109</v>
      </c>
      <c r="M114" s="2">
        <f t="shared" si="21"/>
        <v>59.58</v>
      </c>
      <c r="N114" s="2">
        <v>10.5</v>
      </c>
      <c r="O114" s="2">
        <v>50.26548245743669</v>
      </c>
      <c r="P114" s="11">
        <f t="shared" si="5"/>
        <v>2.0889086280811267</v>
      </c>
      <c r="Q114" s="2">
        <f t="shared" si="6"/>
        <v>124.45717606107353</v>
      </c>
      <c r="R114" s="2">
        <f t="shared" si="7"/>
        <v>2.6419412748657432</v>
      </c>
      <c r="S114" s="2">
        <f t="shared" si="8"/>
        <v>157.40686115650098</v>
      </c>
      <c r="T114" s="2">
        <f t="shared" si="9"/>
        <v>32.949685095427455</v>
      </c>
    </row>
    <row r="115" spans="1:20" x14ac:dyDescent="0.25">
      <c r="A115" s="14">
        <f t="shared" si="18"/>
        <v>0.39369658119658119</v>
      </c>
      <c r="B115" s="2">
        <f t="shared" si="11"/>
        <v>110</v>
      </c>
      <c r="C115" s="4">
        <f t="shared" si="20"/>
        <v>60.33</v>
      </c>
      <c r="D115" s="2">
        <v>9.5</v>
      </c>
      <c r="E115" s="2">
        <v>50.26548245743669</v>
      </c>
      <c r="F115" s="11">
        <f t="shared" si="0"/>
        <v>1.8899649492162571</v>
      </c>
      <c r="G115" s="2">
        <f t="shared" si="1"/>
        <v>114.02158538621678</v>
      </c>
      <c r="H115" s="2">
        <f t="shared" si="2"/>
        <v>2.5626288987746686</v>
      </c>
      <c r="I115" s="2">
        <f t="shared" si="3"/>
        <v>154.60340146307576</v>
      </c>
      <c r="J115" s="2">
        <f t="shared" si="4"/>
        <v>40.581816076858971</v>
      </c>
      <c r="K115" s="15">
        <f t="shared" si="19"/>
        <v>0.3700854700854701</v>
      </c>
      <c r="L115" s="2">
        <f t="shared" si="14"/>
        <v>110</v>
      </c>
      <c r="M115" s="2">
        <f t="shared" si="21"/>
        <v>60.08</v>
      </c>
      <c r="N115" s="2">
        <v>10</v>
      </c>
      <c r="O115" s="2">
        <v>50.26548245743669</v>
      </c>
      <c r="P115" s="11">
        <f t="shared" si="5"/>
        <v>1.9894367886486919</v>
      </c>
      <c r="Q115" s="2">
        <f t="shared" si="6"/>
        <v>119.5253622620134</v>
      </c>
      <c r="R115" s="2">
        <f t="shared" si="7"/>
        <v>2.6419412748657432</v>
      </c>
      <c r="S115" s="2">
        <f t="shared" si="8"/>
        <v>158.72783179393383</v>
      </c>
      <c r="T115" s="2">
        <f t="shared" si="9"/>
        <v>39.202469531920428</v>
      </c>
    </row>
    <row r="116" spans="1:20" x14ac:dyDescent="0.25">
      <c r="A116" s="14">
        <f t="shared" si="18"/>
        <v>0.39380341880341879</v>
      </c>
      <c r="B116" s="2">
        <f t="shared" si="11"/>
        <v>111</v>
      </c>
      <c r="C116" s="4">
        <f t="shared" si="20"/>
        <v>60.83</v>
      </c>
      <c r="D116" s="2">
        <v>9.5</v>
      </c>
      <c r="E116" s="2">
        <v>50.26548245743669</v>
      </c>
      <c r="F116" s="11">
        <f t="shared" si="0"/>
        <v>1.8899649492162571</v>
      </c>
      <c r="G116" s="2">
        <f t="shared" si="1"/>
        <v>114.96656786082492</v>
      </c>
      <c r="H116" s="2">
        <f t="shared" si="2"/>
        <v>2.5626288987746686</v>
      </c>
      <c r="I116" s="2">
        <f t="shared" si="3"/>
        <v>155.88471591246309</v>
      </c>
      <c r="J116" s="2">
        <f t="shared" si="4"/>
        <v>40.91814805163817</v>
      </c>
      <c r="K116" s="15">
        <f t="shared" si="19"/>
        <v>0.37019230769230771</v>
      </c>
      <c r="L116" s="2">
        <f t="shared" si="14"/>
        <v>111</v>
      </c>
      <c r="M116" s="2">
        <f t="shared" si="21"/>
        <v>60.58</v>
      </c>
      <c r="N116" s="2">
        <v>10</v>
      </c>
      <c r="O116" s="2">
        <v>50.26548245743669</v>
      </c>
      <c r="P116" s="11">
        <f t="shared" si="5"/>
        <v>1.9894367886486919</v>
      </c>
      <c r="Q116" s="2">
        <f t="shared" si="6"/>
        <v>120.52008065633775</v>
      </c>
      <c r="R116" s="2">
        <f t="shared" si="7"/>
        <v>2.6419412748657432</v>
      </c>
      <c r="S116" s="2">
        <f t="shared" si="8"/>
        <v>160.04880243136671</v>
      </c>
      <c r="T116" s="2">
        <f t="shared" si="9"/>
        <v>39.528721775028956</v>
      </c>
    </row>
    <row r="117" spans="1:20" x14ac:dyDescent="0.25">
      <c r="A117" s="14">
        <f t="shared" si="18"/>
        <v>0.3939102564102564</v>
      </c>
      <c r="B117" s="2">
        <f t="shared" si="11"/>
        <v>112</v>
      </c>
      <c r="C117" s="4">
        <f t="shared" si="20"/>
        <v>61.33</v>
      </c>
      <c r="D117" s="2">
        <v>9</v>
      </c>
      <c r="E117" s="2">
        <v>50.26548245743669</v>
      </c>
      <c r="F117" s="11">
        <f t="shared" si="0"/>
        <v>1.7904931097838226</v>
      </c>
      <c r="G117" s="2">
        <f t="shared" si="1"/>
        <v>109.81094242304184</v>
      </c>
      <c r="H117" s="2">
        <f t="shared" si="2"/>
        <v>2.5626288987746686</v>
      </c>
      <c r="I117" s="2">
        <f t="shared" si="3"/>
        <v>157.16603036185043</v>
      </c>
      <c r="J117" s="2">
        <f t="shared" si="4"/>
        <v>47.355087938808595</v>
      </c>
      <c r="K117" s="15">
        <f t="shared" si="19"/>
        <v>0.37029914529914532</v>
      </c>
      <c r="L117" s="2">
        <f t="shared" si="14"/>
        <v>112</v>
      </c>
      <c r="M117" s="2">
        <f t="shared" si="21"/>
        <v>61.08</v>
      </c>
      <c r="N117" s="2">
        <v>9.5</v>
      </c>
      <c r="O117" s="2">
        <v>50.26548245743669</v>
      </c>
      <c r="P117" s="11">
        <f t="shared" si="5"/>
        <v>1.8899649492162571</v>
      </c>
      <c r="Q117" s="2">
        <f t="shared" si="6"/>
        <v>115.43905909812898</v>
      </c>
      <c r="R117" s="2">
        <f t="shared" si="7"/>
        <v>2.6419412748657432</v>
      </c>
      <c r="S117" s="2">
        <f t="shared" si="8"/>
        <v>161.36977306879959</v>
      </c>
      <c r="T117" s="2">
        <f t="shared" si="9"/>
        <v>45.93071397067061</v>
      </c>
    </row>
    <row r="118" spans="1:20" x14ac:dyDescent="0.25">
      <c r="A118" s="14">
        <f t="shared" si="18"/>
        <v>0.39401709401709401</v>
      </c>
      <c r="B118" s="2">
        <f t="shared" si="11"/>
        <v>113</v>
      </c>
      <c r="C118" s="4">
        <f t="shared" si="20"/>
        <v>61.83</v>
      </c>
      <c r="D118" s="2">
        <v>9</v>
      </c>
      <c r="E118" s="2">
        <v>50.26548245743669</v>
      </c>
      <c r="F118" s="11">
        <f t="shared" si="0"/>
        <v>1.7904931097838226</v>
      </c>
      <c r="G118" s="2">
        <f t="shared" si="1"/>
        <v>110.70618897793375</v>
      </c>
      <c r="H118" s="2">
        <f t="shared" si="2"/>
        <v>2.5626288987746686</v>
      </c>
      <c r="I118" s="2">
        <f t="shared" si="3"/>
        <v>158.44734481123774</v>
      </c>
      <c r="J118" s="2">
        <f t="shared" si="4"/>
        <v>47.741155833303992</v>
      </c>
      <c r="K118" s="15">
        <f t="shared" si="19"/>
        <v>0.37040598290598292</v>
      </c>
      <c r="L118" s="2">
        <f t="shared" si="14"/>
        <v>113</v>
      </c>
      <c r="M118" s="2">
        <f t="shared" si="21"/>
        <v>61.58</v>
      </c>
      <c r="N118" s="2">
        <v>9.5</v>
      </c>
      <c r="O118" s="2">
        <v>50.26548245743669</v>
      </c>
      <c r="P118" s="11">
        <f t="shared" si="5"/>
        <v>1.8899649492162571</v>
      </c>
      <c r="Q118" s="2">
        <f t="shared" si="6"/>
        <v>116.3840415727371</v>
      </c>
      <c r="R118" s="2">
        <f t="shared" si="7"/>
        <v>2.6419412748657432</v>
      </c>
      <c r="S118" s="2">
        <f t="shared" si="8"/>
        <v>162.69074370623247</v>
      </c>
      <c r="T118" s="2">
        <f t="shared" si="9"/>
        <v>46.306702133495364</v>
      </c>
    </row>
    <row r="119" spans="1:20" x14ac:dyDescent="0.25">
      <c r="A119" s="14">
        <f t="shared" si="18"/>
        <v>0.39412393162393161</v>
      </c>
      <c r="B119" s="2">
        <f t="shared" si="11"/>
        <v>114</v>
      </c>
      <c r="C119" s="4">
        <f t="shared" si="20"/>
        <v>62.33</v>
      </c>
      <c r="D119" s="2">
        <v>10</v>
      </c>
      <c r="E119" s="2">
        <v>50.26548245743669</v>
      </c>
      <c r="F119" s="11">
        <f t="shared" si="0"/>
        <v>1.9894367886486919</v>
      </c>
      <c r="G119" s="2">
        <f t="shared" si="1"/>
        <v>124.00159503647296</v>
      </c>
      <c r="H119" s="2">
        <f t="shared" si="2"/>
        <v>2.5626288987746686</v>
      </c>
      <c r="I119" s="2">
        <f t="shared" si="3"/>
        <v>159.72865926062508</v>
      </c>
      <c r="J119" s="2">
        <f t="shared" si="4"/>
        <v>35.727064224152116</v>
      </c>
      <c r="K119" s="15">
        <f t="shared" si="19"/>
        <v>0.37051282051282053</v>
      </c>
      <c r="L119" s="2">
        <f t="shared" si="14"/>
        <v>114</v>
      </c>
      <c r="M119" s="2">
        <f t="shared" si="21"/>
        <v>62.08</v>
      </c>
      <c r="N119" s="2">
        <v>10</v>
      </c>
      <c r="O119" s="2">
        <v>50.26548245743669</v>
      </c>
      <c r="P119" s="11">
        <f t="shared" si="5"/>
        <v>1.9894367886486919</v>
      </c>
      <c r="Q119" s="2">
        <f t="shared" si="6"/>
        <v>123.50423583931079</v>
      </c>
      <c r="R119" s="2">
        <f t="shared" si="7"/>
        <v>2.6419412748657432</v>
      </c>
      <c r="S119" s="2">
        <f t="shared" si="8"/>
        <v>164.01171434366532</v>
      </c>
      <c r="T119" s="2">
        <f t="shared" si="9"/>
        <v>40.507478504354523</v>
      </c>
    </row>
    <row r="120" spans="1:20" x14ac:dyDescent="0.25">
      <c r="A120" s="14">
        <f t="shared" si="18"/>
        <v>0.39423076923076922</v>
      </c>
      <c r="B120" s="2">
        <f t="shared" si="11"/>
        <v>115</v>
      </c>
      <c r="C120" s="4">
        <f t="shared" si="20"/>
        <v>62.83</v>
      </c>
      <c r="D120" s="2">
        <v>11</v>
      </c>
      <c r="E120" s="2">
        <v>50.26548245743669</v>
      </c>
      <c r="F120" s="11">
        <f t="shared" si="0"/>
        <v>2.1883804675135607</v>
      </c>
      <c r="G120" s="2">
        <f t="shared" si="1"/>
        <v>137.49594477387703</v>
      </c>
      <c r="H120" s="2">
        <f t="shared" si="2"/>
        <v>2.5626288987746686</v>
      </c>
      <c r="I120" s="2">
        <f t="shared" si="3"/>
        <v>161.00997371001242</v>
      </c>
      <c r="J120" s="2">
        <f t="shared" si="4"/>
        <v>23.514028936135389</v>
      </c>
      <c r="K120" s="15">
        <f t="shared" si="19"/>
        <v>0.37061965811965814</v>
      </c>
      <c r="L120" s="2">
        <f t="shared" si="14"/>
        <v>115</v>
      </c>
      <c r="M120" s="2">
        <f t="shared" si="21"/>
        <v>62.58</v>
      </c>
      <c r="N120" s="2">
        <v>11</v>
      </c>
      <c r="O120" s="2">
        <v>50.26548245743669</v>
      </c>
      <c r="P120" s="11">
        <f t="shared" si="5"/>
        <v>2.1883804675135607</v>
      </c>
      <c r="Q120" s="2">
        <f t="shared" si="6"/>
        <v>136.94884965699862</v>
      </c>
      <c r="R120" s="2">
        <f t="shared" si="7"/>
        <v>2.6419412748657432</v>
      </c>
      <c r="S120" s="2">
        <f t="shared" si="8"/>
        <v>165.3326849810982</v>
      </c>
      <c r="T120" s="2">
        <f t="shared" si="9"/>
        <v>28.383835324099579</v>
      </c>
    </row>
    <row r="121" spans="1:20" x14ac:dyDescent="0.25">
      <c r="A121" s="14">
        <f t="shared" si="18"/>
        <v>0.39433760683760682</v>
      </c>
      <c r="B121" s="2">
        <f t="shared" si="11"/>
        <v>116</v>
      </c>
      <c r="C121" s="4">
        <f t="shared" si="20"/>
        <v>63.33</v>
      </c>
      <c r="D121" s="2">
        <v>10</v>
      </c>
      <c r="E121" s="2">
        <v>50.26548245743669</v>
      </c>
      <c r="F121" s="11">
        <f t="shared" si="0"/>
        <v>1.9894367886486919</v>
      </c>
      <c r="G121" s="2">
        <f t="shared" si="1"/>
        <v>125.99103182512165</v>
      </c>
      <c r="H121" s="2">
        <f t="shared" si="2"/>
        <v>2.5626288987746686</v>
      </c>
      <c r="I121" s="2">
        <f t="shared" si="3"/>
        <v>162.29128815939976</v>
      </c>
      <c r="J121" s="2">
        <f t="shared" si="4"/>
        <v>36.300256334278103</v>
      </c>
      <c r="K121" s="15">
        <f t="shared" si="19"/>
        <v>0.37072649572649574</v>
      </c>
      <c r="L121" s="2">
        <f t="shared" si="14"/>
        <v>116</v>
      </c>
      <c r="M121" s="2">
        <f t="shared" si="21"/>
        <v>63.08</v>
      </c>
      <c r="N121" s="2">
        <v>13.5</v>
      </c>
      <c r="O121" s="2">
        <v>50.26548245743669</v>
      </c>
      <c r="P121" s="11">
        <f t="shared" si="5"/>
        <v>2.6857396646757339</v>
      </c>
      <c r="Q121" s="2">
        <f t="shared" si="6"/>
        <v>169.41645804774529</v>
      </c>
      <c r="R121" s="2">
        <f t="shared" si="7"/>
        <v>2.6419412748657432</v>
      </c>
      <c r="S121" s="2">
        <f t="shared" si="8"/>
        <v>166.65365561853108</v>
      </c>
      <c r="T121" s="2">
        <f t="shared" si="9"/>
        <v>2.7628024292142186</v>
      </c>
    </row>
    <row r="122" spans="1:20" x14ac:dyDescent="0.25">
      <c r="A122" s="10">
        <v>0.39444444444444443</v>
      </c>
      <c r="B122" s="2">
        <f t="shared" si="11"/>
        <v>117</v>
      </c>
      <c r="C122" s="4">
        <f t="shared" si="20"/>
        <v>63.83</v>
      </c>
      <c r="D122" s="2">
        <v>10</v>
      </c>
      <c r="E122" s="2">
        <v>50.26548245743669</v>
      </c>
      <c r="F122" s="11">
        <f t="shared" si="0"/>
        <v>1.9894367886486919</v>
      </c>
      <c r="G122" s="2">
        <f t="shared" si="1"/>
        <v>126.985750219446</v>
      </c>
      <c r="H122" s="2">
        <f t="shared" si="2"/>
        <v>2.5626288987746686</v>
      </c>
      <c r="I122" s="2">
        <f t="shared" si="3"/>
        <v>163.57260260878709</v>
      </c>
      <c r="J122" s="2">
        <f t="shared" si="4"/>
        <v>36.58685238934109</v>
      </c>
      <c r="K122" s="12">
        <v>0.37083333333333335</v>
      </c>
      <c r="L122" s="2">
        <f t="shared" si="14"/>
        <v>117</v>
      </c>
      <c r="M122" s="2">
        <f t="shared" si="21"/>
        <v>63.58</v>
      </c>
      <c r="N122" s="2">
        <v>11.5</v>
      </c>
      <c r="O122" s="2">
        <v>50.26548245743669</v>
      </c>
      <c r="P122" s="11">
        <f t="shared" si="5"/>
        <v>2.2878523069459957</v>
      </c>
      <c r="Q122" s="2">
        <f t="shared" si="6"/>
        <v>145.4616496756264</v>
      </c>
      <c r="R122" s="2">
        <f t="shared" si="7"/>
        <v>2.6419412748657432</v>
      </c>
      <c r="S122" s="2">
        <f t="shared" si="8"/>
        <v>167.97462625596395</v>
      </c>
      <c r="T122" s="2">
        <f t="shared" si="9"/>
        <v>22.512976580337551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0.39455128205128204</v>
      </c>
      <c r="B123" s="2">
        <f t="shared" si="11"/>
        <v>118</v>
      </c>
      <c r="C123" s="4">
        <f t="shared" si="20"/>
        <v>64.33</v>
      </c>
      <c r="D123" s="2">
        <v>11</v>
      </c>
      <c r="E123" s="2">
        <v>50.26548245743669</v>
      </c>
      <c r="F123" s="11">
        <f t="shared" si="0"/>
        <v>2.1883804675135607</v>
      </c>
      <c r="G123" s="2">
        <f t="shared" si="1"/>
        <v>140.77851547514737</v>
      </c>
      <c r="H123" s="2">
        <f t="shared" si="2"/>
        <v>2.5626288987746686</v>
      </c>
      <c r="I123" s="2">
        <f t="shared" si="3"/>
        <v>164.85391705817443</v>
      </c>
      <c r="J123" s="2">
        <f t="shared" si="4"/>
        <v>24.075401583027059</v>
      </c>
      <c r="K123" s="15">
        <f t="shared" ref="K123:K160" si="23">IF(AND($K$122&lt;&gt;"",$K$161&lt;&gt;""), $K$122 + (L123 - $L$122) * (($K$161 - $K$122) / ($L$161 - $L$122)), "")</f>
        <v>0.37095797720797724</v>
      </c>
      <c r="L123" s="2">
        <f t="shared" si="14"/>
        <v>118</v>
      </c>
      <c r="M123" s="2">
        <f t="shared" si="21"/>
        <v>64.08</v>
      </c>
      <c r="N123" s="2">
        <v>11.5</v>
      </c>
      <c r="O123" s="2">
        <v>50.26548245743669</v>
      </c>
      <c r="P123" s="11">
        <f t="shared" si="5"/>
        <v>2.2878523069459957</v>
      </c>
      <c r="Q123" s="2">
        <f t="shared" si="6"/>
        <v>146.60557582909939</v>
      </c>
      <c r="R123" s="2">
        <f t="shared" si="7"/>
        <v>2.6419412748657432</v>
      </c>
      <c r="S123" s="2">
        <f t="shared" si="8"/>
        <v>169.29559689339681</v>
      </c>
      <c r="T123" s="2">
        <f t="shared" si="9"/>
        <v>22.690021064297412</v>
      </c>
    </row>
    <row r="124" spans="1:20" x14ac:dyDescent="0.25">
      <c r="A124" s="14">
        <f t="shared" si="22"/>
        <v>0.39465811965811964</v>
      </c>
      <c r="B124" s="2">
        <f t="shared" si="11"/>
        <v>119</v>
      </c>
      <c r="C124" s="4">
        <f t="shared" si="20"/>
        <v>64.83</v>
      </c>
      <c r="D124" s="2">
        <v>10</v>
      </c>
      <c r="E124" s="2">
        <v>50.26548245743669</v>
      </c>
      <c r="F124" s="11">
        <f t="shared" si="0"/>
        <v>1.9894367886486919</v>
      </c>
      <c r="G124" s="2">
        <f t="shared" si="1"/>
        <v>128.97518700809468</v>
      </c>
      <c r="H124" s="2">
        <f t="shared" si="2"/>
        <v>2.5626288987746686</v>
      </c>
      <c r="I124" s="2">
        <f t="shared" si="3"/>
        <v>166.13523150756177</v>
      </c>
      <c r="J124" s="2">
        <f t="shared" si="4"/>
        <v>37.160044499467091</v>
      </c>
      <c r="K124" s="15">
        <f t="shared" si="23"/>
        <v>0.37108262108262108</v>
      </c>
      <c r="L124" s="2">
        <f t="shared" si="14"/>
        <v>119</v>
      </c>
      <c r="M124" s="2">
        <f t="shared" si="21"/>
        <v>64.58</v>
      </c>
      <c r="N124" s="2">
        <v>12</v>
      </c>
      <c r="O124" s="2">
        <v>50.26548245743669</v>
      </c>
      <c r="P124" s="11">
        <f t="shared" si="5"/>
        <v>2.3873241463784298</v>
      </c>
      <c r="Q124" s="2">
        <f t="shared" si="6"/>
        <v>154.17339337311898</v>
      </c>
      <c r="R124" s="2">
        <f t="shared" si="7"/>
        <v>2.6419412748657432</v>
      </c>
      <c r="S124" s="2">
        <f t="shared" si="8"/>
        <v>170.61656753082968</v>
      </c>
      <c r="T124" s="2">
        <f t="shared" si="9"/>
        <v>16.4431741577107</v>
      </c>
    </row>
    <row r="125" spans="1:20" x14ac:dyDescent="0.25">
      <c r="A125" s="14">
        <f t="shared" si="22"/>
        <v>0.39476495726495725</v>
      </c>
      <c r="B125" s="2">
        <f t="shared" si="11"/>
        <v>120</v>
      </c>
      <c r="C125" s="4">
        <f t="shared" si="20"/>
        <v>65.33</v>
      </c>
      <c r="D125" s="2">
        <v>10.5</v>
      </c>
      <c r="E125" s="2">
        <v>50.26548245743669</v>
      </c>
      <c r="F125" s="11">
        <f t="shared" si="0"/>
        <v>2.0889086280811267</v>
      </c>
      <c r="G125" s="2">
        <f t="shared" si="1"/>
        <v>136.46840067254001</v>
      </c>
      <c r="H125" s="2">
        <f t="shared" si="2"/>
        <v>2.5626288987746686</v>
      </c>
      <c r="I125" s="2">
        <f t="shared" si="3"/>
        <v>167.41654595694911</v>
      </c>
      <c r="J125" s="2">
        <f t="shared" si="4"/>
        <v>30.948145284409094</v>
      </c>
      <c r="K125" s="15">
        <f t="shared" si="23"/>
        <v>0.37120726495726497</v>
      </c>
      <c r="L125" s="2">
        <f t="shared" si="14"/>
        <v>120</v>
      </c>
      <c r="M125" s="2">
        <f t="shared" si="21"/>
        <v>65.08</v>
      </c>
      <c r="N125" s="2">
        <v>11.5</v>
      </c>
      <c r="O125" s="2">
        <v>50.26548245743669</v>
      </c>
      <c r="P125" s="11">
        <f t="shared" si="5"/>
        <v>2.2878523069459957</v>
      </c>
      <c r="Q125" s="2">
        <f t="shared" si="6"/>
        <v>148.8934281360454</v>
      </c>
      <c r="R125" s="2">
        <f t="shared" si="7"/>
        <v>2.6419412748657432</v>
      </c>
      <c r="S125" s="2">
        <f t="shared" si="8"/>
        <v>171.93753816826256</v>
      </c>
      <c r="T125" s="2">
        <f t="shared" si="9"/>
        <v>23.044110032217162</v>
      </c>
    </row>
    <row r="126" spans="1:20" x14ac:dyDescent="0.25">
      <c r="A126" s="14">
        <f t="shared" si="22"/>
        <v>0.39487179487179486</v>
      </c>
      <c r="B126" s="2">
        <f t="shared" si="11"/>
        <v>121</v>
      </c>
      <c r="C126" s="4">
        <f t="shared" si="20"/>
        <v>65.83</v>
      </c>
      <c r="D126" s="2">
        <v>11</v>
      </c>
      <c r="E126" s="2">
        <v>50.26548245743669</v>
      </c>
      <c r="F126" s="11">
        <f t="shared" si="0"/>
        <v>2.1883804675135607</v>
      </c>
      <c r="G126" s="2">
        <f t="shared" si="1"/>
        <v>144.06108617641769</v>
      </c>
      <c r="H126" s="2">
        <f t="shared" si="2"/>
        <v>2.5626288987746686</v>
      </c>
      <c r="I126" s="2">
        <f t="shared" si="3"/>
        <v>168.69786040633642</v>
      </c>
      <c r="J126" s="2">
        <f t="shared" si="4"/>
        <v>24.636774229918728</v>
      </c>
      <c r="K126" s="15">
        <f t="shared" si="23"/>
        <v>0.37133190883190886</v>
      </c>
      <c r="L126" s="2">
        <f t="shared" si="14"/>
        <v>121</v>
      </c>
      <c r="M126" s="2">
        <f t="shared" si="21"/>
        <v>65.58</v>
      </c>
      <c r="N126" s="2">
        <v>10.5</v>
      </c>
      <c r="O126" s="2">
        <v>50.26548245743669</v>
      </c>
      <c r="P126" s="11">
        <f t="shared" si="5"/>
        <v>2.0889086280811267</v>
      </c>
      <c r="Q126" s="2">
        <f t="shared" si="6"/>
        <v>136.99062782956028</v>
      </c>
      <c r="R126" s="2">
        <f t="shared" si="7"/>
        <v>2.6419412748657432</v>
      </c>
      <c r="S126" s="2">
        <f t="shared" si="8"/>
        <v>173.25850880569544</v>
      </c>
      <c r="T126" s="2">
        <f t="shared" si="9"/>
        <v>36.26788097613516</v>
      </c>
    </row>
    <row r="127" spans="1:20" x14ac:dyDescent="0.25">
      <c r="A127" s="14">
        <f t="shared" si="22"/>
        <v>0.39497863247863246</v>
      </c>
      <c r="B127" s="2">
        <f t="shared" si="11"/>
        <v>122</v>
      </c>
      <c r="C127" s="4">
        <f t="shared" si="20"/>
        <v>66.33</v>
      </c>
      <c r="D127" s="2">
        <v>11</v>
      </c>
      <c r="E127" s="2">
        <v>50.26548245743669</v>
      </c>
      <c r="F127" s="11">
        <f t="shared" si="0"/>
        <v>2.1883804675135607</v>
      </c>
      <c r="G127" s="2">
        <f t="shared" si="1"/>
        <v>145.15527641017448</v>
      </c>
      <c r="H127" s="2">
        <f t="shared" si="2"/>
        <v>2.5626288987746686</v>
      </c>
      <c r="I127" s="2">
        <f t="shared" si="3"/>
        <v>169.97917485572376</v>
      </c>
      <c r="J127" s="2">
        <f t="shared" si="4"/>
        <v>24.823898445549275</v>
      </c>
      <c r="K127" s="15">
        <f t="shared" si="23"/>
        <v>0.3714565527065527</v>
      </c>
      <c r="L127" s="2">
        <f t="shared" si="14"/>
        <v>122</v>
      </c>
      <c r="M127" s="2">
        <f t="shared" si="21"/>
        <v>66.08</v>
      </c>
      <c r="N127" s="2">
        <v>11.5</v>
      </c>
      <c r="O127" s="2">
        <v>50.26548245743669</v>
      </c>
      <c r="P127" s="11">
        <f t="shared" si="5"/>
        <v>2.2878523069459957</v>
      </c>
      <c r="Q127" s="2">
        <f t="shared" si="6"/>
        <v>151.18128044299138</v>
      </c>
      <c r="R127" s="2">
        <f t="shared" si="7"/>
        <v>2.6419412748657432</v>
      </c>
      <c r="S127" s="2">
        <f t="shared" si="8"/>
        <v>174.57947944312829</v>
      </c>
      <c r="T127" s="2">
        <f t="shared" si="9"/>
        <v>23.398199000136913</v>
      </c>
    </row>
    <row r="128" spans="1:20" x14ac:dyDescent="0.25">
      <c r="A128" s="14">
        <f t="shared" si="22"/>
        <v>0.39508547008547007</v>
      </c>
      <c r="B128" s="2">
        <f t="shared" si="11"/>
        <v>123</v>
      </c>
      <c r="C128" s="4">
        <f t="shared" si="20"/>
        <v>66.83</v>
      </c>
      <c r="D128" s="2">
        <v>12</v>
      </c>
      <c r="E128" s="2">
        <v>50.26548245743669</v>
      </c>
      <c r="F128" s="11">
        <f t="shared" si="0"/>
        <v>2.3873241463784298</v>
      </c>
      <c r="G128" s="2">
        <f t="shared" si="1"/>
        <v>159.54487270247046</v>
      </c>
      <c r="H128" s="2">
        <f t="shared" si="2"/>
        <v>2.5626288987746686</v>
      </c>
      <c r="I128" s="2">
        <f t="shared" si="3"/>
        <v>171.26048930511109</v>
      </c>
      <c r="J128" s="2">
        <f t="shared" si="4"/>
        <v>11.715616602640637</v>
      </c>
      <c r="K128" s="15">
        <f t="shared" si="23"/>
        <v>0.37158119658119659</v>
      </c>
      <c r="L128" s="2">
        <f t="shared" si="14"/>
        <v>123</v>
      </c>
      <c r="M128" s="2">
        <f t="shared" si="21"/>
        <v>66.58</v>
      </c>
      <c r="N128" s="2">
        <v>11.5</v>
      </c>
      <c r="O128" s="2">
        <v>50.26548245743669</v>
      </c>
      <c r="P128" s="11">
        <f t="shared" si="5"/>
        <v>2.2878523069459957</v>
      </c>
      <c r="Q128" s="2">
        <f t="shared" si="6"/>
        <v>152.3252065964644</v>
      </c>
      <c r="R128" s="2">
        <f t="shared" si="7"/>
        <v>2.6419412748657432</v>
      </c>
      <c r="S128" s="2">
        <f t="shared" si="8"/>
        <v>175.90045008056117</v>
      </c>
      <c r="T128" s="2">
        <f t="shared" si="9"/>
        <v>23.575243484096774</v>
      </c>
    </row>
    <row r="129" spans="1:20" x14ac:dyDescent="0.25">
      <c r="A129" s="14">
        <f t="shared" si="22"/>
        <v>0.39519230769230768</v>
      </c>
      <c r="B129" s="2">
        <f t="shared" si="11"/>
        <v>124</v>
      </c>
      <c r="C129" s="4">
        <f t="shared" si="20"/>
        <v>67.33</v>
      </c>
      <c r="D129" s="2">
        <v>12</v>
      </c>
      <c r="E129" s="2">
        <v>50.26548245743669</v>
      </c>
      <c r="F129" s="11">
        <f t="shared" si="0"/>
        <v>2.3873241463784298</v>
      </c>
      <c r="G129" s="2">
        <f t="shared" si="1"/>
        <v>160.73853477565967</v>
      </c>
      <c r="H129" s="2">
        <f t="shared" si="2"/>
        <v>2.5626288987746686</v>
      </c>
      <c r="I129" s="2">
        <f t="shared" si="3"/>
        <v>172.54180375449843</v>
      </c>
      <c r="J129" s="2">
        <f t="shared" si="4"/>
        <v>11.803268978838759</v>
      </c>
      <c r="K129" s="15">
        <f t="shared" si="23"/>
        <v>0.37170584045584049</v>
      </c>
      <c r="L129" s="2">
        <f t="shared" si="14"/>
        <v>124</v>
      </c>
      <c r="M129" s="2">
        <f t="shared" si="21"/>
        <v>67.08</v>
      </c>
      <c r="N129" s="2">
        <v>12.5</v>
      </c>
      <c r="O129" s="2">
        <v>50.26548245743669</v>
      </c>
      <c r="P129" s="11">
        <f t="shared" si="5"/>
        <v>2.4867959858108648</v>
      </c>
      <c r="Q129" s="2">
        <f t="shared" si="6"/>
        <v>166.8142747281928</v>
      </c>
      <c r="R129" s="2">
        <f t="shared" si="7"/>
        <v>2.6419412748657432</v>
      </c>
      <c r="S129" s="2">
        <f t="shared" si="8"/>
        <v>177.22142071799405</v>
      </c>
      <c r="T129" s="2">
        <f t="shared" si="9"/>
        <v>10.407145989801251</v>
      </c>
    </row>
    <row r="130" spans="1:20" x14ac:dyDescent="0.25">
      <c r="A130" s="14">
        <f t="shared" si="22"/>
        <v>0.39529914529914528</v>
      </c>
      <c r="B130" s="2">
        <f t="shared" si="11"/>
        <v>125</v>
      </c>
      <c r="C130" s="4">
        <f t="shared" si="20"/>
        <v>67.83</v>
      </c>
      <c r="D130" s="2">
        <v>11.5</v>
      </c>
      <c r="E130" s="2">
        <v>50.26548245743669</v>
      </c>
      <c r="F130" s="11">
        <f t="shared" si="0"/>
        <v>2.2878523069459957</v>
      </c>
      <c r="G130" s="2">
        <f t="shared" si="1"/>
        <v>155.1850219801469</v>
      </c>
      <c r="H130" s="2">
        <f t="shared" si="2"/>
        <v>2.5626288987746686</v>
      </c>
      <c r="I130" s="2">
        <f t="shared" si="3"/>
        <v>173.82311820388577</v>
      </c>
      <c r="J130" s="2">
        <f t="shared" si="4"/>
        <v>18.63809622373887</v>
      </c>
      <c r="K130" s="15">
        <f t="shared" si="23"/>
        <v>0.37183048433048432</v>
      </c>
      <c r="L130" s="2">
        <f t="shared" si="14"/>
        <v>125</v>
      </c>
      <c r="M130" s="2">
        <f t="shared" si="21"/>
        <v>67.58</v>
      </c>
      <c r="N130" s="2">
        <v>12.5</v>
      </c>
      <c r="O130" s="2">
        <v>50.26548245743669</v>
      </c>
      <c r="P130" s="11">
        <f t="shared" si="5"/>
        <v>2.4867959858108648</v>
      </c>
      <c r="Q130" s="2">
        <f t="shared" si="6"/>
        <v>168.05767272109824</v>
      </c>
      <c r="R130" s="2">
        <f t="shared" si="7"/>
        <v>2.6419412748657432</v>
      </c>
      <c r="S130" s="2">
        <f t="shared" si="8"/>
        <v>178.54239135542693</v>
      </c>
      <c r="T130" s="2">
        <f t="shared" si="9"/>
        <v>10.484718634328686</v>
      </c>
    </row>
    <row r="131" spans="1:20" x14ac:dyDescent="0.25">
      <c r="A131" s="14">
        <f t="shared" si="22"/>
        <v>0.39540598290598289</v>
      </c>
      <c r="B131" s="2">
        <f t="shared" si="11"/>
        <v>126</v>
      </c>
      <c r="C131" s="4">
        <f t="shared" si="20"/>
        <v>68.33</v>
      </c>
      <c r="D131" s="2">
        <v>11</v>
      </c>
      <c r="E131" s="2">
        <v>50.26548245743669</v>
      </c>
      <c r="F131" s="11">
        <f t="shared" si="0"/>
        <v>2.1883804675135607</v>
      </c>
      <c r="G131" s="2">
        <f t="shared" si="1"/>
        <v>149.53203734520162</v>
      </c>
      <c r="H131" s="2">
        <f t="shared" si="2"/>
        <v>2.5626288987746686</v>
      </c>
      <c r="I131" s="2">
        <f t="shared" si="3"/>
        <v>175.10443265327311</v>
      </c>
      <c r="J131" s="2">
        <f t="shared" si="4"/>
        <v>25.572395308071492</v>
      </c>
      <c r="K131" s="15">
        <f t="shared" si="23"/>
        <v>0.37195512820512822</v>
      </c>
      <c r="L131" s="2">
        <f t="shared" si="14"/>
        <v>126</v>
      </c>
      <c r="M131" s="2">
        <f t="shared" si="21"/>
        <v>68.08</v>
      </c>
      <c r="N131" s="2">
        <v>12.5</v>
      </c>
      <c r="O131" s="2">
        <v>50.26548245743669</v>
      </c>
      <c r="P131" s="11">
        <f t="shared" si="5"/>
        <v>2.4867959858108648</v>
      </c>
      <c r="Q131" s="2">
        <f t="shared" si="6"/>
        <v>169.30107071400369</v>
      </c>
      <c r="R131" s="2">
        <f t="shared" si="7"/>
        <v>2.6419412748657432</v>
      </c>
      <c r="S131" s="2">
        <f t="shared" si="8"/>
        <v>179.86336199285978</v>
      </c>
      <c r="T131" s="2">
        <f t="shared" si="9"/>
        <v>10.562291278856094</v>
      </c>
    </row>
    <row r="132" spans="1:20" x14ac:dyDescent="0.25">
      <c r="A132" s="14">
        <f t="shared" si="22"/>
        <v>0.3955128205128205</v>
      </c>
      <c r="B132" s="2">
        <f t="shared" si="11"/>
        <v>127</v>
      </c>
      <c r="C132" s="4">
        <f t="shared" si="20"/>
        <v>68.83</v>
      </c>
      <c r="D132" s="2">
        <v>11.5</v>
      </c>
      <c r="E132" s="2">
        <v>50.26548245743669</v>
      </c>
      <c r="F132" s="11">
        <f t="shared" si="0"/>
        <v>2.2878523069459957</v>
      </c>
      <c r="G132" s="2">
        <f t="shared" si="1"/>
        <v>157.47287428709288</v>
      </c>
      <c r="H132" s="2">
        <f t="shared" si="2"/>
        <v>2.5626288987746686</v>
      </c>
      <c r="I132" s="2">
        <f t="shared" si="3"/>
        <v>176.38574710266045</v>
      </c>
      <c r="J132" s="2">
        <f t="shared" si="4"/>
        <v>18.912872815567567</v>
      </c>
      <c r="K132" s="15">
        <f t="shared" si="23"/>
        <v>0.37207977207977211</v>
      </c>
      <c r="L132" s="2">
        <f t="shared" si="14"/>
        <v>127</v>
      </c>
      <c r="M132" s="2">
        <f t="shared" si="21"/>
        <v>68.58</v>
      </c>
      <c r="N132" s="2">
        <v>12</v>
      </c>
      <c r="O132" s="2">
        <v>50.26548245743669</v>
      </c>
      <c r="P132" s="11">
        <f t="shared" si="5"/>
        <v>2.3873241463784298</v>
      </c>
      <c r="Q132" s="2">
        <f t="shared" si="6"/>
        <v>163.72268995863271</v>
      </c>
      <c r="R132" s="2">
        <f t="shared" si="7"/>
        <v>2.6419412748657432</v>
      </c>
      <c r="S132" s="2">
        <f t="shared" si="8"/>
        <v>181.18433263029266</v>
      </c>
      <c r="T132" s="2">
        <f t="shared" si="9"/>
        <v>17.461642671659945</v>
      </c>
    </row>
    <row r="133" spans="1:20" x14ac:dyDescent="0.25">
      <c r="A133" s="14">
        <f t="shared" si="22"/>
        <v>0.3956196581196581</v>
      </c>
      <c r="B133" s="2">
        <f t="shared" si="11"/>
        <v>128</v>
      </c>
      <c r="C133" s="4">
        <f t="shared" si="20"/>
        <v>69.33</v>
      </c>
      <c r="D133" s="2">
        <v>12</v>
      </c>
      <c r="E133" s="2">
        <v>50.26548245743669</v>
      </c>
      <c r="F133" s="11">
        <f t="shared" si="0"/>
        <v>2.3873241463784298</v>
      </c>
      <c r="G133" s="2">
        <f t="shared" si="1"/>
        <v>165.51318306841654</v>
      </c>
      <c r="H133" s="2">
        <f t="shared" si="2"/>
        <v>2.5626288987746686</v>
      </c>
      <c r="I133" s="2">
        <f t="shared" si="3"/>
        <v>177.66706155204776</v>
      </c>
      <c r="J133" s="2">
        <f t="shared" si="4"/>
        <v>12.153878483631217</v>
      </c>
      <c r="K133" s="15">
        <f t="shared" si="23"/>
        <v>0.37220441595441595</v>
      </c>
      <c r="L133" s="2">
        <f t="shared" si="14"/>
        <v>128</v>
      </c>
      <c r="M133" s="2">
        <f t="shared" si="21"/>
        <v>69.08</v>
      </c>
      <c r="N133" s="2">
        <v>12</v>
      </c>
      <c r="O133" s="2">
        <v>50.26548245743669</v>
      </c>
      <c r="P133" s="11">
        <f t="shared" si="5"/>
        <v>2.3873241463784298</v>
      </c>
      <c r="Q133" s="2">
        <f t="shared" si="6"/>
        <v>164.91635203182193</v>
      </c>
      <c r="R133" s="2">
        <f t="shared" si="7"/>
        <v>2.6419412748657432</v>
      </c>
      <c r="S133" s="2">
        <f t="shared" si="8"/>
        <v>182.50530326772554</v>
      </c>
      <c r="T133" s="2">
        <f t="shared" si="9"/>
        <v>17.588951235903608</v>
      </c>
    </row>
    <row r="134" spans="1:20" x14ac:dyDescent="0.25">
      <c r="A134" s="14">
        <f t="shared" si="22"/>
        <v>0.39572649572649571</v>
      </c>
      <c r="B134" s="2">
        <f t="shared" si="11"/>
        <v>129</v>
      </c>
      <c r="C134" s="4">
        <f t="shared" si="20"/>
        <v>69.83</v>
      </c>
      <c r="D134" s="2">
        <v>12</v>
      </c>
      <c r="E134" s="2">
        <v>50.26548245743669</v>
      </c>
      <c r="F134" s="11">
        <f t="shared" si="0"/>
        <v>2.3873241463784298</v>
      </c>
      <c r="G134" s="2">
        <f t="shared" si="1"/>
        <v>166.70684514160575</v>
      </c>
      <c r="H134" s="2">
        <f t="shared" si="2"/>
        <v>2.5626288987746686</v>
      </c>
      <c r="I134" s="2">
        <f t="shared" si="3"/>
        <v>178.94837600143509</v>
      </c>
      <c r="J134" s="2">
        <f t="shared" si="4"/>
        <v>12.241530859829339</v>
      </c>
      <c r="K134" s="15">
        <f t="shared" si="23"/>
        <v>0.37232905982905984</v>
      </c>
      <c r="L134" s="2">
        <f t="shared" si="14"/>
        <v>129</v>
      </c>
      <c r="M134" s="2">
        <f t="shared" si="21"/>
        <v>69.58</v>
      </c>
      <c r="N134" s="2">
        <v>11.5</v>
      </c>
      <c r="O134" s="2">
        <v>50.26548245743669</v>
      </c>
      <c r="P134" s="11">
        <f t="shared" si="5"/>
        <v>2.2878523069459957</v>
      </c>
      <c r="Q134" s="2">
        <f t="shared" si="6"/>
        <v>159.18876351730239</v>
      </c>
      <c r="R134" s="2">
        <f t="shared" si="7"/>
        <v>2.6419412748657432</v>
      </c>
      <c r="S134" s="2">
        <f t="shared" si="8"/>
        <v>183.82627390515842</v>
      </c>
      <c r="T134" s="2">
        <f t="shared" si="9"/>
        <v>24.637510387856025</v>
      </c>
    </row>
    <row r="135" spans="1:20" x14ac:dyDescent="0.25">
      <c r="A135" s="14">
        <f t="shared" si="22"/>
        <v>0.39583333333333331</v>
      </c>
      <c r="B135" s="2">
        <f t="shared" si="11"/>
        <v>130</v>
      </c>
      <c r="C135" s="4">
        <f t="shared" si="20"/>
        <v>70.33</v>
      </c>
      <c r="D135" s="2">
        <v>12</v>
      </c>
      <c r="E135" s="2">
        <v>50.26548245743669</v>
      </c>
      <c r="F135" s="11">
        <f t="shared" si="0"/>
        <v>2.3873241463784298</v>
      </c>
      <c r="G135" s="2">
        <f t="shared" si="1"/>
        <v>167.90050721479497</v>
      </c>
      <c r="H135" s="2">
        <f t="shared" si="2"/>
        <v>2.5626288987746686</v>
      </c>
      <c r="I135" s="2">
        <f t="shared" si="3"/>
        <v>180.22969045082243</v>
      </c>
      <c r="J135" s="2">
        <f t="shared" si="4"/>
        <v>12.329183236027461</v>
      </c>
      <c r="K135" s="15">
        <f t="shared" si="23"/>
        <v>0.37245370370370373</v>
      </c>
      <c r="L135" s="2">
        <f t="shared" si="14"/>
        <v>130</v>
      </c>
      <c r="M135" s="2">
        <f t="shared" si="21"/>
        <v>70.08</v>
      </c>
      <c r="N135" s="2">
        <v>12.5</v>
      </c>
      <c r="O135" s="2">
        <v>50.26548245743669</v>
      </c>
      <c r="P135" s="11">
        <f t="shared" si="5"/>
        <v>2.4867959858108648</v>
      </c>
      <c r="Q135" s="2">
        <f t="shared" si="6"/>
        <v>174.2746626856254</v>
      </c>
      <c r="R135" s="2">
        <f t="shared" si="7"/>
        <v>2.6419412748657432</v>
      </c>
      <c r="S135" s="2">
        <f t="shared" si="8"/>
        <v>185.14724454259127</v>
      </c>
      <c r="T135" s="2">
        <f t="shared" si="9"/>
        <v>10.872581856965866</v>
      </c>
    </row>
    <row r="136" spans="1:20" x14ac:dyDescent="0.25">
      <c r="A136" s="14">
        <f t="shared" si="22"/>
        <v>0.39594017094017092</v>
      </c>
      <c r="B136" s="2">
        <f t="shared" si="11"/>
        <v>131</v>
      </c>
      <c r="C136" s="4">
        <f t="shared" si="20"/>
        <v>70.83</v>
      </c>
      <c r="D136" s="2">
        <v>13</v>
      </c>
      <c r="E136" s="2">
        <v>50.26548245743669</v>
      </c>
      <c r="F136" s="11">
        <f t="shared" si="0"/>
        <v>2.5862678252432989</v>
      </c>
      <c r="G136" s="2">
        <f t="shared" si="1"/>
        <v>183.18535006198286</v>
      </c>
      <c r="H136" s="2">
        <f t="shared" si="2"/>
        <v>2.5626288987746686</v>
      </c>
      <c r="I136" s="2">
        <f t="shared" si="3"/>
        <v>181.51100490020977</v>
      </c>
      <c r="J136" s="2">
        <f t="shared" si="4"/>
        <v>1.6743451617730898</v>
      </c>
      <c r="K136" s="15">
        <f t="shared" si="23"/>
        <v>0.37257834757834757</v>
      </c>
      <c r="L136" s="2">
        <f t="shared" si="14"/>
        <v>131</v>
      </c>
      <c r="M136" s="2">
        <f t="shared" si="21"/>
        <v>70.58</v>
      </c>
      <c r="N136" s="2">
        <v>13.5</v>
      </c>
      <c r="O136" s="2">
        <v>50.26548245743669</v>
      </c>
      <c r="P136" s="11">
        <f t="shared" si="5"/>
        <v>2.6857396646757339</v>
      </c>
      <c r="Q136" s="2">
        <f t="shared" si="6"/>
        <v>189.55950553281329</v>
      </c>
      <c r="R136" s="2">
        <f t="shared" si="7"/>
        <v>2.6419412748657432</v>
      </c>
      <c r="S136" s="2">
        <f t="shared" si="8"/>
        <v>186.46821518002415</v>
      </c>
      <c r="T136" s="2">
        <f t="shared" si="9"/>
        <v>3.0912903527891444</v>
      </c>
    </row>
    <row r="137" spans="1:20" x14ac:dyDescent="0.25">
      <c r="A137" s="14">
        <f t="shared" si="22"/>
        <v>0.39604700854700853</v>
      </c>
      <c r="B137" s="2">
        <f t="shared" si="11"/>
        <v>132</v>
      </c>
      <c r="C137" s="4">
        <f t="shared" si="20"/>
        <v>71.33</v>
      </c>
      <c r="D137" s="2">
        <v>13</v>
      </c>
      <c r="E137" s="2">
        <v>50.26548245743669</v>
      </c>
      <c r="F137" s="11">
        <f t="shared" si="0"/>
        <v>2.5862678252432989</v>
      </c>
      <c r="G137" s="2">
        <f t="shared" si="1"/>
        <v>184.4784839746045</v>
      </c>
      <c r="H137" s="2">
        <f t="shared" si="2"/>
        <v>2.5626288987746686</v>
      </c>
      <c r="I137" s="2">
        <f t="shared" si="3"/>
        <v>182.79231934959711</v>
      </c>
      <c r="J137" s="2">
        <f t="shared" si="4"/>
        <v>1.6861646250073932</v>
      </c>
      <c r="K137" s="15">
        <f t="shared" si="23"/>
        <v>0.37270299145299146</v>
      </c>
      <c r="L137" s="2">
        <f t="shared" si="14"/>
        <v>132</v>
      </c>
      <c r="M137" s="2">
        <f t="shared" si="21"/>
        <v>71.08</v>
      </c>
      <c r="N137" s="2">
        <v>13</v>
      </c>
      <c r="O137" s="2">
        <v>50.26548245743669</v>
      </c>
      <c r="P137" s="11">
        <f t="shared" si="5"/>
        <v>2.5862678252432989</v>
      </c>
      <c r="Q137" s="2">
        <f t="shared" si="6"/>
        <v>183.83191701829369</v>
      </c>
      <c r="R137" s="2">
        <f t="shared" si="7"/>
        <v>2.6419412748657432</v>
      </c>
      <c r="S137" s="2">
        <f t="shared" si="8"/>
        <v>187.78918581745702</v>
      </c>
      <c r="T137" s="2">
        <f t="shared" si="9"/>
        <v>3.9572687991633302</v>
      </c>
    </row>
    <row r="138" spans="1:20" x14ac:dyDescent="0.25">
      <c r="A138" s="14">
        <f t="shared" si="22"/>
        <v>0.39615384615384613</v>
      </c>
      <c r="B138" s="2">
        <f t="shared" si="11"/>
        <v>133</v>
      </c>
      <c r="C138" s="4">
        <f t="shared" si="20"/>
        <v>71.83</v>
      </c>
      <c r="D138" s="2">
        <v>12.5</v>
      </c>
      <c r="E138" s="2">
        <v>50.26548245743669</v>
      </c>
      <c r="F138" s="11">
        <f t="shared" si="0"/>
        <v>2.4867959858108648</v>
      </c>
      <c r="G138" s="2">
        <f t="shared" si="1"/>
        <v>178.62655566079442</v>
      </c>
      <c r="H138" s="2">
        <f t="shared" si="2"/>
        <v>2.5626288987746686</v>
      </c>
      <c r="I138" s="2">
        <f t="shared" si="3"/>
        <v>184.07363379898445</v>
      </c>
      <c r="J138" s="2">
        <f t="shared" si="4"/>
        <v>5.4470781381900224</v>
      </c>
      <c r="K138" s="15">
        <f t="shared" si="23"/>
        <v>0.37282763532763535</v>
      </c>
      <c r="L138" s="2">
        <f t="shared" si="14"/>
        <v>133</v>
      </c>
      <c r="M138" s="2">
        <f t="shared" si="21"/>
        <v>71.58</v>
      </c>
      <c r="N138" s="2">
        <v>13</v>
      </c>
      <c r="O138" s="2">
        <v>50.26548245743669</v>
      </c>
      <c r="P138" s="11">
        <f t="shared" si="5"/>
        <v>2.5862678252432989</v>
      </c>
      <c r="Q138" s="2">
        <f t="shared" si="6"/>
        <v>185.12505093091534</v>
      </c>
      <c r="R138" s="2">
        <f t="shared" si="7"/>
        <v>2.6419412748657432</v>
      </c>
      <c r="S138" s="2">
        <f t="shared" si="8"/>
        <v>189.1101564548899</v>
      </c>
      <c r="T138" s="2">
        <f t="shared" si="9"/>
        <v>3.9851055239745676</v>
      </c>
    </row>
    <row r="139" spans="1:20" x14ac:dyDescent="0.25">
      <c r="A139" s="14">
        <f t="shared" si="22"/>
        <v>0.39626068376068374</v>
      </c>
      <c r="B139" s="2">
        <f t="shared" si="11"/>
        <v>134</v>
      </c>
      <c r="C139" s="4">
        <f t="shared" si="20"/>
        <v>72.33</v>
      </c>
      <c r="D139" s="2">
        <v>13.5</v>
      </c>
      <c r="E139" s="2">
        <v>50.26548245743669</v>
      </c>
      <c r="F139" s="11">
        <f t="shared" si="0"/>
        <v>2.6857396646757339</v>
      </c>
      <c r="G139" s="2">
        <f t="shared" si="1"/>
        <v>194.25954994599581</v>
      </c>
      <c r="H139" s="2">
        <f t="shared" si="2"/>
        <v>2.5626288987746686</v>
      </c>
      <c r="I139" s="2">
        <f t="shared" si="3"/>
        <v>185.35494824837178</v>
      </c>
      <c r="J139" s="2">
        <f t="shared" si="4"/>
        <v>8.904601697624031</v>
      </c>
      <c r="K139" s="15">
        <f t="shared" si="23"/>
        <v>0.37295227920227919</v>
      </c>
      <c r="L139" s="2">
        <f t="shared" si="14"/>
        <v>134</v>
      </c>
      <c r="M139" s="2">
        <f t="shared" si="21"/>
        <v>72.08</v>
      </c>
      <c r="N139" s="2">
        <v>15</v>
      </c>
      <c r="O139" s="2">
        <v>50.26548245743669</v>
      </c>
      <c r="P139" s="11">
        <f t="shared" si="5"/>
        <v>2.9841551829730379</v>
      </c>
      <c r="Q139" s="2">
        <f t="shared" si="6"/>
        <v>215.09790558869656</v>
      </c>
      <c r="R139" s="2">
        <f t="shared" si="7"/>
        <v>2.6419412748657432</v>
      </c>
      <c r="S139" s="2">
        <f t="shared" si="8"/>
        <v>190.43112709232275</v>
      </c>
      <c r="T139" s="2">
        <f t="shared" si="9"/>
        <v>24.666778496373809</v>
      </c>
    </row>
    <row r="140" spans="1:20" x14ac:dyDescent="0.25">
      <c r="A140" s="14">
        <f t="shared" si="22"/>
        <v>0.39636752136752135</v>
      </c>
      <c r="B140" s="2">
        <f t="shared" si="11"/>
        <v>135</v>
      </c>
      <c r="C140" s="4">
        <f t="shared" si="20"/>
        <v>72.83</v>
      </c>
      <c r="D140" s="2">
        <v>14</v>
      </c>
      <c r="E140" s="2">
        <v>50.26548245743669</v>
      </c>
      <c r="F140" s="11">
        <f t="shared" si="0"/>
        <v>2.7852115041081689</v>
      </c>
      <c r="G140" s="2">
        <f t="shared" si="1"/>
        <v>202.84695384419794</v>
      </c>
      <c r="H140" s="2">
        <f t="shared" si="2"/>
        <v>2.5626288987746686</v>
      </c>
      <c r="I140" s="2">
        <f t="shared" si="3"/>
        <v>186.63626269775912</v>
      </c>
      <c r="J140" s="2">
        <f t="shared" si="4"/>
        <v>16.210691146438819</v>
      </c>
      <c r="K140" s="15">
        <f t="shared" si="23"/>
        <v>0.37307692307692308</v>
      </c>
      <c r="L140" s="2">
        <f t="shared" si="14"/>
        <v>135</v>
      </c>
      <c r="M140" s="2">
        <f t="shared" si="21"/>
        <v>72.58</v>
      </c>
      <c r="N140" s="2">
        <v>14</v>
      </c>
      <c r="O140" s="2">
        <v>50.26548245743669</v>
      </c>
      <c r="P140" s="11">
        <f t="shared" si="5"/>
        <v>2.7852115041081689</v>
      </c>
      <c r="Q140" s="2">
        <f t="shared" si="6"/>
        <v>202.15065096817088</v>
      </c>
      <c r="R140" s="2">
        <f t="shared" si="7"/>
        <v>2.6419412748657432</v>
      </c>
      <c r="S140" s="2">
        <f t="shared" si="8"/>
        <v>191.75209772975563</v>
      </c>
      <c r="T140" s="2">
        <f t="shared" si="9"/>
        <v>10.398553238415246</v>
      </c>
    </row>
    <row r="141" spans="1:20" x14ac:dyDescent="0.25">
      <c r="A141" s="14">
        <f t="shared" si="22"/>
        <v>0.39647435897435895</v>
      </c>
      <c r="B141" s="2">
        <f t="shared" si="11"/>
        <v>136</v>
      </c>
      <c r="C141" s="4">
        <f t="shared" si="20"/>
        <v>73.33</v>
      </c>
      <c r="D141" s="2">
        <v>13.5</v>
      </c>
      <c r="E141" s="2">
        <v>50.26548245743669</v>
      </c>
      <c r="F141" s="11">
        <f t="shared" si="0"/>
        <v>2.6857396646757339</v>
      </c>
      <c r="G141" s="2">
        <f t="shared" si="1"/>
        <v>196.94528961067155</v>
      </c>
      <c r="H141" s="2">
        <f t="shared" si="2"/>
        <v>2.5626288987746686</v>
      </c>
      <c r="I141" s="2">
        <f t="shared" si="3"/>
        <v>187.91757714714643</v>
      </c>
      <c r="J141" s="2">
        <f t="shared" si="4"/>
        <v>9.0277124635251198</v>
      </c>
      <c r="K141" s="15">
        <f t="shared" si="23"/>
        <v>0.37320156695156698</v>
      </c>
      <c r="L141" s="2">
        <f t="shared" si="14"/>
        <v>136</v>
      </c>
      <c r="M141" s="2">
        <f t="shared" si="21"/>
        <v>73.08</v>
      </c>
      <c r="N141" s="2">
        <v>14.5</v>
      </c>
      <c r="O141" s="2">
        <v>50.26548245743669</v>
      </c>
      <c r="P141" s="11">
        <f t="shared" si="5"/>
        <v>2.8846833435406034</v>
      </c>
      <c r="Q141" s="2">
        <f t="shared" si="6"/>
        <v>210.81265874594729</v>
      </c>
      <c r="R141" s="2">
        <f t="shared" si="7"/>
        <v>2.6419412748657432</v>
      </c>
      <c r="S141" s="2">
        <f t="shared" si="8"/>
        <v>193.07306836718851</v>
      </c>
      <c r="T141" s="2">
        <f t="shared" si="9"/>
        <v>17.739590378758777</v>
      </c>
    </row>
    <row r="142" spans="1:20" x14ac:dyDescent="0.25">
      <c r="A142" s="14">
        <f t="shared" si="22"/>
        <v>0.39658119658119662</v>
      </c>
      <c r="B142" s="2">
        <f t="shared" si="11"/>
        <v>137</v>
      </c>
      <c r="C142" s="4">
        <f t="shared" si="20"/>
        <v>73.83</v>
      </c>
      <c r="D142" s="2">
        <v>15</v>
      </c>
      <c r="E142" s="2">
        <v>50.26548245743669</v>
      </c>
      <c r="F142" s="11">
        <f t="shared" si="0"/>
        <v>2.9841551829730379</v>
      </c>
      <c r="G142" s="2">
        <f t="shared" si="1"/>
        <v>220.32017715889938</v>
      </c>
      <c r="H142" s="2">
        <f t="shared" si="2"/>
        <v>2.5626288987746686</v>
      </c>
      <c r="I142" s="2">
        <f t="shared" si="3"/>
        <v>189.19889159653377</v>
      </c>
      <c r="J142" s="2">
        <f t="shared" si="4"/>
        <v>31.121285562365614</v>
      </c>
      <c r="K142" s="15">
        <f t="shared" si="23"/>
        <v>0.37332621082621081</v>
      </c>
      <c r="L142" s="2">
        <f t="shared" si="14"/>
        <v>137</v>
      </c>
      <c r="M142" s="2">
        <f t="shared" si="21"/>
        <v>73.58</v>
      </c>
      <c r="N142" s="2">
        <v>17.5</v>
      </c>
      <c r="O142" s="2">
        <v>50.26548245743669</v>
      </c>
      <c r="P142" s="11">
        <f t="shared" si="5"/>
        <v>3.4815143801352106</v>
      </c>
      <c r="Q142" s="2">
        <f t="shared" si="6"/>
        <v>256.1698280903488</v>
      </c>
      <c r="R142" s="2">
        <f t="shared" si="7"/>
        <v>2.6419412748657432</v>
      </c>
      <c r="S142" s="2">
        <f t="shared" si="8"/>
        <v>194.39403900462139</v>
      </c>
      <c r="T142" s="2">
        <f t="shared" si="9"/>
        <v>61.775789085727411</v>
      </c>
    </row>
    <row r="143" spans="1:20" x14ac:dyDescent="0.25">
      <c r="A143" s="14">
        <f t="shared" si="22"/>
        <v>0.39668803418803422</v>
      </c>
      <c r="B143" s="2">
        <f t="shared" si="11"/>
        <v>138</v>
      </c>
      <c r="C143" s="4">
        <f t="shared" si="20"/>
        <v>74.33</v>
      </c>
      <c r="D143" s="2">
        <v>15</v>
      </c>
      <c r="E143" s="2">
        <v>50.26548245743669</v>
      </c>
      <c r="F143" s="11">
        <f t="shared" si="0"/>
        <v>2.9841551829730379</v>
      </c>
      <c r="G143" s="2">
        <f t="shared" si="1"/>
        <v>221.8122547503859</v>
      </c>
      <c r="H143" s="2">
        <f t="shared" si="2"/>
        <v>2.5626288987746686</v>
      </c>
      <c r="I143" s="2">
        <f t="shared" si="3"/>
        <v>190.48020604592111</v>
      </c>
      <c r="J143" s="2">
        <f t="shared" si="4"/>
        <v>31.332048704464796</v>
      </c>
      <c r="K143" s="15">
        <f t="shared" si="23"/>
        <v>0.37345085470085471</v>
      </c>
      <c r="L143" s="2">
        <f t="shared" si="14"/>
        <v>138</v>
      </c>
      <c r="M143" s="2">
        <f t="shared" si="21"/>
        <v>74.08</v>
      </c>
      <c r="N143" s="2">
        <v>15.5</v>
      </c>
      <c r="O143" s="2">
        <v>50.26548245743669</v>
      </c>
      <c r="P143" s="11">
        <f t="shared" si="5"/>
        <v>3.0836270224054725</v>
      </c>
      <c r="Q143" s="2">
        <f t="shared" si="6"/>
        <v>228.43508981979738</v>
      </c>
      <c r="R143" s="2">
        <f t="shared" si="7"/>
        <v>2.6419412748657432</v>
      </c>
      <c r="S143" s="2">
        <f t="shared" si="8"/>
        <v>195.71500964205424</v>
      </c>
      <c r="T143" s="2">
        <f t="shared" si="9"/>
        <v>32.720080177743142</v>
      </c>
    </row>
    <row r="144" spans="1:20" x14ac:dyDescent="0.25">
      <c r="A144" s="14">
        <f t="shared" si="22"/>
        <v>0.39679487179487183</v>
      </c>
      <c r="B144" s="2">
        <f t="shared" si="11"/>
        <v>139</v>
      </c>
      <c r="C144" s="4">
        <f t="shared" si="20"/>
        <v>74.83</v>
      </c>
      <c r="D144" s="2">
        <v>14</v>
      </c>
      <c r="E144" s="2">
        <v>50.26548245743669</v>
      </c>
      <c r="F144" s="11">
        <f t="shared" si="0"/>
        <v>2.7852115041081689</v>
      </c>
      <c r="G144" s="2">
        <f t="shared" si="1"/>
        <v>208.41737685241426</v>
      </c>
      <c r="H144" s="2">
        <f t="shared" si="2"/>
        <v>2.5626288987746686</v>
      </c>
      <c r="I144" s="2">
        <f t="shared" si="3"/>
        <v>191.76152049530845</v>
      </c>
      <c r="J144" s="2">
        <f t="shared" si="4"/>
        <v>16.655856357105819</v>
      </c>
      <c r="K144" s="15">
        <f t="shared" si="23"/>
        <v>0.3735754985754986</v>
      </c>
      <c r="L144" s="2">
        <f t="shared" si="14"/>
        <v>139</v>
      </c>
      <c r="M144" s="2">
        <f t="shared" si="21"/>
        <v>74.58</v>
      </c>
      <c r="N144" s="2">
        <v>14.5</v>
      </c>
      <c r="O144" s="2">
        <v>50.26548245743669</v>
      </c>
      <c r="P144" s="11">
        <f t="shared" si="5"/>
        <v>2.8846833435406034</v>
      </c>
      <c r="Q144" s="2">
        <f t="shared" si="6"/>
        <v>215.1396837612582</v>
      </c>
      <c r="R144" s="2">
        <f t="shared" si="7"/>
        <v>2.6419412748657432</v>
      </c>
      <c r="S144" s="2">
        <f t="shared" si="8"/>
        <v>197.03598027948712</v>
      </c>
      <c r="T144" s="2">
        <f t="shared" si="9"/>
        <v>18.103703481771078</v>
      </c>
    </row>
    <row r="145" spans="1:20" x14ac:dyDescent="0.25">
      <c r="A145" s="14">
        <f t="shared" si="22"/>
        <v>0.39690170940170943</v>
      </c>
      <c r="B145" s="2">
        <f t="shared" si="11"/>
        <v>140</v>
      </c>
      <c r="C145" s="4">
        <f t="shared" si="20"/>
        <v>75.33</v>
      </c>
      <c r="D145" s="2">
        <v>15</v>
      </c>
      <c r="E145" s="2">
        <v>50.26548245743669</v>
      </c>
      <c r="F145" s="11">
        <f t="shared" si="0"/>
        <v>2.9841551829730379</v>
      </c>
      <c r="G145" s="2">
        <f t="shared" si="1"/>
        <v>224.79640993335894</v>
      </c>
      <c r="H145" s="2">
        <f t="shared" si="2"/>
        <v>2.5626288987746686</v>
      </c>
      <c r="I145" s="2">
        <f t="shared" si="3"/>
        <v>193.04283494469578</v>
      </c>
      <c r="J145" s="2">
        <f t="shared" si="4"/>
        <v>31.753574988663161</v>
      </c>
      <c r="K145" s="15">
        <f t="shared" si="23"/>
        <v>0.37370014245014244</v>
      </c>
      <c r="L145" s="2">
        <f t="shared" si="14"/>
        <v>140</v>
      </c>
      <c r="M145" s="2">
        <f t="shared" si="21"/>
        <v>75.08</v>
      </c>
      <c r="N145" s="2">
        <v>14.5</v>
      </c>
      <c r="O145" s="2">
        <v>50.26548245743669</v>
      </c>
      <c r="P145" s="11">
        <f t="shared" si="5"/>
        <v>2.8846833435406034</v>
      </c>
      <c r="Q145" s="2">
        <f t="shared" si="6"/>
        <v>216.58202543302849</v>
      </c>
      <c r="R145" s="2">
        <f t="shared" si="7"/>
        <v>2.6419412748657432</v>
      </c>
      <c r="S145" s="2">
        <f t="shared" si="8"/>
        <v>198.35695091692</v>
      </c>
      <c r="T145" s="2">
        <f t="shared" si="9"/>
        <v>18.225074516108492</v>
      </c>
    </row>
    <row r="146" spans="1:20" x14ac:dyDescent="0.25">
      <c r="A146" s="14">
        <f t="shared" si="22"/>
        <v>0.39700854700854704</v>
      </c>
      <c r="B146" s="2">
        <f t="shared" si="11"/>
        <v>141</v>
      </c>
      <c r="C146" s="4">
        <f t="shared" si="20"/>
        <v>75.83</v>
      </c>
      <c r="D146" s="2">
        <v>14.5</v>
      </c>
      <c r="E146" s="2">
        <v>50.26548245743669</v>
      </c>
      <c r="F146" s="11">
        <f t="shared" si="0"/>
        <v>2.8846833435406034</v>
      </c>
      <c r="G146" s="2">
        <f t="shared" si="1"/>
        <v>218.74553794068396</v>
      </c>
      <c r="H146" s="2">
        <f t="shared" si="2"/>
        <v>2.5626288987746686</v>
      </c>
      <c r="I146" s="2">
        <f t="shared" si="3"/>
        <v>194.32414939408312</v>
      </c>
      <c r="J146" s="2">
        <f t="shared" si="4"/>
        <v>24.421388546600838</v>
      </c>
      <c r="K146" s="15">
        <f t="shared" si="23"/>
        <v>0.37382478632478633</v>
      </c>
      <c r="L146" s="2">
        <f t="shared" si="14"/>
        <v>141</v>
      </c>
      <c r="M146" s="2">
        <f t="shared" si="21"/>
        <v>75.58</v>
      </c>
      <c r="N146" s="2">
        <v>14.5</v>
      </c>
      <c r="O146" s="2">
        <v>50.26548245743669</v>
      </c>
      <c r="P146" s="11">
        <f t="shared" si="5"/>
        <v>2.8846833435406034</v>
      </c>
      <c r="Q146" s="2">
        <f t="shared" si="6"/>
        <v>218.02436710479881</v>
      </c>
      <c r="R146" s="2">
        <f t="shared" si="7"/>
        <v>2.6419412748657432</v>
      </c>
      <c r="S146" s="2">
        <f t="shared" si="8"/>
        <v>199.67792155435285</v>
      </c>
      <c r="T146" s="2">
        <f t="shared" si="9"/>
        <v>18.346445550445964</v>
      </c>
    </row>
    <row r="147" spans="1:20" x14ac:dyDescent="0.25">
      <c r="A147" s="14">
        <f t="shared" si="22"/>
        <v>0.39711538461538465</v>
      </c>
      <c r="B147" s="2">
        <f t="shared" si="11"/>
        <v>142</v>
      </c>
      <c r="C147" s="4">
        <f t="shared" si="20"/>
        <v>76.33</v>
      </c>
      <c r="D147" s="2">
        <v>14</v>
      </c>
      <c r="E147" s="2">
        <v>50.26548245743669</v>
      </c>
      <c r="F147" s="11">
        <f t="shared" si="0"/>
        <v>2.7852115041081689</v>
      </c>
      <c r="G147" s="2">
        <f t="shared" si="1"/>
        <v>212.59519410857652</v>
      </c>
      <c r="H147" s="2">
        <f t="shared" si="2"/>
        <v>2.5626288987746686</v>
      </c>
      <c r="I147" s="2">
        <f t="shared" si="3"/>
        <v>195.60546384347046</v>
      </c>
      <c r="J147" s="2">
        <f t="shared" si="4"/>
        <v>16.989730265106061</v>
      </c>
      <c r="K147" s="15">
        <f t="shared" si="23"/>
        <v>0.37394943019943022</v>
      </c>
      <c r="L147" s="2">
        <f t="shared" si="14"/>
        <v>142</v>
      </c>
      <c r="M147" s="2">
        <f t="shared" si="21"/>
        <v>76.08</v>
      </c>
      <c r="N147" s="2">
        <v>13</v>
      </c>
      <c r="O147" s="2">
        <v>50.26548245743669</v>
      </c>
      <c r="P147" s="11">
        <f t="shared" si="5"/>
        <v>2.5862678252432989</v>
      </c>
      <c r="Q147" s="2">
        <f t="shared" si="6"/>
        <v>196.76325614451017</v>
      </c>
      <c r="R147" s="2">
        <f t="shared" si="7"/>
        <v>2.6419412748657432</v>
      </c>
      <c r="S147" s="2">
        <f t="shared" si="8"/>
        <v>200.99889219178573</v>
      </c>
      <c r="T147" s="2">
        <f t="shared" si="9"/>
        <v>4.2356360472755625</v>
      </c>
    </row>
    <row r="148" spans="1:20" x14ac:dyDescent="0.25">
      <c r="A148" s="14">
        <f t="shared" si="22"/>
        <v>0.39722222222222225</v>
      </c>
      <c r="B148" s="2">
        <f t="shared" si="11"/>
        <v>143</v>
      </c>
      <c r="C148" s="4">
        <f t="shared" si="20"/>
        <v>76.83</v>
      </c>
      <c r="D148" s="2">
        <v>14</v>
      </c>
      <c r="E148" s="2">
        <v>50.26548245743669</v>
      </c>
      <c r="F148" s="11">
        <f t="shared" si="0"/>
        <v>2.7852115041081689</v>
      </c>
      <c r="G148" s="2">
        <f t="shared" si="1"/>
        <v>213.98779986063062</v>
      </c>
      <c r="H148" s="2">
        <f t="shared" si="2"/>
        <v>2.5626288987746686</v>
      </c>
      <c r="I148" s="2">
        <f t="shared" si="3"/>
        <v>196.88677829285777</v>
      </c>
      <c r="J148" s="2">
        <f t="shared" si="4"/>
        <v>17.101021567772847</v>
      </c>
      <c r="K148" s="15">
        <f t="shared" si="23"/>
        <v>0.37407407407407406</v>
      </c>
      <c r="L148" s="2">
        <f t="shared" si="14"/>
        <v>143</v>
      </c>
      <c r="M148" s="2">
        <f t="shared" si="21"/>
        <v>76.58</v>
      </c>
      <c r="N148" s="2">
        <v>14.5</v>
      </c>
      <c r="O148" s="2">
        <v>50.26548245743669</v>
      </c>
      <c r="P148" s="11">
        <f t="shared" si="5"/>
        <v>2.8846833435406034</v>
      </c>
      <c r="Q148" s="2">
        <f t="shared" si="6"/>
        <v>220.9090504483394</v>
      </c>
      <c r="R148" s="2">
        <f t="shared" si="7"/>
        <v>2.6419412748657432</v>
      </c>
      <c r="S148" s="2">
        <f t="shared" si="8"/>
        <v>202.31986282921861</v>
      </c>
      <c r="T148" s="2">
        <f t="shared" si="9"/>
        <v>18.589187619120793</v>
      </c>
    </row>
    <row r="149" spans="1:20" x14ac:dyDescent="0.25">
      <c r="A149" s="14">
        <f t="shared" si="22"/>
        <v>0.39732905982905986</v>
      </c>
      <c r="B149" s="2">
        <f t="shared" si="11"/>
        <v>144</v>
      </c>
      <c r="C149" s="4">
        <f t="shared" si="20"/>
        <v>77.33</v>
      </c>
      <c r="D149" s="2">
        <v>14</v>
      </c>
      <c r="E149" s="2">
        <v>50.26548245743669</v>
      </c>
      <c r="F149" s="11">
        <f t="shared" si="0"/>
        <v>2.7852115041081689</v>
      </c>
      <c r="G149" s="2">
        <f t="shared" si="1"/>
        <v>215.38040561268468</v>
      </c>
      <c r="H149" s="2">
        <f t="shared" si="2"/>
        <v>2.5626288987746686</v>
      </c>
      <c r="I149" s="2">
        <f t="shared" si="3"/>
        <v>198.16809274224511</v>
      </c>
      <c r="J149" s="2">
        <f t="shared" si="4"/>
        <v>17.212312870439575</v>
      </c>
      <c r="K149" s="15">
        <f t="shared" si="23"/>
        <v>0.37419871794871795</v>
      </c>
      <c r="L149" s="2">
        <f t="shared" si="14"/>
        <v>144</v>
      </c>
      <c r="M149" s="2">
        <f t="shared" si="21"/>
        <v>77.08</v>
      </c>
      <c r="N149" s="2">
        <v>14.5</v>
      </c>
      <c r="O149" s="2">
        <v>50.26548245743669</v>
      </c>
      <c r="P149" s="11">
        <f t="shared" si="5"/>
        <v>2.8846833435406034</v>
      </c>
      <c r="Q149" s="2">
        <f t="shared" si="6"/>
        <v>222.35139212010969</v>
      </c>
      <c r="R149" s="2">
        <f t="shared" si="7"/>
        <v>2.6419412748657432</v>
      </c>
      <c r="S149" s="2">
        <f t="shared" si="8"/>
        <v>203.64083346665149</v>
      </c>
      <c r="T149" s="2">
        <f t="shared" si="9"/>
        <v>18.710558653458207</v>
      </c>
    </row>
    <row r="150" spans="1:20" x14ac:dyDescent="0.25">
      <c r="A150" s="14">
        <f t="shared" si="22"/>
        <v>0.39743589743589747</v>
      </c>
      <c r="B150" s="2">
        <f t="shared" si="11"/>
        <v>145</v>
      </c>
      <c r="C150" s="4">
        <f t="shared" si="20"/>
        <v>77.83</v>
      </c>
      <c r="D150" s="2">
        <v>14.5</v>
      </c>
      <c r="E150" s="2">
        <v>50.26548245743669</v>
      </c>
      <c r="F150" s="11">
        <f t="shared" si="0"/>
        <v>2.8846833435406034</v>
      </c>
      <c r="G150" s="2">
        <f t="shared" si="1"/>
        <v>224.51490462776516</v>
      </c>
      <c r="H150" s="2">
        <f t="shared" si="2"/>
        <v>2.5626288987746686</v>
      </c>
      <c r="I150" s="2">
        <f t="shared" si="3"/>
        <v>199.44940719163245</v>
      </c>
      <c r="J150" s="2">
        <f t="shared" si="4"/>
        <v>25.065497436132716</v>
      </c>
      <c r="K150" s="15">
        <f t="shared" si="23"/>
        <v>0.37432336182336184</v>
      </c>
      <c r="L150" s="2">
        <f t="shared" si="14"/>
        <v>145</v>
      </c>
      <c r="M150" s="2">
        <f t="shared" si="21"/>
        <v>77.58</v>
      </c>
      <c r="N150" s="2">
        <v>14</v>
      </c>
      <c r="O150" s="2">
        <v>50.26548245743669</v>
      </c>
      <c r="P150" s="11">
        <f t="shared" si="5"/>
        <v>2.7852115041081689</v>
      </c>
      <c r="Q150" s="2">
        <f t="shared" si="6"/>
        <v>216.07670848871174</v>
      </c>
      <c r="R150" s="2">
        <f t="shared" si="7"/>
        <v>2.6419412748657432</v>
      </c>
      <c r="S150" s="2">
        <f t="shared" si="8"/>
        <v>204.96180410408434</v>
      </c>
      <c r="T150" s="2">
        <f t="shared" si="9"/>
        <v>11.114904384627408</v>
      </c>
    </row>
    <row r="151" spans="1:20" x14ac:dyDescent="0.25">
      <c r="A151" s="14">
        <f t="shared" si="22"/>
        <v>0.39754273504273507</v>
      </c>
      <c r="B151" s="2">
        <f t="shared" si="11"/>
        <v>146</v>
      </c>
      <c r="C151" s="4">
        <f t="shared" si="20"/>
        <v>78.33</v>
      </c>
      <c r="D151" s="2">
        <v>14</v>
      </c>
      <c r="E151" s="2">
        <v>50.26548245743669</v>
      </c>
      <c r="F151" s="11">
        <f t="shared" si="0"/>
        <v>2.7852115041081689</v>
      </c>
      <c r="G151" s="2">
        <f t="shared" si="1"/>
        <v>218.16561711679287</v>
      </c>
      <c r="H151" s="2">
        <f t="shared" si="2"/>
        <v>2.5626288987746686</v>
      </c>
      <c r="I151" s="2">
        <f t="shared" si="3"/>
        <v>200.73072164101978</v>
      </c>
      <c r="J151" s="2">
        <f t="shared" si="4"/>
        <v>17.434895475773089</v>
      </c>
      <c r="K151" s="15">
        <f t="shared" si="23"/>
        <v>0.37444800569800568</v>
      </c>
      <c r="L151" s="2">
        <f t="shared" si="14"/>
        <v>146</v>
      </c>
      <c r="M151" s="2">
        <f t="shared" si="21"/>
        <v>78.08</v>
      </c>
      <c r="N151" s="2">
        <v>15.5</v>
      </c>
      <c r="O151" s="2">
        <v>50.26548245743669</v>
      </c>
      <c r="P151" s="11">
        <f t="shared" si="5"/>
        <v>3.0836270224054725</v>
      </c>
      <c r="Q151" s="2">
        <f t="shared" si="6"/>
        <v>240.76959790941928</v>
      </c>
      <c r="R151" s="2">
        <f t="shared" si="7"/>
        <v>2.6419412748657432</v>
      </c>
      <c r="S151" s="2">
        <f t="shared" si="8"/>
        <v>206.28277474151722</v>
      </c>
      <c r="T151" s="2">
        <f t="shared" si="9"/>
        <v>34.48682316790206</v>
      </c>
    </row>
    <row r="152" spans="1:20" x14ac:dyDescent="0.25">
      <c r="A152" s="14">
        <f t="shared" si="22"/>
        <v>0.39764957264957268</v>
      </c>
      <c r="B152" s="2">
        <f t="shared" si="11"/>
        <v>147</v>
      </c>
      <c r="C152" s="4">
        <f t="shared" si="20"/>
        <v>78.83</v>
      </c>
      <c r="D152" s="2">
        <v>14</v>
      </c>
      <c r="E152" s="2">
        <v>50.26548245743669</v>
      </c>
      <c r="F152" s="11">
        <f t="shared" si="0"/>
        <v>2.7852115041081689</v>
      </c>
      <c r="G152" s="2">
        <f t="shared" si="1"/>
        <v>219.55822286884694</v>
      </c>
      <c r="H152" s="2">
        <f t="shared" si="2"/>
        <v>2.5626288987746686</v>
      </c>
      <c r="I152" s="2">
        <f t="shared" si="3"/>
        <v>202.01203609040712</v>
      </c>
      <c r="J152" s="2">
        <f t="shared" si="4"/>
        <v>17.546186778439818</v>
      </c>
      <c r="K152" s="15">
        <f t="shared" si="23"/>
        <v>0.37457264957264957</v>
      </c>
      <c r="L152" s="2">
        <f t="shared" si="14"/>
        <v>147</v>
      </c>
      <c r="M152" s="2">
        <f t="shared" si="21"/>
        <v>78.58</v>
      </c>
      <c r="N152" s="2">
        <v>15</v>
      </c>
      <c r="O152" s="2">
        <v>50.26548245743669</v>
      </c>
      <c r="P152" s="11">
        <f t="shared" si="5"/>
        <v>2.9841551829730379</v>
      </c>
      <c r="Q152" s="2">
        <f t="shared" si="6"/>
        <v>234.49491427802133</v>
      </c>
      <c r="R152" s="2">
        <f t="shared" si="7"/>
        <v>2.6419412748657432</v>
      </c>
      <c r="S152" s="2">
        <f t="shared" si="8"/>
        <v>207.60374537895009</v>
      </c>
      <c r="T152" s="2">
        <f t="shared" si="9"/>
        <v>26.891168899071232</v>
      </c>
    </row>
    <row r="153" spans="1:20" x14ac:dyDescent="0.25">
      <c r="A153" s="14">
        <f t="shared" si="22"/>
        <v>0.39775641025641029</v>
      </c>
      <c r="B153" s="2">
        <f t="shared" si="11"/>
        <v>148</v>
      </c>
      <c r="C153" s="4">
        <f t="shared" si="20"/>
        <v>79.33</v>
      </c>
      <c r="D153" s="2">
        <v>15</v>
      </c>
      <c r="E153" s="2">
        <v>50.26548245743669</v>
      </c>
      <c r="F153" s="11">
        <f t="shared" si="0"/>
        <v>2.9841551829730379</v>
      </c>
      <c r="G153" s="2">
        <f t="shared" si="1"/>
        <v>236.73303066525111</v>
      </c>
      <c r="H153" s="2">
        <f t="shared" si="2"/>
        <v>2.5626288987746686</v>
      </c>
      <c r="I153" s="2">
        <f t="shared" si="3"/>
        <v>203.29335053979446</v>
      </c>
      <c r="J153" s="2">
        <f t="shared" si="4"/>
        <v>33.439680125456647</v>
      </c>
      <c r="K153" s="15">
        <f t="shared" si="23"/>
        <v>0.37469729344729347</v>
      </c>
      <c r="L153" s="2">
        <f t="shared" si="14"/>
        <v>148</v>
      </c>
      <c r="M153" s="2">
        <f t="shared" si="21"/>
        <v>79.08</v>
      </c>
      <c r="N153" s="2">
        <v>15.5</v>
      </c>
      <c r="O153" s="2">
        <v>50.26548245743669</v>
      </c>
      <c r="P153" s="11">
        <f t="shared" si="5"/>
        <v>3.0836270224054725</v>
      </c>
      <c r="Q153" s="2">
        <f t="shared" si="6"/>
        <v>243.85322493182477</v>
      </c>
      <c r="R153" s="2">
        <f t="shared" si="7"/>
        <v>2.6419412748657432</v>
      </c>
      <c r="S153" s="2">
        <f t="shared" si="8"/>
        <v>208.92471601638297</v>
      </c>
      <c r="T153" s="2">
        <f t="shared" si="9"/>
        <v>34.928508915441796</v>
      </c>
    </row>
    <row r="154" spans="1:20" x14ac:dyDescent="0.25">
      <c r="A154" s="14">
        <f t="shared" si="22"/>
        <v>0.39786324786324789</v>
      </c>
      <c r="B154" s="2">
        <f t="shared" si="11"/>
        <v>149</v>
      </c>
      <c r="C154" s="4">
        <f t="shared" si="20"/>
        <v>79.83</v>
      </c>
      <c r="D154" s="2">
        <v>14.5</v>
      </c>
      <c r="E154" s="2">
        <v>50.26548245743669</v>
      </c>
      <c r="F154" s="11">
        <f t="shared" si="0"/>
        <v>2.8846833435406034</v>
      </c>
      <c r="G154" s="2">
        <f t="shared" si="1"/>
        <v>230.28427131484636</v>
      </c>
      <c r="H154" s="2">
        <f t="shared" si="2"/>
        <v>2.5626288987746686</v>
      </c>
      <c r="I154" s="2">
        <f t="shared" si="3"/>
        <v>204.5746649891818</v>
      </c>
      <c r="J154" s="2">
        <f t="shared" si="4"/>
        <v>25.709606325664566</v>
      </c>
      <c r="K154" s="15">
        <f t="shared" si="23"/>
        <v>0.3748219373219373</v>
      </c>
      <c r="L154" s="2">
        <f t="shared" si="14"/>
        <v>149</v>
      </c>
      <c r="M154" s="2">
        <f t="shared" si="21"/>
        <v>79.58</v>
      </c>
      <c r="N154" s="2">
        <v>14.5</v>
      </c>
      <c r="O154" s="2">
        <v>50.26548245743669</v>
      </c>
      <c r="P154" s="11">
        <f t="shared" si="5"/>
        <v>2.8846833435406034</v>
      </c>
      <c r="Q154" s="2">
        <f t="shared" si="6"/>
        <v>229.56310047896122</v>
      </c>
      <c r="R154" s="2">
        <f t="shared" si="7"/>
        <v>2.6419412748657432</v>
      </c>
      <c r="S154" s="2">
        <f t="shared" si="8"/>
        <v>210.24568665381582</v>
      </c>
      <c r="T154" s="2">
        <f t="shared" si="9"/>
        <v>19.317413825145394</v>
      </c>
    </row>
    <row r="155" spans="1:20" x14ac:dyDescent="0.25">
      <c r="A155" s="14">
        <f t="shared" si="22"/>
        <v>0.3979700854700855</v>
      </c>
      <c r="B155" s="2">
        <f t="shared" si="11"/>
        <v>150</v>
      </c>
      <c r="C155" s="4">
        <f t="shared" si="20"/>
        <v>80.33</v>
      </c>
      <c r="D155" s="2">
        <v>13.5</v>
      </c>
      <c r="E155" s="2">
        <v>50.26548245743669</v>
      </c>
      <c r="F155" s="11">
        <f t="shared" si="0"/>
        <v>2.6857396646757339</v>
      </c>
      <c r="G155" s="2">
        <f t="shared" si="1"/>
        <v>215.74546726340171</v>
      </c>
      <c r="H155" s="2">
        <f t="shared" si="2"/>
        <v>2.5626288987746686</v>
      </c>
      <c r="I155" s="2">
        <f t="shared" si="3"/>
        <v>205.85597943856914</v>
      </c>
      <c r="J155" s="2">
        <f t="shared" si="4"/>
        <v>9.8894878248325711</v>
      </c>
      <c r="K155" s="15">
        <f t="shared" si="23"/>
        <v>0.3749465811965812</v>
      </c>
      <c r="L155" s="2">
        <f t="shared" si="14"/>
        <v>150</v>
      </c>
      <c r="M155" s="2">
        <f t="shared" si="21"/>
        <v>80.08</v>
      </c>
      <c r="N155" s="2">
        <v>15</v>
      </c>
      <c r="O155" s="2">
        <v>50.26548245743669</v>
      </c>
      <c r="P155" s="11">
        <f t="shared" si="5"/>
        <v>2.9841551829730379</v>
      </c>
      <c r="Q155" s="2">
        <f t="shared" si="6"/>
        <v>238.97114705248089</v>
      </c>
      <c r="R155" s="2">
        <f t="shared" si="7"/>
        <v>2.6419412748657432</v>
      </c>
      <c r="S155" s="2">
        <f t="shared" si="8"/>
        <v>211.5666572912487</v>
      </c>
      <c r="T155" s="2">
        <f t="shared" si="9"/>
        <v>27.404489761232185</v>
      </c>
    </row>
    <row r="156" spans="1:20" x14ac:dyDescent="0.25">
      <c r="A156" s="14">
        <f t="shared" si="22"/>
        <v>0.39807692307692311</v>
      </c>
      <c r="B156" s="2">
        <f t="shared" si="11"/>
        <v>151</v>
      </c>
      <c r="C156" s="4">
        <f t="shared" si="20"/>
        <v>80.83</v>
      </c>
      <c r="D156" s="2">
        <v>13</v>
      </c>
      <c r="E156" s="2">
        <v>50.26548245743669</v>
      </c>
      <c r="F156" s="11">
        <f t="shared" si="0"/>
        <v>2.5862678252432989</v>
      </c>
      <c r="G156" s="2">
        <f t="shared" si="1"/>
        <v>209.04802831441586</v>
      </c>
      <c r="H156" s="2">
        <f t="shared" si="2"/>
        <v>2.5626288987746686</v>
      </c>
      <c r="I156" s="2">
        <f t="shared" si="3"/>
        <v>207.13729388795645</v>
      </c>
      <c r="J156" s="2">
        <f t="shared" si="4"/>
        <v>1.9107344264594133</v>
      </c>
      <c r="K156" s="15">
        <f t="shared" si="23"/>
        <v>0.37507122507122509</v>
      </c>
      <c r="L156" s="2">
        <f t="shared" si="14"/>
        <v>151</v>
      </c>
      <c r="M156" s="2">
        <f t="shared" si="21"/>
        <v>80.58</v>
      </c>
      <c r="N156" s="2">
        <v>14.5</v>
      </c>
      <c r="O156" s="2">
        <v>50.26548245743669</v>
      </c>
      <c r="P156" s="11">
        <f t="shared" si="5"/>
        <v>2.8846833435406034</v>
      </c>
      <c r="Q156" s="2">
        <f t="shared" si="6"/>
        <v>232.4477838225018</v>
      </c>
      <c r="R156" s="2">
        <f t="shared" si="7"/>
        <v>2.6419412748657432</v>
      </c>
      <c r="S156" s="2">
        <f t="shared" si="8"/>
        <v>212.88762792868158</v>
      </c>
      <c r="T156" s="2">
        <f t="shared" si="9"/>
        <v>19.560155893820223</v>
      </c>
    </row>
    <row r="157" spans="1:20" x14ac:dyDescent="0.25">
      <c r="A157" s="14">
        <f t="shared" si="22"/>
        <v>0.39818376068376071</v>
      </c>
      <c r="B157" s="2">
        <f t="shared" si="11"/>
        <v>152</v>
      </c>
      <c r="C157" s="4">
        <f t="shared" si="20"/>
        <v>81.33</v>
      </c>
      <c r="D157" s="2">
        <v>13</v>
      </c>
      <c r="E157" s="2">
        <v>50.26548245743669</v>
      </c>
      <c r="F157" s="11">
        <f t="shared" si="0"/>
        <v>2.5862678252432989</v>
      </c>
      <c r="G157" s="2">
        <f t="shared" si="1"/>
        <v>210.3411622270375</v>
      </c>
      <c r="H157" s="2">
        <f t="shared" si="2"/>
        <v>2.5626288987746686</v>
      </c>
      <c r="I157" s="2">
        <f t="shared" si="3"/>
        <v>208.41860833734378</v>
      </c>
      <c r="J157" s="2">
        <f t="shared" si="4"/>
        <v>1.9225538896937167</v>
      </c>
      <c r="K157" s="15">
        <f t="shared" si="23"/>
        <v>0.37519586894586893</v>
      </c>
      <c r="L157" s="2">
        <f t="shared" si="14"/>
        <v>152</v>
      </c>
      <c r="M157" s="2">
        <f t="shared" si="21"/>
        <v>81.08</v>
      </c>
      <c r="N157" s="2">
        <v>12.5</v>
      </c>
      <c r="O157" s="2">
        <v>50.26548245743669</v>
      </c>
      <c r="P157" s="11">
        <f t="shared" si="5"/>
        <v>2.4867959858108648</v>
      </c>
      <c r="Q157" s="2">
        <f t="shared" si="6"/>
        <v>201.62941852954492</v>
      </c>
      <c r="R157" s="2">
        <f t="shared" si="7"/>
        <v>2.6419412748657432</v>
      </c>
      <c r="S157" s="2">
        <f t="shared" si="8"/>
        <v>214.20859856611446</v>
      </c>
      <c r="T157" s="2">
        <f t="shared" si="9"/>
        <v>12.579180036569539</v>
      </c>
    </row>
    <row r="158" spans="1:20" x14ac:dyDescent="0.25">
      <c r="A158" s="14">
        <f t="shared" si="22"/>
        <v>0.39829059829059832</v>
      </c>
      <c r="B158" s="2">
        <f t="shared" si="11"/>
        <v>153</v>
      </c>
      <c r="C158" s="4">
        <f t="shared" si="20"/>
        <v>81.83</v>
      </c>
      <c r="D158" s="2">
        <v>12.5</v>
      </c>
      <c r="E158" s="2">
        <v>50.26548245743669</v>
      </c>
      <c r="F158" s="11">
        <f t="shared" si="0"/>
        <v>2.4867959858108648</v>
      </c>
      <c r="G158" s="2">
        <f t="shared" si="1"/>
        <v>203.49451551890306</v>
      </c>
      <c r="H158" s="2">
        <f t="shared" si="2"/>
        <v>2.5626288987746686</v>
      </c>
      <c r="I158" s="2">
        <f t="shared" si="3"/>
        <v>209.69992278673112</v>
      </c>
      <c r="J158" s="2">
        <f t="shared" si="4"/>
        <v>6.2054072678280647</v>
      </c>
      <c r="K158" s="15">
        <f t="shared" si="23"/>
        <v>0.37532051282051282</v>
      </c>
      <c r="L158" s="2">
        <f t="shared" si="14"/>
        <v>153</v>
      </c>
      <c r="M158" s="2">
        <f t="shared" si="21"/>
        <v>81.58</v>
      </c>
      <c r="N158" s="2">
        <v>12</v>
      </c>
      <c r="O158" s="2">
        <v>50.26548245743669</v>
      </c>
      <c r="P158" s="11">
        <f t="shared" si="5"/>
        <v>2.3873241463784298</v>
      </c>
      <c r="Q158" s="2">
        <f t="shared" si="6"/>
        <v>194.75790386155231</v>
      </c>
      <c r="R158" s="2">
        <f t="shared" si="7"/>
        <v>2.6419412748657432</v>
      </c>
      <c r="S158" s="2">
        <f t="shared" si="8"/>
        <v>215.52956920354731</v>
      </c>
      <c r="T158" s="2">
        <f t="shared" si="9"/>
        <v>20.771665341995003</v>
      </c>
    </row>
    <row r="159" spans="1:20" x14ac:dyDescent="0.25">
      <c r="A159" s="14">
        <f t="shared" si="22"/>
        <v>0.39839743589743593</v>
      </c>
      <c r="B159" s="2">
        <f t="shared" si="11"/>
        <v>154</v>
      </c>
      <c r="C159" s="4">
        <f t="shared" si="20"/>
        <v>82.33</v>
      </c>
      <c r="D159" s="2">
        <v>11.5</v>
      </c>
      <c r="E159" s="2">
        <v>50.26548245743669</v>
      </c>
      <c r="F159" s="11">
        <f t="shared" si="0"/>
        <v>2.2878523069459957</v>
      </c>
      <c r="G159" s="2">
        <f t="shared" si="1"/>
        <v>188.35888043086382</v>
      </c>
      <c r="H159" s="2">
        <f t="shared" si="2"/>
        <v>2.5626288987746686</v>
      </c>
      <c r="I159" s="2">
        <f t="shared" si="3"/>
        <v>210.98123723611846</v>
      </c>
      <c r="J159" s="2">
        <f t="shared" si="4"/>
        <v>22.62235680525464</v>
      </c>
      <c r="K159" s="15">
        <f t="shared" si="23"/>
        <v>0.37544515669515671</v>
      </c>
      <c r="L159" s="2">
        <f t="shared" si="14"/>
        <v>154</v>
      </c>
      <c r="M159" s="2">
        <f t="shared" si="21"/>
        <v>82.08</v>
      </c>
      <c r="N159" s="2">
        <v>11.5</v>
      </c>
      <c r="O159" s="2">
        <v>50.26548245743669</v>
      </c>
      <c r="P159" s="11">
        <f t="shared" si="5"/>
        <v>2.2878523069459957</v>
      </c>
      <c r="Q159" s="2">
        <f t="shared" si="6"/>
        <v>187.78691735412733</v>
      </c>
      <c r="R159" s="2">
        <f t="shared" si="7"/>
        <v>2.6419412748657432</v>
      </c>
      <c r="S159" s="2">
        <f t="shared" si="8"/>
        <v>216.85053984098019</v>
      </c>
      <c r="T159" s="2">
        <f t="shared" si="9"/>
        <v>29.063622486852864</v>
      </c>
    </row>
    <row r="160" spans="1:20" x14ac:dyDescent="0.25">
      <c r="A160" s="14">
        <f t="shared" si="22"/>
        <v>0.39850427350427353</v>
      </c>
      <c r="B160" s="2">
        <f t="shared" si="11"/>
        <v>155</v>
      </c>
      <c r="C160" s="4">
        <f t="shared" si="20"/>
        <v>82.83</v>
      </c>
      <c r="D160" s="2">
        <v>11.5</v>
      </c>
      <c r="E160" s="2">
        <v>50.26548245743669</v>
      </c>
      <c r="F160" s="11">
        <f t="shared" si="0"/>
        <v>2.2878523069459957</v>
      </c>
      <c r="G160" s="2">
        <f t="shared" si="1"/>
        <v>189.50280658433681</v>
      </c>
      <c r="H160" s="2">
        <f t="shared" si="2"/>
        <v>2.5626288987746686</v>
      </c>
      <c r="I160" s="2">
        <f t="shared" si="3"/>
        <v>212.2625516855058</v>
      </c>
      <c r="J160" s="2">
        <f t="shared" si="4"/>
        <v>22.759745101168988</v>
      </c>
      <c r="K160" s="15">
        <f t="shared" si="23"/>
        <v>0.37556980056980055</v>
      </c>
      <c r="L160" s="2">
        <f t="shared" si="14"/>
        <v>155</v>
      </c>
      <c r="M160" s="2">
        <f t="shared" si="21"/>
        <v>82.58</v>
      </c>
      <c r="N160" s="2">
        <v>11</v>
      </c>
      <c r="O160" s="2">
        <v>50.26548245743669</v>
      </c>
      <c r="P160" s="11">
        <f t="shared" si="5"/>
        <v>2.1883804675135607</v>
      </c>
      <c r="Q160" s="2">
        <f t="shared" si="6"/>
        <v>180.71645900726983</v>
      </c>
      <c r="R160" s="2">
        <f t="shared" si="7"/>
        <v>2.6419412748657432</v>
      </c>
      <c r="S160" s="2">
        <f t="shared" si="8"/>
        <v>218.17151047841307</v>
      </c>
      <c r="T160" s="2">
        <f t="shared" si="9"/>
        <v>37.455051471143236</v>
      </c>
    </row>
    <row r="161" spans="1:20" x14ac:dyDescent="0.25">
      <c r="A161" s="10">
        <v>0.39861111111111114</v>
      </c>
      <c r="B161" s="2">
        <f t="shared" si="11"/>
        <v>156</v>
      </c>
      <c r="C161" s="4">
        <f t="shared" si="20"/>
        <v>83.33</v>
      </c>
      <c r="D161" s="2">
        <v>10.5</v>
      </c>
      <c r="E161" s="2">
        <v>50.26548245743669</v>
      </c>
      <c r="F161" s="11">
        <f t="shared" si="0"/>
        <v>2.0889086280811267</v>
      </c>
      <c r="G161" s="2">
        <f t="shared" si="1"/>
        <v>174.06875597800027</v>
      </c>
      <c r="H161" s="2">
        <f t="shared" si="2"/>
        <v>2.5626288987746686</v>
      </c>
      <c r="I161" s="2">
        <f t="shared" si="3"/>
        <v>213.54386613489314</v>
      </c>
      <c r="J161" s="2">
        <f t="shared" si="4"/>
        <v>39.475110156892868</v>
      </c>
      <c r="K161" s="12">
        <v>0.37569444444444444</v>
      </c>
      <c r="L161" s="2">
        <f t="shared" si="14"/>
        <v>156</v>
      </c>
      <c r="M161" s="2">
        <f t="shared" si="21"/>
        <v>83.08</v>
      </c>
      <c r="N161" s="2">
        <v>11</v>
      </c>
      <c r="O161" s="2">
        <v>50.26548245743669</v>
      </c>
      <c r="P161" s="11">
        <f t="shared" si="5"/>
        <v>2.1883804675135607</v>
      </c>
      <c r="Q161" s="2">
        <f t="shared" si="6"/>
        <v>181.81064924102662</v>
      </c>
      <c r="R161" s="2">
        <f t="shared" si="7"/>
        <v>2.6419412748657432</v>
      </c>
      <c r="S161" s="2">
        <f t="shared" si="8"/>
        <v>219.49248111584595</v>
      </c>
      <c r="T161" s="2">
        <f t="shared" si="9"/>
        <v>37.681831874819324</v>
      </c>
    </row>
    <row r="162" spans="1:20" x14ac:dyDescent="0.25">
      <c r="A162" s="10">
        <v>0.39861111111111114</v>
      </c>
      <c r="B162" s="2">
        <f t="shared" si="11"/>
        <v>157</v>
      </c>
      <c r="C162" s="4">
        <f t="shared" si="20"/>
        <v>83.83</v>
      </c>
      <c r="D162" s="2">
        <v>9.5</v>
      </c>
      <c r="E162" s="2">
        <v>50.26548245743669</v>
      </c>
      <c r="F162" s="11">
        <f t="shared" si="0"/>
        <v>1.8899649492162571</v>
      </c>
      <c r="G162" s="2">
        <f t="shared" si="1"/>
        <v>158.43576169279882</v>
      </c>
      <c r="H162" s="2">
        <f t="shared" si="2"/>
        <v>2.5626288987746686</v>
      </c>
      <c r="I162" s="2">
        <f t="shared" si="3"/>
        <v>214.82518058428047</v>
      </c>
      <c r="J162" s="2">
        <f t="shared" si="4"/>
        <v>56.389418891481654</v>
      </c>
      <c r="K162" s="12">
        <v>0.37569444444444444</v>
      </c>
      <c r="L162" s="2">
        <f t="shared" si="14"/>
        <v>157</v>
      </c>
      <c r="M162" s="2">
        <f t="shared" si="21"/>
        <v>83.58</v>
      </c>
      <c r="N162" s="2">
        <v>8.5</v>
      </c>
      <c r="O162" s="2">
        <v>50.26548245743669</v>
      </c>
      <c r="P162" s="11">
        <f t="shared" si="5"/>
        <v>1.6910212703513881</v>
      </c>
      <c r="Q162" s="2">
        <f t="shared" si="6"/>
        <v>141.33555777596902</v>
      </c>
      <c r="R162" s="2">
        <f t="shared" si="7"/>
        <v>2.6419412748657432</v>
      </c>
      <c r="S162" s="2">
        <f t="shared" si="8"/>
        <v>220.8134517532788</v>
      </c>
      <c r="T162" s="2">
        <f t="shared" si="9"/>
        <v>79.477893977309776</v>
      </c>
    </row>
    <row r="163" spans="1:20" x14ac:dyDescent="0.25">
      <c r="A163" s="10"/>
      <c r="C163" s="4"/>
      <c r="F163" s="11"/>
      <c r="K163" s="12"/>
      <c r="P163" s="11"/>
    </row>
    <row r="164" spans="1:20" x14ac:dyDescent="0.25">
      <c r="A164" s="10"/>
      <c r="C164" s="4"/>
      <c r="F164" s="11"/>
      <c r="K164" s="12"/>
      <c r="P164" s="11"/>
    </row>
    <row r="165" spans="1:20" x14ac:dyDescent="0.25">
      <c r="A165" s="10"/>
      <c r="C165" s="4"/>
      <c r="F165" s="11"/>
      <c r="K165" s="12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29">
    <mergeCell ref="V23:X23"/>
    <mergeCell ref="V24:X24"/>
    <mergeCell ref="V25:X25"/>
    <mergeCell ref="V26:X26"/>
    <mergeCell ref="V11:W11"/>
    <mergeCell ref="V12:W12"/>
    <mergeCell ref="V13:W13"/>
    <mergeCell ref="V14:W14"/>
    <mergeCell ref="V15:W15"/>
    <mergeCell ref="V16:W16"/>
    <mergeCell ref="V17:W17"/>
    <mergeCell ref="V10:W10"/>
    <mergeCell ref="V18:W18"/>
    <mergeCell ref="V19:X19"/>
    <mergeCell ref="W20:X20"/>
    <mergeCell ref="V21:W21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E4:F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X174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15219.750464900102</v>
      </c>
      <c r="G2" s="4">
        <f>SUM(C6:C174)</f>
        <v>6934.3099999999931</v>
      </c>
      <c r="H2" s="2">
        <f>F2/G2</f>
        <v>2.1948471390664848</v>
      </c>
      <c r="I2" s="2">
        <f>SUM(J6:J174)</f>
        <v>2421.8082467631853</v>
      </c>
      <c r="J2" s="2">
        <f>(1-(I2/(F2)))*100</f>
        <v>84.087726981146133</v>
      </c>
      <c r="K2" s="1"/>
      <c r="L2" s="1"/>
      <c r="M2" s="1"/>
      <c r="N2" s="1"/>
      <c r="O2" s="1"/>
      <c r="P2" s="2">
        <f>SUM(Q6:Q174)</f>
        <v>14968.440830884419</v>
      </c>
      <c r="Q2" s="2">
        <f>SUM(M6:M174)</f>
        <v>6895.0599999999931</v>
      </c>
      <c r="R2" s="2">
        <f>P2/Q2</f>
        <v>2.170893484738992</v>
      </c>
      <c r="S2" s="2">
        <f>SUM(T6:T174)</f>
        <v>2185.5644899878075</v>
      </c>
      <c r="T2" s="2">
        <f>(1-(S2/(P2)))*100</f>
        <v>85.3988500560571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48" t="s">
        <v>84</v>
      </c>
      <c r="F4" s="32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48" t="s">
        <v>84</v>
      </c>
      <c r="P4" s="32"/>
      <c r="V4" s="34" t="s">
        <v>12</v>
      </c>
      <c r="W4" s="36"/>
      <c r="X4" s="6" t="s">
        <v>84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45793</v>
      </c>
    </row>
    <row r="6" spans="1:24" x14ac:dyDescent="0.25">
      <c r="A6" s="10">
        <v>0.60069444444444442</v>
      </c>
      <c r="B6" s="2">
        <v>1</v>
      </c>
      <c r="C6" s="4">
        <v>4.83</v>
      </c>
      <c r="D6" s="2">
        <v>2</v>
      </c>
      <c r="E6" s="2">
        <v>50.26548245743669</v>
      </c>
      <c r="F6" s="11">
        <f t="shared" ref="F6:F162" si="0">(D6/E6)*10</f>
        <v>0.39788735772973838</v>
      </c>
      <c r="G6" s="2">
        <f t="shared" ref="G6:G162" si="1">F6*C6</f>
        <v>1.9217959378346363</v>
      </c>
      <c r="H6" s="2">
        <f t="shared" ref="H6:H162" si="2">$H$2</f>
        <v>2.1948471390664848</v>
      </c>
      <c r="I6" s="2">
        <f t="shared" ref="I6:I162" si="3">H6*C6</f>
        <v>10.601111681691121</v>
      </c>
      <c r="J6" s="2">
        <f t="shared" ref="J6:J162" si="4">ABS(G6-I6)</f>
        <v>8.6793157438564847</v>
      </c>
      <c r="K6" s="12">
        <v>0.44930555555555557</v>
      </c>
      <c r="L6" s="2">
        <v>1</v>
      </c>
      <c r="M6" s="2">
        <v>4.58</v>
      </c>
      <c r="N6" s="2">
        <v>1</v>
      </c>
      <c r="O6" s="2">
        <v>50.26548245743669</v>
      </c>
      <c r="P6" s="11">
        <f t="shared" ref="P6:P162" si="5">(N6/O6)*10</f>
        <v>0.19894367886486919</v>
      </c>
      <c r="Q6" s="2">
        <f t="shared" ref="Q6:Q162" si="6">P6*M6</f>
        <v>0.91116204920110089</v>
      </c>
      <c r="R6" s="2">
        <f t="shared" ref="R6:R162" si="7">$R$2</f>
        <v>2.170893484738992</v>
      </c>
      <c r="S6" s="2">
        <f t="shared" ref="S6:S162" si="8">R6*M6</f>
        <v>9.942692160104583</v>
      </c>
      <c r="T6" s="2">
        <f t="shared" ref="T6:T162" si="9">ABS(Q6-S6)</f>
        <v>9.031530110903482</v>
      </c>
      <c r="V6" s="37" t="s">
        <v>23</v>
      </c>
      <c r="W6" s="36"/>
      <c r="X6" s="13" t="s">
        <v>85</v>
      </c>
    </row>
    <row r="7" spans="1:24" x14ac:dyDescent="0.25">
      <c r="A7" s="30">
        <f t="shared" ref="A7:A43" si="10">IF(AND($A$6&lt;&gt;"",$A$44&lt;&gt;""), $A$6 + (B7 - $B$6) * (($A$44 - $A$6) / ($B$44 - $B$6)), "")</f>
        <v>0.60084064327485376</v>
      </c>
      <c r="B7" s="2">
        <f t="shared" ref="B7:B162" si="11">B6+1</f>
        <v>2</v>
      </c>
      <c r="C7" s="4">
        <f t="shared" ref="C7:C109" si="12">C6+0.5</f>
        <v>5.33</v>
      </c>
      <c r="D7" s="2">
        <v>4</v>
      </c>
      <c r="E7" s="2">
        <v>50.26548245743669</v>
      </c>
      <c r="F7" s="11">
        <f t="shared" si="0"/>
        <v>0.79577471545947676</v>
      </c>
      <c r="G7" s="2">
        <f t="shared" si="1"/>
        <v>4.2414792333990112</v>
      </c>
      <c r="H7" s="2">
        <f t="shared" si="2"/>
        <v>2.1948471390664848</v>
      </c>
      <c r="I7" s="2">
        <f t="shared" si="3"/>
        <v>11.698535251224364</v>
      </c>
      <c r="J7" s="2">
        <f t="shared" si="4"/>
        <v>7.4570560178253524</v>
      </c>
      <c r="K7" s="15">
        <f t="shared" ref="K7:K43" si="13">IF(AND($K$6&lt;&gt;"",$K$44&lt;&gt;""), $K$6 + (L7 - $L$6) * (($K$44 - $K$6) / ($L$44 - $L$6)), "")</f>
        <v>0.44943347953216378</v>
      </c>
      <c r="L7" s="2">
        <f t="shared" ref="L7:L162" si="14">L6+1</f>
        <v>2</v>
      </c>
      <c r="M7" s="2">
        <f t="shared" ref="M7:M109" si="15">M6+0.5</f>
        <v>5.08</v>
      </c>
      <c r="N7" s="2">
        <v>3</v>
      </c>
      <c r="O7" s="2">
        <v>50.26548245743669</v>
      </c>
      <c r="P7" s="11">
        <f t="shared" si="5"/>
        <v>0.59683103659460746</v>
      </c>
      <c r="Q7" s="2">
        <f t="shared" si="6"/>
        <v>3.0319016659006057</v>
      </c>
      <c r="R7" s="2">
        <f t="shared" si="7"/>
        <v>2.170893484738992</v>
      </c>
      <c r="S7" s="2">
        <f t="shared" si="8"/>
        <v>11.02813890247408</v>
      </c>
      <c r="T7" s="2">
        <f t="shared" si="9"/>
        <v>7.9962372365734744</v>
      </c>
      <c r="V7" s="37" t="s">
        <v>24</v>
      </c>
      <c r="W7" s="36"/>
      <c r="X7" s="6" t="s">
        <v>86</v>
      </c>
    </row>
    <row r="8" spans="1:24" x14ac:dyDescent="0.25">
      <c r="A8" s="30">
        <f t="shared" si="10"/>
        <v>0.6009868421052631</v>
      </c>
      <c r="B8" s="2">
        <f t="shared" si="11"/>
        <v>3</v>
      </c>
      <c r="C8" s="4">
        <f t="shared" si="12"/>
        <v>5.83</v>
      </c>
      <c r="D8" s="2">
        <v>6</v>
      </c>
      <c r="E8" s="2">
        <v>50.26548245743669</v>
      </c>
      <c r="F8" s="11">
        <f t="shared" si="0"/>
        <v>1.1936620731892149</v>
      </c>
      <c r="G8" s="2">
        <f t="shared" si="1"/>
        <v>6.9590498866931227</v>
      </c>
      <c r="H8" s="2">
        <f t="shared" si="2"/>
        <v>2.1948471390664848</v>
      </c>
      <c r="I8" s="2">
        <f t="shared" si="3"/>
        <v>12.795958820757606</v>
      </c>
      <c r="J8" s="2">
        <f t="shared" si="4"/>
        <v>5.8369089340644837</v>
      </c>
      <c r="K8" s="15">
        <f t="shared" si="13"/>
        <v>0.44956140350877194</v>
      </c>
      <c r="L8" s="2">
        <f t="shared" si="14"/>
        <v>3</v>
      </c>
      <c r="M8" s="2">
        <f t="shared" si="15"/>
        <v>5.58</v>
      </c>
      <c r="N8" s="2">
        <v>6</v>
      </c>
      <c r="O8" s="2">
        <v>50.26548245743669</v>
      </c>
      <c r="P8" s="11">
        <f t="shared" si="5"/>
        <v>1.1936620731892149</v>
      </c>
      <c r="Q8" s="2">
        <f t="shared" si="6"/>
        <v>6.6606343683958196</v>
      </c>
      <c r="R8" s="2">
        <f t="shared" si="7"/>
        <v>2.170893484738992</v>
      </c>
      <c r="S8" s="2">
        <f t="shared" si="8"/>
        <v>12.113585644843576</v>
      </c>
      <c r="T8" s="2">
        <f t="shared" si="9"/>
        <v>5.4529512764477568</v>
      </c>
      <c r="V8" s="34" t="s">
        <v>25</v>
      </c>
      <c r="W8" s="35"/>
      <c r="X8" s="36"/>
    </row>
    <row r="9" spans="1:24" x14ac:dyDescent="0.25">
      <c r="A9" s="30">
        <f t="shared" si="10"/>
        <v>0.60113304093567244</v>
      </c>
      <c r="B9" s="2">
        <f t="shared" si="11"/>
        <v>4</v>
      </c>
      <c r="C9" s="4">
        <f t="shared" si="12"/>
        <v>6.33</v>
      </c>
      <c r="D9" s="2">
        <v>7</v>
      </c>
      <c r="E9" s="2">
        <v>50.26548245743669</v>
      </c>
      <c r="F9" s="11">
        <f t="shared" si="0"/>
        <v>1.3926057520540844</v>
      </c>
      <c r="G9" s="2">
        <f t="shared" si="1"/>
        <v>8.8151944105023539</v>
      </c>
      <c r="H9" s="2">
        <f t="shared" si="2"/>
        <v>2.1948471390664848</v>
      </c>
      <c r="I9" s="2">
        <f t="shared" si="3"/>
        <v>13.893382390290849</v>
      </c>
      <c r="J9" s="2">
        <f t="shared" si="4"/>
        <v>5.0781879797884955</v>
      </c>
      <c r="K9" s="15">
        <f t="shared" si="13"/>
        <v>0.44968932748538015</v>
      </c>
      <c r="L9" s="2">
        <f t="shared" si="14"/>
        <v>4</v>
      </c>
      <c r="M9" s="2">
        <f t="shared" si="15"/>
        <v>6.08</v>
      </c>
      <c r="N9" s="2">
        <v>7.5</v>
      </c>
      <c r="O9" s="2">
        <v>50.26548245743669</v>
      </c>
      <c r="P9" s="11">
        <f t="shared" si="5"/>
        <v>1.492077591486519</v>
      </c>
      <c r="Q9" s="2">
        <f t="shared" si="6"/>
        <v>9.0718317562380353</v>
      </c>
      <c r="R9" s="2">
        <f t="shared" si="7"/>
        <v>2.170893484738992</v>
      </c>
      <c r="S9" s="2">
        <f t="shared" si="8"/>
        <v>13.199032387213071</v>
      </c>
      <c r="T9" s="2">
        <f t="shared" si="9"/>
        <v>4.127200630975036</v>
      </c>
      <c r="V9" s="34" t="s">
        <v>26</v>
      </c>
      <c r="W9" s="36"/>
      <c r="X9" s="16">
        <v>0.40138888888888891</v>
      </c>
    </row>
    <row r="10" spans="1:24" x14ac:dyDescent="0.25">
      <c r="A10" s="30">
        <f t="shared" si="10"/>
        <v>0.60127923976608189</v>
      </c>
      <c r="B10" s="2">
        <f t="shared" si="11"/>
        <v>5</v>
      </c>
      <c r="C10" s="4">
        <f t="shared" si="12"/>
        <v>6.83</v>
      </c>
      <c r="D10" s="2">
        <v>9</v>
      </c>
      <c r="E10" s="2">
        <v>50.26548245743669</v>
      </c>
      <c r="F10" s="11">
        <f t="shared" si="0"/>
        <v>1.7904931097838226</v>
      </c>
      <c r="G10" s="2">
        <f t="shared" si="1"/>
        <v>12.229067939823508</v>
      </c>
      <c r="H10" s="2">
        <f t="shared" si="2"/>
        <v>2.1948471390664848</v>
      </c>
      <c r="I10" s="2">
        <f t="shared" si="3"/>
        <v>14.99080595982409</v>
      </c>
      <c r="J10" s="2">
        <f t="shared" si="4"/>
        <v>2.7617380200005819</v>
      </c>
      <c r="K10" s="15">
        <f t="shared" si="13"/>
        <v>0.44981725146198831</v>
      </c>
      <c r="L10" s="2">
        <f t="shared" si="14"/>
        <v>5</v>
      </c>
      <c r="M10" s="2">
        <f t="shared" si="15"/>
        <v>6.58</v>
      </c>
      <c r="N10" s="2">
        <v>8.5</v>
      </c>
      <c r="O10" s="2">
        <v>50.26548245743669</v>
      </c>
      <c r="P10" s="11">
        <f t="shared" si="5"/>
        <v>1.6910212703513881</v>
      </c>
      <c r="Q10" s="2">
        <f t="shared" si="6"/>
        <v>11.126919958912133</v>
      </c>
      <c r="R10" s="2">
        <f t="shared" si="7"/>
        <v>2.170893484738992</v>
      </c>
      <c r="S10" s="2">
        <f t="shared" si="8"/>
        <v>14.284479129582568</v>
      </c>
      <c r="T10" s="2">
        <f t="shared" si="9"/>
        <v>3.1575591706704351</v>
      </c>
      <c r="V10" s="34" t="s">
        <v>27</v>
      </c>
      <c r="W10" s="36"/>
      <c r="X10" s="6">
        <v>50</v>
      </c>
    </row>
    <row r="11" spans="1:24" x14ac:dyDescent="0.25">
      <c r="A11" s="30">
        <f t="shared" si="10"/>
        <v>0.60142543859649122</v>
      </c>
      <c r="B11" s="2">
        <f t="shared" si="11"/>
        <v>6</v>
      </c>
      <c r="C11" s="4">
        <f t="shared" si="12"/>
        <v>7.33</v>
      </c>
      <c r="D11" s="2">
        <v>11.5</v>
      </c>
      <c r="E11" s="2">
        <v>50.26548245743669</v>
      </c>
      <c r="F11" s="11">
        <f t="shared" si="0"/>
        <v>2.2878523069459957</v>
      </c>
      <c r="G11" s="2">
        <f t="shared" si="1"/>
        <v>16.769957409914149</v>
      </c>
      <c r="H11" s="2">
        <f t="shared" si="2"/>
        <v>2.1948471390664848</v>
      </c>
      <c r="I11" s="2">
        <f t="shared" si="3"/>
        <v>16.088229529357335</v>
      </c>
      <c r="J11" s="2">
        <f t="shared" si="4"/>
        <v>0.68172788055681366</v>
      </c>
      <c r="K11" s="15">
        <f t="shared" si="13"/>
        <v>0.44994517543859652</v>
      </c>
      <c r="L11" s="2">
        <f t="shared" si="14"/>
        <v>6</v>
      </c>
      <c r="M11" s="2">
        <f t="shared" si="15"/>
        <v>7.08</v>
      </c>
      <c r="N11" s="2">
        <v>10</v>
      </c>
      <c r="O11" s="2">
        <v>50.26548245743669</v>
      </c>
      <c r="P11" s="11">
        <f t="shared" si="5"/>
        <v>1.9894367886486919</v>
      </c>
      <c r="Q11" s="2">
        <f t="shared" si="6"/>
        <v>14.08521246363274</v>
      </c>
      <c r="R11" s="2">
        <f t="shared" si="7"/>
        <v>2.170893484738992</v>
      </c>
      <c r="S11" s="2">
        <f t="shared" si="8"/>
        <v>15.369925871952063</v>
      </c>
      <c r="T11" s="2">
        <f t="shared" si="9"/>
        <v>1.2847134083193232</v>
      </c>
      <c r="V11" s="34" t="s">
        <v>28</v>
      </c>
      <c r="W11" s="36"/>
      <c r="X11" s="6">
        <v>50</v>
      </c>
    </row>
    <row r="12" spans="1:24" x14ac:dyDescent="0.25">
      <c r="A12" s="30">
        <f t="shared" si="10"/>
        <v>0.60157163742690056</v>
      </c>
      <c r="B12" s="2">
        <f t="shared" si="11"/>
        <v>7</v>
      </c>
      <c r="C12" s="4">
        <f t="shared" si="12"/>
        <v>7.83</v>
      </c>
      <c r="D12" s="23">
        <v>14</v>
      </c>
      <c r="E12" s="2">
        <v>50.26548245743669</v>
      </c>
      <c r="F12" s="11">
        <f t="shared" si="0"/>
        <v>2.7852115041081689</v>
      </c>
      <c r="G12" s="2">
        <f t="shared" si="1"/>
        <v>21.808206077166961</v>
      </c>
      <c r="H12" s="2">
        <f t="shared" si="2"/>
        <v>2.1948471390664848</v>
      </c>
      <c r="I12" s="2">
        <f t="shared" si="3"/>
        <v>17.185653098890576</v>
      </c>
      <c r="J12" s="2">
        <f t="shared" si="4"/>
        <v>4.622552978276385</v>
      </c>
      <c r="K12" s="15">
        <f t="shared" si="13"/>
        <v>0.45007309941520468</v>
      </c>
      <c r="L12" s="2">
        <f t="shared" si="14"/>
        <v>7</v>
      </c>
      <c r="M12" s="2">
        <f t="shared" si="15"/>
        <v>7.58</v>
      </c>
      <c r="N12" s="23">
        <v>14</v>
      </c>
      <c r="O12" s="2">
        <v>50.26548245743669</v>
      </c>
      <c r="P12" s="11">
        <f t="shared" si="5"/>
        <v>2.7852115041081689</v>
      </c>
      <c r="Q12" s="2">
        <f t="shared" si="6"/>
        <v>21.111903201139921</v>
      </c>
      <c r="R12" s="2">
        <f t="shared" si="7"/>
        <v>2.170893484738992</v>
      </c>
      <c r="S12" s="2">
        <f t="shared" si="8"/>
        <v>16.455372614321561</v>
      </c>
      <c r="T12" s="2">
        <f t="shared" si="9"/>
        <v>4.6565305868183593</v>
      </c>
      <c r="V12" s="34" t="s">
        <v>29</v>
      </c>
      <c r="W12" s="36"/>
      <c r="X12" s="6">
        <v>50</v>
      </c>
    </row>
    <row r="13" spans="1:24" x14ac:dyDescent="0.25">
      <c r="A13" s="30">
        <f t="shared" si="10"/>
        <v>0.6017178362573099</v>
      </c>
      <c r="B13" s="2">
        <f t="shared" si="11"/>
        <v>8</v>
      </c>
      <c r="C13" s="4">
        <f t="shared" si="12"/>
        <v>8.33</v>
      </c>
      <c r="D13" s="2">
        <v>15.5</v>
      </c>
      <c r="E13" s="2">
        <v>50.26548245743669</v>
      </c>
      <c r="F13" s="11">
        <f t="shared" si="0"/>
        <v>3.0836270224054725</v>
      </c>
      <c r="G13" s="2">
        <f t="shared" si="1"/>
        <v>25.686613096637586</v>
      </c>
      <c r="H13" s="2">
        <f t="shared" si="2"/>
        <v>2.1948471390664848</v>
      </c>
      <c r="I13" s="2">
        <f t="shared" si="3"/>
        <v>18.283076668423817</v>
      </c>
      <c r="J13" s="2">
        <f t="shared" si="4"/>
        <v>7.4035364282137692</v>
      </c>
      <c r="K13" s="15">
        <f t="shared" si="13"/>
        <v>0.45020102339181289</v>
      </c>
      <c r="L13" s="2">
        <f t="shared" si="14"/>
        <v>8</v>
      </c>
      <c r="M13" s="2">
        <f t="shared" si="15"/>
        <v>8.08</v>
      </c>
      <c r="N13" s="2">
        <v>16</v>
      </c>
      <c r="O13" s="2">
        <v>50.26548245743669</v>
      </c>
      <c r="P13" s="11">
        <f t="shared" si="5"/>
        <v>3.183098861837907</v>
      </c>
      <c r="Q13" s="2">
        <f t="shared" si="6"/>
        <v>25.719438803650288</v>
      </c>
      <c r="R13" s="2">
        <f t="shared" si="7"/>
        <v>2.170893484738992</v>
      </c>
      <c r="S13" s="2">
        <f t="shared" si="8"/>
        <v>17.540819356691056</v>
      </c>
      <c r="T13" s="2">
        <f t="shared" si="9"/>
        <v>8.1786194469592317</v>
      </c>
      <c r="V13" s="34" t="s">
        <v>30</v>
      </c>
      <c r="W13" s="36"/>
      <c r="X13" s="16">
        <v>0.49236111111111114</v>
      </c>
    </row>
    <row r="14" spans="1:24" x14ac:dyDescent="0.25">
      <c r="A14" s="30">
        <f t="shared" si="10"/>
        <v>0.60186403508771924</v>
      </c>
      <c r="B14" s="2">
        <f t="shared" si="11"/>
        <v>9</v>
      </c>
      <c r="C14" s="4">
        <f t="shared" si="12"/>
        <v>8.83</v>
      </c>
      <c r="D14" s="2">
        <v>16</v>
      </c>
      <c r="E14" s="2">
        <v>50.26548245743669</v>
      </c>
      <c r="F14" s="11">
        <f t="shared" si="0"/>
        <v>3.183098861837907</v>
      </c>
      <c r="G14" s="2">
        <f t="shared" si="1"/>
        <v>28.10676295002872</v>
      </c>
      <c r="H14" s="2">
        <f t="shared" si="2"/>
        <v>2.1948471390664848</v>
      </c>
      <c r="I14" s="2">
        <f t="shared" si="3"/>
        <v>19.380500237957062</v>
      </c>
      <c r="J14" s="2">
        <f t="shared" si="4"/>
        <v>8.7262627120716587</v>
      </c>
      <c r="K14" s="15">
        <f t="shared" si="13"/>
        <v>0.45032894736842105</v>
      </c>
      <c r="L14" s="2">
        <f t="shared" si="14"/>
        <v>9</v>
      </c>
      <c r="M14" s="2">
        <f t="shared" si="15"/>
        <v>8.58</v>
      </c>
      <c r="N14" s="2">
        <v>16</v>
      </c>
      <c r="O14" s="2">
        <v>50.26548245743669</v>
      </c>
      <c r="P14" s="11">
        <f t="shared" si="5"/>
        <v>3.183098861837907</v>
      </c>
      <c r="Q14" s="2">
        <f t="shared" si="6"/>
        <v>27.310988234569244</v>
      </c>
      <c r="R14" s="2">
        <f t="shared" si="7"/>
        <v>2.170893484738992</v>
      </c>
      <c r="S14" s="2">
        <f t="shared" si="8"/>
        <v>18.626266099060551</v>
      </c>
      <c r="T14" s="2">
        <f t="shared" si="9"/>
        <v>8.684722135508693</v>
      </c>
      <c r="V14" s="34" t="s">
        <v>31</v>
      </c>
      <c r="W14" s="36"/>
      <c r="X14" s="6">
        <v>47</v>
      </c>
    </row>
    <row r="15" spans="1:24" x14ac:dyDescent="0.25">
      <c r="A15" s="30">
        <f t="shared" si="10"/>
        <v>0.60201023391812858</v>
      </c>
      <c r="B15" s="2">
        <f t="shared" si="11"/>
        <v>10</v>
      </c>
      <c r="C15" s="4">
        <f t="shared" si="12"/>
        <v>9.33</v>
      </c>
      <c r="D15" s="2">
        <v>18</v>
      </c>
      <c r="E15" s="2">
        <v>50.26548245743669</v>
      </c>
      <c r="F15" s="11">
        <f t="shared" si="0"/>
        <v>3.5809862195676452</v>
      </c>
      <c r="G15" s="2">
        <f t="shared" si="1"/>
        <v>33.410601428566132</v>
      </c>
      <c r="H15" s="2">
        <f t="shared" si="2"/>
        <v>2.1948471390664848</v>
      </c>
      <c r="I15" s="2">
        <f t="shared" si="3"/>
        <v>20.477923807490303</v>
      </c>
      <c r="J15" s="2">
        <f t="shared" si="4"/>
        <v>12.932677621075829</v>
      </c>
      <c r="K15" s="15">
        <f t="shared" si="13"/>
        <v>0.45045687134502926</v>
      </c>
      <c r="L15" s="2">
        <f t="shared" si="14"/>
        <v>10</v>
      </c>
      <c r="M15" s="2">
        <f t="shared" si="15"/>
        <v>9.08</v>
      </c>
      <c r="N15" s="2">
        <v>16.5</v>
      </c>
      <c r="O15" s="2">
        <v>50.26548245743669</v>
      </c>
      <c r="P15" s="11">
        <f t="shared" si="5"/>
        <v>3.2825707012703416</v>
      </c>
      <c r="Q15" s="2">
        <f t="shared" si="6"/>
        <v>29.805741967534701</v>
      </c>
      <c r="R15" s="2">
        <f t="shared" si="7"/>
        <v>2.170893484738992</v>
      </c>
      <c r="S15" s="2">
        <f t="shared" si="8"/>
        <v>19.711712841430046</v>
      </c>
      <c r="T15" s="2">
        <f t="shared" si="9"/>
        <v>10.094029126104655</v>
      </c>
      <c r="V15" s="34" t="s">
        <v>32</v>
      </c>
      <c r="W15" s="36"/>
      <c r="X15" s="6">
        <v>47</v>
      </c>
    </row>
    <row r="16" spans="1:24" x14ac:dyDescent="0.25">
      <c r="A16" s="30">
        <f t="shared" si="10"/>
        <v>0.60215643274853803</v>
      </c>
      <c r="B16" s="2">
        <f t="shared" si="11"/>
        <v>11</v>
      </c>
      <c r="C16" s="4">
        <f t="shared" si="12"/>
        <v>9.83</v>
      </c>
      <c r="D16" s="2">
        <v>21.5</v>
      </c>
      <c r="E16" s="2">
        <v>50.26548245743669</v>
      </c>
      <c r="F16" s="11">
        <f t="shared" si="0"/>
        <v>4.2772890955946874</v>
      </c>
      <c r="G16" s="2">
        <f t="shared" si="1"/>
        <v>42.04575180969578</v>
      </c>
      <c r="H16" s="2">
        <f t="shared" si="2"/>
        <v>2.1948471390664848</v>
      </c>
      <c r="I16" s="2">
        <f t="shared" si="3"/>
        <v>21.575347377023544</v>
      </c>
      <c r="J16" s="2">
        <f t="shared" si="4"/>
        <v>20.470404432672236</v>
      </c>
      <c r="K16" s="15">
        <f t="shared" si="13"/>
        <v>0.45058479532163742</v>
      </c>
      <c r="L16" s="2">
        <f t="shared" si="14"/>
        <v>11</v>
      </c>
      <c r="M16" s="2">
        <f t="shared" si="15"/>
        <v>9.58</v>
      </c>
      <c r="N16" s="2">
        <v>20.5</v>
      </c>
      <c r="O16" s="2">
        <v>50.26548245743669</v>
      </c>
      <c r="P16" s="11">
        <f t="shared" si="5"/>
        <v>4.0783454167298183</v>
      </c>
      <c r="Q16" s="2">
        <f t="shared" si="6"/>
        <v>39.070549092271662</v>
      </c>
      <c r="R16" s="2">
        <f t="shared" si="7"/>
        <v>2.170893484738992</v>
      </c>
      <c r="S16" s="2">
        <f t="shared" si="8"/>
        <v>20.797159583799544</v>
      </c>
      <c r="T16" s="2">
        <f t="shared" si="9"/>
        <v>18.273389508472118</v>
      </c>
      <c r="V16" s="34" t="s">
        <v>33</v>
      </c>
      <c r="W16" s="36"/>
      <c r="X16" s="6">
        <v>46</v>
      </c>
    </row>
    <row r="17" spans="1:24" x14ac:dyDescent="0.25">
      <c r="A17" s="30">
        <f t="shared" si="10"/>
        <v>0.60230263157894737</v>
      </c>
      <c r="B17" s="2">
        <f t="shared" si="11"/>
        <v>12</v>
      </c>
      <c r="C17" s="4">
        <f t="shared" si="12"/>
        <v>10.33</v>
      </c>
      <c r="D17" s="2">
        <v>20</v>
      </c>
      <c r="E17" s="2">
        <v>50.26548245743669</v>
      </c>
      <c r="F17" s="11">
        <f t="shared" si="0"/>
        <v>3.9788735772973838</v>
      </c>
      <c r="G17" s="2">
        <f t="shared" si="1"/>
        <v>41.101764053481972</v>
      </c>
      <c r="H17" s="2">
        <f t="shared" si="2"/>
        <v>2.1948471390664848</v>
      </c>
      <c r="I17" s="2">
        <f t="shared" si="3"/>
        <v>22.672770946556788</v>
      </c>
      <c r="J17" s="2">
        <f t="shared" si="4"/>
        <v>18.428993106925184</v>
      </c>
      <c r="K17" s="15">
        <f t="shared" si="13"/>
        <v>0.45071271929824563</v>
      </c>
      <c r="L17" s="2">
        <f t="shared" si="14"/>
        <v>12</v>
      </c>
      <c r="M17" s="2">
        <f t="shared" si="15"/>
        <v>10.08</v>
      </c>
      <c r="N17" s="2">
        <v>21</v>
      </c>
      <c r="O17" s="2">
        <v>50.26548245743669</v>
      </c>
      <c r="P17" s="11">
        <f t="shared" si="5"/>
        <v>4.1778172561622533</v>
      </c>
      <c r="Q17" s="2">
        <f t="shared" si="6"/>
        <v>42.112397942115514</v>
      </c>
      <c r="R17" s="2">
        <f t="shared" si="7"/>
        <v>2.170893484738992</v>
      </c>
      <c r="S17" s="2">
        <f t="shared" si="8"/>
        <v>21.882606326169039</v>
      </c>
      <c r="T17" s="2">
        <f t="shared" si="9"/>
        <v>20.229791615946475</v>
      </c>
      <c r="V17" s="38" t="s">
        <v>34</v>
      </c>
      <c r="W17" s="36"/>
      <c r="X17" s="17">
        <f>((X10-X14)+(X11-X15)+(X12-X16))/3</f>
        <v>3.3333333333333335</v>
      </c>
    </row>
    <row r="18" spans="1:24" x14ac:dyDescent="0.25">
      <c r="A18" s="30">
        <f t="shared" si="10"/>
        <v>0.60244883040935671</v>
      </c>
      <c r="B18" s="2">
        <f t="shared" si="11"/>
        <v>13</v>
      </c>
      <c r="C18" s="4">
        <f t="shared" si="12"/>
        <v>10.83</v>
      </c>
      <c r="D18" s="2">
        <v>20.5</v>
      </c>
      <c r="E18" s="2">
        <v>50.26548245743669</v>
      </c>
      <c r="F18" s="11">
        <f t="shared" si="0"/>
        <v>4.0783454167298183</v>
      </c>
      <c r="G18" s="2">
        <f t="shared" si="1"/>
        <v>44.16848086318393</v>
      </c>
      <c r="H18" s="2">
        <f t="shared" si="2"/>
        <v>2.1948471390664848</v>
      </c>
      <c r="I18" s="2">
        <f t="shared" si="3"/>
        <v>23.770194516090029</v>
      </c>
      <c r="J18" s="2">
        <f t="shared" si="4"/>
        <v>20.398286347093901</v>
      </c>
      <c r="K18" s="15">
        <f t="shared" si="13"/>
        <v>0.45084064327485379</v>
      </c>
      <c r="L18" s="2">
        <f t="shared" si="14"/>
        <v>13</v>
      </c>
      <c r="M18" s="2">
        <f t="shared" si="15"/>
        <v>10.58</v>
      </c>
      <c r="N18" s="2">
        <v>20.5</v>
      </c>
      <c r="O18" s="2">
        <v>50.26548245743669</v>
      </c>
      <c r="P18" s="11">
        <f t="shared" si="5"/>
        <v>4.0783454167298183</v>
      </c>
      <c r="Q18" s="2">
        <f t="shared" si="6"/>
        <v>43.148894509001479</v>
      </c>
      <c r="R18" s="2">
        <f t="shared" si="7"/>
        <v>2.170893484738992</v>
      </c>
      <c r="S18" s="2">
        <f t="shared" si="8"/>
        <v>22.968053068538534</v>
      </c>
      <c r="T18" s="2">
        <f t="shared" si="9"/>
        <v>20.180841440462945</v>
      </c>
      <c r="V18" s="38" t="s">
        <v>35</v>
      </c>
      <c r="W18" s="36"/>
      <c r="X18" s="18" t="s">
        <v>41</v>
      </c>
    </row>
    <row r="19" spans="1:24" x14ac:dyDescent="0.25">
      <c r="A19" s="30">
        <f t="shared" si="10"/>
        <v>0.60259502923976604</v>
      </c>
      <c r="B19" s="2">
        <f t="shared" si="11"/>
        <v>14</v>
      </c>
      <c r="C19" s="4">
        <f t="shared" si="12"/>
        <v>11.33</v>
      </c>
      <c r="D19" s="2">
        <v>19</v>
      </c>
      <c r="E19" s="2">
        <v>50.26548245743669</v>
      </c>
      <c r="F19" s="11">
        <f t="shared" si="0"/>
        <v>3.7799298984325143</v>
      </c>
      <c r="G19" s="2">
        <f t="shared" si="1"/>
        <v>42.826605749240386</v>
      </c>
      <c r="H19" s="2">
        <f t="shared" si="2"/>
        <v>2.1948471390664848</v>
      </c>
      <c r="I19" s="2">
        <f t="shared" si="3"/>
        <v>24.867618085623274</v>
      </c>
      <c r="J19" s="2">
        <f t="shared" si="4"/>
        <v>17.958987663617112</v>
      </c>
      <c r="K19" s="15">
        <f t="shared" si="13"/>
        <v>0.450968567251462</v>
      </c>
      <c r="L19" s="2">
        <f t="shared" si="14"/>
        <v>14</v>
      </c>
      <c r="M19" s="2">
        <f t="shared" si="15"/>
        <v>11.08</v>
      </c>
      <c r="N19" s="2">
        <v>18</v>
      </c>
      <c r="O19" s="2">
        <v>50.26548245743669</v>
      </c>
      <c r="P19" s="11">
        <f t="shared" si="5"/>
        <v>3.5809862195676452</v>
      </c>
      <c r="Q19" s="2">
        <f t="shared" si="6"/>
        <v>39.67732731280951</v>
      </c>
      <c r="R19" s="2">
        <f t="shared" si="7"/>
        <v>2.170893484738992</v>
      </c>
      <c r="S19" s="2">
        <f t="shared" si="8"/>
        <v>24.053499810908033</v>
      </c>
      <c r="T19" s="2">
        <f t="shared" si="9"/>
        <v>15.623827501901477</v>
      </c>
      <c r="V19" s="39" t="s">
        <v>37</v>
      </c>
      <c r="W19" s="35"/>
      <c r="X19" s="36"/>
    </row>
    <row r="20" spans="1:24" x14ac:dyDescent="0.25">
      <c r="A20" s="30">
        <f t="shared" si="10"/>
        <v>0.60274122807017538</v>
      </c>
      <c r="B20" s="2">
        <f t="shared" si="11"/>
        <v>15</v>
      </c>
      <c r="C20" s="4">
        <f t="shared" si="12"/>
        <v>11.83</v>
      </c>
      <c r="D20" s="2">
        <v>20</v>
      </c>
      <c r="E20" s="2">
        <v>50.26548245743669</v>
      </c>
      <c r="F20" s="11">
        <f t="shared" si="0"/>
        <v>3.9788735772973838</v>
      </c>
      <c r="G20" s="2">
        <f t="shared" si="1"/>
        <v>47.070074419428053</v>
      </c>
      <c r="H20" s="2">
        <f t="shared" si="2"/>
        <v>2.1948471390664848</v>
      </c>
      <c r="I20" s="2">
        <f t="shared" si="3"/>
        <v>25.965041655156515</v>
      </c>
      <c r="J20" s="2">
        <f t="shared" si="4"/>
        <v>21.105032764271538</v>
      </c>
      <c r="K20" s="15">
        <f t="shared" si="13"/>
        <v>0.45109649122807016</v>
      </c>
      <c r="L20" s="2">
        <f t="shared" si="14"/>
        <v>15</v>
      </c>
      <c r="M20" s="2">
        <f t="shared" si="15"/>
        <v>11.58</v>
      </c>
      <c r="N20" s="2">
        <v>19.5</v>
      </c>
      <c r="O20" s="2">
        <v>50.26548245743669</v>
      </c>
      <c r="P20" s="11">
        <f t="shared" si="5"/>
        <v>3.8794017378649488</v>
      </c>
      <c r="Q20" s="2">
        <f t="shared" si="6"/>
        <v>44.923472124476106</v>
      </c>
      <c r="R20" s="2">
        <f t="shared" si="7"/>
        <v>2.170893484738992</v>
      </c>
      <c r="S20" s="2">
        <f t="shared" si="8"/>
        <v>25.138946553277528</v>
      </c>
      <c r="T20" s="2">
        <f t="shared" si="9"/>
        <v>19.784525571198579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30">
        <f t="shared" si="10"/>
        <v>0.60288742690058472</v>
      </c>
      <c r="B21" s="2">
        <f t="shared" si="11"/>
        <v>16</v>
      </c>
      <c r="C21" s="4">
        <f t="shared" si="12"/>
        <v>12.33</v>
      </c>
      <c r="D21" s="2">
        <v>16</v>
      </c>
      <c r="E21" s="2">
        <v>50.26548245743669</v>
      </c>
      <c r="F21" s="11">
        <f t="shared" si="0"/>
        <v>3.183098861837907</v>
      </c>
      <c r="G21" s="2">
        <f t="shared" si="1"/>
        <v>39.247608966461392</v>
      </c>
      <c r="H21" s="2">
        <f t="shared" si="2"/>
        <v>2.1948471390664848</v>
      </c>
      <c r="I21" s="2">
        <f t="shared" si="3"/>
        <v>27.062465224689756</v>
      </c>
      <c r="J21" s="2">
        <f t="shared" si="4"/>
        <v>12.185143741771636</v>
      </c>
      <c r="K21" s="15">
        <f t="shared" si="13"/>
        <v>0.45122441520467838</v>
      </c>
      <c r="L21" s="2">
        <f t="shared" si="14"/>
        <v>16</v>
      </c>
      <c r="M21" s="2">
        <f t="shared" si="15"/>
        <v>12.08</v>
      </c>
      <c r="N21" s="2">
        <v>18.5</v>
      </c>
      <c r="O21" s="2">
        <v>50.26548245743669</v>
      </c>
      <c r="P21" s="11">
        <f t="shared" si="5"/>
        <v>3.6804580590000797</v>
      </c>
      <c r="Q21" s="2">
        <f t="shared" si="6"/>
        <v>44.459933352720967</v>
      </c>
      <c r="R21" s="2">
        <f t="shared" si="7"/>
        <v>2.170893484738992</v>
      </c>
      <c r="S21" s="2">
        <f t="shared" si="8"/>
        <v>26.224393295647022</v>
      </c>
      <c r="T21" s="2">
        <f t="shared" si="9"/>
        <v>18.235540057073944</v>
      </c>
      <c r="V21" s="39" t="s">
        <v>39</v>
      </c>
      <c r="W21" s="36"/>
      <c r="X21" s="20">
        <f>(J2+T2)/2</f>
        <v>84.743288518601616</v>
      </c>
    </row>
    <row r="22" spans="1:24" x14ac:dyDescent="0.25">
      <c r="A22" s="30">
        <f t="shared" si="10"/>
        <v>0.60303362573099417</v>
      </c>
      <c r="B22" s="2">
        <f t="shared" si="11"/>
        <v>17</v>
      </c>
      <c r="C22" s="4">
        <f t="shared" si="12"/>
        <v>12.83</v>
      </c>
      <c r="D22" s="2">
        <v>15.5</v>
      </c>
      <c r="E22" s="2">
        <v>50.26548245743669</v>
      </c>
      <c r="F22" s="11">
        <f t="shared" si="0"/>
        <v>3.0836270224054725</v>
      </c>
      <c r="G22" s="2">
        <f t="shared" si="1"/>
        <v>39.562934697462211</v>
      </c>
      <c r="H22" s="2">
        <f t="shared" si="2"/>
        <v>2.1948471390664848</v>
      </c>
      <c r="I22" s="2">
        <f t="shared" si="3"/>
        <v>28.159888794223001</v>
      </c>
      <c r="J22" s="2">
        <f t="shared" si="4"/>
        <v>11.40304590323921</v>
      </c>
      <c r="K22" s="15">
        <f t="shared" si="13"/>
        <v>0.45135233918128653</v>
      </c>
      <c r="L22" s="2">
        <f t="shared" si="14"/>
        <v>17</v>
      </c>
      <c r="M22" s="2">
        <f t="shared" si="15"/>
        <v>12.58</v>
      </c>
      <c r="N22" s="2">
        <v>15</v>
      </c>
      <c r="O22" s="2">
        <v>50.26548245743669</v>
      </c>
      <c r="P22" s="11">
        <f t="shared" si="5"/>
        <v>2.9841551829730379</v>
      </c>
      <c r="Q22" s="2">
        <f t="shared" si="6"/>
        <v>37.540672201800817</v>
      </c>
      <c r="R22" s="2">
        <f t="shared" si="7"/>
        <v>2.170893484738992</v>
      </c>
      <c r="S22" s="2">
        <f t="shared" si="8"/>
        <v>27.309840038016521</v>
      </c>
      <c r="T22" s="2">
        <f t="shared" si="9"/>
        <v>10.230832163784296</v>
      </c>
      <c r="V22" s="27"/>
      <c r="W22" s="27"/>
      <c r="X22" s="28"/>
    </row>
    <row r="23" spans="1:24" x14ac:dyDescent="0.25">
      <c r="A23" s="30">
        <f t="shared" si="10"/>
        <v>0.60317982456140351</v>
      </c>
      <c r="B23" s="2">
        <f t="shared" si="11"/>
        <v>18</v>
      </c>
      <c r="C23" s="4">
        <f t="shared" si="12"/>
        <v>13.33</v>
      </c>
      <c r="D23" s="2">
        <v>14</v>
      </c>
      <c r="E23" s="2">
        <v>50.26548245743669</v>
      </c>
      <c r="F23" s="11">
        <f t="shared" si="0"/>
        <v>2.7852115041081689</v>
      </c>
      <c r="G23" s="2">
        <f t="shared" si="1"/>
        <v>37.12686934976189</v>
      </c>
      <c r="H23" s="2">
        <f t="shared" si="2"/>
        <v>2.1948471390664848</v>
      </c>
      <c r="I23" s="2">
        <f t="shared" si="3"/>
        <v>29.257312363756242</v>
      </c>
      <c r="J23" s="2">
        <f t="shared" si="4"/>
        <v>7.869556986005648</v>
      </c>
      <c r="K23" s="15">
        <f t="shared" si="13"/>
        <v>0.45148026315789475</v>
      </c>
      <c r="L23" s="2">
        <f t="shared" si="14"/>
        <v>18</v>
      </c>
      <c r="M23" s="2">
        <f t="shared" si="15"/>
        <v>13.08</v>
      </c>
      <c r="N23" s="2">
        <v>15.5</v>
      </c>
      <c r="O23" s="2">
        <v>50.26548245743669</v>
      </c>
      <c r="P23" s="11">
        <f t="shared" si="5"/>
        <v>3.0836270224054725</v>
      </c>
      <c r="Q23" s="2">
        <f t="shared" si="6"/>
        <v>40.333841453063577</v>
      </c>
      <c r="R23" s="2">
        <f t="shared" si="7"/>
        <v>2.170893484738992</v>
      </c>
      <c r="S23" s="2">
        <f t="shared" si="8"/>
        <v>28.395286780386016</v>
      </c>
      <c r="T23" s="2">
        <f t="shared" si="9"/>
        <v>11.938554672677562</v>
      </c>
      <c r="V23" s="34" t="s">
        <v>45</v>
      </c>
      <c r="W23" s="35"/>
      <c r="X23" s="36"/>
    </row>
    <row r="24" spans="1:24" x14ac:dyDescent="0.25">
      <c r="A24" s="30">
        <f t="shared" si="10"/>
        <v>0.60332602339181285</v>
      </c>
      <c r="B24" s="2">
        <f t="shared" si="11"/>
        <v>19</v>
      </c>
      <c r="C24" s="4">
        <f t="shared" si="12"/>
        <v>13.83</v>
      </c>
      <c r="D24" s="2">
        <v>15</v>
      </c>
      <c r="E24" s="2">
        <v>50.26548245743669</v>
      </c>
      <c r="F24" s="11">
        <f t="shared" si="0"/>
        <v>2.9841551829730379</v>
      </c>
      <c r="G24" s="2">
        <f t="shared" si="1"/>
        <v>41.270866180517118</v>
      </c>
      <c r="H24" s="2">
        <f t="shared" si="2"/>
        <v>2.1948471390664848</v>
      </c>
      <c r="I24" s="2">
        <f t="shared" si="3"/>
        <v>30.354735933289483</v>
      </c>
      <c r="J24" s="2">
        <f t="shared" si="4"/>
        <v>10.916130247227635</v>
      </c>
      <c r="K24" s="15">
        <f t="shared" si="13"/>
        <v>0.4516081871345029</v>
      </c>
      <c r="L24" s="2">
        <f t="shared" si="14"/>
        <v>19</v>
      </c>
      <c r="M24" s="2">
        <f t="shared" si="15"/>
        <v>13.58</v>
      </c>
      <c r="N24" s="2">
        <v>15.5</v>
      </c>
      <c r="O24" s="2">
        <v>50.26548245743669</v>
      </c>
      <c r="P24" s="11">
        <f t="shared" si="5"/>
        <v>3.0836270224054725</v>
      </c>
      <c r="Q24" s="2">
        <f t="shared" si="6"/>
        <v>41.875654964266317</v>
      </c>
      <c r="R24" s="2">
        <f t="shared" si="7"/>
        <v>2.170893484738992</v>
      </c>
      <c r="S24" s="2">
        <f t="shared" si="8"/>
        <v>29.480733522755511</v>
      </c>
      <c r="T24" s="2">
        <f t="shared" si="9"/>
        <v>12.394921441510807</v>
      </c>
      <c r="V24" s="49" t="s">
        <v>46</v>
      </c>
      <c r="W24" s="35"/>
      <c r="X24" s="36"/>
    </row>
    <row r="25" spans="1:24" x14ac:dyDescent="0.25">
      <c r="A25" s="30">
        <f t="shared" si="10"/>
        <v>0.60347222222222219</v>
      </c>
      <c r="B25" s="2">
        <f t="shared" si="11"/>
        <v>20</v>
      </c>
      <c r="C25" s="4">
        <f t="shared" si="12"/>
        <v>14.33</v>
      </c>
      <c r="D25" s="2">
        <v>14.5</v>
      </c>
      <c r="E25" s="2">
        <v>50.26548245743669</v>
      </c>
      <c r="F25" s="11">
        <f t="shared" si="0"/>
        <v>2.8846833435406034</v>
      </c>
      <c r="G25" s="2">
        <f t="shared" si="1"/>
        <v>41.337512312936845</v>
      </c>
      <c r="H25" s="2">
        <f t="shared" si="2"/>
        <v>2.1948471390664848</v>
      </c>
      <c r="I25" s="2">
        <f t="shared" si="3"/>
        <v>31.452159502822727</v>
      </c>
      <c r="J25" s="2">
        <f t="shared" si="4"/>
        <v>9.8853528101141173</v>
      </c>
      <c r="K25" s="15">
        <f t="shared" si="13"/>
        <v>0.45173611111111112</v>
      </c>
      <c r="L25" s="2">
        <f t="shared" si="14"/>
        <v>20</v>
      </c>
      <c r="M25" s="2">
        <f t="shared" si="15"/>
        <v>14.08</v>
      </c>
      <c r="N25" s="2">
        <v>15.5</v>
      </c>
      <c r="O25" s="2">
        <v>50.26548245743669</v>
      </c>
      <c r="P25" s="11">
        <f t="shared" si="5"/>
        <v>3.0836270224054725</v>
      </c>
      <c r="Q25" s="2">
        <f t="shared" si="6"/>
        <v>43.41746847546905</v>
      </c>
      <c r="R25" s="2">
        <f t="shared" si="7"/>
        <v>2.170893484738992</v>
      </c>
      <c r="S25" s="2">
        <f t="shared" si="8"/>
        <v>30.566180265125009</v>
      </c>
      <c r="T25" s="2">
        <f t="shared" si="9"/>
        <v>12.851288210344041</v>
      </c>
      <c r="V25" s="34" t="s">
        <v>47</v>
      </c>
      <c r="W25" s="35"/>
      <c r="X25" s="36"/>
    </row>
    <row r="26" spans="1:24" x14ac:dyDescent="0.25">
      <c r="A26" s="30">
        <f t="shared" si="10"/>
        <v>0.60361842105263153</v>
      </c>
      <c r="B26" s="2">
        <f t="shared" si="11"/>
        <v>21</v>
      </c>
      <c r="C26" s="4">
        <f t="shared" si="12"/>
        <v>14.83</v>
      </c>
      <c r="D26" s="2">
        <v>13.5</v>
      </c>
      <c r="E26" s="2">
        <v>50.26548245743669</v>
      </c>
      <c r="F26" s="11">
        <f t="shared" si="0"/>
        <v>2.6857396646757339</v>
      </c>
      <c r="G26" s="2">
        <f t="shared" si="1"/>
        <v>39.829519227141134</v>
      </c>
      <c r="H26" s="2">
        <f t="shared" si="2"/>
        <v>2.1948471390664848</v>
      </c>
      <c r="I26" s="2">
        <f t="shared" si="3"/>
        <v>32.549583072355972</v>
      </c>
      <c r="J26" s="2">
        <f t="shared" si="4"/>
        <v>7.2799361547851618</v>
      </c>
      <c r="K26" s="15">
        <f t="shared" si="13"/>
        <v>0.45186403508771933</v>
      </c>
      <c r="L26" s="2">
        <f t="shared" si="14"/>
        <v>21</v>
      </c>
      <c r="M26" s="2">
        <f t="shared" si="15"/>
        <v>14.58</v>
      </c>
      <c r="N26" s="2">
        <v>13.5</v>
      </c>
      <c r="O26" s="2">
        <v>50.26548245743669</v>
      </c>
      <c r="P26" s="11">
        <f t="shared" si="5"/>
        <v>2.6857396646757339</v>
      </c>
      <c r="Q26" s="2">
        <f t="shared" si="6"/>
        <v>39.1580843109722</v>
      </c>
      <c r="R26" s="2">
        <f t="shared" si="7"/>
        <v>2.170893484738992</v>
      </c>
      <c r="S26" s="2">
        <f t="shared" si="8"/>
        <v>31.651627007494504</v>
      </c>
      <c r="T26" s="2">
        <f t="shared" si="9"/>
        <v>7.5064573034776956</v>
      </c>
      <c r="V26" s="49" t="s">
        <v>48</v>
      </c>
      <c r="W26" s="35"/>
      <c r="X26" s="36"/>
    </row>
    <row r="27" spans="1:24" x14ac:dyDescent="0.25">
      <c r="A27" s="30">
        <f t="shared" si="10"/>
        <v>0.60376461988304087</v>
      </c>
      <c r="B27" s="2">
        <f t="shared" si="11"/>
        <v>22</v>
      </c>
      <c r="C27" s="4">
        <f t="shared" si="12"/>
        <v>15.33</v>
      </c>
      <c r="D27" s="2">
        <v>12</v>
      </c>
      <c r="E27" s="2">
        <v>50.26548245743669</v>
      </c>
      <c r="F27" s="11">
        <f t="shared" si="0"/>
        <v>2.3873241463784298</v>
      </c>
      <c r="G27" s="2">
        <f t="shared" si="1"/>
        <v>36.597679163981333</v>
      </c>
      <c r="H27" s="2">
        <f t="shared" si="2"/>
        <v>2.1948471390664848</v>
      </c>
      <c r="I27" s="2">
        <f t="shared" si="3"/>
        <v>33.647006641889213</v>
      </c>
      <c r="J27" s="2">
        <f t="shared" si="4"/>
        <v>2.9506725220921197</v>
      </c>
      <c r="K27" s="15">
        <f t="shared" si="13"/>
        <v>0.45199195906432749</v>
      </c>
      <c r="L27" s="2">
        <f t="shared" si="14"/>
        <v>22</v>
      </c>
      <c r="M27" s="2">
        <f t="shared" si="15"/>
        <v>15.08</v>
      </c>
      <c r="N27" s="2">
        <v>13</v>
      </c>
      <c r="O27" s="2">
        <v>50.26548245743669</v>
      </c>
      <c r="P27" s="11">
        <f t="shared" si="5"/>
        <v>2.5862678252432989</v>
      </c>
      <c r="Q27" s="2">
        <f t="shared" si="6"/>
        <v>39.000918804668949</v>
      </c>
      <c r="R27" s="2">
        <f t="shared" si="7"/>
        <v>2.170893484738992</v>
      </c>
      <c r="S27" s="2">
        <f t="shared" si="8"/>
        <v>32.737073749864003</v>
      </c>
      <c r="T27" s="2">
        <f t="shared" si="9"/>
        <v>6.2638450548049462</v>
      </c>
      <c r="V27" s="29"/>
      <c r="W27" s="29"/>
      <c r="X27" s="29"/>
    </row>
    <row r="28" spans="1:24" x14ac:dyDescent="0.25">
      <c r="A28" s="30">
        <f t="shared" si="10"/>
        <v>0.6039108187134502</v>
      </c>
      <c r="B28" s="2">
        <f t="shared" si="11"/>
        <v>23</v>
      </c>
      <c r="C28" s="4">
        <f t="shared" si="12"/>
        <v>15.83</v>
      </c>
      <c r="D28" s="2">
        <v>11.5</v>
      </c>
      <c r="E28" s="2">
        <v>50.26548245743669</v>
      </c>
      <c r="F28" s="11">
        <f t="shared" si="0"/>
        <v>2.2878523069459957</v>
      </c>
      <c r="G28" s="2">
        <f t="shared" si="1"/>
        <v>36.216702018955111</v>
      </c>
      <c r="H28" s="2">
        <f t="shared" si="2"/>
        <v>2.1948471390664848</v>
      </c>
      <c r="I28" s="2">
        <f t="shared" si="3"/>
        <v>34.744430211422454</v>
      </c>
      <c r="J28" s="2">
        <f t="shared" si="4"/>
        <v>1.4722718075326569</v>
      </c>
      <c r="K28" s="15">
        <f t="shared" si="13"/>
        <v>0.4521198830409357</v>
      </c>
      <c r="L28" s="2">
        <f t="shared" si="14"/>
        <v>23</v>
      </c>
      <c r="M28" s="2">
        <f t="shared" si="15"/>
        <v>15.58</v>
      </c>
      <c r="N28" s="2">
        <v>12</v>
      </c>
      <c r="O28" s="2">
        <v>50.26548245743669</v>
      </c>
      <c r="P28" s="11">
        <f t="shared" si="5"/>
        <v>2.3873241463784298</v>
      </c>
      <c r="Q28" s="2">
        <f t="shared" si="6"/>
        <v>37.194510200575934</v>
      </c>
      <c r="R28" s="2">
        <f t="shared" si="7"/>
        <v>2.170893484738992</v>
      </c>
      <c r="S28" s="2">
        <f t="shared" si="8"/>
        <v>33.822520492233494</v>
      </c>
      <c r="T28" s="2">
        <f t="shared" si="9"/>
        <v>3.3719897083424399</v>
      </c>
      <c r="V28" s="24" t="s">
        <v>49</v>
      </c>
      <c r="W28" s="24" t="s">
        <v>50</v>
      </c>
      <c r="X28" s="29"/>
    </row>
    <row r="29" spans="1:24" x14ac:dyDescent="0.25">
      <c r="A29" s="30">
        <f t="shared" si="10"/>
        <v>0.60405701754385965</v>
      </c>
      <c r="B29" s="2">
        <f t="shared" si="11"/>
        <v>24</v>
      </c>
      <c r="C29" s="4">
        <f t="shared" si="12"/>
        <v>16.329999999999998</v>
      </c>
      <c r="D29" s="2">
        <v>19.5</v>
      </c>
      <c r="E29" s="2">
        <v>50.26548245743669</v>
      </c>
      <c r="F29" s="11">
        <f t="shared" si="0"/>
        <v>3.8794017378649488</v>
      </c>
      <c r="G29" s="2">
        <f t="shared" si="1"/>
        <v>63.350630379334611</v>
      </c>
      <c r="H29" s="2">
        <f t="shared" si="2"/>
        <v>2.1948471390664848</v>
      </c>
      <c r="I29" s="2">
        <f t="shared" si="3"/>
        <v>35.841853780955695</v>
      </c>
      <c r="J29" s="2">
        <f t="shared" si="4"/>
        <v>27.508776598378915</v>
      </c>
      <c r="K29" s="15">
        <f t="shared" si="13"/>
        <v>0.45224780701754386</v>
      </c>
      <c r="L29" s="2">
        <f t="shared" si="14"/>
        <v>24</v>
      </c>
      <c r="M29" s="2">
        <f t="shared" si="15"/>
        <v>16.079999999999998</v>
      </c>
      <c r="N29" s="2">
        <v>13.5</v>
      </c>
      <c r="O29" s="2">
        <v>50.26548245743669</v>
      </c>
      <c r="P29" s="11">
        <f t="shared" si="5"/>
        <v>2.6857396646757339</v>
      </c>
      <c r="Q29" s="2">
        <f t="shared" si="6"/>
        <v>43.186693807985797</v>
      </c>
      <c r="R29" s="2">
        <f t="shared" si="7"/>
        <v>2.170893484738992</v>
      </c>
      <c r="S29" s="2">
        <f t="shared" si="8"/>
        <v>34.907967234602985</v>
      </c>
      <c r="T29" s="2">
        <f t="shared" si="9"/>
        <v>8.2787265733828121</v>
      </c>
      <c r="V29" s="24">
        <f>MAX(D4:D160)</f>
        <v>31</v>
      </c>
      <c r="W29" s="24">
        <f>MAX(N4:N160)</f>
        <v>21</v>
      </c>
      <c r="X29" s="29"/>
    </row>
    <row r="30" spans="1:24" x14ac:dyDescent="0.25">
      <c r="A30" s="30">
        <f t="shared" si="10"/>
        <v>0.60420321637426899</v>
      </c>
      <c r="B30" s="2">
        <f t="shared" si="11"/>
        <v>25</v>
      </c>
      <c r="C30" s="4">
        <f t="shared" si="12"/>
        <v>16.829999999999998</v>
      </c>
      <c r="D30" s="2">
        <v>11.5</v>
      </c>
      <c r="E30" s="2">
        <v>50.26548245743669</v>
      </c>
      <c r="F30" s="11">
        <f t="shared" si="0"/>
        <v>2.2878523069459957</v>
      </c>
      <c r="G30" s="2">
        <f t="shared" si="1"/>
        <v>38.504554325901104</v>
      </c>
      <c r="H30" s="2">
        <f t="shared" si="2"/>
        <v>2.1948471390664848</v>
      </c>
      <c r="I30" s="2">
        <f t="shared" si="3"/>
        <v>36.939277350488936</v>
      </c>
      <c r="J30" s="2">
        <f t="shared" si="4"/>
        <v>1.5652769754121678</v>
      </c>
      <c r="K30" s="15">
        <f t="shared" si="13"/>
        <v>0.45237573099415207</v>
      </c>
      <c r="L30" s="2">
        <f t="shared" si="14"/>
        <v>25</v>
      </c>
      <c r="M30" s="2">
        <f t="shared" si="15"/>
        <v>16.579999999999998</v>
      </c>
      <c r="N30" s="2">
        <v>14.5</v>
      </c>
      <c r="O30" s="2">
        <v>50.26548245743669</v>
      </c>
      <c r="P30" s="11">
        <f t="shared" si="5"/>
        <v>2.8846833435406034</v>
      </c>
      <c r="Q30" s="2">
        <f t="shared" si="6"/>
        <v>47.828049835903201</v>
      </c>
      <c r="R30" s="2">
        <f t="shared" si="7"/>
        <v>2.170893484738992</v>
      </c>
      <c r="S30" s="2">
        <f t="shared" si="8"/>
        <v>35.993413976972484</v>
      </c>
      <c r="T30" s="2">
        <f t="shared" si="9"/>
        <v>11.834635858930717</v>
      </c>
      <c r="V30" s="24" t="s">
        <v>14</v>
      </c>
      <c r="W30" s="24" t="s">
        <v>14</v>
      </c>
      <c r="X30" s="29"/>
    </row>
    <row r="31" spans="1:24" x14ac:dyDescent="0.25">
      <c r="A31" s="30">
        <f t="shared" si="10"/>
        <v>0.60434941520467833</v>
      </c>
      <c r="B31" s="2">
        <f t="shared" si="11"/>
        <v>26</v>
      </c>
      <c r="C31" s="4">
        <f t="shared" si="12"/>
        <v>17.329999999999998</v>
      </c>
      <c r="D31" s="2">
        <v>12</v>
      </c>
      <c r="E31" s="2">
        <v>50.26548245743669</v>
      </c>
      <c r="F31" s="11">
        <f t="shared" si="0"/>
        <v>2.3873241463784298</v>
      </c>
      <c r="G31" s="2">
        <f t="shared" si="1"/>
        <v>41.372327456738184</v>
      </c>
      <c r="H31" s="2">
        <f t="shared" si="2"/>
        <v>2.1948471390664848</v>
      </c>
      <c r="I31" s="2">
        <f t="shared" si="3"/>
        <v>38.036700920022177</v>
      </c>
      <c r="J31" s="2">
        <f t="shared" si="4"/>
        <v>3.3356265367160063</v>
      </c>
      <c r="K31" s="15">
        <f t="shared" si="13"/>
        <v>0.45250365497076023</v>
      </c>
      <c r="L31" s="2">
        <f t="shared" si="14"/>
        <v>26</v>
      </c>
      <c r="M31" s="2">
        <f t="shared" si="15"/>
        <v>17.079999999999998</v>
      </c>
      <c r="N31" s="2">
        <v>13.5</v>
      </c>
      <c r="O31" s="2">
        <v>50.26548245743669</v>
      </c>
      <c r="P31" s="11">
        <f t="shared" si="5"/>
        <v>2.6857396646757339</v>
      </c>
      <c r="Q31" s="2">
        <f t="shared" si="6"/>
        <v>45.872433472661527</v>
      </c>
      <c r="R31" s="2">
        <f t="shared" si="7"/>
        <v>2.170893484738992</v>
      </c>
      <c r="S31" s="2">
        <f t="shared" si="8"/>
        <v>37.078860719341982</v>
      </c>
      <c r="T31" s="2">
        <f t="shared" si="9"/>
        <v>8.7935727533195447</v>
      </c>
      <c r="V31" s="24">
        <f t="array" ref="V31">INDEX(B4:B160, MATCH(MAX(D4:D160), D4:D160, 0))</f>
        <v>28</v>
      </c>
      <c r="W31" s="24">
        <f t="array" ref="W31">INDEX(L4:L160, MATCH(MAX(N4:N160), N4:N160, 0))</f>
        <v>12</v>
      </c>
      <c r="X31" s="29"/>
    </row>
    <row r="32" spans="1:24" x14ac:dyDescent="0.25">
      <c r="A32" s="30">
        <f t="shared" si="10"/>
        <v>0.60449561403508767</v>
      </c>
      <c r="B32" s="2">
        <f t="shared" si="11"/>
        <v>27</v>
      </c>
      <c r="C32" s="4">
        <f t="shared" si="12"/>
        <v>17.829999999999998</v>
      </c>
      <c r="D32" s="2">
        <v>12.5</v>
      </c>
      <c r="E32" s="2">
        <v>50.26548245743669</v>
      </c>
      <c r="F32" s="11">
        <f t="shared" si="0"/>
        <v>2.4867959858108648</v>
      </c>
      <c r="G32" s="2">
        <f t="shared" si="1"/>
        <v>44.339572427007717</v>
      </c>
      <c r="H32" s="2">
        <f t="shared" si="2"/>
        <v>2.1948471390664848</v>
      </c>
      <c r="I32" s="2">
        <f t="shared" si="3"/>
        <v>39.134124489555418</v>
      </c>
      <c r="J32" s="2">
        <f t="shared" si="4"/>
        <v>5.2054479374522984</v>
      </c>
      <c r="K32" s="15">
        <f t="shared" si="13"/>
        <v>0.45263157894736844</v>
      </c>
      <c r="L32" s="2">
        <f t="shared" si="14"/>
        <v>27</v>
      </c>
      <c r="M32" s="2">
        <f t="shared" si="15"/>
        <v>17.579999999999998</v>
      </c>
      <c r="N32" s="2">
        <v>12.5</v>
      </c>
      <c r="O32" s="2">
        <v>50.26548245743669</v>
      </c>
      <c r="P32" s="11">
        <f t="shared" si="5"/>
        <v>2.4867959858108648</v>
      </c>
      <c r="Q32" s="2">
        <f t="shared" si="6"/>
        <v>43.717873430555002</v>
      </c>
      <c r="R32" s="2">
        <f t="shared" si="7"/>
        <v>2.170893484738992</v>
      </c>
      <c r="S32" s="2">
        <f t="shared" si="8"/>
        <v>38.164307461711473</v>
      </c>
      <c r="T32" s="2">
        <f t="shared" si="9"/>
        <v>5.5535659688435288</v>
      </c>
    </row>
    <row r="33" spans="1:20" x14ac:dyDescent="0.25">
      <c r="A33" s="30">
        <f t="shared" si="10"/>
        <v>0.60464181286549701</v>
      </c>
      <c r="B33" s="2">
        <f t="shared" si="11"/>
        <v>28</v>
      </c>
      <c r="C33" s="4">
        <f t="shared" si="12"/>
        <v>18.329999999999998</v>
      </c>
      <c r="D33" s="2">
        <v>31</v>
      </c>
      <c r="E33" s="2">
        <v>50.26548245743669</v>
      </c>
      <c r="F33" s="11">
        <f t="shared" si="0"/>
        <v>6.167254044810945</v>
      </c>
      <c r="G33" s="2">
        <f t="shared" si="1"/>
        <v>113.04576664138462</v>
      </c>
      <c r="H33" s="2">
        <f t="shared" si="2"/>
        <v>2.1948471390664848</v>
      </c>
      <c r="I33" s="2">
        <f t="shared" si="3"/>
        <v>40.231548059088659</v>
      </c>
      <c r="J33" s="2">
        <f t="shared" si="4"/>
        <v>72.81421858229595</v>
      </c>
      <c r="K33" s="15">
        <f t="shared" si="13"/>
        <v>0.4527595029239766</v>
      </c>
      <c r="L33" s="2">
        <f t="shared" si="14"/>
        <v>28</v>
      </c>
      <c r="M33" s="2">
        <f t="shared" si="15"/>
        <v>18.079999999999998</v>
      </c>
      <c r="N33" s="2">
        <v>13</v>
      </c>
      <c r="O33" s="2">
        <v>50.26548245743669</v>
      </c>
      <c r="P33" s="11">
        <f t="shared" si="5"/>
        <v>2.5862678252432989</v>
      </c>
      <c r="Q33" s="2">
        <f t="shared" si="6"/>
        <v>46.75972228039884</v>
      </c>
      <c r="R33" s="2">
        <f t="shared" si="7"/>
        <v>2.170893484738992</v>
      </c>
      <c r="S33" s="2">
        <f t="shared" si="8"/>
        <v>39.249754204080972</v>
      </c>
      <c r="T33" s="2">
        <f t="shared" si="9"/>
        <v>7.5099680763178682</v>
      </c>
    </row>
    <row r="34" spans="1:20" x14ac:dyDescent="0.25">
      <c r="A34" s="30">
        <f t="shared" si="10"/>
        <v>0.60478801169590635</v>
      </c>
      <c r="B34" s="2">
        <f t="shared" si="11"/>
        <v>29</v>
      </c>
      <c r="C34" s="4">
        <f t="shared" si="12"/>
        <v>18.829999999999998</v>
      </c>
      <c r="D34" s="2">
        <v>14.5</v>
      </c>
      <c r="E34" s="2">
        <v>50.26548245743669</v>
      </c>
      <c r="F34" s="11">
        <f t="shared" si="0"/>
        <v>2.8846833435406034</v>
      </c>
      <c r="G34" s="2">
        <f t="shared" si="1"/>
        <v>54.318587358869557</v>
      </c>
      <c r="H34" s="2">
        <f t="shared" si="2"/>
        <v>2.1948471390664848</v>
      </c>
      <c r="I34" s="2">
        <f t="shared" si="3"/>
        <v>41.328971628621908</v>
      </c>
      <c r="J34" s="2">
        <f t="shared" si="4"/>
        <v>12.98961573024765</v>
      </c>
      <c r="K34" s="15">
        <f t="shared" si="13"/>
        <v>0.45288742690058481</v>
      </c>
      <c r="L34" s="2">
        <f t="shared" si="14"/>
        <v>29</v>
      </c>
      <c r="M34" s="2">
        <f t="shared" si="15"/>
        <v>18.579999999999998</v>
      </c>
      <c r="N34" s="2">
        <v>14.5</v>
      </c>
      <c r="O34" s="2">
        <v>50.26548245743669</v>
      </c>
      <c r="P34" s="11">
        <f t="shared" si="5"/>
        <v>2.8846833435406034</v>
      </c>
      <c r="Q34" s="2">
        <f t="shared" si="6"/>
        <v>53.597416522984403</v>
      </c>
      <c r="R34" s="2">
        <f t="shared" si="7"/>
        <v>2.170893484738992</v>
      </c>
      <c r="S34" s="2">
        <f t="shared" si="8"/>
        <v>40.33520094645047</v>
      </c>
      <c r="T34" s="2">
        <f t="shared" si="9"/>
        <v>13.262215576533933</v>
      </c>
    </row>
    <row r="35" spans="1:20" x14ac:dyDescent="0.25">
      <c r="A35" s="30">
        <f t="shared" si="10"/>
        <v>0.6049342105263158</v>
      </c>
      <c r="B35" s="2">
        <f t="shared" si="11"/>
        <v>30</v>
      </c>
      <c r="C35" s="4">
        <f t="shared" si="12"/>
        <v>19.329999999999998</v>
      </c>
      <c r="D35" s="2">
        <v>12</v>
      </c>
      <c r="E35" s="2">
        <v>50.26548245743669</v>
      </c>
      <c r="F35" s="11">
        <f t="shared" si="0"/>
        <v>2.3873241463784298</v>
      </c>
      <c r="G35" s="2">
        <f t="shared" si="1"/>
        <v>46.146975749495041</v>
      </c>
      <c r="H35" s="2">
        <f t="shared" si="2"/>
        <v>2.1948471390664848</v>
      </c>
      <c r="I35" s="2">
        <f t="shared" si="3"/>
        <v>42.426395198155149</v>
      </c>
      <c r="J35" s="2">
        <f t="shared" si="4"/>
        <v>3.7205805513398928</v>
      </c>
      <c r="K35" s="15">
        <f t="shared" si="13"/>
        <v>0.45301535087719297</v>
      </c>
      <c r="L35" s="2">
        <f t="shared" si="14"/>
        <v>30</v>
      </c>
      <c r="M35" s="2">
        <f t="shared" si="15"/>
        <v>19.079999999999998</v>
      </c>
      <c r="N35" s="2">
        <v>13</v>
      </c>
      <c r="O35" s="2">
        <v>50.26548245743669</v>
      </c>
      <c r="P35" s="11">
        <f t="shared" si="5"/>
        <v>2.5862678252432989</v>
      </c>
      <c r="Q35" s="2">
        <f t="shared" si="6"/>
        <v>49.345990105642137</v>
      </c>
      <c r="R35" s="2">
        <f t="shared" si="7"/>
        <v>2.170893484738992</v>
      </c>
      <c r="S35" s="2">
        <f t="shared" si="8"/>
        <v>41.420647688819962</v>
      </c>
      <c r="T35" s="2">
        <f t="shared" si="9"/>
        <v>7.9253424168221756</v>
      </c>
    </row>
    <row r="36" spans="1:20" x14ac:dyDescent="0.25">
      <c r="A36" s="30">
        <f t="shared" si="10"/>
        <v>0.60508040935672514</v>
      </c>
      <c r="B36" s="2">
        <f t="shared" si="11"/>
        <v>31</v>
      </c>
      <c r="C36" s="4">
        <f t="shared" si="12"/>
        <v>19.829999999999998</v>
      </c>
      <c r="D36" s="2">
        <v>12.5</v>
      </c>
      <c r="E36" s="2">
        <v>50.26548245743669</v>
      </c>
      <c r="F36" s="11">
        <f t="shared" si="0"/>
        <v>2.4867959858108648</v>
      </c>
      <c r="G36" s="2">
        <f t="shared" si="1"/>
        <v>49.313164398629446</v>
      </c>
      <c r="H36" s="2">
        <f t="shared" si="2"/>
        <v>2.1948471390664848</v>
      </c>
      <c r="I36" s="2">
        <f t="shared" si="3"/>
        <v>43.52381876768839</v>
      </c>
      <c r="J36" s="2">
        <f t="shared" si="4"/>
        <v>5.7893456309410567</v>
      </c>
      <c r="K36" s="15">
        <f t="shared" si="13"/>
        <v>0.45314327485380118</v>
      </c>
      <c r="L36" s="2">
        <f t="shared" si="14"/>
        <v>31</v>
      </c>
      <c r="M36" s="2">
        <f t="shared" si="15"/>
        <v>19.579999999999998</v>
      </c>
      <c r="N36" s="2">
        <v>13</v>
      </c>
      <c r="O36" s="2">
        <v>50.26548245743669</v>
      </c>
      <c r="P36" s="11">
        <f t="shared" si="5"/>
        <v>2.5862678252432989</v>
      </c>
      <c r="Q36" s="2">
        <f t="shared" si="6"/>
        <v>50.639124018263786</v>
      </c>
      <c r="R36" s="2">
        <f t="shared" si="7"/>
        <v>2.170893484738992</v>
      </c>
      <c r="S36" s="2">
        <f t="shared" si="8"/>
        <v>42.50609443118946</v>
      </c>
      <c r="T36" s="2">
        <f t="shared" si="9"/>
        <v>8.1330295870743257</v>
      </c>
    </row>
    <row r="37" spans="1:20" x14ac:dyDescent="0.25">
      <c r="A37" s="30">
        <f t="shared" si="10"/>
        <v>0.60522660818713447</v>
      </c>
      <c r="B37" s="2">
        <f t="shared" si="11"/>
        <v>32</v>
      </c>
      <c r="C37" s="4">
        <f t="shared" si="12"/>
        <v>20.329999999999998</v>
      </c>
      <c r="D37" s="23">
        <v>12.5</v>
      </c>
      <c r="E37" s="2">
        <v>50.26548245743669</v>
      </c>
      <c r="F37" s="11">
        <f t="shared" si="0"/>
        <v>2.4867959858108648</v>
      </c>
      <c r="G37" s="2">
        <f t="shared" si="1"/>
        <v>50.556562391534875</v>
      </c>
      <c r="H37" s="2">
        <f t="shared" si="2"/>
        <v>2.1948471390664848</v>
      </c>
      <c r="I37" s="2">
        <f t="shared" si="3"/>
        <v>44.621242337221631</v>
      </c>
      <c r="J37" s="2">
        <f t="shared" si="4"/>
        <v>5.9353200543132445</v>
      </c>
      <c r="K37" s="15">
        <f t="shared" si="13"/>
        <v>0.45327119883040934</v>
      </c>
      <c r="L37" s="23">
        <f t="shared" si="14"/>
        <v>32</v>
      </c>
      <c r="M37" s="23">
        <f t="shared" si="15"/>
        <v>20.079999999999998</v>
      </c>
      <c r="N37" s="23">
        <v>14</v>
      </c>
      <c r="O37" s="2">
        <v>50.26548245743669</v>
      </c>
      <c r="P37" s="11">
        <f t="shared" si="5"/>
        <v>2.7852115041081689</v>
      </c>
      <c r="Q37" s="2">
        <f t="shared" si="6"/>
        <v>55.927047002492024</v>
      </c>
      <c r="R37" s="2">
        <f t="shared" si="7"/>
        <v>2.170893484738992</v>
      </c>
      <c r="S37" s="2">
        <f t="shared" si="8"/>
        <v>43.591541173558959</v>
      </c>
      <c r="T37" s="2">
        <f t="shared" si="9"/>
        <v>12.335505828933066</v>
      </c>
    </row>
    <row r="38" spans="1:20" x14ac:dyDescent="0.25">
      <c r="A38" s="30">
        <f t="shared" si="10"/>
        <v>0.60537280701754381</v>
      </c>
      <c r="B38" s="2">
        <f t="shared" si="11"/>
        <v>33</v>
      </c>
      <c r="C38" s="4">
        <f t="shared" si="12"/>
        <v>20.83</v>
      </c>
      <c r="D38" s="2">
        <v>13</v>
      </c>
      <c r="E38" s="2">
        <v>50.26548245743669</v>
      </c>
      <c r="F38" s="11">
        <f t="shared" si="0"/>
        <v>2.5862678252432989</v>
      </c>
      <c r="G38" s="2">
        <f t="shared" si="1"/>
        <v>53.871958799817911</v>
      </c>
      <c r="H38" s="2">
        <f t="shared" si="2"/>
        <v>2.1948471390664848</v>
      </c>
      <c r="I38" s="2">
        <f t="shared" si="3"/>
        <v>45.718665906754872</v>
      </c>
      <c r="J38" s="2">
        <f t="shared" si="4"/>
        <v>8.1532928930630391</v>
      </c>
      <c r="K38" s="15">
        <f t="shared" si="13"/>
        <v>0.45339912280701755</v>
      </c>
      <c r="L38" s="2">
        <f t="shared" si="14"/>
        <v>33</v>
      </c>
      <c r="M38" s="2">
        <f t="shared" si="15"/>
        <v>20.58</v>
      </c>
      <c r="N38" s="2">
        <v>20.5</v>
      </c>
      <c r="O38" s="2">
        <v>50.26548245743669</v>
      </c>
      <c r="P38" s="11">
        <f t="shared" si="5"/>
        <v>4.0783454167298183</v>
      </c>
      <c r="Q38" s="2">
        <f t="shared" si="6"/>
        <v>83.932348676299654</v>
      </c>
      <c r="R38" s="2">
        <f t="shared" si="7"/>
        <v>2.170893484738992</v>
      </c>
      <c r="S38" s="2">
        <f t="shared" si="8"/>
        <v>44.67698791592845</v>
      </c>
      <c r="T38" s="2">
        <f t="shared" si="9"/>
        <v>39.255360760371204</v>
      </c>
    </row>
    <row r="39" spans="1:20" x14ac:dyDescent="0.25">
      <c r="A39" s="30">
        <f t="shared" si="10"/>
        <v>0.60551900584795315</v>
      </c>
      <c r="B39" s="2">
        <f t="shared" si="11"/>
        <v>34</v>
      </c>
      <c r="C39" s="4">
        <f t="shared" si="12"/>
        <v>21.33</v>
      </c>
      <c r="D39" s="2">
        <v>13.5</v>
      </c>
      <c r="E39" s="2">
        <v>50.26548245743669</v>
      </c>
      <c r="F39" s="11">
        <f t="shared" si="0"/>
        <v>2.6857396646757339</v>
      </c>
      <c r="G39" s="2">
        <f t="shared" si="1"/>
        <v>57.2868270475334</v>
      </c>
      <c r="H39" s="2">
        <f t="shared" si="2"/>
        <v>2.1948471390664848</v>
      </c>
      <c r="I39" s="2">
        <f t="shared" si="3"/>
        <v>46.816089476288113</v>
      </c>
      <c r="J39" s="2">
        <f t="shared" si="4"/>
        <v>10.470737571245287</v>
      </c>
      <c r="K39" s="15">
        <f t="shared" si="13"/>
        <v>0.45352704678362571</v>
      </c>
      <c r="L39" s="2">
        <f t="shared" si="14"/>
        <v>34</v>
      </c>
      <c r="M39" s="2">
        <f t="shared" si="15"/>
        <v>21.08</v>
      </c>
      <c r="N39" s="2">
        <v>14</v>
      </c>
      <c r="O39" s="2">
        <v>50.26548245743669</v>
      </c>
      <c r="P39" s="11">
        <f t="shared" si="5"/>
        <v>2.7852115041081689</v>
      </c>
      <c r="Q39" s="2">
        <f t="shared" si="6"/>
        <v>58.712258506600193</v>
      </c>
      <c r="R39" s="2">
        <f t="shared" si="7"/>
        <v>2.170893484738992</v>
      </c>
      <c r="S39" s="2">
        <f t="shared" si="8"/>
        <v>45.762434658297948</v>
      </c>
      <c r="T39" s="2">
        <f t="shared" si="9"/>
        <v>12.949823848302245</v>
      </c>
    </row>
    <row r="40" spans="1:20" x14ac:dyDescent="0.25">
      <c r="A40" s="30">
        <f t="shared" si="10"/>
        <v>0.60566520467836249</v>
      </c>
      <c r="B40" s="2">
        <f t="shared" si="11"/>
        <v>35</v>
      </c>
      <c r="C40" s="4">
        <f t="shared" si="12"/>
        <v>21.83</v>
      </c>
      <c r="D40" s="2">
        <v>13.5</v>
      </c>
      <c r="E40" s="2">
        <v>50.26548245743669</v>
      </c>
      <c r="F40" s="11">
        <f t="shared" si="0"/>
        <v>2.6857396646757339</v>
      </c>
      <c r="G40" s="2">
        <f t="shared" si="1"/>
        <v>58.629696879871268</v>
      </c>
      <c r="H40" s="2">
        <f t="shared" si="2"/>
        <v>2.1948471390664848</v>
      </c>
      <c r="I40" s="2">
        <f t="shared" si="3"/>
        <v>47.913513045821361</v>
      </c>
      <c r="J40" s="2">
        <f t="shared" si="4"/>
        <v>10.716183834049907</v>
      </c>
      <c r="K40" s="15">
        <f t="shared" si="13"/>
        <v>0.45365497076023392</v>
      </c>
      <c r="L40" s="2">
        <f t="shared" si="14"/>
        <v>35</v>
      </c>
      <c r="M40" s="2">
        <f t="shared" si="15"/>
        <v>21.58</v>
      </c>
      <c r="N40" s="2">
        <v>12.5</v>
      </c>
      <c r="O40" s="2">
        <v>50.26548245743669</v>
      </c>
      <c r="P40" s="11">
        <f t="shared" si="5"/>
        <v>2.4867959858108648</v>
      </c>
      <c r="Q40" s="2">
        <f t="shared" si="6"/>
        <v>53.665057373798462</v>
      </c>
      <c r="R40" s="2">
        <f t="shared" si="7"/>
        <v>2.170893484738992</v>
      </c>
      <c r="S40" s="2">
        <f t="shared" si="8"/>
        <v>46.847881400667447</v>
      </c>
      <c r="T40" s="2">
        <f t="shared" si="9"/>
        <v>6.8171759731310146</v>
      </c>
    </row>
    <row r="41" spans="1:20" x14ac:dyDescent="0.25">
      <c r="A41" s="30">
        <f t="shared" si="10"/>
        <v>0.60581140350877194</v>
      </c>
      <c r="B41" s="2">
        <f t="shared" si="11"/>
        <v>36</v>
      </c>
      <c r="C41" s="4">
        <f t="shared" si="12"/>
        <v>22.33</v>
      </c>
      <c r="D41" s="2">
        <v>12.5</v>
      </c>
      <c r="E41" s="2">
        <v>50.26548245743669</v>
      </c>
      <c r="F41" s="11">
        <f t="shared" si="0"/>
        <v>2.4867959858108648</v>
      </c>
      <c r="G41" s="2">
        <f t="shared" si="1"/>
        <v>55.530154363156605</v>
      </c>
      <c r="H41" s="2">
        <f t="shared" si="2"/>
        <v>2.1948471390664848</v>
      </c>
      <c r="I41" s="2">
        <f t="shared" si="3"/>
        <v>49.010936615354602</v>
      </c>
      <c r="J41" s="2">
        <f t="shared" si="4"/>
        <v>6.5192177478020028</v>
      </c>
      <c r="K41" s="15">
        <f t="shared" si="13"/>
        <v>0.45378289473684208</v>
      </c>
      <c r="L41" s="2">
        <f t="shared" si="14"/>
        <v>36</v>
      </c>
      <c r="M41" s="2">
        <f t="shared" si="15"/>
        <v>22.08</v>
      </c>
      <c r="N41" s="2">
        <v>11.5</v>
      </c>
      <c r="O41" s="2">
        <v>50.26548245743669</v>
      </c>
      <c r="P41" s="11">
        <f t="shared" si="5"/>
        <v>2.2878523069459957</v>
      </c>
      <c r="Q41" s="2">
        <f t="shared" si="6"/>
        <v>50.515778937367578</v>
      </c>
      <c r="R41" s="2">
        <f t="shared" si="7"/>
        <v>2.170893484738992</v>
      </c>
      <c r="S41" s="2">
        <f t="shared" si="8"/>
        <v>47.933328143036938</v>
      </c>
      <c r="T41" s="2">
        <f t="shared" si="9"/>
        <v>2.5824507943306401</v>
      </c>
    </row>
    <row r="42" spans="1:20" x14ac:dyDescent="0.25">
      <c r="A42" s="30">
        <f t="shared" si="10"/>
        <v>0.60595760233918128</v>
      </c>
      <c r="B42" s="2">
        <f t="shared" si="11"/>
        <v>37</v>
      </c>
      <c r="C42" s="4">
        <f t="shared" si="12"/>
        <v>22.83</v>
      </c>
      <c r="D42" s="2">
        <v>13</v>
      </c>
      <c r="E42" s="2">
        <v>50.26548245743669</v>
      </c>
      <c r="F42" s="11">
        <f t="shared" si="0"/>
        <v>2.5862678252432989</v>
      </c>
      <c r="G42" s="2">
        <f t="shared" si="1"/>
        <v>59.044494450304512</v>
      </c>
      <c r="H42" s="2">
        <f t="shared" si="2"/>
        <v>2.1948471390664848</v>
      </c>
      <c r="I42" s="2">
        <f t="shared" si="3"/>
        <v>50.108360184887843</v>
      </c>
      <c r="J42" s="2">
        <f t="shared" si="4"/>
        <v>8.9361342654166691</v>
      </c>
      <c r="K42" s="15">
        <f t="shared" si="13"/>
        <v>0.45391081871345029</v>
      </c>
      <c r="L42" s="2">
        <f t="shared" si="14"/>
        <v>37</v>
      </c>
      <c r="M42" s="2">
        <f t="shared" si="15"/>
        <v>22.58</v>
      </c>
      <c r="N42" s="2">
        <v>12</v>
      </c>
      <c r="O42" s="2">
        <v>50.26548245743669</v>
      </c>
      <c r="P42" s="11">
        <f t="shared" si="5"/>
        <v>2.3873241463784298</v>
      </c>
      <c r="Q42" s="2">
        <f t="shared" si="6"/>
        <v>53.90577922522494</v>
      </c>
      <c r="R42" s="2">
        <f t="shared" si="7"/>
        <v>2.170893484738992</v>
      </c>
      <c r="S42" s="2">
        <f t="shared" si="8"/>
        <v>49.018774885406437</v>
      </c>
      <c r="T42" s="2">
        <f t="shared" si="9"/>
        <v>4.8870043398185032</v>
      </c>
    </row>
    <row r="43" spans="1:20" x14ac:dyDescent="0.25">
      <c r="A43" s="30">
        <f t="shared" si="10"/>
        <v>0.60610380116959062</v>
      </c>
      <c r="B43" s="2">
        <f t="shared" si="11"/>
        <v>38</v>
      </c>
      <c r="C43" s="4">
        <f t="shared" si="12"/>
        <v>23.33</v>
      </c>
      <c r="D43" s="2">
        <v>12.5</v>
      </c>
      <c r="E43" s="2">
        <v>50.26548245743669</v>
      </c>
      <c r="F43" s="11">
        <f t="shared" si="0"/>
        <v>2.4867959858108648</v>
      </c>
      <c r="G43" s="2">
        <f t="shared" si="1"/>
        <v>58.01695034896747</v>
      </c>
      <c r="H43" s="2">
        <f t="shared" si="2"/>
        <v>2.1948471390664848</v>
      </c>
      <c r="I43" s="2">
        <f t="shared" si="3"/>
        <v>51.205783754421084</v>
      </c>
      <c r="J43" s="2">
        <f t="shared" si="4"/>
        <v>6.8111665945463855</v>
      </c>
      <c r="K43" s="15">
        <f t="shared" si="13"/>
        <v>0.45403874269005845</v>
      </c>
      <c r="L43" s="2">
        <f t="shared" si="14"/>
        <v>38</v>
      </c>
      <c r="M43" s="2">
        <f t="shared" si="15"/>
        <v>23.08</v>
      </c>
      <c r="N43" s="2">
        <v>12</v>
      </c>
      <c r="O43" s="2">
        <v>50.26548245743669</v>
      </c>
      <c r="P43" s="11">
        <f t="shared" si="5"/>
        <v>2.3873241463784298</v>
      </c>
      <c r="Q43" s="2">
        <f t="shared" si="6"/>
        <v>55.099441298414156</v>
      </c>
      <c r="R43" s="2">
        <f t="shared" si="7"/>
        <v>2.170893484738992</v>
      </c>
      <c r="S43" s="2">
        <f t="shared" si="8"/>
        <v>50.104221627775935</v>
      </c>
      <c r="T43" s="2">
        <f t="shared" si="9"/>
        <v>4.995219670638221</v>
      </c>
    </row>
    <row r="44" spans="1:20" x14ac:dyDescent="0.25">
      <c r="A44" s="10">
        <v>0.60624999999999996</v>
      </c>
      <c r="B44" s="2">
        <f t="shared" si="11"/>
        <v>39</v>
      </c>
      <c r="C44" s="4">
        <f t="shared" si="12"/>
        <v>23.83</v>
      </c>
      <c r="D44" s="2">
        <v>12.5</v>
      </c>
      <c r="E44" s="2">
        <v>50.26548245743669</v>
      </c>
      <c r="F44" s="11">
        <f t="shared" si="0"/>
        <v>2.4867959858108648</v>
      </c>
      <c r="G44" s="2">
        <f t="shared" si="1"/>
        <v>59.260348341872906</v>
      </c>
      <c r="H44" s="2">
        <f t="shared" si="2"/>
        <v>2.1948471390664848</v>
      </c>
      <c r="I44" s="2">
        <f t="shared" si="3"/>
        <v>52.303207323954325</v>
      </c>
      <c r="J44" s="2">
        <f t="shared" si="4"/>
        <v>6.9571410179185804</v>
      </c>
      <c r="K44" s="12">
        <v>0.45416666666666666</v>
      </c>
      <c r="L44" s="2">
        <f t="shared" si="14"/>
        <v>39</v>
      </c>
      <c r="M44" s="2">
        <f t="shared" si="15"/>
        <v>23.58</v>
      </c>
      <c r="N44" s="2">
        <v>12</v>
      </c>
      <c r="O44" s="2">
        <v>50.26548245743669</v>
      </c>
      <c r="P44" s="11">
        <f t="shared" si="5"/>
        <v>2.3873241463784298</v>
      </c>
      <c r="Q44" s="2">
        <f t="shared" si="6"/>
        <v>56.293103371603372</v>
      </c>
      <c r="R44" s="2">
        <f t="shared" si="7"/>
        <v>2.170893484738992</v>
      </c>
      <c r="S44" s="2">
        <f t="shared" si="8"/>
        <v>51.189668370145426</v>
      </c>
      <c r="T44" s="2">
        <f t="shared" si="9"/>
        <v>5.1034350014579459</v>
      </c>
    </row>
    <row r="45" spans="1:20" x14ac:dyDescent="0.25">
      <c r="A45" s="14">
        <f t="shared" ref="A45:A82" si="16">IF(AND($A$44&lt;&gt;"",$A$83&lt;&gt;""), $A$44 + (B45 - $B$44) * (($A$83 - $A$44) / ($B$83 - $B$44)), "")</f>
        <v>0.60635683760683756</v>
      </c>
      <c r="B45" s="2">
        <f t="shared" si="11"/>
        <v>40</v>
      </c>
      <c r="C45" s="4">
        <f t="shared" si="12"/>
        <v>24.33</v>
      </c>
      <c r="D45" s="2">
        <v>12.5</v>
      </c>
      <c r="E45" s="2">
        <v>50.26548245743669</v>
      </c>
      <c r="F45" s="11">
        <f t="shared" si="0"/>
        <v>2.4867959858108648</v>
      </c>
      <c r="G45" s="2">
        <f t="shared" si="1"/>
        <v>60.503746334778334</v>
      </c>
      <c r="H45" s="2">
        <f t="shared" si="2"/>
        <v>2.1948471390664848</v>
      </c>
      <c r="I45" s="2">
        <f t="shared" si="3"/>
        <v>53.400630893487573</v>
      </c>
      <c r="J45" s="2">
        <f t="shared" si="4"/>
        <v>7.1031154412907611</v>
      </c>
      <c r="K45" s="15">
        <f t="shared" ref="K45:K82" si="17">IF(AND($K$44&lt;&gt;"",$K$83&lt;&gt;""), $K$44 + (L45 - $L$44) * (($K$83 - $K$44) / ($L$83 - $L$44)), "")</f>
        <v>0.45429131054131056</v>
      </c>
      <c r="L45" s="2">
        <f t="shared" si="14"/>
        <v>40</v>
      </c>
      <c r="M45" s="2">
        <f t="shared" si="15"/>
        <v>24.08</v>
      </c>
      <c r="N45" s="2">
        <v>11.5</v>
      </c>
      <c r="O45" s="2">
        <v>50.26548245743669</v>
      </c>
      <c r="P45" s="11">
        <f t="shared" si="5"/>
        <v>2.2878523069459957</v>
      </c>
      <c r="Q45" s="2">
        <f t="shared" si="6"/>
        <v>55.091483551259572</v>
      </c>
      <c r="R45" s="2">
        <f t="shared" si="7"/>
        <v>2.170893484738992</v>
      </c>
      <c r="S45" s="2">
        <f t="shared" si="8"/>
        <v>52.275115112514925</v>
      </c>
      <c r="T45" s="2">
        <f t="shared" si="9"/>
        <v>2.8163684387446466</v>
      </c>
    </row>
    <row r="46" spans="1:20" x14ac:dyDescent="0.25">
      <c r="A46" s="14">
        <f t="shared" si="16"/>
        <v>0.60646367521367517</v>
      </c>
      <c r="B46" s="2">
        <f t="shared" si="11"/>
        <v>41</v>
      </c>
      <c r="C46" s="4">
        <f t="shared" si="12"/>
        <v>24.83</v>
      </c>
      <c r="D46" s="2">
        <v>22.5</v>
      </c>
      <c r="E46" s="2">
        <v>50.26548245743669</v>
      </c>
      <c r="F46" s="11">
        <f t="shared" si="0"/>
        <v>4.4762327744595565</v>
      </c>
      <c r="G46" s="2">
        <f t="shared" si="1"/>
        <v>111.14485978983078</v>
      </c>
      <c r="H46" s="2">
        <f t="shared" si="2"/>
        <v>2.1948471390664848</v>
      </c>
      <c r="I46" s="2">
        <f t="shared" si="3"/>
        <v>54.498054463020814</v>
      </c>
      <c r="J46" s="2">
        <f t="shared" si="4"/>
        <v>56.646805326809961</v>
      </c>
      <c r="K46" s="15">
        <f t="shared" si="17"/>
        <v>0.45441595441595439</v>
      </c>
      <c r="L46" s="2">
        <f t="shared" si="14"/>
        <v>41</v>
      </c>
      <c r="M46" s="2">
        <f t="shared" si="15"/>
        <v>24.58</v>
      </c>
      <c r="N46" s="2">
        <v>11.5</v>
      </c>
      <c r="O46" s="2">
        <v>50.26548245743669</v>
      </c>
      <c r="P46" s="11">
        <f t="shared" si="5"/>
        <v>2.2878523069459957</v>
      </c>
      <c r="Q46" s="2">
        <f t="shared" si="6"/>
        <v>56.235409704732568</v>
      </c>
      <c r="R46" s="2">
        <f t="shared" si="7"/>
        <v>2.170893484738992</v>
      </c>
      <c r="S46" s="2">
        <f t="shared" si="8"/>
        <v>53.360561854884423</v>
      </c>
      <c r="T46" s="2">
        <f t="shared" si="9"/>
        <v>2.8748478498481447</v>
      </c>
    </row>
    <row r="47" spans="1:20" x14ac:dyDescent="0.25">
      <c r="A47" s="14">
        <f t="shared" si="16"/>
        <v>0.60657051282051277</v>
      </c>
      <c r="B47" s="2">
        <f t="shared" si="11"/>
        <v>42</v>
      </c>
      <c r="C47" s="4">
        <f t="shared" si="12"/>
        <v>25.33</v>
      </c>
      <c r="D47" s="2">
        <v>13.5</v>
      </c>
      <c r="E47" s="2">
        <v>50.26548245743669</v>
      </c>
      <c r="F47" s="11">
        <f t="shared" si="0"/>
        <v>2.6857396646757339</v>
      </c>
      <c r="G47" s="2">
        <f t="shared" si="1"/>
        <v>68.029785706236339</v>
      </c>
      <c r="H47" s="2">
        <f t="shared" si="2"/>
        <v>2.1948471390664848</v>
      </c>
      <c r="I47" s="2">
        <f t="shared" si="3"/>
        <v>55.595478032554055</v>
      </c>
      <c r="J47" s="2">
        <f t="shared" si="4"/>
        <v>12.434307673682284</v>
      </c>
      <c r="K47" s="15">
        <f t="shared" si="17"/>
        <v>0.45454059829059829</v>
      </c>
      <c r="L47" s="2">
        <f t="shared" si="14"/>
        <v>42</v>
      </c>
      <c r="M47" s="2">
        <f t="shared" si="15"/>
        <v>25.08</v>
      </c>
      <c r="N47" s="2">
        <v>14</v>
      </c>
      <c r="O47" s="2">
        <v>50.26548245743669</v>
      </c>
      <c r="P47" s="11">
        <f t="shared" si="5"/>
        <v>2.7852115041081689</v>
      </c>
      <c r="Q47" s="2">
        <f t="shared" si="6"/>
        <v>69.853104523032869</v>
      </c>
      <c r="R47" s="2">
        <f t="shared" si="7"/>
        <v>2.170893484738992</v>
      </c>
      <c r="S47" s="2">
        <f t="shared" si="8"/>
        <v>54.446008597253915</v>
      </c>
      <c r="T47" s="2">
        <f t="shared" si="9"/>
        <v>15.407095925778954</v>
      </c>
    </row>
    <row r="48" spans="1:20" x14ac:dyDescent="0.25">
      <c r="A48" s="14">
        <f t="shared" si="16"/>
        <v>0.60667735042735038</v>
      </c>
      <c r="B48" s="2">
        <f t="shared" si="11"/>
        <v>43</v>
      </c>
      <c r="C48" s="4">
        <f t="shared" si="12"/>
        <v>25.83</v>
      </c>
      <c r="D48" s="2">
        <v>12</v>
      </c>
      <c r="E48" s="2">
        <v>50.26548245743669</v>
      </c>
      <c r="F48" s="11">
        <f t="shared" si="0"/>
        <v>2.3873241463784298</v>
      </c>
      <c r="G48" s="2">
        <f t="shared" si="1"/>
        <v>61.664582700954838</v>
      </c>
      <c r="H48" s="2">
        <f t="shared" si="2"/>
        <v>2.1948471390664848</v>
      </c>
      <c r="I48" s="2">
        <f t="shared" si="3"/>
        <v>56.692901602087296</v>
      </c>
      <c r="J48" s="2">
        <f t="shared" si="4"/>
        <v>4.9716810988675419</v>
      </c>
      <c r="K48" s="15">
        <f t="shared" si="17"/>
        <v>0.45466524216524218</v>
      </c>
      <c r="L48" s="2">
        <f t="shared" si="14"/>
        <v>43</v>
      </c>
      <c r="M48" s="2">
        <f t="shared" si="15"/>
        <v>25.58</v>
      </c>
      <c r="N48" s="2">
        <v>12.5</v>
      </c>
      <c r="O48" s="2">
        <v>50.26548245743669</v>
      </c>
      <c r="P48" s="11">
        <f t="shared" si="5"/>
        <v>2.4867959858108648</v>
      </c>
      <c r="Q48" s="2">
        <f t="shared" si="6"/>
        <v>63.612241317041921</v>
      </c>
      <c r="R48" s="2">
        <f t="shared" si="7"/>
        <v>2.170893484738992</v>
      </c>
      <c r="S48" s="2">
        <f t="shared" si="8"/>
        <v>55.531455339623413</v>
      </c>
      <c r="T48" s="2">
        <f t="shared" si="9"/>
        <v>8.0807859774185076</v>
      </c>
    </row>
    <row r="49" spans="1:20" x14ac:dyDescent="0.25">
      <c r="A49" s="14">
        <f t="shared" si="16"/>
        <v>0.60678418803418799</v>
      </c>
      <c r="B49" s="2">
        <f t="shared" si="11"/>
        <v>44</v>
      </c>
      <c r="C49" s="4">
        <f t="shared" si="12"/>
        <v>26.33</v>
      </c>
      <c r="D49" s="2">
        <v>13</v>
      </c>
      <c r="E49" s="2">
        <v>50.26548245743669</v>
      </c>
      <c r="F49" s="11">
        <f t="shared" si="0"/>
        <v>2.5862678252432989</v>
      </c>
      <c r="G49" s="2">
        <f t="shared" si="1"/>
        <v>68.096431838656059</v>
      </c>
      <c r="H49" s="2">
        <f t="shared" si="2"/>
        <v>2.1948471390664848</v>
      </c>
      <c r="I49" s="2">
        <f t="shared" si="3"/>
        <v>57.790325171620538</v>
      </c>
      <c r="J49" s="2">
        <f t="shared" si="4"/>
        <v>10.306106667035522</v>
      </c>
      <c r="K49" s="15">
        <f t="shared" si="17"/>
        <v>0.45478988603988602</v>
      </c>
      <c r="L49" s="2">
        <f t="shared" si="14"/>
        <v>44</v>
      </c>
      <c r="M49" s="2">
        <f t="shared" si="15"/>
        <v>26.08</v>
      </c>
      <c r="N49" s="2">
        <v>12.5</v>
      </c>
      <c r="O49" s="2">
        <v>50.26548245743669</v>
      </c>
      <c r="P49" s="11">
        <f t="shared" si="5"/>
        <v>2.4867959858108648</v>
      </c>
      <c r="Q49" s="2">
        <f t="shared" si="6"/>
        <v>64.85563930994735</v>
      </c>
      <c r="R49" s="2">
        <f t="shared" si="7"/>
        <v>2.170893484738992</v>
      </c>
      <c r="S49" s="2">
        <f t="shared" si="8"/>
        <v>56.616902081992912</v>
      </c>
      <c r="T49" s="2">
        <f t="shared" si="9"/>
        <v>8.238737227954438</v>
      </c>
    </row>
    <row r="50" spans="1:20" x14ac:dyDescent="0.25">
      <c r="A50" s="14">
        <f t="shared" si="16"/>
        <v>0.60689102564102559</v>
      </c>
      <c r="B50" s="2">
        <f t="shared" si="11"/>
        <v>45</v>
      </c>
      <c r="C50" s="4">
        <f t="shared" si="12"/>
        <v>26.83</v>
      </c>
      <c r="D50" s="2">
        <v>15.5</v>
      </c>
      <c r="E50" s="2">
        <v>50.26548245743669</v>
      </c>
      <c r="F50" s="11">
        <f t="shared" si="0"/>
        <v>3.0836270224054725</v>
      </c>
      <c r="G50" s="2">
        <f t="shared" si="1"/>
        <v>82.733713011138818</v>
      </c>
      <c r="H50" s="2">
        <f t="shared" si="2"/>
        <v>2.1948471390664848</v>
      </c>
      <c r="I50" s="2">
        <f t="shared" si="3"/>
        <v>58.887748741153786</v>
      </c>
      <c r="J50" s="2">
        <f t="shared" si="4"/>
        <v>23.845964269985032</v>
      </c>
      <c r="K50" s="15">
        <f t="shared" si="17"/>
        <v>0.45491452991452991</v>
      </c>
      <c r="L50" s="2">
        <f t="shared" si="14"/>
        <v>45</v>
      </c>
      <c r="M50" s="2">
        <f t="shared" si="15"/>
        <v>26.58</v>
      </c>
      <c r="N50" s="2">
        <v>11.5</v>
      </c>
      <c r="O50" s="2">
        <v>50.26548245743669</v>
      </c>
      <c r="P50" s="11">
        <f t="shared" si="5"/>
        <v>2.2878523069459957</v>
      </c>
      <c r="Q50" s="2">
        <f t="shared" si="6"/>
        <v>60.811114318624561</v>
      </c>
      <c r="R50" s="2">
        <f t="shared" si="7"/>
        <v>2.170893484738992</v>
      </c>
      <c r="S50" s="2">
        <f t="shared" si="8"/>
        <v>57.702348824362403</v>
      </c>
      <c r="T50" s="2">
        <f t="shared" si="9"/>
        <v>3.1087654942621583</v>
      </c>
    </row>
    <row r="51" spans="1:20" x14ac:dyDescent="0.25">
      <c r="A51" s="14">
        <f t="shared" si="16"/>
        <v>0.6069978632478632</v>
      </c>
      <c r="B51" s="2">
        <f t="shared" si="11"/>
        <v>46</v>
      </c>
      <c r="C51" s="4">
        <f t="shared" si="12"/>
        <v>27.33</v>
      </c>
      <c r="D51" s="2">
        <v>11.5</v>
      </c>
      <c r="E51" s="2">
        <v>50.26548245743669</v>
      </c>
      <c r="F51" s="11">
        <f t="shared" si="0"/>
        <v>2.2878523069459957</v>
      </c>
      <c r="G51" s="2">
        <f t="shared" si="1"/>
        <v>62.52700354883406</v>
      </c>
      <c r="H51" s="2">
        <f t="shared" si="2"/>
        <v>2.1948471390664848</v>
      </c>
      <c r="I51" s="2">
        <f t="shared" si="3"/>
        <v>59.985172310687027</v>
      </c>
      <c r="J51" s="2">
        <f t="shared" si="4"/>
        <v>2.5418312381470329</v>
      </c>
      <c r="K51" s="15">
        <f t="shared" si="17"/>
        <v>0.4550391737891738</v>
      </c>
      <c r="L51" s="2">
        <f t="shared" si="14"/>
        <v>46</v>
      </c>
      <c r="M51" s="2">
        <f t="shared" si="15"/>
        <v>27.08</v>
      </c>
      <c r="N51" s="2">
        <v>12</v>
      </c>
      <c r="O51" s="2">
        <v>50.26548245743669</v>
      </c>
      <c r="P51" s="11">
        <f t="shared" si="5"/>
        <v>2.3873241463784298</v>
      </c>
      <c r="Q51" s="2">
        <f t="shared" si="6"/>
        <v>64.648737883927879</v>
      </c>
      <c r="R51" s="2">
        <f t="shared" si="7"/>
        <v>2.170893484738992</v>
      </c>
      <c r="S51" s="2">
        <f t="shared" si="8"/>
        <v>58.787795566731901</v>
      </c>
      <c r="T51" s="2">
        <f t="shared" si="9"/>
        <v>5.8609423171959776</v>
      </c>
    </row>
    <row r="52" spans="1:20" x14ac:dyDescent="0.25">
      <c r="A52" s="14">
        <f t="shared" si="16"/>
        <v>0.60710470085470081</v>
      </c>
      <c r="B52" s="2">
        <f t="shared" si="11"/>
        <v>47</v>
      </c>
      <c r="C52" s="4">
        <f t="shared" si="12"/>
        <v>27.83</v>
      </c>
      <c r="D52" s="2">
        <v>13.5</v>
      </c>
      <c r="E52" s="2">
        <v>50.26548245743669</v>
      </c>
      <c r="F52" s="11">
        <f t="shared" si="0"/>
        <v>2.6857396646757339</v>
      </c>
      <c r="G52" s="2">
        <f t="shared" si="1"/>
        <v>74.744134867925666</v>
      </c>
      <c r="H52" s="2">
        <f t="shared" si="2"/>
        <v>2.1948471390664848</v>
      </c>
      <c r="I52" s="2">
        <f t="shared" si="3"/>
        <v>61.082595880220268</v>
      </c>
      <c r="J52" s="2">
        <f t="shared" si="4"/>
        <v>13.661538987705399</v>
      </c>
      <c r="K52" s="15">
        <f t="shared" si="17"/>
        <v>0.45516381766381764</v>
      </c>
      <c r="L52" s="2">
        <f t="shared" si="14"/>
        <v>47</v>
      </c>
      <c r="M52" s="2">
        <f t="shared" si="15"/>
        <v>27.58</v>
      </c>
      <c r="N52" s="2">
        <v>12.5</v>
      </c>
      <c r="O52" s="2">
        <v>50.26548245743669</v>
      </c>
      <c r="P52" s="11">
        <f t="shared" si="5"/>
        <v>2.4867959858108648</v>
      </c>
      <c r="Q52" s="2">
        <f t="shared" si="6"/>
        <v>68.58583328866365</v>
      </c>
      <c r="R52" s="2">
        <f t="shared" si="7"/>
        <v>2.170893484738992</v>
      </c>
      <c r="S52" s="2">
        <f t="shared" si="8"/>
        <v>59.873242309101393</v>
      </c>
      <c r="T52" s="2">
        <f t="shared" si="9"/>
        <v>8.7125909795622576</v>
      </c>
    </row>
    <row r="53" spans="1:20" x14ac:dyDescent="0.25">
      <c r="A53" s="14">
        <f t="shared" si="16"/>
        <v>0.60721153846153841</v>
      </c>
      <c r="B53" s="2">
        <f t="shared" si="11"/>
        <v>48</v>
      </c>
      <c r="C53" s="4">
        <f t="shared" si="12"/>
        <v>28.33</v>
      </c>
      <c r="D53" s="2">
        <v>13</v>
      </c>
      <c r="E53" s="2">
        <v>50.26548245743669</v>
      </c>
      <c r="F53" s="11">
        <f t="shared" si="0"/>
        <v>2.5862678252432989</v>
      </c>
      <c r="G53" s="2">
        <f t="shared" si="1"/>
        <v>73.268967489142653</v>
      </c>
      <c r="H53" s="2">
        <f t="shared" si="2"/>
        <v>2.1948471390664848</v>
      </c>
      <c r="I53" s="2">
        <f t="shared" si="3"/>
        <v>62.180019449753509</v>
      </c>
      <c r="J53" s="2">
        <f t="shared" si="4"/>
        <v>11.088948039389145</v>
      </c>
      <c r="K53" s="15">
        <f t="shared" si="17"/>
        <v>0.45528846153846153</v>
      </c>
      <c r="L53" s="2">
        <f t="shared" si="14"/>
        <v>48</v>
      </c>
      <c r="M53" s="2">
        <f t="shared" si="15"/>
        <v>28.08</v>
      </c>
      <c r="N53" s="2">
        <v>12</v>
      </c>
      <c r="O53" s="2">
        <v>50.26548245743669</v>
      </c>
      <c r="P53" s="11">
        <f t="shared" si="5"/>
        <v>2.3873241463784298</v>
      </c>
      <c r="Q53" s="2">
        <f t="shared" si="6"/>
        <v>67.036062030306311</v>
      </c>
      <c r="R53" s="2">
        <f t="shared" si="7"/>
        <v>2.170893484738992</v>
      </c>
      <c r="S53" s="2">
        <f t="shared" si="8"/>
        <v>60.958689051470891</v>
      </c>
      <c r="T53" s="2">
        <f t="shared" si="9"/>
        <v>6.0773729788354203</v>
      </c>
    </row>
    <row r="54" spans="1:20" x14ac:dyDescent="0.25">
      <c r="A54" s="14">
        <f t="shared" si="16"/>
        <v>0.60731837606837602</v>
      </c>
      <c r="B54" s="2">
        <f t="shared" si="11"/>
        <v>49</v>
      </c>
      <c r="C54" s="4">
        <f t="shared" si="12"/>
        <v>28.83</v>
      </c>
      <c r="D54" s="2">
        <v>13.5</v>
      </c>
      <c r="E54" s="2">
        <v>50.26548245743669</v>
      </c>
      <c r="F54" s="11">
        <f t="shared" si="0"/>
        <v>2.6857396646757339</v>
      </c>
      <c r="G54" s="2">
        <f t="shared" si="1"/>
        <v>77.429874532601403</v>
      </c>
      <c r="H54" s="2">
        <f t="shared" si="2"/>
        <v>2.1948471390664848</v>
      </c>
      <c r="I54" s="2">
        <f t="shared" si="3"/>
        <v>63.27744301928675</v>
      </c>
      <c r="J54" s="2">
        <f t="shared" si="4"/>
        <v>14.152431513314653</v>
      </c>
      <c r="K54" s="15">
        <f t="shared" si="17"/>
        <v>0.45541310541310542</v>
      </c>
      <c r="L54" s="2">
        <f t="shared" si="14"/>
        <v>49</v>
      </c>
      <c r="M54" s="2">
        <f t="shared" si="15"/>
        <v>28.58</v>
      </c>
      <c r="N54" s="2">
        <v>12.5</v>
      </c>
      <c r="O54" s="2">
        <v>50.26548245743669</v>
      </c>
      <c r="P54" s="11">
        <f t="shared" si="5"/>
        <v>2.4867959858108648</v>
      </c>
      <c r="Q54" s="2">
        <f t="shared" si="6"/>
        <v>71.072629274474508</v>
      </c>
      <c r="R54" s="2">
        <f t="shared" si="7"/>
        <v>2.170893484738992</v>
      </c>
      <c r="S54" s="2">
        <f t="shared" si="8"/>
        <v>62.04413579384039</v>
      </c>
      <c r="T54" s="2">
        <f t="shared" si="9"/>
        <v>9.0284934806341184</v>
      </c>
    </row>
    <row r="55" spans="1:20" x14ac:dyDescent="0.25">
      <c r="A55" s="14">
        <f t="shared" si="16"/>
        <v>0.60742521367521363</v>
      </c>
      <c r="B55" s="2">
        <f t="shared" si="11"/>
        <v>50</v>
      </c>
      <c r="C55" s="4">
        <f t="shared" si="12"/>
        <v>29.33</v>
      </c>
      <c r="D55" s="2">
        <v>13.5</v>
      </c>
      <c r="E55" s="2">
        <v>50.26548245743669</v>
      </c>
      <c r="F55" s="11">
        <f t="shared" si="0"/>
        <v>2.6857396646757339</v>
      </c>
      <c r="G55" s="2">
        <f t="shared" si="1"/>
        <v>78.772744364939271</v>
      </c>
      <c r="H55" s="2">
        <f t="shared" si="2"/>
        <v>2.1948471390664848</v>
      </c>
      <c r="I55" s="2">
        <f t="shared" si="3"/>
        <v>64.374866588819998</v>
      </c>
      <c r="J55" s="2">
        <f t="shared" si="4"/>
        <v>14.397877776119273</v>
      </c>
      <c r="K55" s="15">
        <f t="shared" si="17"/>
        <v>0.45553774928774926</v>
      </c>
      <c r="L55" s="2">
        <f t="shared" si="14"/>
        <v>50</v>
      </c>
      <c r="M55" s="2">
        <f t="shared" si="15"/>
        <v>29.08</v>
      </c>
      <c r="N55" s="2">
        <v>17.5</v>
      </c>
      <c r="O55" s="2">
        <v>50.26548245743669</v>
      </c>
      <c r="P55" s="11">
        <f t="shared" si="5"/>
        <v>3.4815143801352106</v>
      </c>
      <c r="Q55" s="2">
        <f t="shared" si="6"/>
        <v>101.24243817433192</v>
      </c>
      <c r="R55" s="2">
        <f t="shared" si="7"/>
        <v>2.170893484738992</v>
      </c>
      <c r="S55" s="2">
        <f t="shared" si="8"/>
        <v>63.129582536209881</v>
      </c>
      <c r="T55" s="2">
        <f t="shared" si="9"/>
        <v>38.112855638122042</v>
      </c>
    </row>
    <row r="56" spans="1:20" x14ac:dyDescent="0.25">
      <c r="A56" s="14">
        <f t="shared" si="16"/>
        <v>0.60753205128205123</v>
      </c>
      <c r="B56" s="2">
        <f t="shared" si="11"/>
        <v>51</v>
      </c>
      <c r="C56" s="4">
        <f t="shared" si="12"/>
        <v>29.83</v>
      </c>
      <c r="D56" s="2">
        <v>13</v>
      </c>
      <c r="E56" s="2">
        <v>50.26548245743669</v>
      </c>
      <c r="F56" s="11">
        <f t="shared" si="0"/>
        <v>2.5862678252432989</v>
      </c>
      <c r="G56" s="2">
        <f t="shared" si="1"/>
        <v>77.148369227007606</v>
      </c>
      <c r="H56" s="2">
        <f t="shared" si="2"/>
        <v>2.1948471390664848</v>
      </c>
      <c r="I56" s="2">
        <f t="shared" si="3"/>
        <v>65.472290158353232</v>
      </c>
      <c r="J56" s="2">
        <f t="shared" si="4"/>
        <v>11.676079068654374</v>
      </c>
      <c r="K56" s="15">
        <f t="shared" si="17"/>
        <v>0.45566239316239315</v>
      </c>
      <c r="L56" s="2">
        <f t="shared" si="14"/>
        <v>51</v>
      </c>
      <c r="M56" s="2">
        <f t="shared" si="15"/>
        <v>29.58</v>
      </c>
      <c r="N56" s="2">
        <v>13.5</v>
      </c>
      <c r="O56" s="2">
        <v>50.26548245743669</v>
      </c>
      <c r="P56" s="11">
        <f t="shared" si="5"/>
        <v>2.6857396646757339</v>
      </c>
      <c r="Q56" s="2">
        <f t="shared" si="6"/>
        <v>79.444179281108205</v>
      </c>
      <c r="R56" s="2">
        <f t="shared" si="7"/>
        <v>2.170893484738992</v>
      </c>
      <c r="S56" s="2">
        <f t="shared" si="8"/>
        <v>64.215029278579379</v>
      </c>
      <c r="T56" s="2">
        <f t="shared" si="9"/>
        <v>15.229150002528826</v>
      </c>
    </row>
    <row r="57" spans="1:20" x14ac:dyDescent="0.25">
      <c r="A57" s="14">
        <f t="shared" si="16"/>
        <v>0.60763888888888884</v>
      </c>
      <c r="B57" s="2">
        <f t="shared" si="11"/>
        <v>52</v>
      </c>
      <c r="C57" s="4">
        <f t="shared" si="12"/>
        <v>30.33</v>
      </c>
      <c r="D57" s="2">
        <v>12</v>
      </c>
      <c r="E57" s="2">
        <v>50.26548245743669</v>
      </c>
      <c r="F57" s="11">
        <f t="shared" si="0"/>
        <v>2.3873241463784298</v>
      </c>
      <c r="G57" s="2">
        <f t="shared" si="1"/>
        <v>72.40754135965777</v>
      </c>
      <c r="H57" s="2">
        <f t="shared" si="2"/>
        <v>2.1948471390664848</v>
      </c>
      <c r="I57" s="2">
        <f t="shared" si="3"/>
        <v>66.56971372788648</v>
      </c>
      <c r="J57" s="2">
        <f t="shared" si="4"/>
        <v>5.8378276317712903</v>
      </c>
      <c r="K57" s="15">
        <f t="shared" si="17"/>
        <v>0.45578703703703705</v>
      </c>
      <c r="L57" s="2">
        <f t="shared" si="14"/>
        <v>52</v>
      </c>
      <c r="M57" s="2">
        <f t="shared" si="15"/>
        <v>30.08</v>
      </c>
      <c r="N57" s="2">
        <v>10.5</v>
      </c>
      <c r="O57" s="2">
        <v>50.26548245743669</v>
      </c>
      <c r="P57" s="11">
        <f t="shared" si="5"/>
        <v>2.0889086280811267</v>
      </c>
      <c r="Q57" s="2">
        <f t="shared" si="6"/>
        <v>62.834371532680287</v>
      </c>
      <c r="R57" s="2">
        <f t="shared" si="7"/>
        <v>2.170893484738992</v>
      </c>
      <c r="S57" s="2">
        <f t="shared" si="8"/>
        <v>65.300476020948878</v>
      </c>
      <c r="T57" s="2">
        <f t="shared" si="9"/>
        <v>2.4661044882685914</v>
      </c>
    </row>
    <row r="58" spans="1:20" x14ac:dyDescent="0.25">
      <c r="A58" s="14">
        <f t="shared" si="16"/>
        <v>0.60774572649572645</v>
      </c>
      <c r="B58" s="2">
        <f t="shared" si="11"/>
        <v>53</v>
      </c>
      <c r="C58" s="4">
        <f t="shared" si="12"/>
        <v>30.83</v>
      </c>
      <c r="D58" s="2">
        <v>10.5</v>
      </c>
      <c r="E58" s="2">
        <v>50.26548245743669</v>
      </c>
      <c r="F58" s="11">
        <f t="shared" si="0"/>
        <v>2.0889086280811267</v>
      </c>
      <c r="G58" s="2">
        <f t="shared" si="1"/>
        <v>64.401053003741126</v>
      </c>
      <c r="H58" s="2">
        <f t="shared" si="2"/>
        <v>2.1948471390664848</v>
      </c>
      <c r="I58" s="2">
        <f t="shared" si="3"/>
        <v>67.667137297419728</v>
      </c>
      <c r="J58" s="2">
        <f t="shared" si="4"/>
        <v>3.2660842936786025</v>
      </c>
      <c r="K58" s="15">
        <f t="shared" si="17"/>
        <v>0.45591168091168088</v>
      </c>
      <c r="L58" s="2">
        <f t="shared" si="14"/>
        <v>53</v>
      </c>
      <c r="M58" s="2">
        <f t="shared" si="15"/>
        <v>30.58</v>
      </c>
      <c r="N58" s="2">
        <v>13</v>
      </c>
      <c r="O58" s="2">
        <v>50.26548245743669</v>
      </c>
      <c r="P58" s="11">
        <f t="shared" si="5"/>
        <v>2.5862678252432989</v>
      </c>
      <c r="Q58" s="2">
        <f t="shared" si="6"/>
        <v>79.088070095940083</v>
      </c>
      <c r="R58" s="2">
        <f t="shared" si="7"/>
        <v>2.170893484738992</v>
      </c>
      <c r="S58" s="2">
        <f t="shared" si="8"/>
        <v>66.385922763318376</v>
      </c>
      <c r="T58" s="2">
        <f t="shared" si="9"/>
        <v>12.702147332621706</v>
      </c>
    </row>
    <row r="59" spans="1:20" x14ac:dyDescent="0.25">
      <c r="A59" s="14">
        <f t="shared" si="16"/>
        <v>0.60785256410256405</v>
      </c>
      <c r="B59" s="2">
        <f t="shared" si="11"/>
        <v>54</v>
      </c>
      <c r="C59" s="4">
        <f t="shared" si="12"/>
        <v>31.33</v>
      </c>
      <c r="D59" s="2">
        <v>12.5</v>
      </c>
      <c r="E59" s="2">
        <v>50.26548245743669</v>
      </c>
      <c r="F59" s="11">
        <f t="shared" si="0"/>
        <v>2.4867959858108648</v>
      </c>
      <c r="G59" s="2">
        <f t="shared" si="1"/>
        <v>77.911318235454388</v>
      </c>
      <c r="H59" s="2">
        <f t="shared" si="2"/>
        <v>2.1948471390664848</v>
      </c>
      <c r="I59" s="2">
        <f t="shared" si="3"/>
        <v>68.764560866952962</v>
      </c>
      <c r="J59" s="2">
        <f t="shared" si="4"/>
        <v>9.1467573685014258</v>
      </c>
      <c r="K59" s="15">
        <f t="shared" si="17"/>
        <v>0.45603632478632478</v>
      </c>
      <c r="L59" s="2">
        <f t="shared" si="14"/>
        <v>54</v>
      </c>
      <c r="M59" s="2">
        <f t="shared" si="15"/>
        <v>31.08</v>
      </c>
      <c r="N59" s="2">
        <v>12.5</v>
      </c>
      <c r="O59" s="2">
        <v>50.26548245743669</v>
      </c>
      <c r="P59" s="11">
        <f t="shared" si="5"/>
        <v>2.4867959858108648</v>
      </c>
      <c r="Q59" s="2">
        <f t="shared" si="6"/>
        <v>77.289619239001681</v>
      </c>
      <c r="R59" s="2">
        <f t="shared" si="7"/>
        <v>2.170893484738992</v>
      </c>
      <c r="S59" s="2">
        <f t="shared" si="8"/>
        <v>67.471369505687875</v>
      </c>
      <c r="T59" s="2">
        <f t="shared" si="9"/>
        <v>9.8182497333138059</v>
      </c>
    </row>
    <row r="60" spans="1:20" x14ac:dyDescent="0.25">
      <c r="A60" s="14">
        <f t="shared" si="16"/>
        <v>0.60795940170940166</v>
      </c>
      <c r="B60" s="2">
        <f t="shared" si="11"/>
        <v>55</v>
      </c>
      <c r="C60" s="4">
        <f t="shared" si="12"/>
        <v>31.83</v>
      </c>
      <c r="D60" s="2">
        <v>11.5</v>
      </c>
      <c r="E60" s="2">
        <v>50.26548245743669</v>
      </c>
      <c r="F60" s="11">
        <f t="shared" si="0"/>
        <v>2.2878523069459957</v>
      </c>
      <c r="G60" s="2">
        <f t="shared" si="1"/>
        <v>72.822338930091036</v>
      </c>
      <c r="H60" s="2">
        <f t="shared" si="2"/>
        <v>2.1948471390664848</v>
      </c>
      <c r="I60" s="2">
        <f t="shared" si="3"/>
        <v>69.86198443648621</v>
      </c>
      <c r="J60" s="2">
        <f t="shared" si="4"/>
        <v>2.9603544936048252</v>
      </c>
      <c r="K60" s="15">
        <f t="shared" si="17"/>
        <v>0.45616096866096867</v>
      </c>
      <c r="L60" s="2">
        <f t="shared" si="14"/>
        <v>55</v>
      </c>
      <c r="M60" s="2">
        <f t="shared" si="15"/>
        <v>31.58</v>
      </c>
      <c r="N60" s="2">
        <v>12.5</v>
      </c>
      <c r="O60" s="2">
        <v>50.26548245743669</v>
      </c>
      <c r="P60" s="11">
        <f t="shared" si="5"/>
        <v>2.4867959858108648</v>
      </c>
      <c r="Q60" s="2">
        <f t="shared" si="6"/>
        <v>78.53301723190711</v>
      </c>
      <c r="R60" s="2">
        <f t="shared" si="7"/>
        <v>2.170893484738992</v>
      </c>
      <c r="S60" s="2">
        <f t="shared" si="8"/>
        <v>68.556816248057359</v>
      </c>
      <c r="T60" s="2">
        <f t="shared" si="9"/>
        <v>9.9762009838497505</v>
      </c>
    </row>
    <row r="61" spans="1:20" x14ac:dyDescent="0.25">
      <c r="A61" s="14">
        <f t="shared" si="16"/>
        <v>0.60806623931623927</v>
      </c>
      <c r="B61" s="2">
        <f t="shared" si="11"/>
        <v>56</v>
      </c>
      <c r="C61" s="4">
        <f t="shared" si="12"/>
        <v>32.33</v>
      </c>
      <c r="D61" s="2">
        <v>15</v>
      </c>
      <c r="E61" s="2">
        <v>50.26548245743669</v>
      </c>
      <c r="F61" s="11">
        <f t="shared" si="0"/>
        <v>2.9841551829730379</v>
      </c>
      <c r="G61" s="2">
        <f t="shared" si="1"/>
        <v>96.477737065518312</v>
      </c>
      <c r="H61" s="2">
        <f t="shared" si="2"/>
        <v>2.1948471390664848</v>
      </c>
      <c r="I61" s="2">
        <f t="shared" si="3"/>
        <v>70.959408006019444</v>
      </c>
      <c r="J61" s="2">
        <f t="shared" si="4"/>
        <v>25.518329059498868</v>
      </c>
      <c r="K61" s="15">
        <f t="shared" si="17"/>
        <v>0.45628561253561251</v>
      </c>
      <c r="L61" s="2">
        <f t="shared" si="14"/>
        <v>56</v>
      </c>
      <c r="M61" s="2">
        <f t="shared" si="15"/>
        <v>32.08</v>
      </c>
      <c r="N61" s="2">
        <v>11.5</v>
      </c>
      <c r="O61" s="2">
        <v>50.26548245743669</v>
      </c>
      <c r="P61" s="11">
        <f t="shared" si="5"/>
        <v>2.2878523069459957</v>
      </c>
      <c r="Q61" s="2">
        <f t="shared" si="6"/>
        <v>73.394302006827544</v>
      </c>
      <c r="R61" s="2">
        <f t="shared" si="7"/>
        <v>2.170893484738992</v>
      </c>
      <c r="S61" s="2">
        <f t="shared" si="8"/>
        <v>69.642262990426858</v>
      </c>
      <c r="T61" s="2">
        <f t="shared" si="9"/>
        <v>3.7520390164006869</v>
      </c>
    </row>
    <row r="62" spans="1:20" x14ac:dyDescent="0.25">
      <c r="A62" s="14">
        <f t="shared" si="16"/>
        <v>0.60817307692307687</v>
      </c>
      <c r="B62" s="2">
        <f t="shared" si="11"/>
        <v>57</v>
      </c>
      <c r="C62" s="4">
        <f t="shared" si="12"/>
        <v>32.83</v>
      </c>
      <c r="D62" s="2">
        <v>13</v>
      </c>
      <c r="E62" s="2">
        <v>50.26548245743669</v>
      </c>
      <c r="F62" s="11">
        <f t="shared" si="0"/>
        <v>2.5862678252432989</v>
      </c>
      <c r="G62" s="2">
        <f t="shared" si="1"/>
        <v>84.907172702737498</v>
      </c>
      <c r="H62" s="2">
        <f t="shared" si="2"/>
        <v>2.1948471390664848</v>
      </c>
      <c r="I62" s="2">
        <f t="shared" si="3"/>
        <v>72.056831575552692</v>
      </c>
      <c r="J62" s="2">
        <f t="shared" si="4"/>
        <v>12.850341127184805</v>
      </c>
      <c r="K62" s="15">
        <f t="shared" si="17"/>
        <v>0.4564102564102564</v>
      </c>
      <c r="L62" s="2">
        <f t="shared" si="14"/>
        <v>57</v>
      </c>
      <c r="M62" s="2">
        <f t="shared" si="15"/>
        <v>32.58</v>
      </c>
      <c r="N62" s="2">
        <v>11</v>
      </c>
      <c r="O62" s="2">
        <v>50.26548245743669</v>
      </c>
      <c r="P62" s="11">
        <f t="shared" si="5"/>
        <v>2.1883804675135607</v>
      </c>
      <c r="Q62" s="2">
        <f t="shared" si="6"/>
        <v>71.29743563159181</v>
      </c>
      <c r="R62" s="2">
        <f t="shared" si="7"/>
        <v>2.170893484738992</v>
      </c>
      <c r="S62" s="2">
        <f t="shared" si="8"/>
        <v>70.727709732796356</v>
      </c>
      <c r="T62" s="2">
        <f t="shared" si="9"/>
        <v>0.5697258987954541</v>
      </c>
    </row>
    <row r="63" spans="1:20" x14ac:dyDescent="0.25">
      <c r="A63" s="14">
        <f t="shared" si="16"/>
        <v>0.60827991452991448</v>
      </c>
      <c r="B63" s="2">
        <f t="shared" si="11"/>
        <v>58</v>
      </c>
      <c r="C63" s="4">
        <f t="shared" si="12"/>
        <v>33.33</v>
      </c>
      <c r="D63" s="2">
        <v>12.5</v>
      </c>
      <c r="E63" s="2">
        <v>50.26548245743669</v>
      </c>
      <c r="F63" s="11">
        <f t="shared" si="0"/>
        <v>2.4867959858108648</v>
      </c>
      <c r="G63" s="2">
        <f t="shared" si="1"/>
        <v>82.884910207076118</v>
      </c>
      <c r="H63" s="2">
        <f t="shared" si="2"/>
        <v>2.1948471390664848</v>
      </c>
      <c r="I63" s="2">
        <f t="shared" si="3"/>
        <v>73.154255145085926</v>
      </c>
      <c r="J63" s="2">
        <f t="shared" si="4"/>
        <v>9.7306550619901913</v>
      </c>
      <c r="K63" s="15">
        <f t="shared" si="17"/>
        <v>0.45653490028490029</v>
      </c>
      <c r="L63" s="2">
        <f t="shared" si="14"/>
        <v>58</v>
      </c>
      <c r="M63" s="2">
        <f t="shared" si="15"/>
        <v>33.08</v>
      </c>
      <c r="N63" s="2">
        <v>11.5</v>
      </c>
      <c r="O63" s="2">
        <v>50.26548245743669</v>
      </c>
      <c r="P63" s="11">
        <f t="shared" si="5"/>
        <v>2.2878523069459957</v>
      </c>
      <c r="Q63" s="2">
        <f t="shared" si="6"/>
        <v>75.682154313773538</v>
      </c>
      <c r="R63" s="2">
        <f t="shared" si="7"/>
        <v>2.170893484738992</v>
      </c>
      <c r="S63" s="2">
        <f t="shared" si="8"/>
        <v>71.813156475165854</v>
      </c>
      <c r="T63" s="2">
        <f t="shared" si="9"/>
        <v>3.8689978386076831</v>
      </c>
    </row>
    <row r="64" spans="1:20" x14ac:dyDescent="0.25">
      <c r="A64" s="14">
        <f t="shared" si="16"/>
        <v>0.6083867521367522</v>
      </c>
      <c r="B64" s="2">
        <f t="shared" si="11"/>
        <v>59</v>
      </c>
      <c r="C64" s="4">
        <f t="shared" si="12"/>
        <v>33.83</v>
      </c>
      <c r="D64" s="2">
        <v>12</v>
      </c>
      <c r="E64" s="2">
        <v>50.26548245743669</v>
      </c>
      <c r="F64" s="11">
        <f t="shared" si="0"/>
        <v>2.3873241463784298</v>
      </c>
      <c r="G64" s="2">
        <f t="shared" si="1"/>
        <v>80.76317587198227</v>
      </c>
      <c r="H64" s="2">
        <f t="shared" si="2"/>
        <v>2.1948471390664848</v>
      </c>
      <c r="I64" s="2">
        <f t="shared" si="3"/>
        <v>74.251678714619175</v>
      </c>
      <c r="J64" s="2">
        <f t="shared" si="4"/>
        <v>6.5114971573630953</v>
      </c>
      <c r="K64" s="15">
        <f t="shared" si="17"/>
        <v>0.45665954415954413</v>
      </c>
      <c r="L64" s="2">
        <f t="shared" si="14"/>
        <v>59</v>
      </c>
      <c r="M64" s="2">
        <f t="shared" si="15"/>
        <v>33.58</v>
      </c>
      <c r="N64" s="2">
        <v>12</v>
      </c>
      <c r="O64" s="2">
        <v>50.26548245743669</v>
      </c>
      <c r="P64" s="11">
        <f t="shared" si="5"/>
        <v>2.3873241463784298</v>
      </c>
      <c r="Q64" s="2">
        <f t="shared" si="6"/>
        <v>80.166344835387676</v>
      </c>
      <c r="R64" s="2">
        <f t="shared" si="7"/>
        <v>2.170893484738992</v>
      </c>
      <c r="S64" s="2">
        <f t="shared" si="8"/>
        <v>72.898603217535353</v>
      </c>
      <c r="T64" s="2">
        <f t="shared" si="9"/>
        <v>7.2677416178523231</v>
      </c>
    </row>
    <row r="65" spans="1:20" x14ac:dyDescent="0.25">
      <c r="A65" s="14">
        <f t="shared" si="16"/>
        <v>0.6084935897435898</v>
      </c>
      <c r="B65" s="2">
        <f t="shared" si="11"/>
        <v>60</v>
      </c>
      <c r="C65" s="4">
        <f t="shared" si="12"/>
        <v>34.33</v>
      </c>
      <c r="D65" s="2">
        <v>12.5</v>
      </c>
      <c r="E65" s="2">
        <v>50.26548245743669</v>
      </c>
      <c r="F65" s="11">
        <f t="shared" si="0"/>
        <v>2.4867959858108648</v>
      </c>
      <c r="G65" s="2">
        <f t="shared" si="1"/>
        <v>85.37170619288699</v>
      </c>
      <c r="H65" s="2">
        <f t="shared" si="2"/>
        <v>2.1948471390664848</v>
      </c>
      <c r="I65" s="2">
        <f t="shared" si="3"/>
        <v>75.349102284152423</v>
      </c>
      <c r="J65" s="2">
        <f t="shared" si="4"/>
        <v>10.022603908734567</v>
      </c>
      <c r="K65" s="15">
        <f t="shared" si="17"/>
        <v>0.45678418803418802</v>
      </c>
      <c r="L65" s="2">
        <f t="shared" si="14"/>
        <v>60</v>
      </c>
      <c r="M65" s="2">
        <f t="shared" si="15"/>
        <v>34.08</v>
      </c>
      <c r="N65" s="2">
        <v>12</v>
      </c>
      <c r="O65" s="2">
        <v>50.26548245743669</v>
      </c>
      <c r="P65" s="11">
        <f t="shared" si="5"/>
        <v>2.3873241463784298</v>
      </c>
      <c r="Q65" s="2">
        <f t="shared" si="6"/>
        <v>81.360006908576878</v>
      </c>
      <c r="R65" s="2">
        <f t="shared" si="7"/>
        <v>2.170893484738992</v>
      </c>
      <c r="S65" s="2">
        <f t="shared" si="8"/>
        <v>73.984049959904851</v>
      </c>
      <c r="T65" s="2">
        <f t="shared" si="9"/>
        <v>7.3759569486720267</v>
      </c>
    </row>
    <row r="66" spans="1:20" x14ac:dyDescent="0.25">
      <c r="A66" s="14">
        <f t="shared" si="16"/>
        <v>0.60860042735042741</v>
      </c>
      <c r="B66" s="2">
        <f t="shared" si="11"/>
        <v>61</v>
      </c>
      <c r="C66" s="4">
        <f t="shared" si="12"/>
        <v>34.83</v>
      </c>
      <c r="D66" s="2">
        <v>13.5</v>
      </c>
      <c r="E66" s="2">
        <v>50.26548245743669</v>
      </c>
      <c r="F66" s="11">
        <f t="shared" si="0"/>
        <v>2.6857396646757339</v>
      </c>
      <c r="G66" s="2">
        <f t="shared" si="1"/>
        <v>93.544312520655808</v>
      </c>
      <c r="H66" s="2">
        <f t="shared" si="2"/>
        <v>2.1948471390664848</v>
      </c>
      <c r="I66" s="2">
        <f t="shared" si="3"/>
        <v>76.446525853685657</v>
      </c>
      <c r="J66" s="2">
        <f t="shared" si="4"/>
        <v>17.097786666970151</v>
      </c>
      <c r="K66" s="15">
        <f t="shared" si="17"/>
        <v>0.45690883190883191</v>
      </c>
      <c r="L66" s="2">
        <f t="shared" si="14"/>
        <v>61</v>
      </c>
      <c r="M66" s="2">
        <f t="shared" si="15"/>
        <v>34.58</v>
      </c>
      <c r="N66" s="2">
        <v>13</v>
      </c>
      <c r="O66" s="2">
        <v>50.26548245743669</v>
      </c>
      <c r="P66" s="11">
        <f t="shared" si="5"/>
        <v>2.5862678252432989</v>
      </c>
      <c r="Q66" s="2">
        <f t="shared" si="6"/>
        <v>89.433141396913271</v>
      </c>
      <c r="R66" s="2">
        <f t="shared" si="7"/>
        <v>2.170893484738992</v>
      </c>
      <c r="S66" s="2">
        <f t="shared" si="8"/>
        <v>75.069496702274336</v>
      </c>
      <c r="T66" s="2">
        <f t="shared" si="9"/>
        <v>14.363644694638936</v>
      </c>
    </row>
    <row r="67" spans="1:20" x14ac:dyDescent="0.25">
      <c r="A67" s="14">
        <f t="shared" si="16"/>
        <v>0.60870726495726502</v>
      </c>
      <c r="B67" s="2">
        <f t="shared" si="11"/>
        <v>62</v>
      </c>
      <c r="C67" s="4">
        <f t="shared" si="12"/>
        <v>35.33</v>
      </c>
      <c r="D67" s="2">
        <v>12</v>
      </c>
      <c r="E67" s="2">
        <v>50.26548245743669</v>
      </c>
      <c r="F67" s="11">
        <f t="shared" si="0"/>
        <v>2.3873241463784298</v>
      </c>
      <c r="G67" s="2">
        <f t="shared" si="1"/>
        <v>84.344162091549919</v>
      </c>
      <c r="H67" s="2">
        <f t="shared" si="2"/>
        <v>2.1948471390664848</v>
      </c>
      <c r="I67" s="2">
        <f t="shared" si="3"/>
        <v>77.543949423218905</v>
      </c>
      <c r="J67" s="2">
        <f t="shared" si="4"/>
        <v>6.8002126683310138</v>
      </c>
      <c r="K67" s="15">
        <f t="shared" si="17"/>
        <v>0.45703347578347575</v>
      </c>
      <c r="L67" s="2">
        <f t="shared" si="14"/>
        <v>62</v>
      </c>
      <c r="M67" s="2">
        <f t="shared" si="15"/>
        <v>35.08</v>
      </c>
      <c r="N67" s="2">
        <v>12</v>
      </c>
      <c r="O67" s="2">
        <v>50.26548245743669</v>
      </c>
      <c r="P67" s="11">
        <f t="shared" si="5"/>
        <v>2.3873241463784298</v>
      </c>
      <c r="Q67" s="2">
        <f t="shared" si="6"/>
        <v>83.74733105495531</v>
      </c>
      <c r="R67" s="2">
        <f t="shared" si="7"/>
        <v>2.170893484738992</v>
      </c>
      <c r="S67" s="2">
        <f t="shared" si="8"/>
        <v>76.154943444643834</v>
      </c>
      <c r="T67" s="2">
        <f t="shared" si="9"/>
        <v>7.5923876103114765</v>
      </c>
    </row>
    <row r="68" spans="1:20" x14ac:dyDescent="0.25">
      <c r="A68" s="14">
        <f t="shared" si="16"/>
        <v>0.60881410256410262</v>
      </c>
      <c r="B68" s="2">
        <f t="shared" si="11"/>
        <v>63</v>
      </c>
      <c r="C68" s="4">
        <f t="shared" si="12"/>
        <v>35.83</v>
      </c>
      <c r="D68" s="2">
        <v>11.5</v>
      </c>
      <c r="E68" s="2">
        <v>50.26548245743669</v>
      </c>
      <c r="F68" s="11">
        <f t="shared" si="0"/>
        <v>2.2878523069459957</v>
      </c>
      <c r="G68" s="2">
        <f t="shared" si="1"/>
        <v>81.973748157875022</v>
      </c>
      <c r="H68" s="2">
        <f t="shared" si="2"/>
        <v>2.1948471390664848</v>
      </c>
      <c r="I68" s="2">
        <f t="shared" si="3"/>
        <v>78.641372992752139</v>
      </c>
      <c r="J68" s="2">
        <f t="shared" si="4"/>
        <v>3.3323751651228832</v>
      </c>
      <c r="K68" s="15">
        <f t="shared" si="17"/>
        <v>0.45715811965811964</v>
      </c>
      <c r="L68" s="2">
        <f t="shared" si="14"/>
        <v>63</v>
      </c>
      <c r="M68" s="2">
        <f t="shared" si="15"/>
        <v>35.58</v>
      </c>
      <c r="N68" s="2">
        <v>13</v>
      </c>
      <c r="O68" s="2">
        <v>50.26548245743669</v>
      </c>
      <c r="P68" s="11">
        <f t="shared" si="5"/>
        <v>2.5862678252432989</v>
      </c>
      <c r="Q68" s="2">
        <f t="shared" si="6"/>
        <v>92.019409222156568</v>
      </c>
      <c r="R68" s="2">
        <f t="shared" si="7"/>
        <v>2.170893484738992</v>
      </c>
      <c r="S68" s="2">
        <f t="shared" si="8"/>
        <v>77.240390187013332</v>
      </c>
      <c r="T68" s="2">
        <f t="shared" si="9"/>
        <v>14.779019035143236</v>
      </c>
    </row>
    <row r="69" spans="1:20" x14ac:dyDescent="0.25">
      <c r="A69" s="14">
        <f t="shared" si="16"/>
        <v>0.60892094017094023</v>
      </c>
      <c r="B69" s="2">
        <f t="shared" si="11"/>
        <v>64</v>
      </c>
      <c r="C69" s="4">
        <f t="shared" si="12"/>
        <v>36.33</v>
      </c>
      <c r="D69" s="2">
        <v>12.5</v>
      </c>
      <c r="E69" s="2">
        <v>50.26548245743669</v>
      </c>
      <c r="F69" s="11">
        <f t="shared" si="0"/>
        <v>2.4867959858108648</v>
      </c>
      <c r="G69" s="2">
        <f t="shared" si="1"/>
        <v>90.345298164508719</v>
      </c>
      <c r="H69" s="2">
        <f t="shared" si="2"/>
        <v>2.1948471390664848</v>
      </c>
      <c r="I69" s="2">
        <f t="shared" si="3"/>
        <v>79.738796562285387</v>
      </c>
      <c r="J69" s="2">
        <f t="shared" si="4"/>
        <v>10.606501602223332</v>
      </c>
      <c r="K69" s="15">
        <f t="shared" si="17"/>
        <v>0.45728276353276354</v>
      </c>
      <c r="L69" s="2">
        <f t="shared" si="14"/>
        <v>64</v>
      </c>
      <c r="M69" s="2">
        <f t="shared" si="15"/>
        <v>36.08</v>
      </c>
      <c r="N69" s="2">
        <v>12</v>
      </c>
      <c r="O69" s="2">
        <v>50.26548245743669</v>
      </c>
      <c r="P69" s="11">
        <f t="shared" si="5"/>
        <v>2.3873241463784298</v>
      </c>
      <c r="Q69" s="2">
        <f t="shared" si="6"/>
        <v>86.134655201333743</v>
      </c>
      <c r="R69" s="2">
        <f t="shared" si="7"/>
        <v>2.170893484738992</v>
      </c>
      <c r="S69" s="2">
        <f t="shared" si="8"/>
        <v>78.325836929382831</v>
      </c>
      <c r="T69" s="2">
        <f t="shared" si="9"/>
        <v>7.808818271950912</v>
      </c>
    </row>
    <row r="70" spans="1:20" x14ac:dyDescent="0.25">
      <c r="A70" s="14">
        <f t="shared" si="16"/>
        <v>0.60902777777777783</v>
      </c>
      <c r="B70" s="2">
        <f t="shared" si="11"/>
        <v>65</v>
      </c>
      <c r="C70" s="4">
        <f t="shared" si="12"/>
        <v>36.83</v>
      </c>
      <c r="D70" s="2">
        <v>11.5</v>
      </c>
      <c r="E70" s="2">
        <v>50.26548245743669</v>
      </c>
      <c r="F70" s="11">
        <f t="shared" si="0"/>
        <v>2.2878523069459957</v>
      </c>
      <c r="G70" s="2">
        <f t="shared" si="1"/>
        <v>84.261600464821015</v>
      </c>
      <c r="H70" s="2">
        <f t="shared" si="2"/>
        <v>2.1948471390664848</v>
      </c>
      <c r="I70" s="2">
        <f t="shared" si="3"/>
        <v>80.836220131818635</v>
      </c>
      <c r="J70" s="2">
        <f t="shared" si="4"/>
        <v>3.42538033300238</v>
      </c>
      <c r="K70" s="15">
        <f t="shared" si="17"/>
        <v>0.45740740740740737</v>
      </c>
      <c r="L70" s="2">
        <f t="shared" si="14"/>
        <v>65</v>
      </c>
      <c r="M70" s="2">
        <f t="shared" si="15"/>
        <v>36.58</v>
      </c>
      <c r="N70" s="2">
        <v>11.5</v>
      </c>
      <c r="O70" s="2">
        <v>50.26548245743669</v>
      </c>
      <c r="P70" s="11">
        <f t="shared" si="5"/>
        <v>2.2878523069459957</v>
      </c>
      <c r="Q70" s="2">
        <f t="shared" si="6"/>
        <v>83.68963738808452</v>
      </c>
      <c r="R70" s="2">
        <f t="shared" si="7"/>
        <v>2.170893484738992</v>
      </c>
      <c r="S70" s="2">
        <f t="shared" si="8"/>
        <v>79.411283671752329</v>
      </c>
      <c r="T70" s="2">
        <f t="shared" si="9"/>
        <v>4.278353716332191</v>
      </c>
    </row>
    <row r="71" spans="1:20" x14ac:dyDescent="0.25">
      <c r="A71" s="14">
        <f t="shared" si="16"/>
        <v>0.60913461538461544</v>
      </c>
      <c r="B71" s="2">
        <f t="shared" si="11"/>
        <v>66</v>
      </c>
      <c r="C71" s="4">
        <f t="shared" si="12"/>
        <v>37.33</v>
      </c>
      <c r="D71" s="2">
        <v>12.5</v>
      </c>
      <c r="E71" s="2">
        <v>50.26548245743669</v>
      </c>
      <c r="F71" s="11">
        <f t="shared" si="0"/>
        <v>2.4867959858108648</v>
      </c>
      <c r="G71" s="2">
        <f t="shared" si="1"/>
        <v>92.832094150319577</v>
      </c>
      <c r="H71" s="2">
        <f t="shared" si="2"/>
        <v>2.1948471390664848</v>
      </c>
      <c r="I71" s="2">
        <f t="shared" si="3"/>
        <v>81.933643701351869</v>
      </c>
      <c r="J71" s="2">
        <f t="shared" si="4"/>
        <v>10.898450448967708</v>
      </c>
      <c r="K71" s="15">
        <f t="shared" si="17"/>
        <v>0.45753205128205127</v>
      </c>
      <c r="L71" s="2">
        <f t="shared" si="14"/>
        <v>66</v>
      </c>
      <c r="M71" s="2">
        <f t="shared" si="15"/>
        <v>37.08</v>
      </c>
      <c r="N71" s="2">
        <v>11.5</v>
      </c>
      <c r="O71" s="2">
        <v>50.26548245743669</v>
      </c>
      <c r="P71" s="11">
        <f t="shared" si="5"/>
        <v>2.2878523069459957</v>
      </c>
      <c r="Q71" s="2">
        <f t="shared" si="6"/>
        <v>84.833563541557524</v>
      </c>
      <c r="R71" s="2">
        <f t="shared" si="7"/>
        <v>2.170893484738992</v>
      </c>
      <c r="S71" s="2">
        <f t="shared" si="8"/>
        <v>80.496730414121814</v>
      </c>
      <c r="T71" s="2">
        <f t="shared" si="9"/>
        <v>4.3368331274357104</v>
      </c>
    </row>
    <row r="72" spans="1:20" x14ac:dyDescent="0.25">
      <c r="A72" s="14">
        <f t="shared" si="16"/>
        <v>0.60924145299145305</v>
      </c>
      <c r="B72" s="2">
        <f t="shared" si="11"/>
        <v>67</v>
      </c>
      <c r="C72" s="4">
        <f t="shared" si="12"/>
        <v>37.83</v>
      </c>
      <c r="D72" s="2">
        <v>13</v>
      </c>
      <c r="E72" s="2">
        <v>50.26548245743669</v>
      </c>
      <c r="F72" s="11">
        <f t="shared" si="0"/>
        <v>2.5862678252432989</v>
      </c>
      <c r="G72" s="2">
        <f t="shared" si="1"/>
        <v>97.838511828953997</v>
      </c>
      <c r="H72" s="2">
        <f t="shared" si="2"/>
        <v>2.1948471390664848</v>
      </c>
      <c r="I72" s="2">
        <f t="shared" si="3"/>
        <v>83.031067270885117</v>
      </c>
      <c r="J72" s="2">
        <f t="shared" si="4"/>
        <v>14.80744455806888</v>
      </c>
      <c r="K72" s="15">
        <f t="shared" si="17"/>
        <v>0.45765669515669516</v>
      </c>
      <c r="L72" s="2">
        <f t="shared" si="14"/>
        <v>67</v>
      </c>
      <c r="M72" s="2">
        <f t="shared" si="15"/>
        <v>37.58</v>
      </c>
      <c r="N72" s="2">
        <v>15</v>
      </c>
      <c r="O72" s="2">
        <v>50.26548245743669</v>
      </c>
      <c r="P72" s="11">
        <f t="shared" si="5"/>
        <v>2.9841551829730379</v>
      </c>
      <c r="Q72" s="2">
        <f t="shared" si="6"/>
        <v>112.14455177612676</v>
      </c>
      <c r="R72" s="2">
        <f t="shared" si="7"/>
        <v>2.170893484738992</v>
      </c>
      <c r="S72" s="2">
        <f t="shared" si="8"/>
        <v>81.582177156491312</v>
      </c>
      <c r="T72" s="2">
        <f t="shared" si="9"/>
        <v>30.562374619635449</v>
      </c>
    </row>
    <row r="73" spans="1:20" x14ac:dyDescent="0.25">
      <c r="A73" s="14">
        <f t="shared" si="16"/>
        <v>0.60934829059829065</v>
      </c>
      <c r="B73" s="2">
        <f t="shared" si="11"/>
        <v>68</v>
      </c>
      <c r="C73" s="4">
        <f t="shared" si="12"/>
        <v>38.33</v>
      </c>
      <c r="D73" s="2">
        <v>12.5</v>
      </c>
      <c r="E73" s="2">
        <v>50.26548245743669</v>
      </c>
      <c r="F73" s="11">
        <f t="shared" si="0"/>
        <v>2.4867959858108648</v>
      </c>
      <c r="G73" s="2">
        <f t="shared" si="1"/>
        <v>95.318890136130449</v>
      </c>
      <c r="H73" s="2">
        <f t="shared" si="2"/>
        <v>2.1948471390664848</v>
      </c>
      <c r="I73" s="2">
        <f t="shared" si="3"/>
        <v>84.128490840418351</v>
      </c>
      <c r="J73" s="2">
        <f t="shared" si="4"/>
        <v>11.190399295712098</v>
      </c>
      <c r="K73" s="15">
        <f t="shared" si="17"/>
        <v>0.457781339031339</v>
      </c>
      <c r="L73" s="2">
        <f t="shared" si="14"/>
        <v>68</v>
      </c>
      <c r="M73" s="2">
        <f t="shared" si="15"/>
        <v>38.08</v>
      </c>
      <c r="N73" s="2">
        <v>12</v>
      </c>
      <c r="O73" s="2">
        <v>50.26548245743669</v>
      </c>
      <c r="P73" s="11">
        <f t="shared" si="5"/>
        <v>2.3873241463784298</v>
      </c>
      <c r="Q73" s="2">
        <f t="shared" si="6"/>
        <v>90.909303494090608</v>
      </c>
      <c r="R73" s="2">
        <f t="shared" si="7"/>
        <v>2.170893484738992</v>
      </c>
      <c r="S73" s="2">
        <f t="shared" si="8"/>
        <v>82.667623898860811</v>
      </c>
      <c r="T73" s="2">
        <f t="shared" si="9"/>
        <v>8.2416795952297974</v>
      </c>
    </row>
    <row r="74" spans="1:20" x14ac:dyDescent="0.25">
      <c r="A74" s="14">
        <f t="shared" si="16"/>
        <v>0.60945512820512826</v>
      </c>
      <c r="B74" s="2">
        <f t="shared" si="11"/>
        <v>69</v>
      </c>
      <c r="C74" s="4">
        <f t="shared" si="12"/>
        <v>38.83</v>
      </c>
      <c r="D74" s="2">
        <v>11</v>
      </c>
      <c r="E74" s="2">
        <v>50.26548245743669</v>
      </c>
      <c r="F74" s="11">
        <f t="shared" si="0"/>
        <v>2.1883804675135607</v>
      </c>
      <c r="G74" s="2">
        <f t="shared" si="1"/>
        <v>84.974813553551556</v>
      </c>
      <c r="H74" s="2">
        <f t="shared" si="2"/>
        <v>2.1948471390664848</v>
      </c>
      <c r="I74" s="2">
        <f t="shared" si="3"/>
        <v>85.225914409951599</v>
      </c>
      <c r="J74" s="2">
        <f t="shared" si="4"/>
        <v>0.25110085640004343</v>
      </c>
      <c r="K74" s="15">
        <f t="shared" si="17"/>
        <v>0.45790598290598289</v>
      </c>
      <c r="L74" s="2">
        <f t="shared" si="14"/>
        <v>69</v>
      </c>
      <c r="M74" s="2">
        <f t="shared" si="15"/>
        <v>38.58</v>
      </c>
      <c r="N74" s="2">
        <v>11</v>
      </c>
      <c r="O74" s="2">
        <v>50.26548245743669</v>
      </c>
      <c r="P74" s="11">
        <f t="shared" si="5"/>
        <v>2.1883804675135607</v>
      </c>
      <c r="Q74" s="2">
        <f t="shared" si="6"/>
        <v>84.427718436673175</v>
      </c>
      <c r="R74" s="2">
        <f t="shared" si="7"/>
        <v>2.170893484738992</v>
      </c>
      <c r="S74" s="2">
        <f t="shared" si="8"/>
        <v>83.753070641230309</v>
      </c>
      <c r="T74" s="2">
        <f t="shared" si="9"/>
        <v>0.67464779544286557</v>
      </c>
    </row>
    <row r="75" spans="1:20" x14ac:dyDescent="0.25">
      <c r="A75" s="14">
        <f t="shared" si="16"/>
        <v>0.60956196581196587</v>
      </c>
      <c r="B75" s="2">
        <f t="shared" si="11"/>
        <v>70</v>
      </c>
      <c r="C75" s="4">
        <f t="shared" si="12"/>
        <v>39.33</v>
      </c>
      <c r="D75" s="2">
        <v>11.5</v>
      </c>
      <c r="E75" s="2">
        <v>50.26548245743669</v>
      </c>
      <c r="F75" s="11">
        <f t="shared" si="0"/>
        <v>2.2878523069459957</v>
      </c>
      <c r="G75" s="2">
        <f t="shared" si="1"/>
        <v>89.981231232186005</v>
      </c>
      <c r="H75" s="2">
        <f t="shared" si="2"/>
        <v>2.1948471390664848</v>
      </c>
      <c r="I75" s="2">
        <f t="shared" si="3"/>
        <v>86.323337979484847</v>
      </c>
      <c r="J75" s="2">
        <f t="shared" si="4"/>
        <v>3.6578932527011574</v>
      </c>
      <c r="K75" s="15">
        <f t="shared" si="17"/>
        <v>0.45803062678062678</v>
      </c>
      <c r="L75" s="2">
        <f t="shared" si="14"/>
        <v>70</v>
      </c>
      <c r="M75" s="2">
        <f t="shared" si="15"/>
        <v>39.08</v>
      </c>
      <c r="N75" s="2">
        <v>11.5</v>
      </c>
      <c r="O75" s="2">
        <v>50.26548245743669</v>
      </c>
      <c r="P75" s="11">
        <f t="shared" si="5"/>
        <v>2.2878523069459957</v>
      </c>
      <c r="Q75" s="2">
        <f t="shared" si="6"/>
        <v>89.40926815544951</v>
      </c>
      <c r="R75" s="2">
        <f t="shared" si="7"/>
        <v>2.170893484738992</v>
      </c>
      <c r="S75" s="2">
        <f t="shared" si="8"/>
        <v>84.838517383599807</v>
      </c>
      <c r="T75" s="2">
        <f t="shared" si="9"/>
        <v>4.5707507718497027</v>
      </c>
    </row>
    <row r="76" spans="1:20" x14ac:dyDescent="0.25">
      <c r="A76" s="14">
        <f t="shared" si="16"/>
        <v>0.60966880341880347</v>
      </c>
      <c r="B76" s="2">
        <f t="shared" si="11"/>
        <v>71</v>
      </c>
      <c r="C76" s="4">
        <f t="shared" si="12"/>
        <v>39.83</v>
      </c>
      <c r="D76" s="2">
        <v>13.5</v>
      </c>
      <c r="E76" s="2">
        <v>50.26548245743669</v>
      </c>
      <c r="F76" s="11">
        <f t="shared" si="0"/>
        <v>2.6857396646757339</v>
      </c>
      <c r="G76" s="2">
        <f t="shared" si="1"/>
        <v>106.97301084403448</v>
      </c>
      <c r="H76" s="2">
        <f t="shared" si="2"/>
        <v>2.1948471390664848</v>
      </c>
      <c r="I76" s="2">
        <f t="shared" si="3"/>
        <v>87.420761549018081</v>
      </c>
      <c r="J76" s="2">
        <f t="shared" si="4"/>
        <v>19.552249295016395</v>
      </c>
      <c r="K76" s="15">
        <f t="shared" si="17"/>
        <v>0.45815527065527062</v>
      </c>
      <c r="L76" s="2">
        <f t="shared" si="14"/>
        <v>71</v>
      </c>
      <c r="M76" s="2">
        <f t="shared" si="15"/>
        <v>39.58</v>
      </c>
      <c r="N76" s="2">
        <v>12</v>
      </c>
      <c r="O76" s="2">
        <v>50.26548245743669</v>
      </c>
      <c r="P76" s="11">
        <f t="shared" si="5"/>
        <v>2.3873241463784298</v>
      </c>
      <c r="Q76" s="2">
        <f t="shared" si="6"/>
        <v>94.490289713658242</v>
      </c>
      <c r="R76" s="2">
        <f t="shared" si="7"/>
        <v>2.170893484738992</v>
      </c>
      <c r="S76" s="2">
        <f t="shared" si="8"/>
        <v>85.923964125969306</v>
      </c>
      <c r="T76" s="2">
        <f t="shared" si="9"/>
        <v>8.5663255876889366</v>
      </c>
    </row>
    <row r="77" spans="1:20" x14ac:dyDescent="0.25">
      <c r="A77" s="14">
        <f t="shared" si="16"/>
        <v>0.60977564102564108</v>
      </c>
      <c r="B77" s="2">
        <f t="shared" si="11"/>
        <v>72</v>
      </c>
      <c r="C77" s="4">
        <f t="shared" si="12"/>
        <v>40.33</v>
      </c>
      <c r="D77" s="2">
        <v>13.5</v>
      </c>
      <c r="E77" s="2">
        <v>50.26548245743669</v>
      </c>
      <c r="F77" s="11">
        <f t="shared" si="0"/>
        <v>2.6857396646757339</v>
      </c>
      <c r="G77" s="2">
        <f t="shared" si="1"/>
        <v>108.31588067637234</v>
      </c>
      <c r="H77" s="2">
        <f t="shared" si="2"/>
        <v>2.1948471390664848</v>
      </c>
      <c r="I77" s="2">
        <f t="shared" si="3"/>
        <v>88.51818511855133</v>
      </c>
      <c r="J77" s="2">
        <f t="shared" si="4"/>
        <v>19.797695557821015</v>
      </c>
      <c r="K77" s="15">
        <f t="shared" si="17"/>
        <v>0.45827991452991451</v>
      </c>
      <c r="L77" s="2">
        <f t="shared" si="14"/>
        <v>72</v>
      </c>
      <c r="M77" s="2">
        <f t="shared" si="15"/>
        <v>40.08</v>
      </c>
      <c r="N77" s="2">
        <v>12.5</v>
      </c>
      <c r="O77" s="2">
        <v>50.26548245743669</v>
      </c>
      <c r="P77" s="11">
        <f t="shared" si="5"/>
        <v>2.4867959858108648</v>
      </c>
      <c r="Q77" s="2">
        <f t="shared" si="6"/>
        <v>99.670783111299457</v>
      </c>
      <c r="R77" s="2">
        <f t="shared" si="7"/>
        <v>2.170893484738992</v>
      </c>
      <c r="S77" s="2">
        <f t="shared" si="8"/>
        <v>87.00941086833879</v>
      </c>
      <c r="T77" s="2">
        <f t="shared" si="9"/>
        <v>12.661372242960667</v>
      </c>
    </row>
    <row r="78" spans="1:20" x14ac:dyDescent="0.25">
      <c r="A78" s="14">
        <f t="shared" si="16"/>
        <v>0.60988247863247869</v>
      </c>
      <c r="B78" s="2">
        <f t="shared" si="11"/>
        <v>73</v>
      </c>
      <c r="C78" s="4">
        <f t="shared" si="12"/>
        <v>40.83</v>
      </c>
      <c r="D78" s="2">
        <v>13</v>
      </c>
      <c r="E78" s="2">
        <v>50.26548245743669</v>
      </c>
      <c r="F78" s="11">
        <f t="shared" si="0"/>
        <v>2.5862678252432989</v>
      </c>
      <c r="G78" s="2">
        <f t="shared" si="1"/>
        <v>105.59731530468389</v>
      </c>
      <c r="H78" s="2">
        <f t="shared" si="2"/>
        <v>2.1948471390664848</v>
      </c>
      <c r="I78" s="2">
        <f t="shared" si="3"/>
        <v>89.615608688084563</v>
      </c>
      <c r="J78" s="2">
        <f t="shared" si="4"/>
        <v>15.981706616599325</v>
      </c>
      <c r="K78" s="15">
        <f t="shared" si="17"/>
        <v>0.4584045584045584</v>
      </c>
      <c r="L78" s="2">
        <f t="shared" si="14"/>
        <v>73</v>
      </c>
      <c r="M78" s="2">
        <f t="shared" si="15"/>
        <v>40.58</v>
      </c>
      <c r="N78" s="2">
        <v>12</v>
      </c>
      <c r="O78" s="2">
        <v>50.26548245743669</v>
      </c>
      <c r="P78" s="11">
        <f t="shared" si="5"/>
        <v>2.3873241463784298</v>
      </c>
      <c r="Q78" s="2">
        <f t="shared" si="6"/>
        <v>96.877613860036675</v>
      </c>
      <c r="R78" s="2">
        <f t="shared" si="7"/>
        <v>2.170893484738992</v>
      </c>
      <c r="S78" s="2">
        <f t="shared" si="8"/>
        <v>88.094857610708289</v>
      </c>
      <c r="T78" s="2">
        <f t="shared" si="9"/>
        <v>8.7827562493283864</v>
      </c>
    </row>
    <row r="79" spans="1:20" x14ac:dyDescent="0.25">
      <c r="A79" s="14">
        <f t="shared" si="16"/>
        <v>0.60998931623931629</v>
      </c>
      <c r="B79" s="2">
        <f t="shared" si="11"/>
        <v>74</v>
      </c>
      <c r="C79" s="4">
        <f t="shared" si="12"/>
        <v>41.33</v>
      </c>
      <c r="D79" s="2">
        <v>11</v>
      </c>
      <c r="E79" s="2">
        <v>50.26548245743669</v>
      </c>
      <c r="F79" s="11">
        <f t="shared" si="0"/>
        <v>2.1883804675135607</v>
      </c>
      <c r="G79" s="2">
        <f t="shared" si="1"/>
        <v>90.445764722335468</v>
      </c>
      <c r="H79" s="2">
        <f t="shared" si="2"/>
        <v>2.1948471390664848</v>
      </c>
      <c r="I79" s="2">
        <f t="shared" si="3"/>
        <v>90.713032257617812</v>
      </c>
      <c r="J79" s="2">
        <f t="shared" si="4"/>
        <v>0.26726753528234326</v>
      </c>
      <c r="K79" s="15">
        <f t="shared" si="17"/>
        <v>0.45852920227920224</v>
      </c>
      <c r="L79" s="2">
        <f t="shared" si="14"/>
        <v>74</v>
      </c>
      <c r="M79" s="2">
        <f t="shared" si="15"/>
        <v>41.08</v>
      </c>
      <c r="N79" s="2">
        <v>12.5</v>
      </c>
      <c r="O79" s="2">
        <v>50.26548245743669</v>
      </c>
      <c r="P79" s="11">
        <f t="shared" si="5"/>
        <v>2.4867959858108648</v>
      </c>
      <c r="Q79" s="2">
        <f t="shared" si="6"/>
        <v>102.15757909711033</v>
      </c>
      <c r="R79" s="2">
        <f t="shared" si="7"/>
        <v>2.170893484738992</v>
      </c>
      <c r="S79" s="2">
        <f t="shared" si="8"/>
        <v>89.180304353077787</v>
      </c>
      <c r="T79" s="2">
        <f t="shared" si="9"/>
        <v>12.977274744032542</v>
      </c>
    </row>
    <row r="80" spans="1:20" x14ac:dyDescent="0.25">
      <c r="A80" s="14">
        <f t="shared" si="16"/>
        <v>0.6100961538461539</v>
      </c>
      <c r="B80" s="2">
        <f t="shared" si="11"/>
        <v>75</v>
      </c>
      <c r="C80" s="4">
        <f t="shared" si="12"/>
        <v>41.83</v>
      </c>
      <c r="D80" s="2">
        <v>14</v>
      </c>
      <c r="E80" s="2">
        <v>50.26548245743669</v>
      </c>
      <c r="F80" s="11">
        <f t="shared" si="0"/>
        <v>2.7852115041081689</v>
      </c>
      <c r="G80" s="2">
        <f t="shared" si="1"/>
        <v>116.5053972168447</v>
      </c>
      <c r="H80" s="2">
        <f t="shared" si="2"/>
        <v>2.1948471390664848</v>
      </c>
      <c r="I80" s="2">
        <f t="shared" si="3"/>
        <v>91.81045582715106</v>
      </c>
      <c r="J80" s="2">
        <f t="shared" si="4"/>
        <v>24.694941389693639</v>
      </c>
      <c r="K80" s="15">
        <f t="shared" si="17"/>
        <v>0.45865384615384613</v>
      </c>
      <c r="L80" s="2">
        <f t="shared" si="14"/>
        <v>75</v>
      </c>
      <c r="M80" s="2">
        <f t="shared" si="15"/>
        <v>41.58</v>
      </c>
      <c r="N80" s="2">
        <v>12</v>
      </c>
      <c r="O80" s="2">
        <v>50.26548245743669</v>
      </c>
      <c r="P80" s="11">
        <f t="shared" si="5"/>
        <v>2.3873241463784298</v>
      </c>
      <c r="Q80" s="2">
        <f t="shared" si="6"/>
        <v>99.264938006415107</v>
      </c>
      <c r="R80" s="2">
        <f t="shared" si="7"/>
        <v>2.170893484738992</v>
      </c>
      <c r="S80" s="2">
        <f t="shared" si="8"/>
        <v>90.265751095447285</v>
      </c>
      <c r="T80" s="2">
        <f t="shared" si="9"/>
        <v>8.999186910967822</v>
      </c>
    </row>
    <row r="81" spans="1:20" x14ac:dyDescent="0.25">
      <c r="A81" s="14">
        <f t="shared" si="16"/>
        <v>0.61020299145299151</v>
      </c>
      <c r="B81" s="2">
        <f t="shared" si="11"/>
        <v>76</v>
      </c>
      <c r="C81" s="4">
        <f t="shared" si="12"/>
        <v>42.33</v>
      </c>
      <c r="D81" s="2">
        <v>12.5</v>
      </c>
      <c r="E81" s="2">
        <v>50.26548245743669</v>
      </c>
      <c r="F81" s="11">
        <f t="shared" si="0"/>
        <v>2.4867959858108648</v>
      </c>
      <c r="G81" s="2">
        <f t="shared" si="1"/>
        <v>105.26607407937391</v>
      </c>
      <c r="H81" s="2">
        <f t="shared" si="2"/>
        <v>2.1948471390664848</v>
      </c>
      <c r="I81" s="2">
        <f t="shared" si="3"/>
        <v>92.907879396684294</v>
      </c>
      <c r="J81" s="2">
        <f t="shared" si="4"/>
        <v>12.358194682689614</v>
      </c>
      <c r="K81" s="15">
        <f t="shared" si="17"/>
        <v>0.45877849002849003</v>
      </c>
      <c r="L81" s="2">
        <f t="shared" si="14"/>
        <v>76</v>
      </c>
      <c r="M81" s="2">
        <f t="shared" si="15"/>
        <v>42.08</v>
      </c>
      <c r="N81" s="2">
        <v>11.5</v>
      </c>
      <c r="O81" s="2">
        <v>50.26548245743669</v>
      </c>
      <c r="P81" s="11">
        <f t="shared" si="5"/>
        <v>2.2878523069459957</v>
      </c>
      <c r="Q81" s="2">
        <f t="shared" si="6"/>
        <v>96.272825076287489</v>
      </c>
      <c r="R81" s="2">
        <f t="shared" si="7"/>
        <v>2.170893484738992</v>
      </c>
      <c r="S81" s="2">
        <f t="shared" si="8"/>
        <v>91.351197837816784</v>
      </c>
      <c r="T81" s="2">
        <f t="shared" si="9"/>
        <v>4.9216272384707054</v>
      </c>
    </row>
    <row r="82" spans="1:20" x14ac:dyDescent="0.25">
      <c r="A82" s="14">
        <f t="shared" si="16"/>
        <v>0.61030982905982911</v>
      </c>
      <c r="B82" s="2">
        <f t="shared" si="11"/>
        <v>77</v>
      </c>
      <c r="C82" s="4">
        <f t="shared" si="12"/>
        <v>42.83</v>
      </c>
      <c r="D82" s="2">
        <v>12</v>
      </c>
      <c r="E82" s="2">
        <v>50.26548245743669</v>
      </c>
      <c r="F82" s="11">
        <f t="shared" si="0"/>
        <v>2.3873241463784298</v>
      </c>
      <c r="G82" s="2">
        <f t="shared" si="1"/>
        <v>102.24909318938815</v>
      </c>
      <c r="H82" s="2">
        <f t="shared" si="2"/>
        <v>2.1948471390664848</v>
      </c>
      <c r="I82" s="2">
        <f t="shared" si="3"/>
        <v>94.005302966217542</v>
      </c>
      <c r="J82" s="2">
        <f t="shared" si="4"/>
        <v>8.2437902231706062</v>
      </c>
      <c r="K82" s="15">
        <f t="shared" si="17"/>
        <v>0.45890313390313386</v>
      </c>
      <c r="L82" s="2">
        <f t="shared" si="14"/>
        <v>77</v>
      </c>
      <c r="M82" s="2">
        <f t="shared" si="15"/>
        <v>42.58</v>
      </c>
      <c r="N82" s="2">
        <v>10.5</v>
      </c>
      <c r="O82" s="2">
        <v>50.26548245743669</v>
      </c>
      <c r="P82" s="11">
        <f t="shared" si="5"/>
        <v>2.0889086280811267</v>
      </c>
      <c r="Q82" s="2">
        <f t="shared" si="6"/>
        <v>88.945729383694371</v>
      </c>
      <c r="R82" s="2">
        <f t="shared" si="7"/>
        <v>2.170893484738992</v>
      </c>
      <c r="S82" s="2">
        <f t="shared" si="8"/>
        <v>92.436644580186282</v>
      </c>
      <c r="T82" s="2">
        <f t="shared" si="9"/>
        <v>3.4909151964919118</v>
      </c>
    </row>
    <row r="83" spans="1:20" x14ac:dyDescent="0.25">
      <c r="A83" s="10">
        <v>0.61041666666666672</v>
      </c>
      <c r="B83" s="2">
        <f t="shared" si="11"/>
        <v>78</v>
      </c>
      <c r="C83" s="4">
        <f t="shared" si="12"/>
        <v>43.33</v>
      </c>
      <c r="D83" s="2">
        <v>12</v>
      </c>
      <c r="E83" s="2">
        <v>50.26548245743669</v>
      </c>
      <c r="F83" s="11">
        <f t="shared" si="0"/>
        <v>2.3873241463784298</v>
      </c>
      <c r="G83" s="2">
        <f t="shared" si="1"/>
        <v>103.44275526257736</v>
      </c>
      <c r="H83" s="2">
        <f t="shared" si="2"/>
        <v>2.1948471390664848</v>
      </c>
      <c r="I83" s="2">
        <f t="shared" si="3"/>
        <v>95.102726535750776</v>
      </c>
      <c r="J83" s="2">
        <f t="shared" si="4"/>
        <v>8.3400287268265885</v>
      </c>
      <c r="K83" s="12">
        <v>0.45902777777777776</v>
      </c>
      <c r="L83" s="2">
        <f t="shared" si="14"/>
        <v>78</v>
      </c>
      <c r="M83" s="2">
        <f t="shared" si="15"/>
        <v>43.08</v>
      </c>
      <c r="N83" s="2">
        <v>12</v>
      </c>
      <c r="O83" s="2">
        <v>50.26548245743669</v>
      </c>
      <c r="P83" s="11">
        <f t="shared" si="5"/>
        <v>2.3873241463784298</v>
      </c>
      <c r="Q83" s="2">
        <f t="shared" si="6"/>
        <v>102.84592422598276</v>
      </c>
      <c r="R83" s="2">
        <f t="shared" si="7"/>
        <v>2.170893484738992</v>
      </c>
      <c r="S83" s="2">
        <f t="shared" si="8"/>
        <v>93.522091322555767</v>
      </c>
      <c r="T83" s="2">
        <f t="shared" si="9"/>
        <v>9.3238329034269896</v>
      </c>
    </row>
    <row r="84" spans="1:20" x14ac:dyDescent="0.25">
      <c r="A84" s="14">
        <f t="shared" ref="A84:A121" si="18">IF(AND($A$83&lt;&gt;"",$A$122&lt;&gt;""), $A$83 + (B84 - $B$83) * (($A$122 - $A$83) / ($B$122 - $B$83)), "")</f>
        <v>0.6105591168091169</v>
      </c>
      <c r="B84" s="2">
        <f t="shared" si="11"/>
        <v>79</v>
      </c>
      <c r="C84" s="4">
        <f t="shared" si="12"/>
        <v>43.83</v>
      </c>
      <c r="D84" s="2">
        <v>12.5</v>
      </c>
      <c r="E84" s="2">
        <v>50.26548245743669</v>
      </c>
      <c r="F84" s="11">
        <f t="shared" si="0"/>
        <v>2.4867959858108648</v>
      </c>
      <c r="G84" s="2">
        <f t="shared" si="1"/>
        <v>108.99626805809019</v>
      </c>
      <c r="H84" s="2">
        <f t="shared" si="2"/>
        <v>2.1948471390664848</v>
      </c>
      <c r="I84" s="2">
        <f t="shared" si="3"/>
        <v>96.200150105284024</v>
      </c>
      <c r="J84" s="2">
        <f t="shared" si="4"/>
        <v>12.796117952806171</v>
      </c>
      <c r="K84" s="15">
        <f t="shared" ref="K84:K121" si="19">IF(AND($K$83&lt;&gt;"",$K$122&lt;&gt;""), $K$83 + (L84 - $L$83) * (($K$122 - $K$83) / ($L$122 - $L$83)), "")</f>
        <v>0.45913461538461536</v>
      </c>
      <c r="L84" s="2">
        <f t="shared" si="14"/>
        <v>79</v>
      </c>
      <c r="M84" s="2">
        <f t="shared" si="15"/>
        <v>43.58</v>
      </c>
      <c r="N84" s="2">
        <v>11</v>
      </c>
      <c r="O84" s="2">
        <v>50.26548245743669</v>
      </c>
      <c r="P84" s="11">
        <f t="shared" si="5"/>
        <v>2.1883804675135607</v>
      </c>
      <c r="Q84" s="2">
        <f t="shared" si="6"/>
        <v>95.369620774240971</v>
      </c>
      <c r="R84" s="2">
        <f t="shared" si="7"/>
        <v>2.170893484738992</v>
      </c>
      <c r="S84" s="2">
        <f t="shared" si="8"/>
        <v>94.607538064925265</v>
      </c>
      <c r="T84" s="2">
        <f t="shared" si="9"/>
        <v>0.7620827093157061</v>
      </c>
    </row>
    <row r="85" spans="1:20" x14ac:dyDescent="0.25">
      <c r="A85" s="14">
        <f t="shared" si="18"/>
        <v>0.61070156695156697</v>
      </c>
      <c r="B85" s="2">
        <f t="shared" si="11"/>
        <v>80</v>
      </c>
      <c r="C85" s="4">
        <f t="shared" si="12"/>
        <v>44.33</v>
      </c>
      <c r="D85" s="2">
        <v>11</v>
      </c>
      <c r="E85" s="2">
        <v>50.26548245743669</v>
      </c>
      <c r="F85" s="11">
        <f t="shared" si="0"/>
        <v>2.1883804675135607</v>
      </c>
      <c r="G85" s="2">
        <f t="shared" si="1"/>
        <v>97.010906124876144</v>
      </c>
      <c r="H85" s="2">
        <f t="shared" si="2"/>
        <v>2.1948471390664848</v>
      </c>
      <c r="I85" s="2">
        <f t="shared" si="3"/>
        <v>97.297573674817272</v>
      </c>
      <c r="J85" s="2">
        <f t="shared" si="4"/>
        <v>0.28666754994112864</v>
      </c>
      <c r="K85" s="15">
        <f t="shared" si="19"/>
        <v>0.45924145299145297</v>
      </c>
      <c r="L85" s="2">
        <f t="shared" si="14"/>
        <v>80</v>
      </c>
      <c r="M85" s="2">
        <f t="shared" si="15"/>
        <v>44.08</v>
      </c>
      <c r="N85" s="2">
        <v>12.5</v>
      </c>
      <c r="O85" s="2">
        <v>50.26548245743669</v>
      </c>
      <c r="P85" s="11">
        <f t="shared" si="5"/>
        <v>2.4867959858108648</v>
      </c>
      <c r="Q85" s="2">
        <f t="shared" si="6"/>
        <v>109.61796705454292</v>
      </c>
      <c r="R85" s="2">
        <f t="shared" si="7"/>
        <v>2.170893484738992</v>
      </c>
      <c r="S85" s="2">
        <f t="shared" si="8"/>
        <v>95.692984807294764</v>
      </c>
      <c r="T85" s="2">
        <f t="shared" si="9"/>
        <v>13.924982247248153</v>
      </c>
    </row>
    <row r="86" spans="1:20" x14ac:dyDescent="0.25">
      <c r="A86" s="14">
        <f t="shared" si="18"/>
        <v>0.61084401709401714</v>
      </c>
      <c r="B86" s="2">
        <f t="shared" si="11"/>
        <v>81</v>
      </c>
      <c r="C86" s="4">
        <f t="shared" si="12"/>
        <v>44.83</v>
      </c>
      <c r="D86" s="2">
        <v>12.5</v>
      </c>
      <c r="E86" s="2">
        <v>50.26548245743669</v>
      </c>
      <c r="F86" s="11">
        <f t="shared" si="0"/>
        <v>2.4867959858108648</v>
      </c>
      <c r="G86" s="2">
        <f t="shared" si="1"/>
        <v>111.48306404390107</v>
      </c>
      <c r="H86" s="2">
        <f t="shared" si="2"/>
        <v>2.1948471390664848</v>
      </c>
      <c r="I86" s="2">
        <f t="shared" si="3"/>
        <v>98.394997244350506</v>
      </c>
      <c r="J86" s="2">
        <f t="shared" si="4"/>
        <v>13.08806679955056</v>
      </c>
      <c r="K86" s="15">
        <f t="shared" si="19"/>
        <v>0.45934829059829058</v>
      </c>
      <c r="L86" s="2">
        <f t="shared" si="14"/>
        <v>81</v>
      </c>
      <c r="M86" s="2">
        <f t="shared" si="15"/>
        <v>44.58</v>
      </c>
      <c r="N86" s="2">
        <v>12</v>
      </c>
      <c r="O86" s="2">
        <v>50.26548245743669</v>
      </c>
      <c r="P86" s="11">
        <f t="shared" si="5"/>
        <v>2.3873241463784298</v>
      </c>
      <c r="Q86" s="2">
        <f t="shared" si="6"/>
        <v>106.42691044555039</v>
      </c>
      <c r="R86" s="2">
        <f t="shared" si="7"/>
        <v>2.170893484738992</v>
      </c>
      <c r="S86" s="2">
        <f t="shared" si="8"/>
        <v>96.778431549664262</v>
      </c>
      <c r="T86" s="2">
        <f t="shared" si="9"/>
        <v>9.6484788958861287</v>
      </c>
    </row>
    <row r="87" spans="1:20" x14ac:dyDescent="0.25">
      <c r="A87" s="14">
        <f t="shared" si="18"/>
        <v>0.61098646723646732</v>
      </c>
      <c r="B87" s="2">
        <f t="shared" si="11"/>
        <v>82</v>
      </c>
      <c r="C87" s="4">
        <f t="shared" si="12"/>
        <v>45.33</v>
      </c>
      <c r="D87" s="2">
        <v>12</v>
      </c>
      <c r="E87" s="2">
        <v>50.26548245743669</v>
      </c>
      <c r="F87" s="11">
        <f t="shared" si="0"/>
        <v>2.3873241463784298</v>
      </c>
      <c r="G87" s="2">
        <f t="shared" si="1"/>
        <v>108.21740355533422</v>
      </c>
      <c r="H87" s="2">
        <f t="shared" si="2"/>
        <v>2.1948471390664848</v>
      </c>
      <c r="I87" s="2">
        <f t="shared" si="3"/>
        <v>99.492420813883754</v>
      </c>
      <c r="J87" s="2">
        <f t="shared" si="4"/>
        <v>8.7249827414504608</v>
      </c>
      <c r="K87" s="15">
        <f t="shared" si="19"/>
        <v>0.45945512820512818</v>
      </c>
      <c r="L87" s="2">
        <f t="shared" si="14"/>
        <v>82</v>
      </c>
      <c r="M87" s="2">
        <f t="shared" si="15"/>
        <v>45.08</v>
      </c>
      <c r="N87" s="2">
        <v>11</v>
      </c>
      <c r="O87" s="2">
        <v>50.26548245743669</v>
      </c>
      <c r="P87" s="11">
        <f t="shared" si="5"/>
        <v>2.1883804675135607</v>
      </c>
      <c r="Q87" s="2">
        <f t="shared" si="6"/>
        <v>98.652191475511316</v>
      </c>
      <c r="R87" s="2">
        <f t="shared" si="7"/>
        <v>2.170893484738992</v>
      </c>
      <c r="S87" s="2">
        <f t="shared" si="8"/>
        <v>97.86387829203376</v>
      </c>
      <c r="T87" s="2">
        <f t="shared" si="9"/>
        <v>0.78831318347755541</v>
      </c>
    </row>
    <row r="88" spans="1:20" x14ac:dyDescent="0.25">
      <c r="A88" s="14">
        <f t="shared" si="18"/>
        <v>0.61112891737891739</v>
      </c>
      <c r="B88" s="2">
        <f t="shared" si="11"/>
        <v>83</v>
      </c>
      <c r="C88" s="4">
        <f t="shared" si="12"/>
        <v>45.83</v>
      </c>
      <c r="D88" s="2">
        <v>11</v>
      </c>
      <c r="E88" s="2">
        <v>50.26548245743669</v>
      </c>
      <c r="F88" s="11">
        <f t="shared" si="0"/>
        <v>2.1883804675135607</v>
      </c>
      <c r="G88" s="2">
        <f t="shared" si="1"/>
        <v>100.29347682614649</v>
      </c>
      <c r="H88" s="2">
        <f t="shared" si="2"/>
        <v>2.1948471390664848</v>
      </c>
      <c r="I88" s="2">
        <f t="shared" si="3"/>
        <v>100.58984438341699</v>
      </c>
      <c r="J88" s="2">
        <f t="shared" si="4"/>
        <v>0.29636755727050001</v>
      </c>
      <c r="K88" s="15">
        <f t="shared" si="19"/>
        <v>0.45956196581196579</v>
      </c>
      <c r="L88" s="2">
        <f t="shared" si="14"/>
        <v>83</v>
      </c>
      <c r="M88" s="2">
        <f t="shared" si="15"/>
        <v>45.58</v>
      </c>
      <c r="N88" s="2">
        <v>11</v>
      </c>
      <c r="O88" s="2">
        <v>50.26548245743669</v>
      </c>
      <c r="P88" s="11">
        <f t="shared" si="5"/>
        <v>2.1883804675135607</v>
      </c>
      <c r="Q88" s="2">
        <f t="shared" si="6"/>
        <v>99.746381709268093</v>
      </c>
      <c r="R88" s="2">
        <f t="shared" si="7"/>
        <v>2.170893484738992</v>
      </c>
      <c r="S88" s="2">
        <f t="shared" si="8"/>
        <v>98.949325034403259</v>
      </c>
      <c r="T88" s="2">
        <f t="shared" si="9"/>
        <v>0.79705667486483378</v>
      </c>
    </row>
    <row r="89" spans="1:20" x14ac:dyDescent="0.25">
      <c r="A89" s="14">
        <f t="shared" si="18"/>
        <v>0.61127136752136757</v>
      </c>
      <c r="B89" s="2">
        <f t="shared" si="11"/>
        <v>84</v>
      </c>
      <c r="C89" s="4">
        <f t="shared" si="12"/>
        <v>46.33</v>
      </c>
      <c r="D89" s="2">
        <v>12.5</v>
      </c>
      <c r="E89" s="2">
        <v>50.26548245743669</v>
      </c>
      <c r="F89" s="11">
        <f t="shared" si="0"/>
        <v>2.4867959858108648</v>
      </c>
      <c r="G89" s="2">
        <f t="shared" si="1"/>
        <v>115.21325802261737</v>
      </c>
      <c r="H89" s="2">
        <f t="shared" si="2"/>
        <v>2.1948471390664848</v>
      </c>
      <c r="I89" s="2">
        <f t="shared" si="3"/>
        <v>101.68726795295024</v>
      </c>
      <c r="J89" s="2">
        <f t="shared" si="4"/>
        <v>13.525990069667131</v>
      </c>
      <c r="K89" s="15">
        <f t="shared" si="19"/>
        <v>0.4596688034188034</v>
      </c>
      <c r="L89" s="2">
        <f t="shared" si="14"/>
        <v>84</v>
      </c>
      <c r="M89" s="2">
        <f t="shared" si="15"/>
        <v>46.08</v>
      </c>
      <c r="N89" s="2">
        <v>12</v>
      </c>
      <c r="O89" s="2">
        <v>50.26548245743669</v>
      </c>
      <c r="P89" s="11">
        <f t="shared" si="5"/>
        <v>2.3873241463784298</v>
      </c>
      <c r="Q89" s="2">
        <f t="shared" si="6"/>
        <v>110.00789666511804</v>
      </c>
      <c r="R89" s="2">
        <f t="shared" si="7"/>
        <v>2.170893484738992</v>
      </c>
      <c r="S89" s="2">
        <f t="shared" si="8"/>
        <v>100.03477177677274</v>
      </c>
      <c r="T89" s="2">
        <f t="shared" si="9"/>
        <v>9.9731248883452963</v>
      </c>
    </row>
    <row r="90" spans="1:20" x14ac:dyDescent="0.25">
      <c r="A90" s="14">
        <f t="shared" si="18"/>
        <v>0.61141381766381775</v>
      </c>
      <c r="B90" s="2">
        <f t="shared" si="11"/>
        <v>85</v>
      </c>
      <c r="C90" s="4">
        <f t="shared" si="12"/>
        <v>46.83</v>
      </c>
      <c r="D90" s="2">
        <v>12</v>
      </c>
      <c r="E90" s="2">
        <v>50.26548245743669</v>
      </c>
      <c r="F90" s="11">
        <f t="shared" si="0"/>
        <v>2.3873241463784298</v>
      </c>
      <c r="G90" s="2">
        <f t="shared" si="1"/>
        <v>111.79838977490186</v>
      </c>
      <c r="H90" s="2">
        <f t="shared" si="2"/>
        <v>2.1948471390664848</v>
      </c>
      <c r="I90" s="2">
        <f t="shared" si="3"/>
        <v>102.78469152248348</v>
      </c>
      <c r="J90" s="2">
        <f t="shared" si="4"/>
        <v>9.0136982524183793</v>
      </c>
      <c r="K90" s="15">
        <f t="shared" si="19"/>
        <v>0.459775641025641</v>
      </c>
      <c r="L90" s="2">
        <f t="shared" si="14"/>
        <v>85</v>
      </c>
      <c r="M90" s="2">
        <f t="shared" si="15"/>
        <v>46.58</v>
      </c>
      <c r="N90" s="2">
        <v>12</v>
      </c>
      <c r="O90" s="2">
        <v>50.26548245743669</v>
      </c>
      <c r="P90" s="11">
        <f t="shared" si="5"/>
        <v>2.3873241463784298</v>
      </c>
      <c r="Q90" s="2">
        <f t="shared" si="6"/>
        <v>111.20155873830726</v>
      </c>
      <c r="R90" s="2">
        <f t="shared" si="7"/>
        <v>2.170893484738992</v>
      </c>
      <c r="S90" s="2">
        <f t="shared" si="8"/>
        <v>101.12021851914224</v>
      </c>
      <c r="T90" s="2">
        <f t="shared" si="9"/>
        <v>10.081340219165014</v>
      </c>
    </row>
    <row r="91" spans="1:20" x14ac:dyDescent="0.25">
      <c r="A91" s="14">
        <f t="shared" si="18"/>
        <v>0.61155626780626782</v>
      </c>
      <c r="B91" s="2">
        <f t="shared" si="11"/>
        <v>86</v>
      </c>
      <c r="C91" s="4">
        <f t="shared" si="12"/>
        <v>47.33</v>
      </c>
      <c r="D91" s="2">
        <v>12</v>
      </c>
      <c r="E91" s="2">
        <v>50.26548245743669</v>
      </c>
      <c r="F91" s="11">
        <f t="shared" si="0"/>
        <v>2.3873241463784298</v>
      </c>
      <c r="G91" s="2">
        <f t="shared" si="1"/>
        <v>112.99205184809108</v>
      </c>
      <c r="H91" s="2">
        <f t="shared" si="2"/>
        <v>2.1948471390664848</v>
      </c>
      <c r="I91" s="2">
        <f t="shared" si="3"/>
        <v>103.88211509201672</v>
      </c>
      <c r="J91" s="2">
        <f t="shared" si="4"/>
        <v>9.1099367560743616</v>
      </c>
      <c r="K91" s="15">
        <f t="shared" si="19"/>
        <v>0.45988247863247861</v>
      </c>
      <c r="L91" s="2">
        <f t="shared" si="14"/>
        <v>86</v>
      </c>
      <c r="M91" s="2">
        <f t="shared" si="15"/>
        <v>47.08</v>
      </c>
      <c r="N91" s="2">
        <v>12</v>
      </c>
      <c r="O91" s="2">
        <v>50.26548245743669</v>
      </c>
      <c r="P91" s="11">
        <f t="shared" si="5"/>
        <v>2.3873241463784298</v>
      </c>
      <c r="Q91" s="2">
        <f t="shared" si="6"/>
        <v>112.39522081149647</v>
      </c>
      <c r="R91" s="2">
        <f t="shared" si="7"/>
        <v>2.170893484738992</v>
      </c>
      <c r="S91" s="2">
        <f t="shared" si="8"/>
        <v>102.20566526151174</v>
      </c>
      <c r="T91" s="2">
        <f t="shared" si="9"/>
        <v>10.189555549984732</v>
      </c>
    </row>
    <row r="92" spans="1:20" x14ac:dyDescent="0.25">
      <c r="A92" s="14">
        <f t="shared" si="18"/>
        <v>0.611698717948718</v>
      </c>
      <c r="B92" s="2">
        <f t="shared" si="11"/>
        <v>87</v>
      </c>
      <c r="C92" s="4">
        <f t="shared" si="12"/>
        <v>47.83</v>
      </c>
      <c r="D92" s="2">
        <v>12</v>
      </c>
      <c r="E92" s="2">
        <v>50.26548245743669</v>
      </c>
      <c r="F92" s="11">
        <f t="shared" si="0"/>
        <v>2.3873241463784298</v>
      </c>
      <c r="G92" s="2">
        <f t="shared" si="1"/>
        <v>114.1857139212803</v>
      </c>
      <c r="H92" s="2">
        <f t="shared" si="2"/>
        <v>2.1948471390664848</v>
      </c>
      <c r="I92" s="2">
        <f t="shared" si="3"/>
        <v>104.97953866154997</v>
      </c>
      <c r="J92" s="2">
        <f t="shared" si="4"/>
        <v>9.2061752597303297</v>
      </c>
      <c r="K92" s="15">
        <f t="shared" si="19"/>
        <v>0.45998931623931621</v>
      </c>
      <c r="L92" s="2">
        <f t="shared" si="14"/>
        <v>87</v>
      </c>
      <c r="M92" s="2">
        <f t="shared" si="15"/>
        <v>47.58</v>
      </c>
      <c r="N92" s="2">
        <v>11.5</v>
      </c>
      <c r="O92" s="2">
        <v>50.26548245743669</v>
      </c>
      <c r="P92" s="11">
        <f t="shared" si="5"/>
        <v>2.2878523069459957</v>
      </c>
      <c r="Q92" s="2">
        <f t="shared" si="6"/>
        <v>108.85601276449047</v>
      </c>
      <c r="R92" s="2">
        <f t="shared" si="7"/>
        <v>2.170893484738992</v>
      </c>
      <c r="S92" s="2">
        <f t="shared" si="8"/>
        <v>103.29111200388124</v>
      </c>
      <c r="T92" s="2">
        <f t="shared" si="9"/>
        <v>5.564900760609234</v>
      </c>
    </row>
    <row r="93" spans="1:20" x14ac:dyDescent="0.25">
      <c r="A93" s="14">
        <f t="shared" si="18"/>
        <v>0.61184116809116817</v>
      </c>
      <c r="B93" s="2">
        <f t="shared" si="11"/>
        <v>88</v>
      </c>
      <c r="C93" s="4">
        <f t="shared" si="12"/>
        <v>48.33</v>
      </c>
      <c r="D93" s="2">
        <v>11</v>
      </c>
      <c r="E93" s="2">
        <v>50.26548245743669</v>
      </c>
      <c r="F93" s="11">
        <f t="shared" si="0"/>
        <v>2.1883804675135607</v>
      </c>
      <c r="G93" s="2">
        <f t="shared" si="1"/>
        <v>105.76442799493039</v>
      </c>
      <c r="H93" s="2">
        <f t="shared" si="2"/>
        <v>2.1948471390664848</v>
      </c>
      <c r="I93" s="2">
        <f t="shared" si="3"/>
        <v>106.0769622310832</v>
      </c>
      <c r="J93" s="2">
        <f t="shared" si="4"/>
        <v>0.31253423615281406</v>
      </c>
      <c r="K93" s="15">
        <f t="shared" si="19"/>
        <v>0.46009615384615382</v>
      </c>
      <c r="L93" s="2">
        <f t="shared" si="14"/>
        <v>88</v>
      </c>
      <c r="M93" s="2">
        <f t="shared" si="15"/>
        <v>48.08</v>
      </c>
      <c r="N93" s="2">
        <v>10.5</v>
      </c>
      <c r="O93" s="2">
        <v>50.26548245743669</v>
      </c>
      <c r="P93" s="11">
        <f t="shared" si="5"/>
        <v>2.0889086280811267</v>
      </c>
      <c r="Q93" s="2">
        <f t="shared" si="6"/>
        <v>100.43472683814056</v>
      </c>
      <c r="R93" s="2">
        <f t="shared" si="7"/>
        <v>2.170893484738992</v>
      </c>
      <c r="S93" s="2">
        <f t="shared" si="8"/>
        <v>104.37655874625074</v>
      </c>
      <c r="T93" s="2">
        <f t="shared" si="9"/>
        <v>3.9418319081101743</v>
      </c>
    </row>
    <row r="94" spans="1:20" x14ac:dyDescent="0.25">
      <c r="A94" s="14">
        <f t="shared" si="18"/>
        <v>0.61198361823361824</v>
      </c>
      <c r="B94" s="2">
        <f t="shared" si="11"/>
        <v>89</v>
      </c>
      <c r="C94" s="4">
        <f t="shared" si="12"/>
        <v>48.83</v>
      </c>
      <c r="D94" s="2">
        <v>11</v>
      </c>
      <c r="E94" s="2">
        <v>50.26548245743669</v>
      </c>
      <c r="F94" s="11">
        <f t="shared" si="0"/>
        <v>2.1883804675135607</v>
      </c>
      <c r="G94" s="2">
        <f t="shared" si="1"/>
        <v>106.85861822868716</v>
      </c>
      <c r="H94" s="2">
        <f t="shared" si="2"/>
        <v>2.1948471390664848</v>
      </c>
      <c r="I94" s="2">
        <f t="shared" si="3"/>
        <v>107.17438580061645</v>
      </c>
      <c r="J94" s="2">
        <f t="shared" si="4"/>
        <v>0.3157675719292854</v>
      </c>
      <c r="K94" s="15">
        <f t="shared" si="19"/>
        <v>0.46020299145299143</v>
      </c>
      <c r="L94" s="2">
        <f t="shared" si="14"/>
        <v>89</v>
      </c>
      <c r="M94" s="2">
        <f t="shared" si="15"/>
        <v>48.58</v>
      </c>
      <c r="N94" s="2">
        <v>11.5</v>
      </c>
      <c r="O94" s="2">
        <v>50.26548245743669</v>
      </c>
      <c r="P94" s="11">
        <f t="shared" si="5"/>
        <v>2.2878523069459957</v>
      </c>
      <c r="Q94" s="2">
        <f t="shared" si="6"/>
        <v>111.14386507143647</v>
      </c>
      <c r="R94" s="2">
        <f t="shared" si="7"/>
        <v>2.170893484738992</v>
      </c>
      <c r="S94" s="2">
        <f t="shared" si="8"/>
        <v>105.46200548862024</v>
      </c>
      <c r="T94" s="2">
        <f t="shared" si="9"/>
        <v>5.6818595828162302</v>
      </c>
    </row>
    <row r="95" spans="1:20" x14ac:dyDescent="0.25">
      <c r="A95" s="14">
        <f t="shared" si="18"/>
        <v>0.61212606837606842</v>
      </c>
      <c r="B95" s="2">
        <f t="shared" si="11"/>
        <v>90</v>
      </c>
      <c r="C95" s="4">
        <f t="shared" si="12"/>
        <v>49.33</v>
      </c>
      <c r="D95" s="2">
        <v>12</v>
      </c>
      <c r="E95" s="2">
        <v>50.26548245743669</v>
      </c>
      <c r="F95" s="11">
        <f t="shared" si="0"/>
        <v>2.3873241463784298</v>
      </c>
      <c r="G95" s="2">
        <f t="shared" si="1"/>
        <v>117.76670014084795</v>
      </c>
      <c r="H95" s="2">
        <f t="shared" si="2"/>
        <v>2.1948471390664848</v>
      </c>
      <c r="I95" s="2">
        <f t="shared" si="3"/>
        <v>108.27180937014968</v>
      </c>
      <c r="J95" s="2">
        <f t="shared" si="4"/>
        <v>9.4948907706982624</v>
      </c>
      <c r="K95" s="15">
        <f t="shared" si="19"/>
        <v>0.46030982905982903</v>
      </c>
      <c r="L95" s="2">
        <f t="shared" si="14"/>
        <v>90</v>
      </c>
      <c r="M95" s="2">
        <f t="shared" si="15"/>
        <v>49.08</v>
      </c>
      <c r="N95" s="2">
        <v>9.5</v>
      </c>
      <c r="O95" s="2">
        <v>50.26548245743669</v>
      </c>
      <c r="P95" s="11">
        <f t="shared" si="5"/>
        <v>1.8899649492162571</v>
      </c>
      <c r="Q95" s="2">
        <f t="shared" si="6"/>
        <v>92.759479707533899</v>
      </c>
      <c r="R95" s="2">
        <f t="shared" si="7"/>
        <v>2.170893484738992</v>
      </c>
      <c r="S95" s="2">
        <f t="shared" si="8"/>
        <v>106.54745223098972</v>
      </c>
      <c r="T95" s="2">
        <f t="shared" si="9"/>
        <v>13.787972523455821</v>
      </c>
    </row>
    <row r="96" spans="1:20" x14ac:dyDescent="0.25">
      <c r="A96" s="14">
        <f t="shared" si="18"/>
        <v>0.6122685185185186</v>
      </c>
      <c r="B96" s="2">
        <f t="shared" si="11"/>
        <v>91</v>
      </c>
      <c r="C96" s="4">
        <f t="shared" si="12"/>
        <v>49.83</v>
      </c>
      <c r="D96" s="2">
        <v>11</v>
      </c>
      <c r="E96" s="2">
        <v>50.26548245743669</v>
      </c>
      <c r="F96" s="11">
        <f t="shared" si="0"/>
        <v>2.1883804675135607</v>
      </c>
      <c r="G96" s="2">
        <f t="shared" si="1"/>
        <v>109.04699869620073</v>
      </c>
      <c r="H96" s="2">
        <f t="shared" si="2"/>
        <v>2.1948471390664848</v>
      </c>
      <c r="I96" s="2">
        <f t="shared" si="3"/>
        <v>109.36923293968293</v>
      </c>
      <c r="J96" s="2">
        <f t="shared" si="4"/>
        <v>0.32223424348219964</v>
      </c>
      <c r="K96" s="15">
        <f t="shared" si="19"/>
        <v>0.46041666666666664</v>
      </c>
      <c r="L96" s="2">
        <f t="shared" si="14"/>
        <v>91</v>
      </c>
      <c r="M96" s="2">
        <f t="shared" si="15"/>
        <v>49.58</v>
      </c>
      <c r="N96" s="2">
        <v>11</v>
      </c>
      <c r="O96" s="2">
        <v>50.26548245743669</v>
      </c>
      <c r="P96" s="11">
        <f t="shared" si="5"/>
        <v>2.1883804675135607</v>
      </c>
      <c r="Q96" s="2">
        <f t="shared" si="6"/>
        <v>108.49990357932234</v>
      </c>
      <c r="R96" s="2">
        <f t="shared" si="7"/>
        <v>2.170893484738992</v>
      </c>
      <c r="S96" s="2">
        <f t="shared" si="8"/>
        <v>107.63289897335922</v>
      </c>
      <c r="T96" s="2">
        <f t="shared" si="9"/>
        <v>0.86700460596311757</v>
      </c>
    </row>
    <row r="97" spans="1:20" x14ac:dyDescent="0.25">
      <c r="A97" s="14">
        <f t="shared" si="18"/>
        <v>0.61241096866096867</v>
      </c>
      <c r="B97" s="2">
        <f t="shared" si="11"/>
        <v>92</v>
      </c>
      <c r="C97" s="4">
        <f t="shared" si="12"/>
        <v>50.33</v>
      </c>
      <c r="D97" s="2">
        <v>12.5</v>
      </c>
      <c r="E97" s="2">
        <v>50.26548245743669</v>
      </c>
      <c r="F97" s="11">
        <f t="shared" si="0"/>
        <v>2.4867959858108648</v>
      </c>
      <c r="G97" s="2">
        <f t="shared" si="1"/>
        <v>125.16044196586083</v>
      </c>
      <c r="H97" s="2">
        <f t="shared" si="2"/>
        <v>2.1948471390664848</v>
      </c>
      <c r="I97" s="2">
        <f t="shared" si="3"/>
        <v>110.46665650921618</v>
      </c>
      <c r="J97" s="2">
        <f t="shared" si="4"/>
        <v>14.693785456644648</v>
      </c>
      <c r="K97" s="15">
        <f t="shared" si="19"/>
        <v>0.46052350427350425</v>
      </c>
      <c r="L97" s="2">
        <f t="shared" si="14"/>
        <v>92</v>
      </c>
      <c r="M97" s="2">
        <f t="shared" si="15"/>
        <v>50.08</v>
      </c>
      <c r="N97" s="2">
        <v>11</v>
      </c>
      <c r="O97" s="2">
        <v>50.26548245743669</v>
      </c>
      <c r="P97" s="11">
        <f t="shared" si="5"/>
        <v>2.1883804675135607</v>
      </c>
      <c r="Q97" s="2">
        <f t="shared" si="6"/>
        <v>109.59409381307911</v>
      </c>
      <c r="R97" s="2">
        <f t="shared" si="7"/>
        <v>2.170893484738992</v>
      </c>
      <c r="S97" s="2">
        <f t="shared" si="8"/>
        <v>108.71834571572872</v>
      </c>
      <c r="T97" s="2">
        <f t="shared" si="9"/>
        <v>0.87574809735039594</v>
      </c>
    </row>
    <row r="98" spans="1:20" x14ac:dyDescent="0.25">
      <c r="A98" s="14">
        <f t="shared" si="18"/>
        <v>0.61255341880341885</v>
      </c>
      <c r="B98" s="2">
        <f t="shared" si="11"/>
        <v>93</v>
      </c>
      <c r="C98" s="4">
        <f t="shared" si="12"/>
        <v>50.83</v>
      </c>
      <c r="D98" s="2">
        <v>12.5</v>
      </c>
      <c r="E98" s="2">
        <v>50.26548245743669</v>
      </c>
      <c r="F98" s="11">
        <f t="shared" si="0"/>
        <v>2.4867959858108648</v>
      </c>
      <c r="G98" s="2">
        <f t="shared" si="1"/>
        <v>126.40383995876626</v>
      </c>
      <c r="H98" s="2">
        <f t="shared" si="2"/>
        <v>2.1948471390664848</v>
      </c>
      <c r="I98" s="2">
        <f t="shared" si="3"/>
        <v>111.56408007874941</v>
      </c>
      <c r="J98" s="2">
        <f t="shared" si="4"/>
        <v>14.839759880016842</v>
      </c>
      <c r="K98" s="15">
        <f t="shared" si="19"/>
        <v>0.46063034188034185</v>
      </c>
      <c r="L98" s="2">
        <f t="shared" si="14"/>
        <v>93</v>
      </c>
      <c r="M98" s="2">
        <f t="shared" si="15"/>
        <v>50.58</v>
      </c>
      <c r="N98" s="2">
        <v>13</v>
      </c>
      <c r="O98" s="2">
        <v>50.26548245743669</v>
      </c>
      <c r="P98" s="11">
        <f t="shared" si="5"/>
        <v>2.5862678252432989</v>
      </c>
      <c r="Q98" s="2">
        <f t="shared" si="6"/>
        <v>130.81342660080605</v>
      </c>
      <c r="R98" s="2">
        <f t="shared" si="7"/>
        <v>2.170893484738992</v>
      </c>
      <c r="S98" s="2">
        <f t="shared" si="8"/>
        <v>109.80379245809821</v>
      </c>
      <c r="T98" s="2">
        <f t="shared" si="9"/>
        <v>21.009634142707839</v>
      </c>
    </row>
    <row r="99" spans="1:20" x14ac:dyDescent="0.25">
      <c r="A99" s="14">
        <f t="shared" si="18"/>
        <v>0.61269586894586903</v>
      </c>
      <c r="B99" s="2">
        <f t="shared" si="11"/>
        <v>94</v>
      </c>
      <c r="C99" s="4">
        <f t="shared" si="12"/>
        <v>51.33</v>
      </c>
      <c r="D99" s="2">
        <v>12</v>
      </c>
      <c r="E99" s="2">
        <v>50.26548245743669</v>
      </c>
      <c r="F99" s="11">
        <f t="shared" si="0"/>
        <v>2.3873241463784298</v>
      </c>
      <c r="G99" s="2">
        <f t="shared" si="1"/>
        <v>122.5413484336048</v>
      </c>
      <c r="H99" s="2">
        <f t="shared" si="2"/>
        <v>2.1948471390664848</v>
      </c>
      <c r="I99" s="2">
        <f t="shared" si="3"/>
        <v>112.66150364828266</v>
      </c>
      <c r="J99" s="2">
        <f t="shared" si="4"/>
        <v>9.8798447853221347</v>
      </c>
      <c r="K99" s="15">
        <f t="shared" si="19"/>
        <v>0.46073717948717946</v>
      </c>
      <c r="L99" s="2">
        <f t="shared" si="14"/>
        <v>94</v>
      </c>
      <c r="M99" s="2">
        <f t="shared" si="15"/>
        <v>51.08</v>
      </c>
      <c r="N99" s="2">
        <v>12</v>
      </c>
      <c r="O99" s="2">
        <v>50.26548245743669</v>
      </c>
      <c r="P99" s="11">
        <f t="shared" si="5"/>
        <v>2.3873241463784298</v>
      </c>
      <c r="Q99" s="2">
        <f t="shared" si="6"/>
        <v>121.94451739701019</v>
      </c>
      <c r="R99" s="2">
        <f t="shared" si="7"/>
        <v>2.170893484738992</v>
      </c>
      <c r="S99" s="2">
        <f t="shared" si="8"/>
        <v>110.88923920046771</v>
      </c>
      <c r="T99" s="2">
        <f t="shared" si="9"/>
        <v>11.055278196542474</v>
      </c>
    </row>
    <row r="100" spans="1:20" x14ac:dyDescent="0.25">
      <c r="A100" s="14">
        <f t="shared" si="18"/>
        <v>0.61283831908831909</v>
      </c>
      <c r="B100" s="2">
        <f t="shared" si="11"/>
        <v>95</v>
      </c>
      <c r="C100" s="4">
        <f t="shared" si="12"/>
        <v>51.83</v>
      </c>
      <c r="D100" s="2">
        <v>12</v>
      </c>
      <c r="E100" s="2">
        <v>50.26548245743669</v>
      </c>
      <c r="F100" s="11">
        <f t="shared" si="0"/>
        <v>2.3873241463784298</v>
      </c>
      <c r="G100" s="2">
        <f t="shared" si="1"/>
        <v>123.73501050679401</v>
      </c>
      <c r="H100" s="2">
        <f t="shared" si="2"/>
        <v>2.1948471390664848</v>
      </c>
      <c r="I100" s="2">
        <f t="shared" si="3"/>
        <v>113.7589272178159</v>
      </c>
      <c r="J100" s="2">
        <f t="shared" si="4"/>
        <v>9.976083288978117</v>
      </c>
      <c r="K100" s="15">
        <f t="shared" si="19"/>
        <v>0.46084401709401707</v>
      </c>
      <c r="L100" s="2">
        <f t="shared" si="14"/>
        <v>95</v>
      </c>
      <c r="M100" s="2">
        <f t="shared" si="15"/>
        <v>51.58</v>
      </c>
      <c r="N100" s="2">
        <v>12.5</v>
      </c>
      <c r="O100" s="2">
        <v>50.26548245743669</v>
      </c>
      <c r="P100" s="11">
        <f t="shared" si="5"/>
        <v>2.4867959858108648</v>
      </c>
      <c r="Q100" s="2">
        <f t="shared" si="6"/>
        <v>128.26893694812441</v>
      </c>
      <c r="R100" s="2">
        <f t="shared" si="7"/>
        <v>2.170893484738992</v>
      </c>
      <c r="S100" s="2">
        <f t="shared" si="8"/>
        <v>111.9746859428372</v>
      </c>
      <c r="T100" s="2">
        <f t="shared" si="9"/>
        <v>16.294251005287208</v>
      </c>
    </row>
    <row r="101" spans="1:20" x14ac:dyDescent="0.25">
      <c r="A101" s="14">
        <f t="shared" si="18"/>
        <v>0.61298076923076927</v>
      </c>
      <c r="B101" s="2">
        <f t="shared" si="11"/>
        <v>96</v>
      </c>
      <c r="C101" s="4">
        <f t="shared" si="12"/>
        <v>52.33</v>
      </c>
      <c r="D101" s="2">
        <v>10.5</v>
      </c>
      <c r="E101" s="2">
        <v>50.26548245743669</v>
      </c>
      <c r="F101" s="11">
        <f t="shared" si="0"/>
        <v>2.0889086280811267</v>
      </c>
      <c r="G101" s="2">
        <f t="shared" si="1"/>
        <v>109.31258850748536</v>
      </c>
      <c r="H101" s="2">
        <f t="shared" si="2"/>
        <v>2.1948471390664848</v>
      </c>
      <c r="I101" s="2">
        <f t="shared" si="3"/>
        <v>114.85635078734914</v>
      </c>
      <c r="J101" s="2">
        <f t="shared" si="4"/>
        <v>5.5437622798637847</v>
      </c>
      <c r="K101" s="15">
        <f t="shared" si="19"/>
        <v>0.46095085470085467</v>
      </c>
      <c r="L101" s="2">
        <f t="shared" si="14"/>
        <v>96</v>
      </c>
      <c r="M101" s="2">
        <f t="shared" si="15"/>
        <v>52.08</v>
      </c>
      <c r="N101" s="2">
        <v>11</v>
      </c>
      <c r="O101" s="2">
        <v>50.26548245743669</v>
      </c>
      <c r="P101" s="11">
        <f t="shared" si="5"/>
        <v>2.1883804675135607</v>
      </c>
      <c r="Q101" s="2">
        <f t="shared" si="6"/>
        <v>113.97085474810623</v>
      </c>
      <c r="R101" s="2">
        <f t="shared" si="7"/>
        <v>2.170893484738992</v>
      </c>
      <c r="S101" s="2">
        <f t="shared" si="8"/>
        <v>113.0601326852067</v>
      </c>
      <c r="T101" s="2">
        <f t="shared" si="9"/>
        <v>0.91072206289953783</v>
      </c>
    </row>
    <row r="102" spans="1:20" x14ac:dyDescent="0.25">
      <c r="A102" s="14">
        <f t="shared" si="18"/>
        <v>0.61312321937321945</v>
      </c>
      <c r="B102" s="2">
        <f t="shared" si="11"/>
        <v>97</v>
      </c>
      <c r="C102" s="4">
        <f t="shared" si="12"/>
        <v>52.83</v>
      </c>
      <c r="D102" s="2">
        <v>10.5</v>
      </c>
      <c r="E102" s="2">
        <v>50.26548245743669</v>
      </c>
      <c r="F102" s="11">
        <f t="shared" si="0"/>
        <v>2.0889086280811267</v>
      </c>
      <c r="G102" s="2">
        <f t="shared" si="1"/>
        <v>110.35704282152592</v>
      </c>
      <c r="H102" s="2">
        <f t="shared" si="2"/>
        <v>2.1948471390664848</v>
      </c>
      <c r="I102" s="2">
        <f t="shared" si="3"/>
        <v>115.95377435688239</v>
      </c>
      <c r="J102" s="2">
        <f t="shared" si="4"/>
        <v>5.5967315353564686</v>
      </c>
      <c r="K102" s="15">
        <f t="shared" si="19"/>
        <v>0.46105769230769228</v>
      </c>
      <c r="L102" s="2">
        <f t="shared" si="14"/>
        <v>97</v>
      </c>
      <c r="M102" s="2">
        <f t="shared" si="15"/>
        <v>52.58</v>
      </c>
      <c r="N102" s="2">
        <v>13.5</v>
      </c>
      <c r="O102" s="2">
        <v>50.26548245743669</v>
      </c>
      <c r="P102" s="11">
        <f t="shared" si="5"/>
        <v>2.6857396646757339</v>
      </c>
      <c r="Q102" s="2">
        <f t="shared" si="6"/>
        <v>141.21619156865009</v>
      </c>
      <c r="R102" s="2">
        <f t="shared" si="7"/>
        <v>2.170893484738992</v>
      </c>
      <c r="S102" s="2">
        <f t="shared" si="8"/>
        <v>114.14557942757619</v>
      </c>
      <c r="T102" s="2">
        <f t="shared" si="9"/>
        <v>27.070612141073894</v>
      </c>
    </row>
    <row r="103" spans="1:20" x14ac:dyDescent="0.25">
      <c r="A103" s="14">
        <f t="shared" si="18"/>
        <v>0.61326566951566952</v>
      </c>
      <c r="B103" s="2">
        <f t="shared" si="11"/>
        <v>98</v>
      </c>
      <c r="C103" s="4">
        <f t="shared" si="12"/>
        <v>53.33</v>
      </c>
      <c r="D103" s="2">
        <v>10</v>
      </c>
      <c r="E103" s="2">
        <v>50.26548245743669</v>
      </c>
      <c r="F103" s="11">
        <f t="shared" si="0"/>
        <v>1.9894367886486919</v>
      </c>
      <c r="G103" s="2">
        <f t="shared" si="1"/>
        <v>106.09666393863473</v>
      </c>
      <c r="H103" s="2">
        <f t="shared" si="2"/>
        <v>2.1948471390664848</v>
      </c>
      <c r="I103" s="2">
        <f t="shared" si="3"/>
        <v>117.05119792641563</v>
      </c>
      <c r="J103" s="2">
        <f t="shared" si="4"/>
        <v>10.954533987780891</v>
      </c>
      <c r="K103" s="15">
        <f t="shared" si="19"/>
        <v>0.46116452991452994</v>
      </c>
      <c r="L103" s="2">
        <f t="shared" si="14"/>
        <v>98</v>
      </c>
      <c r="M103" s="2">
        <f t="shared" si="15"/>
        <v>53.08</v>
      </c>
      <c r="N103" s="2">
        <v>10</v>
      </c>
      <c r="O103" s="2">
        <v>50.26548245743669</v>
      </c>
      <c r="P103" s="11">
        <f t="shared" si="5"/>
        <v>1.9894367886486919</v>
      </c>
      <c r="Q103" s="2">
        <f t="shared" si="6"/>
        <v>105.59930474147257</v>
      </c>
      <c r="R103" s="2">
        <f t="shared" si="7"/>
        <v>2.170893484738992</v>
      </c>
      <c r="S103" s="2">
        <f t="shared" si="8"/>
        <v>115.23102616994569</v>
      </c>
      <c r="T103" s="2">
        <f t="shared" si="9"/>
        <v>9.6317214284731278</v>
      </c>
    </row>
    <row r="104" spans="1:20" x14ac:dyDescent="0.25">
      <c r="A104" s="14">
        <f t="shared" si="18"/>
        <v>0.6134081196581197</v>
      </c>
      <c r="B104" s="2">
        <f t="shared" si="11"/>
        <v>99</v>
      </c>
      <c r="C104" s="4">
        <f t="shared" si="12"/>
        <v>53.83</v>
      </c>
      <c r="D104" s="2">
        <v>9.5</v>
      </c>
      <c r="E104" s="2">
        <v>50.26548245743669</v>
      </c>
      <c r="F104" s="11">
        <f t="shared" si="0"/>
        <v>1.8899649492162571</v>
      </c>
      <c r="G104" s="2">
        <f t="shared" si="1"/>
        <v>101.73681321631112</v>
      </c>
      <c r="H104" s="2">
        <f t="shared" si="2"/>
        <v>2.1948471390664848</v>
      </c>
      <c r="I104" s="2">
        <f t="shared" si="3"/>
        <v>118.14862149594887</v>
      </c>
      <c r="J104" s="2">
        <f t="shared" si="4"/>
        <v>16.411808279637754</v>
      </c>
      <c r="K104" s="15">
        <f t="shared" si="19"/>
        <v>0.46127136752136755</v>
      </c>
      <c r="L104" s="2">
        <f t="shared" si="14"/>
        <v>99</v>
      </c>
      <c r="M104" s="2">
        <f t="shared" si="15"/>
        <v>53.58</v>
      </c>
      <c r="N104" s="2">
        <v>9.5</v>
      </c>
      <c r="O104" s="2">
        <v>50.26548245743669</v>
      </c>
      <c r="P104" s="11">
        <f t="shared" si="5"/>
        <v>1.8899649492162571</v>
      </c>
      <c r="Q104" s="2">
        <f t="shared" si="6"/>
        <v>101.26432197900705</v>
      </c>
      <c r="R104" s="2">
        <f t="shared" si="7"/>
        <v>2.170893484738992</v>
      </c>
      <c r="S104" s="2">
        <f t="shared" si="8"/>
        <v>116.31647291231519</v>
      </c>
      <c r="T104" s="2">
        <f t="shared" si="9"/>
        <v>15.052150933308141</v>
      </c>
    </row>
    <row r="105" spans="1:20" x14ac:dyDescent="0.25">
      <c r="A105" s="14">
        <f t="shared" si="18"/>
        <v>0.61355056980056988</v>
      </c>
      <c r="B105" s="2">
        <f t="shared" si="11"/>
        <v>100</v>
      </c>
      <c r="C105" s="4">
        <f t="shared" si="12"/>
        <v>54.33</v>
      </c>
      <c r="D105" s="2">
        <v>9</v>
      </c>
      <c r="E105" s="2">
        <v>50.26548245743669</v>
      </c>
      <c r="F105" s="11">
        <f t="shared" si="0"/>
        <v>1.7904931097838226</v>
      </c>
      <c r="G105" s="2">
        <f t="shared" si="1"/>
        <v>97.277490654555081</v>
      </c>
      <c r="H105" s="2">
        <f t="shared" si="2"/>
        <v>2.1948471390664848</v>
      </c>
      <c r="I105" s="2">
        <f t="shared" si="3"/>
        <v>119.24604506548211</v>
      </c>
      <c r="J105" s="2">
        <f t="shared" si="4"/>
        <v>21.968554410927027</v>
      </c>
      <c r="K105" s="15">
        <f t="shared" si="19"/>
        <v>0.46137820512820515</v>
      </c>
      <c r="L105" s="2">
        <f t="shared" si="14"/>
        <v>100</v>
      </c>
      <c r="M105" s="2">
        <f t="shared" si="15"/>
        <v>54.08</v>
      </c>
      <c r="N105" s="2">
        <v>9.5</v>
      </c>
      <c r="O105" s="2">
        <v>50.26548245743669</v>
      </c>
      <c r="P105" s="11">
        <f t="shared" si="5"/>
        <v>1.8899649492162571</v>
      </c>
      <c r="Q105" s="2">
        <f t="shared" si="6"/>
        <v>102.20930445361519</v>
      </c>
      <c r="R105" s="2">
        <f t="shared" si="7"/>
        <v>2.170893484738992</v>
      </c>
      <c r="S105" s="2">
        <f t="shared" si="8"/>
        <v>117.40191965468469</v>
      </c>
      <c r="T105" s="2">
        <f t="shared" si="9"/>
        <v>15.192615201069501</v>
      </c>
    </row>
    <row r="106" spans="1:20" x14ac:dyDescent="0.25">
      <c r="A106" s="14">
        <f t="shared" si="18"/>
        <v>0.61369301994301995</v>
      </c>
      <c r="B106" s="2">
        <f t="shared" si="11"/>
        <v>101</v>
      </c>
      <c r="C106" s="4">
        <f t="shared" si="12"/>
        <v>54.83</v>
      </c>
      <c r="D106" s="2">
        <v>8</v>
      </c>
      <c r="E106" s="2">
        <v>50.26548245743669</v>
      </c>
      <c r="F106" s="11">
        <f t="shared" si="0"/>
        <v>1.5915494309189535</v>
      </c>
      <c r="G106" s="2">
        <f t="shared" si="1"/>
        <v>87.264655297286225</v>
      </c>
      <c r="H106" s="2">
        <f t="shared" si="2"/>
        <v>2.1948471390664848</v>
      </c>
      <c r="I106" s="2">
        <f t="shared" si="3"/>
        <v>120.34346863501536</v>
      </c>
      <c r="J106" s="2">
        <f t="shared" si="4"/>
        <v>33.07881333772913</v>
      </c>
      <c r="K106" s="15">
        <f t="shared" si="19"/>
        <v>0.46148504273504276</v>
      </c>
      <c r="L106" s="2">
        <f t="shared" si="14"/>
        <v>101</v>
      </c>
      <c r="M106" s="2">
        <f t="shared" si="15"/>
        <v>54.58</v>
      </c>
      <c r="N106" s="2">
        <v>12.5</v>
      </c>
      <c r="O106" s="2">
        <v>50.26548245743669</v>
      </c>
      <c r="P106" s="11">
        <f t="shared" si="5"/>
        <v>2.4867959858108648</v>
      </c>
      <c r="Q106" s="2">
        <f t="shared" si="6"/>
        <v>135.72932490555701</v>
      </c>
      <c r="R106" s="2">
        <f t="shared" si="7"/>
        <v>2.170893484738992</v>
      </c>
      <c r="S106" s="2">
        <f t="shared" si="8"/>
        <v>118.48736639705417</v>
      </c>
      <c r="T106" s="2">
        <f t="shared" si="9"/>
        <v>17.241958508502833</v>
      </c>
    </row>
    <row r="107" spans="1:20" x14ac:dyDescent="0.25">
      <c r="A107" s="14">
        <f t="shared" si="18"/>
        <v>0.61383547008547013</v>
      </c>
      <c r="B107" s="2">
        <f t="shared" si="11"/>
        <v>102</v>
      </c>
      <c r="C107" s="4">
        <f t="shared" si="12"/>
        <v>55.33</v>
      </c>
      <c r="D107" s="2">
        <v>7.5</v>
      </c>
      <c r="E107" s="2">
        <v>50.26548245743669</v>
      </c>
      <c r="F107" s="11">
        <f t="shared" si="0"/>
        <v>1.492077591486519</v>
      </c>
      <c r="G107" s="2">
        <f t="shared" si="1"/>
        <v>82.556653136949095</v>
      </c>
      <c r="H107" s="2">
        <f t="shared" si="2"/>
        <v>2.1948471390664848</v>
      </c>
      <c r="I107" s="2">
        <f t="shared" si="3"/>
        <v>121.4408922045486</v>
      </c>
      <c r="J107" s="2">
        <f t="shared" si="4"/>
        <v>38.884239067599509</v>
      </c>
      <c r="K107" s="15">
        <f t="shared" si="19"/>
        <v>0.46159188034188037</v>
      </c>
      <c r="L107" s="2">
        <f t="shared" si="14"/>
        <v>102</v>
      </c>
      <c r="M107" s="2">
        <f t="shared" si="15"/>
        <v>55.08</v>
      </c>
      <c r="N107" s="2">
        <v>8</v>
      </c>
      <c r="O107" s="2">
        <v>50.26548245743669</v>
      </c>
      <c r="P107" s="11">
        <f t="shared" si="5"/>
        <v>1.5915494309189535</v>
      </c>
      <c r="Q107" s="2">
        <f t="shared" si="6"/>
        <v>87.662542655015955</v>
      </c>
      <c r="R107" s="2">
        <f t="shared" si="7"/>
        <v>2.170893484738992</v>
      </c>
      <c r="S107" s="2">
        <f t="shared" si="8"/>
        <v>119.57281313942367</v>
      </c>
      <c r="T107" s="2">
        <f t="shared" si="9"/>
        <v>31.910270484407718</v>
      </c>
    </row>
    <row r="108" spans="1:20" x14ac:dyDescent="0.25">
      <c r="A108" s="14">
        <f t="shared" si="18"/>
        <v>0.6139779202279203</v>
      </c>
      <c r="B108" s="2">
        <f t="shared" si="11"/>
        <v>103</v>
      </c>
      <c r="C108" s="4">
        <f t="shared" si="12"/>
        <v>55.83</v>
      </c>
      <c r="D108" s="2">
        <v>8</v>
      </c>
      <c r="E108" s="2">
        <v>50.26548245743669</v>
      </c>
      <c r="F108" s="11">
        <f t="shared" si="0"/>
        <v>1.5915494309189535</v>
      </c>
      <c r="G108" s="2">
        <f t="shared" si="1"/>
        <v>88.856204728205171</v>
      </c>
      <c r="H108" s="2">
        <f t="shared" si="2"/>
        <v>2.1948471390664848</v>
      </c>
      <c r="I108" s="2">
        <f t="shared" si="3"/>
        <v>122.53831577408184</v>
      </c>
      <c r="J108" s="2">
        <f t="shared" si="4"/>
        <v>33.682111045876667</v>
      </c>
      <c r="K108" s="15">
        <f t="shared" si="19"/>
        <v>0.46169871794871797</v>
      </c>
      <c r="L108" s="2">
        <f t="shared" si="14"/>
        <v>103</v>
      </c>
      <c r="M108" s="2">
        <f t="shared" si="15"/>
        <v>55.58</v>
      </c>
      <c r="N108" s="2">
        <v>8</v>
      </c>
      <c r="O108" s="2">
        <v>50.26548245743669</v>
      </c>
      <c r="P108" s="11">
        <f t="shared" si="5"/>
        <v>1.5915494309189535</v>
      </c>
      <c r="Q108" s="2">
        <f t="shared" si="6"/>
        <v>88.458317370475427</v>
      </c>
      <c r="R108" s="2">
        <f t="shared" si="7"/>
        <v>2.170893484738992</v>
      </c>
      <c r="S108" s="2">
        <f t="shared" si="8"/>
        <v>120.65825988179317</v>
      </c>
      <c r="T108" s="2">
        <f t="shared" si="9"/>
        <v>32.199942511317744</v>
      </c>
    </row>
    <row r="109" spans="1:20" x14ac:dyDescent="0.25">
      <c r="A109" s="14">
        <f t="shared" si="18"/>
        <v>0.61412037037037037</v>
      </c>
      <c r="B109" s="21">
        <f t="shared" si="11"/>
        <v>104</v>
      </c>
      <c r="C109" s="22">
        <f t="shared" si="12"/>
        <v>56.33</v>
      </c>
      <c r="D109" s="21">
        <v>8.5</v>
      </c>
      <c r="E109" s="2">
        <v>50.26548245743669</v>
      </c>
      <c r="F109" s="11">
        <f t="shared" si="0"/>
        <v>1.6910212703513881</v>
      </c>
      <c r="G109" s="2">
        <f t="shared" si="1"/>
        <v>95.255228158893686</v>
      </c>
      <c r="H109" s="2">
        <f t="shared" si="2"/>
        <v>2.1948471390664848</v>
      </c>
      <c r="I109" s="2">
        <f t="shared" si="3"/>
        <v>123.63573934361509</v>
      </c>
      <c r="J109" s="2">
        <f t="shared" si="4"/>
        <v>28.380511184721399</v>
      </c>
      <c r="K109" s="15">
        <f t="shared" si="19"/>
        <v>0.46180555555555558</v>
      </c>
      <c r="L109" s="21">
        <f t="shared" si="14"/>
        <v>104</v>
      </c>
      <c r="M109" s="21">
        <f t="shared" si="15"/>
        <v>56.08</v>
      </c>
      <c r="N109" s="21">
        <v>8</v>
      </c>
      <c r="O109" s="2">
        <v>50.26548245743669</v>
      </c>
      <c r="P109" s="11">
        <f t="shared" si="5"/>
        <v>1.5915494309189535</v>
      </c>
      <c r="Q109" s="2">
        <f t="shared" si="6"/>
        <v>89.254092085934914</v>
      </c>
      <c r="R109" s="2">
        <f t="shared" si="7"/>
        <v>2.170893484738992</v>
      </c>
      <c r="S109" s="2">
        <f t="shared" si="8"/>
        <v>121.74370662416267</v>
      </c>
      <c r="T109" s="2">
        <f t="shared" si="9"/>
        <v>32.489614538227755</v>
      </c>
    </row>
    <row r="110" spans="1:20" x14ac:dyDescent="0.25">
      <c r="A110" s="14">
        <f t="shared" si="18"/>
        <v>0.61426282051282055</v>
      </c>
      <c r="B110" s="21">
        <f t="shared" si="11"/>
        <v>105</v>
      </c>
      <c r="C110" s="22">
        <f>C109+1.5</f>
        <v>57.83</v>
      </c>
      <c r="D110" s="21">
        <v>7.5</v>
      </c>
      <c r="E110" s="2">
        <v>50.26548245743669</v>
      </c>
      <c r="F110" s="11">
        <f t="shared" si="0"/>
        <v>1.492077591486519</v>
      </c>
      <c r="G110" s="2">
        <f t="shared" si="1"/>
        <v>86.286847115665395</v>
      </c>
      <c r="H110" s="2">
        <f t="shared" si="2"/>
        <v>2.1948471390664848</v>
      </c>
      <c r="I110" s="2">
        <f t="shared" si="3"/>
        <v>126.92801005221482</v>
      </c>
      <c r="J110" s="2">
        <f t="shared" si="4"/>
        <v>40.641162936549421</v>
      </c>
      <c r="K110" s="15">
        <f t="shared" si="19"/>
        <v>0.46191239316239319</v>
      </c>
      <c r="L110" s="21">
        <f t="shared" si="14"/>
        <v>105</v>
      </c>
      <c r="M110" s="21">
        <f>M109+1.5</f>
        <v>57.58</v>
      </c>
      <c r="N110" s="21">
        <v>8.5</v>
      </c>
      <c r="O110" s="2">
        <v>50.26548245743669</v>
      </c>
      <c r="P110" s="11">
        <f t="shared" si="5"/>
        <v>1.6910212703513881</v>
      </c>
      <c r="Q110" s="2">
        <f t="shared" si="6"/>
        <v>97.369004746832914</v>
      </c>
      <c r="R110" s="2">
        <f t="shared" si="7"/>
        <v>2.170893484738992</v>
      </c>
      <c r="S110" s="2">
        <f t="shared" si="8"/>
        <v>125.00004685127115</v>
      </c>
      <c r="T110" s="2">
        <f t="shared" si="9"/>
        <v>27.631042104438237</v>
      </c>
    </row>
    <row r="111" spans="1:20" x14ac:dyDescent="0.25">
      <c r="A111" s="14">
        <f t="shared" si="18"/>
        <v>0.61440527065527073</v>
      </c>
      <c r="B111" s="21">
        <f t="shared" si="11"/>
        <v>106</v>
      </c>
      <c r="C111" s="22">
        <f t="shared" ref="C111:C162" si="20">C110+0.5</f>
        <v>58.33</v>
      </c>
      <c r="D111" s="21">
        <v>9</v>
      </c>
      <c r="E111" s="2">
        <v>50.26548245743669</v>
      </c>
      <c r="F111" s="11">
        <f t="shared" si="0"/>
        <v>1.7904931097838226</v>
      </c>
      <c r="G111" s="2">
        <f t="shared" si="1"/>
        <v>104.43946309369036</v>
      </c>
      <c r="H111" s="2">
        <f t="shared" si="2"/>
        <v>2.1948471390664848</v>
      </c>
      <c r="I111" s="2">
        <f t="shared" si="3"/>
        <v>128.02543362174805</v>
      </c>
      <c r="J111" s="2">
        <f t="shared" si="4"/>
        <v>23.585970528057686</v>
      </c>
      <c r="K111" s="15">
        <f t="shared" si="19"/>
        <v>0.46201923076923079</v>
      </c>
      <c r="L111" s="21">
        <f t="shared" si="14"/>
        <v>106</v>
      </c>
      <c r="M111" s="21">
        <f t="shared" ref="M111:M162" si="21">M110+0.5</f>
        <v>58.08</v>
      </c>
      <c r="N111" s="21">
        <v>8.5</v>
      </c>
      <c r="O111" s="2">
        <v>50.26548245743669</v>
      </c>
      <c r="P111" s="11">
        <f t="shared" si="5"/>
        <v>1.6910212703513881</v>
      </c>
      <c r="Q111" s="2">
        <f t="shared" si="6"/>
        <v>98.214515382008614</v>
      </c>
      <c r="R111" s="2">
        <f t="shared" si="7"/>
        <v>2.170893484738992</v>
      </c>
      <c r="S111" s="2">
        <f t="shared" si="8"/>
        <v>126.08549359364065</v>
      </c>
      <c r="T111" s="2">
        <f t="shared" si="9"/>
        <v>27.870978211632035</v>
      </c>
    </row>
    <row r="112" spans="1:20" x14ac:dyDescent="0.25">
      <c r="A112" s="14">
        <f t="shared" si="18"/>
        <v>0.6145477207977208</v>
      </c>
      <c r="B112" s="2">
        <f t="shared" si="11"/>
        <v>107</v>
      </c>
      <c r="C112" s="4">
        <f t="shared" si="20"/>
        <v>58.83</v>
      </c>
      <c r="D112" s="2">
        <v>8.5</v>
      </c>
      <c r="E112" s="2">
        <v>50.26548245743669</v>
      </c>
      <c r="F112" s="11">
        <f t="shared" si="0"/>
        <v>1.6910212703513881</v>
      </c>
      <c r="G112" s="2">
        <f t="shared" si="1"/>
        <v>99.482781334772156</v>
      </c>
      <c r="H112" s="2">
        <f t="shared" si="2"/>
        <v>2.1948471390664848</v>
      </c>
      <c r="I112" s="2">
        <f t="shared" si="3"/>
        <v>129.1228571912813</v>
      </c>
      <c r="J112" s="2">
        <f t="shared" si="4"/>
        <v>29.640075856509142</v>
      </c>
      <c r="K112" s="15">
        <f t="shared" si="19"/>
        <v>0.4621260683760684</v>
      </c>
      <c r="L112" s="2">
        <f t="shared" si="14"/>
        <v>107</v>
      </c>
      <c r="M112" s="2">
        <f t="shared" si="21"/>
        <v>58.58</v>
      </c>
      <c r="N112" s="2">
        <v>9.5</v>
      </c>
      <c r="O112" s="2">
        <v>50.26548245743669</v>
      </c>
      <c r="P112" s="11">
        <f t="shared" si="5"/>
        <v>1.8899649492162571</v>
      </c>
      <c r="Q112" s="2">
        <f t="shared" si="6"/>
        <v>110.71414672508834</v>
      </c>
      <c r="R112" s="2">
        <f t="shared" si="7"/>
        <v>2.170893484738992</v>
      </c>
      <c r="S112" s="2">
        <f t="shared" si="8"/>
        <v>127.17094033601015</v>
      </c>
      <c r="T112" s="2">
        <f t="shared" si="9"/>
        <v>16.456793610921807</v>
      </c>
    </row>
    <row r="113" spans="1:20" x14ac:dyDescent="0.25">
      <c r="A113" s="14">
        <f t="shared" si="18"/>
        <v>0.61469017094017098</v>
      </c>
      <c r="B113" s="2">
        <f t="shared" si="11"/>
        <v>108</v>
      </c>
      <c r="C113" s="4">
        <f t="shared" si="20"/>
        <v>59.33</v>
      </c>
      <c r="D113" s="2">
        <v>8.5</v>
      </c>
      <c r="E113" s="2">
        <v>50.26548245743669</v>
      </c>
      <c r="F113" s="11">
        <f t="shared" si="0"/>
        <v>1.6910212703513881</v>
      </c>
      <c r="G113" s="2">
        <f t="shared" si="1"/>
        <v>100.32829196994786</v>
      </c>
      <c r="H113" s="2">
        <f t="shared" si="2"/>
        <v>2.1948471390664848</v>
      </c>
      <c r="I113" s="2">
        <f t="shared" si="3"/>
        <v>130.22028076081455</v>
      </c>
      <c r="J113" s="2">
        <f t="shared" si="4"/>
        <v>29.891988790866691</v>
      </c>
      <c r="K113" s="15">
        <f t="shared" si="19"/>
        <v>0.46223290598290601</v>
      </c>
      <c r="L113" s="2">
        <f t="shared" si="14"/>
        <v>108</v>
      </c>
      <c r="M113" s="2">
        <f t="shared" si="21"/>
        <v>59.08</v>
      </c>
      <c r="N113" s="2">
        <v>9</v>
      </c>
      <c r="O113" s="2">
        <v>50.26548245743669</v>
      </c>
      <c r="P113" s="11">
        <f t="shared" si="5"/>
        <v>1.7904931097838226</v>
      </c>
      <c r="Q113" s="2">
        <f t="shared" si="6"/>
        <v>105.78233292602823</v>
      </c>
      <c r="R113" s="2">
        <f t="shared" si="7"/>
        <v>2.170893484738992</v>
      </c>
      <c r="S113" s="2">
        <f t="shared" si="8"/>
        <v>128.25638707837965</v>
      </c>
      <c r="T113" s="2">
        <f t="shared" si="9"/>
        <v>22.474054152351414</v>
      </c>
    </row>
    <row r="114" spans="1:20" x14ac:dyDescent="0.25">
      <c r="A114" s="14">
        <f t="shared" si="18"/>
        <v>0.61483262108262116</v>
      </c>
      <c r="B114" s="2">
        <f t="shared" si="11"/>
        <v>109</v>
      </c>
      <c r="C114" s="4">
        <f t="shared" si="20"/>
        <v>59.83</v>
      </c>
      <c r="D114" s="2">
        <v>8</v>
      </c>
      <c r="E114" s="2">
        <v>50.26548245743669</v>
      </c>
      <c r="F114" s="11">
        <f t="shared" si="0"/>
        <v>1.5915494309189535</v>
      </c>
      <c r="G114" s="2">
        <f t="shared" si="1"/>
        <v>95.222402451880981</v>
      </c>
      <c r="H114" s="2">
        <f t="shared" si="2"/>
        <v>2.1948471390664848</v>
      </c>
      <c r="I114" s="2">
        <f t="shared" si="3"/>
        <v>131.31770433034777</v>
      </c>
      <c r="J114" s="2">
        <f t="shared" si="4"/>
        <v>36.095301878466785</v>
      </c>
      <c r="K114" s="15">
        <f t="shared" si="19"/>
        <v>0.46233974358974361</v>
      </c>
      <c r="L114" s="2">
        <f t="shared" si="14"/>
        <v>109</v>
      </c>
      <c r="M114" s="2">
        <f t="shared" si="21"/>
        <v>59.58</v>
      </c>
      <c r="N114" s="2">
        <v>9</v>
      </c>
      <c r="O114" s="2">
        <v>50.26548245743669</v>
      </c>
      <c r="P114" s="11">
        <f t="shared" si="5"/>
        <v>1.7904931097838226</v>
      </c>
      <c r="Q114" s="2">
        <f t="shared" si="6"/>
        <v>106.67757948092014</v>
      </c>
      <c r="R114" s="2">
        <f t="shared" si="7"/>
        <v>2.170893484738992</v>
      </c>
      <c r="S114" s="2">
        <f t="shared" si="8"/>
        <v>129.34183382074914</v>
      </c>
      <c r="T114" s="2">
        <f t="shared" si="9"/>
        <v>22.664254339829</v>
      </c>
    </row>
    <row r="115" spans="1:20" x14ac:dyDescent="0.25">
      <c r="A115" s="14">
        <f t="shared" si="18"/>
        <v>0.61497507122507122</v>
      </c>
      <c r="B115" s="2">
        <f t="shared" si="11"/>
        <v>110</v>
      </c>
      <c r="C115" s="4">
        <f t="shared" si="20"/>
        <v>60.33</v>
      </c>
      <c r="D115" s="2">
        <v>7.5</v>
      </c>
      <c r="E115" s="2">
        <v>50.26548245743669</v>
      </c>
      <c r="F115" s="11">
        <f t="shared" si="0"/>
        <v>1.492077591486519</v>
      </c>
      <c r="G115" s="2">
        <f t="shared" si="1"/>
        <v>90.017041094381682</v>
      </c>
      <c r="H115" s="2">
        <f t="shared" si="2"/>
        <v>2.1948471390664848</v>
      </c>
      <c r="I115" s="2">
        <f t="shared" si="3"/>
        <v>132.41512789988101</v>
      </c>
      <c r="J115" s="2">
        <f t="shared" si="4"/>
        <v>42.398086805499332</v>
      </c>
      <c r="K115" s="15">
        <f t="shared" si="19"/>
        <v>0.46244658119658122</v>
      </c>
      <c r="L115" s="2">
        <f t="shared" si="14"/>
        <v>110</v>
      </c>
      <c r="M115" s="2">
        <f t="shared" si="21"/>
        <v>60.08</v>
      </c>
      <c r="N115" s="2">
        <v>9</v>
      </c>
      <c r="O115" s="2">
        <v>50.26548245743669</v>
      </c>
      <c r="P115" s="11">
        <f t="shared" si="5"/>
        <v>1.7904931097838226</v>
      </c>
      <c r="Q115" s="2">
        <f t="shared" si="6"/>
        <v>107.57282603581206</v>
      </c>
      <c r="R115" s="2">
        <f t="shared" si="7"/>
        <v>2.170893484738992</v>
      </c>
      <c r="S115" s="2">
        <f t="shared" si="8"/>
        <v>130.42728056311864</v>
      </c>
      <c r="T115" s="2">
        <f t="shared" si="9"/>
        <v>22.854454527306586</v>
      </c>
    </row>
    <row r="116" spans="1:20" x14ac:dyDescent="0.25">
      <c r="A116" s="14">
        <f t="shared" si="18"/>
        <v>0.6151175213675214</v>
      </c>
      <c r="B116" s="2">
        <f t="shared" si="11"/>
        <v>111</v>
      </c>
      <c r="C116" s="4">
        <f t="shared" si="20"/>
        <v>60.83</v>
      </c>
      <c r="D116" s="2">
        <v>9</v>
      </c>
      <c r="E116" s="2">
        <v>50.26548245743669</v>
      </c>
      <c r="F116" s="11">
        <f t="shared" si="0"/>
        <v>1.7904931097838226</v>
      </c>
      <c r="G116" s="2">
        <f t="shared" si="1"/>
        <v>108.91569586814992</v>
      </c>
      <c r="H116" s="2">
        <f t="shared" si="2"/>
        <v>2.1948471390664848</v>
      </c>
      <c r="I116" s="2">
        <f t="shared" si="3"/>
        <v>133.51255146941426</v>
      </c>
      <c r="J116" s="2">
        <f t="shared" si="4"/>
        <v>24.596855601264338</v>
      </c>
      <c r="K116" s="15">
        <f t="shared" si="19"/>
        <v>0.46255341880341883</v>
      </c>
      <c r="L116" s="2">
        <f t="shared" si="14"/>
        <v>111</v>
      </c>
      <c r="M116" s="2">
        <f t="shared" si="21"/>
        <v>60.58</v>
      </c>
      <c r="N116" s="2">
        <v>8</v>
      </c>
      <c r="O116" s="2">
        <v>50.26548245743669</v>
      </c>
      <c r="P116" s="11">
        <f t="shared" si="5"/>
        <v>1.5915494309189535</v>
      </c>
      <c r="Q116" s="2">
        <f t="shared" si="6"/>
        <v>96.416064525070198</v>
      </c>
      <c r="R116" s="2">
        <f t="shared" si="7"/>
        <v>2.170893484738992</v>
      </c>
      <c r="S116" s="2">
        <f t="shared" si="8"/>
        <v>131.51272730548814</v>
      </c>
      <c r="T116" s="2">
        <f t="shared" si="9"/>
        <v>35.096662780417944</v>
      </c>
    </row>
    <row r="117" spans="1:20" x14ac:dyDescent="0.25">
      <c r="A117" s="14">
        <f t="shared" si="18"/>
        <v>0.61525997150997158</v>
      </c>
      <c r="B117" s="2">
        <f t="shared" si="11"/>
        <v>112</v>
      </c>
      <c r="C117" s="4">
        <f t="shared" si="20"/>
        <v>61.33</v>
      </c>
      <c r="D117" s="2">
        <v>8</v>
      </c>
      <c r="E117" s="2">
        <v>50.26548245743669</v>
      </c>
      <c r="F117" s="11">
        <f t="shared" si="0"/>
        <v>1.5915494309189535</v>
      </c>
      <c r="G117" s="2">
        <f t="shared" si="1"/>
        <v>97.609726598259414</v>
      </c>
      <c r="H117" s="2">
        <f t="shared" si="2"/>
        <v>2.1948471390664848</v>
      </c>
      <c r="I117" s="2">
        <f t="shared" si="3"/>
        <v>134.60997503894751</v>
      </c>
      <c r="J117" s="2">
        <f t="shared" si="4"/>
        <v>37.000248440688097</v>
      </c>
      <c r="K117" s="15">
        <f t="shared" si="19"/>
        <v>0.46266025641025643</v>
      </c>
      <c r="L117" s="2">
        <f t="shared" si="14"/>
        <v>112</v>
      </c>
      <c r="M117" s="2">
        <f t="shared" si="21"/>
        <v>61.08</v>
      </c>
      <c r="N117" s="2">
        <v>9.5</v>
      </c>
      <c r="O117" s="2">
        <v>50.26548245743669</v>
      </c>
      <c r="P117" s="11">
        <f t="shared" si="5"/>
        <v>1.8899649492162571</v>
      </c>
      <c r="Q117" s="2">
        <f t="shared" si="6"/>
        <v>115.43905909812898</v>
      </c>
      <c r="R117" s="2">
        <f t="shared" si="7"/>
        <v>2.170893484738992</v>
      </c>
      <c r="S117" s="2">
        <f t="shared" si="8"/>
        <v>132.59817404785764</v>
      </c>
      <c r="T117" s="2">
        <f t="shared" si="9"/>
        <v>17.159114949728661</v>
      </c>
    </row>
    <row r="118" spans="1:20" x14ac:dyDescent="0.25">
      <c r="A118" s="14">
        <f t="shared" si="18"/>
        <v>0.61540242165242165</v>
      </c>
      <c r="B118" s="2">
        <f t="shared" si="11"/>
        <v>113</v>
      </c>
      <c r="C118" s="4">
        <f t="shared" si="20"/>
        <v>61.83</v>
      </c>
      <c r="D118" s="2">
        <v>8.5</v>
      </c>
      <c r="E118" s="2">
        <v>50.26548245743669</v>
      </c>
      <c r="F118" s="11">
        <f t="shared" si="0"/>
        <v>1.6910212703513881</v>
      </c>
      <c r="G118" s="2">
        <f t="shared" si="1"/>
        <v>104.55584514582632</v>
      </c>
      <c r="H118" s="2">
        <f t="shared" si="2"/>
        <v>2.1948471390664848</v>
      </c>
      <c r="I118" s="2">
        <f t="shared" si="3"/>
        <v>135.70739860848076</v>
      </c>
      <c r="J118" s="2">
        <f t="shared" si="4"/>
        <v>31.151553462654434</v>
      </c>
      <c r="K118" s="15">
        <f t="shared" si="19"/>
        <v>0.46276709401709404</v>
      </c>
      <c r="L118" s="2">
        <f t="shared" si="14"/>
        <v>113</v>
      </c>
      <c r="M118" s="2">
        <f t="shared" si="21"/>
        <v>61.58</v>
      </c>
      <c r="N118" s="2">
        <v>9.5</v>
      </c>
      <c r="O118" s="2">
        <v>50.26548245743669</v>
      </c>
      <c r="P118" s="11">
        <f t="shared" si="5"/>
        <v>1.8899649492162571</v>
      </c>
      <c r="Q118" s="2">
        <f t="shared" si="6"/>
        <v>116.3840415727371</v>
      </c>
      <c r="R118" s="2">
        <f t="shared" si="7"/>
        <v>2.170893484738992</v>
      </c>
      <c r="S118" s="2">
        <f t="shared" si="8"/>
        <v>133.68362079022714</v>
      </c>
      <c r="T118" s="2">
        <f t="shared" si="9"/>
        <v>17.299579217490034</v>
      </c>
    </row>
    <row r="119" spans="1:20" x14ac:dyDescent="0.25">
      <c r="A119" s="14">
        <f t="shared" si="18"/>
        <v>0.61554487179487183</v>
      </c>
      <c r="B119" s="2">
        <f t="shared" si="11"/>
        <v>114</v>
      </c>
      <c r="C119" s="4">
        <f t="shared" si="20"/>
        <v>62.33</v>
      </c>
      <c r="D119" s="2">
        <v>9.5</v>
      </c>
      <c r="E119" s="2">
        <v>50.26548245743669</v>
      </c>
      <c r="F119" s="11">
        <f t="shared" si="0"/>
        <v>1.8899649492162571</v>
      </c>
      <c r="G119" s="2">
        <f t="shared" si="1"/>
        <v>117.8015152846493</v>
      </c>
      <c r="H119" s="2">
        <f t="shared" si="2"/>
        <v>2.1948471390664848</v>
      </c>
      <c r="I119" s="2">
        <f t="shared" si="3"/>
        <v>136.80482217801398</v>
      </c>
      <c r="J119" s="2">
        <f t="shared" si="4"/>
        <v>19.00330689336468</v>
      </c>
      <c r="K119" s="15">
        <f t="shared" si="19"/>
        <v>0.46287393162393164</v>
      </c>
      <c r="L119" s="2">
        <f t="shared" si="14"/>
        <v>114</v>
      </c>
      <c r="M119" s="2">
        <f t="shared" si="21"/>
        <v>62.08</v>
      </c>
      <c r="N119" s="2">
        <v>8.5</v>
      </c>
      <c r="O119" s="2">
        <v>50.26548245743669</v>
      </c>
      <c r="P119" s="11">
        <f t="shared" si="5"/>
        <v>1.6910212703513881</v>
      </c>
      <c r="Q119" s="2">
        <f t="shared" si="6"/>
        <v>104.97860046341417</v>
      </c>
      <c r="R119" s="2">
        <f t="shared" si="7"/>
        <v>2.170893484738992</v>
      </c>
      <c r="S119" s="2">
        <f t="shared" si="8"/>
        <v>134.76906753259661</v>
      </c>
      <c r="T119" s="2">
        <f t="shared" si="9"/>
        <v>29.790467069182441</v>
      </c>
    </row>
    <row r="120" spans="1:20" x14ac:dyDescent="0.25">
      <c r="A120" s="14">
        <f t="shared" si="18"/>
        <v>0.61568732193732201</v>
      </c>
      <c r="B120" s="2">
        <f t="shared" si="11"/>
        <v>115</v>
      </c>
      <c r="C120" s="4">
        <f t="shared" si="20"/>
        <v>62.83</v>
      </c>
      <c r="D120" s="2">
        <v>10</v>
      </c>
      <c r="E120" s="2">
        <v>50.26548245743669</v>
      </c>
      <c r="F120" s="11">
        <f t="shared" si="0"/>
        <v>1.9894367886486919</v>
      </c>
      <c r="G120" s="2">
        <f t="shared" si="1"/>
        <v>124.99631343079731</v>
      </c>
      <c r="H120" s="2">
        <f t="shared" si="2"/>
        <v>2.1948471390664848</v>
      </c>
      <c r="I120" s="2">
        <f t="shared" si="3"/>
        <v>137.90224574754723</v>
      </c>
      <c r="J120" s="2">
        <f t="shared" si="4"/>
        <v>12.905932316749912</v>
      </c>
      <c r="K120" s="15">
        <f t="shared" si="19"/>
        <v>0.46298076923076925</v>
      </c>
      <c r="L120" s="2">
        <f t="shared" si="14"/>
        <v>115</v>
      </c>
      <c r="M120" s="2">
        <f t="shared" si="21"/>
        <v>62.58</v>
      </c>
      <c r="N120" s="2">
        <v>9.5</v>
      </c>
      <c r="O120" s="2">
        <v>50.26548245743669</v>
      </c>
      <c r="P120" s="11">
        <f t="shared" si="5"/>
        <v>1.8899649492162571</v>
      </c>
      <c r="Q120" s="2">
        <f t="shared" si="6"/>
        <v>118.27400652195337</v>
      </c>
      <c r="R120" s="2">
        <f t="shared" si="7"/>
        <v>2.170893484738992</v>
      </c>
      <c r="S120" s="2">
        <f t="shared" si="8"/>
        <v>135.85451427496611</v>
      </c>
      <c r="T120" s="2">
        <f t="shared" si="9"/>
        <v>17.580507753012739</v>
      </c>
    </row>
    <row r="121" spans="1:20" x14ac:dyDescent="0.25">
      <c r="A121" s="14">
        <f t="shared" si="18"/>
        <v>0.61582977207977208</v>
      </c>
      <c r="B121" s="2">
        <f t="shared" si="11"/>
        <v>116</v>
      </c>
      <c r="C121" s="4">
        <f t="shared" si="20"/>
        <v>63.33</v>
      </c>
      <c r="D121" s="2">
        <v>11</v>
      </c>
      <c r="E121" s="2">
        <v>50.26548245743669</v>
      </c>
      <c r="F121" s="11">
        <f t="shared" si="0"/>
        <v>2.1883804675135607</v>
      </c>
      <c r="G121" s="2">
        <f t="shared" si="1"/>
        <v>138.59013500763379</v>
      </c>
      <c r="H121" s="2">
        <f t="shared" si="2"/>
        <v>2.1948471390664848</v>
      </c>
      <c r="I121" s="2">
        <f t="shared" si="3"/>
        <v>138.99966931708047</v>
      </c>
      <c r="J121" s="2">
        <f t="shared" si="4"/>
        <v>0.40953430944668412</v>
      </c>
      <c r="K121" s="15">
        <f t="shared" si="19"/>
        <v>0.46308760683760686</v>
      </c>
      <c r="L121" s="2">
        <f t="shared" si="14"/>
        <v>116</v>
      </c>
      <c r="M121" s="2">
        <f t="shared" si="21"/>
        <v>63.08</v>
      </c>
      <c r="N121" s="2">
        <v>11</v>
      </c>
      <c r="O121" s="2">
        <v>50.26548245743669</v>
      </c>
      <c r="P121" s="11">
        <f t="shared" si="5"/>
        <v>2.1883804675135607</v>
      </c>
      <c r="Q121" s="2">
        <f t="shared" si="6"/>
        <v>138.04303989075541</v>
      </c>
      <c r="R121" s="2">
        <f t="shared" si="7"/>
        <v>2.170893484738992</v>
      </c>
      <c r="S121" s="2">
        <f t="shared" si="8"/>
        <v>136.93996101733561</v>
      </c>
      <c r="T121" s="2">
        <f t="shared" si="9"/>
        <v>1.103078873419804</v>
      </c>
    </row>
    <row r="122" spans="1:20" x14ac:dyDescent="0.25">
      <c r="A122" s="10">
        <v>0.61597222222222225</v>
      </c>
      <c r="B122" s="2">
        <f t="shared" si="11"/>
        <v>117</v>
      </c>
      <c r="C122" s="4">
        <f t="shared" si="20"/>
        <v>63.83</v>
      </c>
      <c r="D122" s="2">
        <v>10.5</v>
      </c>
      <c r="E122" s="2">
        <v>50.26548245743669</v>
      </c>
      <c r="F122" s="11">
        <f t="shared" si="0"/>
        <v>2.0889086280811267</v>
      </c>
      <c r="G122" s="2">
        <f t="shared" si="1"/>
        <v>133.33503773041832</v>
      </c>
      <c r="H122" s="2">
        <f t="shared" si="2"/>
        <v>2.1948471390664848</v>
      </c>
      <c r="I122" s="2">
        <f t="shared" si="3"/>
        <v>140.09709288661372</v>
      </c>
      <c r="J122" s="2">
        <f t="shared" si="4"/>
        <v>6.7620551561954017</v>
      </c>
      <c r="K122" s="12">
        <v>0.46319444444444446</v>
      </c>
      <c r="L122" s="2">
        <f t="shared" si="14"/>
        <v>117</v>
      </c>
      <c r="M122" s="2">
        <f t="shared" si="21"/>
        <v>63.58</v>
      </c>
      <c r="N122" s="2">
        <v>11</v>
      </c>
      <c r="O122" s="2">
        <v>50.26548245743669</v>
      </c>
      <c r="P122" s="11">
        <f t="shared" si="5"/>
        <v>2.1883804675135607</v>
      </c>
      <c r="Q122" s="2">
        <f t="shared" si="6"/>
        <v>139.1372301245122</v>
      </c>
      <c r="R122" s="2">
        <f t="shared" si="7"/>
        <v>2.170893484738992</v>
      </c>
      <c r="S122" s="2">
        <f t="shared" si="8"/>
        <v>138.0254077597051</v>
      </c>
      <c r="T122" s="2">
        <f t="shared" si="9"/>
        <v>1.1118223648070966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0.61609686609686609</v>
      </c>
      <c r="B123" s="2">
        <f t="shared" si="11"/>
        <v>118</v>
      </c>
      <c r="C123" s="4">
        <f t="shared" si="20"/>
        <v>64.33</v>
      </c>
      <c r="D123" s="2">
        <v>11.5</v>
      </c>
      <c r="E123" s="2">
        <v>50.26548245743669</v>
      </c>
      <c r="F123" s="11">
        <f t="shared" si="0"/>
        <v>2.2878523069459957</v>
      </c>
      <c r="G123" s="2">
        <f t="shared" si="1"/>
        <v>147.17753890583589</v>
      </c>
      <c r="H123" s="2">
        <f t="shared" si="2"/>
        <v>2.1948471390664848</v>
      </c>
      <c r="I123" s="2">
        <f t="shared" si="3"/>
        <v>141.19451645614697</v>
      </c>
      <c r="J123" s="2">
        <f t="shared" si="4"/>
        <v>5.9830224496889173</v>
      </c>
      <c r="K123" s="15">
        <f t="shared" ref="K123:K160" si="23">IF(AND($K$122&lt;&gt;"",$K$161&lt;&gt;""), $K$122 + (L123 - $L$122) * (($K$161 - $K$122) / ($L$161 - $L$122)), "")</f>
        <v>0.46333689458689459</v>
      </c>
      <c r="L123" s="2">
        <f t="shared" si="14"/>
        <v>118</v>
      </c>
      <c r="M123" s="2">
        <f t="shared" si="21"/>
        <v>64.08</v>
      </c>
      <c r="N123" s="2">
        <v>11.5</v>
      </c>
      <c r="O123" s="2">
        <v>50.26548245743669</v>
      </c>
      <c r="P123" s="11">
        <f t="shared" si="5"/>
        <v>2.2878523069459957</v>
      </c>
      <c r="Q123" s="2">
        <f t="shared" si="6"/>
        <v>146.60557582909939</v>
      </c>
      <c r="R123" s="2">
        <f t="shared" si="7"/>
        <v>2.170893484738992</v>
      </c>
      <c r="S123" s="2">
        <f t="shared" si="8"/>
        <v>139.1108545020746</v>
      </c>
      <c r="T123" s="2">
        <f t="shared" si="9"/>
        <v>7.4947213270247914</v>
      </c>
    </row>
    <row r="124" spans="1:20" x14ac:dyDescent="0.25">
      <c r="A124" s="14">
        <f t="shared" si="22"/>
        <v>0.61622150997151004</v>
      </c>
      <c r="B124" s="2">
        <f t="shared" si="11"/>
        <v>119</v>
      </c>
      <c r="C124" s="4">
        <f t="shared" si="20"/>
        <v>64.83</v>
      </c>
      <c r="D124" s="2">
        <v>10.5</v>
      </c>
      <c r="E124" s="2">
        <v>50.26548245743669</v>
      </c>
      <c r="F124" s="11">
        <f t="shared" si="0"/>
        <v>2.0889086280811267</v>
      </c>
      <c r="G124" s="2">
        <f t="shared" si="1"/>
        <v>135.42394635849945</v>
      </c>
      <c r="H124" s="2">
        <f t="shared" si="2"/>
        <v>2.1948471390664848</v>
      </c>
      <c r="I124" s="2">
        <f t="shared" si="3"/>
        <v>142.29194002568019</v>
      </c>
      <c r="J124" s="2">
        <f t="shared" si="4"/>
        <v>6.8679936671807411</v>
      </c>
      <c r="K124" s="15">
        <f t="shared" si="23"/>
        <v>0.46347934472934477</v>
      </c>
      <c r="L124" s="2">
        <f t="shared" si="14"/>
        <v>119</v>
      </c>
      <c r="M124" s="2">
        <f t="shared" si="21"/>
        <v>64.58</v>
      </c>
      <c r="N124" s="2">
        <v>11.5</v>
      </c>
      <c r="O124" s="2">
        <v>50.26548245743669</v>
      </c>
      <c r="P124" s="11">
        <f t="shared" si="5"/>
        <v>2.2878523069459957</v>
      </c>
      <c r="Q124" s="2">
        <f t="shared" si="6"/>
        <v>147.74950198257241</v>
      </c>
      <c r="R124" s="2">
        <f t="shared" si="7"/>
        <v>2.170893484738992</v>
      </c>
      <c r="S124" s="2">
        <f t="shared" si="8"/>
        <v>140.1963012444441</v>
      </c>
      <c r="T124" s="2">
        <f t="shared" si="9"/>
        <v>7.5532007381283108</v>
      </c>
    </row>
    <row r="125" spans="1:20" x14ac:dyDescent="0.25">
      <c r="A125" s="14">
        <f t="shared" si="22"/>
        <v>0.61634615384615388</v>
      </c>
      <c r="B125" s="2">
        <f t="shared" si="11"/>
        <v>120</v>
      </c>
      <c r="C125" s="4">
        <f t="shared" si="20"/>
        <v>65.33</v>
      </c>
      <c r="D125" s="2">
        <v>15</v>
      </c>
      <c r="E125" s="2">
        <v>50.26548245743669</v>
      </c>
      <c r="F125" s="11">
        <f t="shared" si="0"/>
        <v>2.9841551829730379</v>
      </c>
      <c r="G125" s="2">
        <f t="shared" si="1"/>
        <v>194.95485810362857</v>
      </c>
      <c r="H125" s="2">
        <f t="shared" si="2"/>
        <v>2.1948471390664848</v>
      </c>
      <c r="I125" s="2">
        <f t="shared" si="3"/>
        <v>143.38936359521344</v>
      </c>
      <c r="J125" s="2">
        <f t="shared" si="4"/>
        <v>51.565494508415128</v>
      </c>
      <c r="K125" s="15">
        <f t="shared" si="23"/>
        <v>0.46362179487179489</v>
      </c>
      <c r="L125" s="2">
        <f t="shared" si="14"/>
        <v>120</v>
      </c>
      <c r="M125" s="2">
        <f t="shared" si="21"/>
        <v>65.08</v>
      </c>
      <c r="N125" s="2">
        <v>11.5</v>
      </c>
      <c r="O125" s="2">
        <v>50.26548245743669</v>
      </c>
      <c r="P125" s="11">
        <f t="shared" si="5"/>
        <v>2.2878523069459957</v>
      </c>
      <c r="Q125" s="2">
        <f t="shared" si="6"/>
        <v>148.8934281360454</v>
      </c>
      <c r="R125" s="2">
        <f t="shared" si="7"/>
        <v>2.170893484738992</v>
      </c>
      <c r="S125" s="2">
        <f t="shared" si="8"/>
        <v>141.2817479868136</v>
      </c>
      <c r="T125" s="2">
        <f t="shared" si="9"/>
        <v>7.6116801492318018</v>
      </c>
    </row>
    <row r="126" spans="1:20" x14ac:dyDescent="0.25">
      <c r="A126" s="14">
        <f t="shared" si="22"/>
        <v>0.61647079772079771</v>
      </c>
      <c r="B126" s="2">
        <f t="shared" si="11"/>
        <v>121</v>
      </c>
      <c r="C126" s="4">
        <f t="shared" si="20"/>
        <v>65.83</v>
      </c>
      <c r="D126" s="2">
        <v>12</v>
      </c>
      <c r="E126" s="2">
        <v>50.26548245743669</v>
      </c>
      <c r="F126" s="11">
        <f t="shared" si="0"/>
        <v>2.3873241463784298</v>
      </c>
      <c r="G126" s="2">
        <f t="shared" si="1"/>
        <v>157.15754855609202</v>
      </c>
      <c r="H126" s="2">
        <f t="shared" si="2"/>
        <v>2.1948471390664848</v>
      </c>
      <c r="I126" s="2">
        <f t="shared" si="3"/>
        <v>144.48678716474669</v>
      </c>
      <c r="J126" s="2">
        <f t="shared" si="4"/>
        <v>12.670761391345337</v>
      </c>
      <c r="K126" s="15">
        <f t="shared" si="23"/>
        <v>0.46376424501424501</v>
      </c>
      <c r="L126" s="2">
        <f t="shared" si="14"/>
        <v>121</v>
      </c>
      <c r="M126" s="2">
        <f t="shared" si="21"/>
        <v>65.58</v>
      </c>
      <c r="N126" s="2">
        <v>11.5</v>
      </c>
      <c r="O126" s="2">
        <v>50.26548245743669</v>
      </c>
      <c r="P126" s="11">
        <f t="shared" si="5"/>
        <v>2.2878523069459957</v>
      </c>
      <c r="Q126" s="2">
        <f t="shared" si="6"/>
        <v>150.03735428951839</v>
      </c>
      <c r="R126" s="2">
        <f t="shared" si="7"/>
        <v>2.170893484738992</v>
      </c>
      <c r="S126" s="2">
        <f t="shared" si="8"/>
        <v>142.3671947291831</v>
      </c>
      <c r="T126" s="2">
        <f t="shared" si="9"/>
        <v>7.6701595603352928</v>
      </c>
    </row>
    <row r="127" spans="1:20" x14ac:dyDescent="0.25">
      <c r="A127" s="14">
        <f t="shared" si="22"/>
        <v>0.61659544159544166</v>
      </c>
      <c r="B127" s="2">
        <f t="shared" si="11"/>
        <v>122</v>
      </c>
      <c r="C127" s="4">
        <f t="shared" si="20"/>
        <v>66.33</v>
      </c>
      <c r="D127" s="2">
        <v>12.5</v>
      </c>
      <c r="E127" s="2">
        <v>50.26548245743669</v>
      </c>
      <c r="F127" s="11">
        <f t="shared" si="0"/>
        <v>2.4867959858108648</v>
      </c>
      <c r="G127" s="2">
        <f t="shared" si="1"/>
        <v>164.94917773883466</v>
      </c>
      <c r="H127" s="2">
        <f t="shared" si="2"/>
        <v>2.1948471390664848</v>
      </c>
      <c r="I127" s="2">
        <f t="shared" si="3"/>
        <v>145.58421073427994</v>
      </c>
      <c r="J127" s="2">
        <f t="shared" si="4"/>
        <v>19.364967004554728</v>
      </c>
      <c r="K127" s="15">
        <f t="shared" si="23"/>
        <v>0.46390669515669519</v>
      </c>
      <c r="L127" s="2">
        <f t="shared" si="14"/>
        <v>122</v>
      </c>
      <c r="M127" s="2">
        <f t="shared" si="21"/>
        <v>66.08</v>
      </c>
      <c r="N127" s="2">
        <v>11.5</v>
      </c>
      <c r="O127" s="2">
        <v>50.26548245743669</v>
      </c>
      <c r="P127" s="11">
        <f t="shared" si="5"/>
        <v>2.2878523069459957</v>
      </c>
      <c r="Q127" s="2">
        <f t="shared" si="6"/>
        <v>151.18128044299138</v>
      </c>
      <c r="R127" s="2">
        <f t="shared" si="7"/>
        <v>2.170893484738992</v>
      </c>
      <c r="S127" s="2">
        <f t="shared" si="8"/>
        <v>143.4526414715526</v>
      </c>
      <c r="T127" s="2">
        <f t="shared" si="9"/>
        <v>7.7286389714387838</v>
      </c>
    </row>
    <row r="128" spans="1:20" x14ac:dyDescent="0.25">
      <c r="A128" s="14">
        <f t="shared" si="22"/>
        <v>0.6167200854700855</v>
      </c>
      <c r="B128" s="2">
        <f t="shared" si="11"/>
        <v>123</v>
      </c>
      <c r="C128" s="4">
        <f t="shared" si="20"/>
        <v>66.83</v>
      </c>
      <c r="D128" s="2">
        <v>11.5</v>
      </c>
      <c r="E128" s="2">
        <v>50.26548245743669</v>
      </c>
      <c r="F128" s="11">
        <f t="shared" si="0"/>
        <v>2.2878523069459957</v>
      </c>
      <c r="G128" s="2">
        <f t="shared" si="1"/>
        <v>152.89716967320089</v>
      </c>
      <c r="H128" s="2">
        <f t="shared" si="2"/>
        <v>2.1948471390664848</v>
      </c>
      <c r="I128" s="2">
        <f t="shared" si="3"/>
        <v>146.68163430381318</v>
      </c>
      <c r="J128" s="2">
        <f t="shared" si="4"/>
        <v>6.2155353693877089</v>
      </c>
      <c r="K128" s="15">
        <f t="shared" si="23"/>
        <v>0.46404914529914532</v>
      </c>
      <c r="L128" s="2">
        <f t="shared" si="14"/>
        <v>123</v>
      </c>
      <c r="M128" s="2">
        <f t="shared" si="21"/>
        <v>66.58</v>
      </c>
      <c r="N128" s="2">
        <v>11</v>
      </c>
      <c r="O128" s="2">
        <v>50.26548245743669</v>
      </c>
      <c r="P128" s="11">
        <f t="shared" si="5"/>
        <v>2.1883804675135607</v>
      </c>
      <c r="Q128" s="2">
        <f t="shared" si="6"/>
        <v>145.70237152705286</v>
      </c>
      <c r="R128" s="2">
        <f t="shared" si="7"/>
        <v>2.170893484738992</v>
      </c>
      <c r="S128" s="2">
        <f t="shared" si="8"/>
        <v>144.53808821392209</v>
      </c>
      <c r="T128" s="2">
        <f t="shared" si="9"/>
        <v>1.1642833131307668</v>
      </c>
    </row>
    <row r="129" spans="1:20" x14ac:dyDescent="0.25">
      <c r="A129" s="14">
        <f t="shared" si="22"/>
        <v>0.61684472934472934</v>
      </c>
      <c r="B129" s="2">
        <f t="shared" si="11"/>
        <v>124</v>
      </c>
      <c r="C129" s="4">
        <f t="shared" si="20"/>
        <v>67.33</v>
      </c>
      <c r="D129" s="2">
        <v>13</v>
      </c>
      <c r="E129" s="2">
        <v>50.26548245743669</v>
      </c>
      <c r="F129" s="11">
        <f t="shared" si="0"/>
        <v>2.5862678252432989</v>
      </c>
      <c r="G129" s="2">
        <f t="shared" si="1"/>
        <v>174.13341267363131</v>
      </c>
      <c r="H129" s="2">
        <f t="shared" si="2"/>
        <v>2.1948471390664848</v>
      </c>
      <c r="I129" s="2">
        <f t="shared" si="3"/>
        <v>147.7790578733464</v>
      </c>
      <c r="J129" s="2">
        <f t="shared" si="4"/>
        <v>26.354354800284909</v>
      </c>
      <c r="K129" s="15">
        <f t="shared" si="23"/>
        <v>0.46419159544159544</v>
      </c>
      <c r="L129" s="2">
        <f t="shared" si="14"/>
        <v>124</v>
      </c>
      <c r="M129" s="2">
        <f t="shared" si="21"/>
        <v>67.08</v>
      </c>
      <c r="N129" s="2">
        <v>11.5</v>
      </c>
      <c r="O129" s="2">
        <v>50.26548245743669</v>
      </c>
      <c r="P129" s="11">
        <f t="shared" si="5"/>
        <v>2.2878523069459957</v>
      </c>
      <c r="Q129" s="2">
        <f t="shared" si="6"/>
        <v>153.46913274993739</v>
      </c>
      <c r="R129" s="2">
        <f t="shared" si="7"/>
        <v>2.170893484738992</v>
      </c>
      <c r="S129" s="2">
        <f t="shared" si="8"/>
        <v>145.62353495629159</v>
      </c>
      <c r="T129" s="2">
        <f t="shared" si="9"/>
        <v>7.8455977936457941</v>
      </c>
    </row>
    <row r="130" spans="1:20" x14ac:dyDescent="0.25">
      <c r="A130" s="14">
        <f t="shared" si="22"/>
        <v>0.61696937321937328</v>
      </c>
      <c r="B130" s="2">
        <f t="shared" si="11"/>
        <v>125</v>
      </c>
      <c r="C130" s="4">
        <f t="shared" si="20"/>
        <v>67.83</v>
      </c>
      <c r="D130" s="2">
        <v>10.5</v>
      </c>
      <c r="E130" s="2">
        <v>50.26548245743669</v>
      </c>
      <c r="F130" s="11">
        <f t="shared" si="0"/>
        <v>2.0889086280811267</v>
      </c>
      <c r="G130" s="2">
        <f t="shared" si="1"/>
        <v>141.69067224274281</v>
      </c>
      <c r="H130" s="2">
        <f t="shared" si="2"/>
        <v>2.1948471390664848</v>
      </c>
      <c r="I130" s="2">
        <f t="shared" si="3"/>
        <v>148.87648144287965</v>
      </c>
      <c r="J130" s="2">
        <f t="shared" si="4"/>
        <v>7.1858092001368448</v>
      </c>
      <c r="K130" s="15">
        <f t="shared" si="23"/>
        <v>0.46433404558404562</v>
      </c>
      <c r="L130" s="2">
        <f t="shared" si="14"/>
        <v>125</v>
      </c>
      <c r="M130" s="2">
        <f t="shared" si="21"/>
        <v>67.58</v>
      </c>
      <c r="N130" s="2">
        <v>11.5</v>
      </c>
      <c r="O130" s="2">
        <v>50.26548245743669</v>
      </c>
      <c r="P130" s="11">
        <f t="shared" si="5"/>
        <v>2.2878523069459957</v>
      </c>
      <c r="Q130" s="2">
        <f t="shared" si="6"/>
        <v>154.61305890341038</v>
      </c>
      <c r="R130" s="2">
        <f t="shared" si="7"/>
        <v>2.170893484738992</v>
      </c>
      <c r="S130" s="2">
        <f t="shared" si="8"/>
        <v>146.70898169866106</v>
      </c>
      <c r="T130" s="2">
        <f t="shared" si="9"/>
        <v>7.9040772047493135</v>
      </c>
    </row>
    <row r="131" spans="1:20" x14ac:dyDescent="0.25">
      <c r="A131" s="14">
        <f t="shared" si="22"/>
        <v>0.61709401709401712</v>
      </c>
      <c r="B131" s="2">
        <f t="shared" si="11"/>
        <v>126</v>
      </c>
      <c r="C131" s="4">
        <f t="shared" si="20"/>
        <v>68.33</v>
      </c>
      <c r="D131" s="2">
        <v>10.5</v>
      </c>
      <c r="E131" s="2">
        <v>50.26548245743669</v>
      </c>
      <c r="F131" s="11">
        <f t="shared" si="0"/>
        <v>2.0889086280811267</v>
      </c>
      <c r="G131" s="2">
        <f t="shared" si="1"/>
        <v>142.73512655678337</v>
      </c>
      <c r="H131" s="2">
        <f t="shared" si="2"/>
        <v>2.1948471390664848</v>
      </c>
      <c r="I131" s="2">
        <f t="shared" si="3"/>
        <v>149.9739050124129</v>
      </c>
      <c r="J131" s="2">
        <f t="shared" si="4"/>
        <v>7.2387784556295287</v>
      </c>
      <c r="K131" s="15">
        <f t="shared" si="23"/>
        <v>0.46447649572649574</v>
      </c>
      <c r="L131" s="2">
        <f t="shared" si="14"/>
        <v>126</v>
      </c>
      <c r="M131" s="2">
        <f t="shared" si="21"/>
        <v>68.08</v>
      </c>
      <c r="N131" s="2">
        <v>10</v>
      </c>
      <c r="O131" s="2">
        <v>50.26548245743669</v>
      </c>
      <c r="P131" s="11">
        <f t="shared" si="5"/>
        <v>1.9894367886486919</v>
      </c>
      <c r="Q131" s="2">
        <f t="shared" si="6"/>
        <v>135.44085657120294</v>
      </c>
      <c r="R131" s="2">
        <f t="shared" si="7"/>
        <v>2.170893484738992</v>
      </c>
      <c r="S131" s="2">
        <f t="shared" si="8"/>
        <v>147.79442844103056</v>
      </c>
      <c r="T131" s="2">
        <f t="shared" si="9"/>
        <v>12.353571869827618</v>
      </c>
    </row>
    <row r="132" spans="1:20" x14ac:dyDescent="0.25">
      <c r="A132" s="14">
        <f t="shared" si="22"/>
        <v>0.61721866096866096</v>
      </c>
      <c r="B132" s="2">
        <f t="shared" si="11"/>
        <v>127</v>
      </c>
      <c r="C132" s="4">
        <f t="shared" si="20"/>
        <v>68.83</v>
      </c>
      <c r="D132" s="2">
        <v>9.5</v>
      </c>
      <c r="E132" s="2">
        <v>50.26548245743669</v>
      </c>
      <c r="F132" s="11">
        <f t="shared" si="0"/>
        <v>1.8899649492162571</v>
      </c>
      <c r="G132" s="2">
        <f t="shared" si="1"/>
        <v>130.08628745455496</v>
      </c>
      <c r="H132" s="2">
        <f t="shared" si="2"/>
        <v>2.1948471390664848</v>
      </c>
      <c r="I132" s="2">
        <f t="shared" si="3"/>
        <v>151.07132858194615</v>
      </c>
      <c r="J132" s="2">
        <f t="shared" si="4"/>
        <v>20.985041127391185</v>
      </c>
      <c r="K132" s="15">
        <f t="shared" si="23"/>
        <v>0.46461894586894587</v>
      </c>
      <c r="L132" s="2">
        <f t="shared" si="14"/>
        <v>127</v>
      </c>
      <c r="M132" s="2">
        <f t="shared" si="21"/>
        <v>68.58</v>
      </c>
      <c r="N132" s="2">
        <v>9.5</v>
      </c>
      <c r="O132" s="2">
        <v>50.26548245743669</v>
      </c>
      <c r="P132" s="11">
        <f t="shared" si="5"/>
        <v>1.8899649492162571</v>
      </c>
      <c r="Q132" s="2">
        <f t="shared" si="6"/>
        <v>129.61379621725092</v>
      </c>
      <c r="R132" s="2">
        <f t="shared" si="7"/>
        <v>2.170893484738992</v>
      </c>
      <c r="S132" s="2">
        <f t="shared" si="8"/>
        <v>148.87987518340006</v>
      </c>
      <c r="T132" s="2">
        <f t="shared" si="9"/>
        <v>19.266078966149138</v>
      </c>
    </row>
    <row r="133" spans="1:20" x14ac:dyDescent="0.25">
      <c r="A133" s="14">
        <f t="shared" si="22"/>
        <v>0.61734330484330491</v>
      </c>
      <c r="B133" s="2">
        <f t="shared" si="11"/>
        <v>128</v>
      </c>
      <c r="C133" s="4">
        <f t="shared" si="20"/>
        <v>69.33</v>
      </c>
      <c r="D133" s="2">
        <v>8.5</v>
      </c>
      <c r="E133" s="2">
        <v>50.26548245743669</v>
      </c>
      <c r="F133" s="11">
        <f t="shared" si="0"/>
        <v>1.6910212703513881</v>
      </c>
      <c r="G133" s="2">
        <f t="shared" si="1"/>
        <v>117.23850467346173</v>
      </c>
      <c r="H133" s="2">
        <f t="shared" si="2"/>
        <v>2.1948471390664848</v>
      </c>
      <c r="I133" s="2">
        <f t="shared" si="3"/>
        <v>152.1687521514794</v>
      </c>
      <c r="J133" s="2">
        <f t="shared" si="4"/>
        <v>34.930247478017662</v>
      </c>
      <c r="K133" s="15">
        <f t="shared" si="23"/>
        <v>0.46476139601139604</v>
      </c>
      <c r="L133" s="2">
        <f t="shared" si="14"/>
        <v>128</v>
      </c>
      <c r="M133" s="2">
        <f t="shared" si="21"/>
        <v>69.08</v>
      </c>
      <c r="N133" s="2">
        <v>8.5</v>
      </c>
      <c r="O133" s="2">
        <v>50.26548245743669</v>
      </c>
      <c r="P133" s="11">
        <f t="shared" si="5"/>
        <v>1.6910212703513881</v>
      </c>
      <c r="Q133" s="2">
        <f t="shared" si="6"/>
        <v>116.81574935587389</v>
      </c>
      <c r="R133" s="2">
        <f t="shared" si="7"/>
        <v>2.170893484738992</v>
      </c>
      <c r="S133" s="2">
        <f t="shared" si="8"/>
        <v>149.96532192576956</v>
      </c>
      <c r="T133" s="2">
        <f t="shared" si="9"/>
        <v>33.149572569895668</v>
      </c>
    </row>
    <row r="134" spans="1:20" x14ac:dyDescent="0.25">
      <c r="A134" s="14">
        <f t="shared" si="22"/>
        <v>0.61746794871794874</v>
      </c>
      <c r="B134" s="2">
        <f t="shared" si="11"/>
        <v>129</v>
      </c>
      <c r="C134" s="4">
        <f t="shared" si="20"/>
        <v>69.83</v>
      </c>
      <c r="D134" s="2">
        <v>8.5</v>
      </c>
      <c r="E134" s="2">
        <v>50.26548245743669</v>
      </c>
      <c r="F134" s="11">
        <f t="shared" si="0"/>
        <v>1.6910212703513881</v>
      </c>
      <c r="G134" s="2">
        <f t="shared" si="1"/>
        <v>118.08401530863742</v>
      </c>
      <c r="H134" s="2">
        <f t="shared" si="2"/>
        <v>2.1948471390664848</v>
      </c>
      <c r="I134" s="2">
        <f t="shared" si="3"/>
        <v>153.26617572101262</v>
      </c>
      <c r="J134" s="2">
        <f t="shared" si="4"/>
        <v>35.182160412375197</v>
      </c>
      <c r="K134" s="15">
        <f t="shared" si="23"/>
        <v>0.46490384615384617</v>
      </c>
      <c r="L134" s="2">
        <f t="shared" si="14"/>
        <v>129</v>
      </c>
      <c r="M134" s="2">
        <f t="shared" si="21"/>
        <v>69.58</v>
      </c>
      <c r="N134" s="2">
        <v>9.5</v>
      </c>
      <c r="O134" s="2">
        <v>50.26548245743669</v>
      </c>
      <c r="P134" s="11">
        <f t="shared" si="5"/>
        <v>1.8899649492162571</v>
      </c>
      <c r="Q134" s="2">
        <f t="shared" si="6"/>
        <v>131.50376116646717</v>
      </c>
      <c r="R134" s="2">
        <f t="shared" si="7"/>
        <v>2.170893484738992</v>
      </c>
      <c r="S134" s="2">
        <f t="shared" si="8"/>
        <v>151.05076866813906</v>
      </c>
      <c r="T134" s="2">
        <f t="shared" si="9"/>
        <v>19.547007501671885</v>
      </c>
    </row>
    <row r="135" spans="1:20" x14ac:dyDescent="0.25">
      <c r="A135" s="14">
        <f t="shared" si="22"/>
        <v>0.61759259259259258</v>
      </c>
      <c r="B135" s="2">
        <f t="shared" si="11"/>
        <v>130</v>
      </c>
      <c r="C135" s="4">
        <f t="shared" si="20"/>
        <v>70.33</v>
      </c>
      <c r="D135" s="2">
        <v>9.5</v>
      </c>
      <c r="E135" s="2">
        <v>50.26548245743669</v>
      </c>
      <c r="F135" s="11">
        <f t="shared" si="0"/>
        <v>1.8899649492162571</v>
      </c>
      <c r="G135" s="2">
        <f t="shared" si="1"/>
        <v>132.92123487837935</v>
      </c>
      <c r="H135" s="2">
        <f t="shared" si="2"/>
        <v>2.1948471390664848</v>
      </c>
      <c r="I135" s="2">
        <f t="shared" si="3"/>
        <v>154.36359929054586</v>
      </c>
      <c r="J135" s="2">
        <f t="shared" si="4"/>
        <v>21.442364412166512</v>
      </c>
      <c r="K135" s="15">
        <f t="shared" si="23"/>
        <v>0.46504629629629629</v>
      </c>
      <c r="L135" s="2">
        <f t="shared" si="14"/>
        <v>130</v>
      </c>
      <c r="M135" s="2">
        <f t="shared" si="21"/>
        <v>70.08</v>
      </c>
      <c r="N135" s="2">
        <v>9</v>
      </c>
      <c r="O135" s="2">
        <v>50.26548245743669</v>
      </c>
      <c r="P135" s="11">
        <f t="shared" si="5"/>
        <v>1.7904931097838226</v>
      </c>
      <c r="Q135" s="2">
        <f t="shared" si="6"/>
        <v>125.47775713365029</v>
      </c>
      <c r="R135" s="2">
        <f t="shared" si="7"/>
        <v>2.170893484738992</v>
      </c>
      <c r="S135" s="2">
        <f t="shared" si="8"/>
        <v>152.13621541050856</v>
      </c>
      <c r="T135" s="2">
        <f t="shared" si="9"/>
        <v>26.658458276858269</v>
      </c>
    </row>
    <row r="136" spans="1:20" x14ac:dyDescent="0.25">
      <c r="A136" s="14">
        <f t="shared" si="22"/>
        <v>0.61771723646723653</v>
      </c>
      <c r="B136" s="2">
        <f t="shared" si="11"/>
        <v>131</v>
      </c>
      <c r="C136" s="4">
        <f t="shared" si="20"/>
        <v>70.83</v>
      </c>
      <c r="D136" s="2">
        <v>8.5</v>
      </c>
      <c r="E136" s="2">
        <v>50.26548245743669</v>
      </c>
      <c r="F136" s="11">
        <f t="shared" si="0"/>
        <v>1.6910212703513881</v>
      </c>
      <c r="G136" s="2">
        <f t="shared" si="1"/>
        <v>119.77503657898882</v>
      </c>
      <c r="H136" s="2">
        <f t="shared" si="2"/>
        <v>2.1948471390664848</v>
      </c>
      <c r="I136" s="2">
        <f t="shared" si="3"/>
        <v>155.46102286007911</v>
      </c>
      <c r="J136" s="2">
        <f t="shared" si="4"/>
        <v>35.685986281090294</v>
      </c>
      <c r="K136" s="15">
        <f t="shared" si="23"/>
        <v>0.46518874643874647</v>
      </c>
      <c r="L136" s="2">
        <f t="shared" si="14"/>
        <v>131</v>
      </c>
      <c r="M136" s="2">
        <f t="shared" si="21"/>
        <v>70.58</v>
      </c>
      <c r="N136" s="2">
        <v>9</v>
      </c>
      <c r="O136" s="2">
        <v>50.26548245743669</v>
      </c>
      <c r="P136" s="11">
        <f t="shared" si="5"/>
        <v>1.7904931097838226</v>
      </c>
      <c r="Q136" s="2">
        <f t="shared" si="6"/>
        <v>126.3730036885422</v>
      </c>
      <c r="R136" s="2">
        <f t="shared" si="7"/>
        <v>2.170893484738992</v>
      </c>
      <c r="S136" s="2">
        <f t="shared" si="8"/>
        <v>153.22166215287805</v>
      </c>
      <c r="T136" s="2">
        <f t="shared" si="9"/>
        <v>26.848658464335855</v>
      </c>
    </row>
    <row r="137" spans="1:20" x14ac:dyDescent="0.25">
      <c r="A137" s="14">
        <f t="shared" si="22"/>
        <v>0.61784188034188037</v>
      </c>
      <c r="B137" s="2">
        <f t="shared" si="11"/>
        <v>132</v>
      </c>
      <c r="C137" s="4">
        <f t="shared" si="20"/>
        <v>71.33</v>
      </c>
      <c r="D137" s="2">
        <v>8.5</v>
      </c>
      <c r="E137" s="2">
        <v>50.26548245743669</v>
      </c>
      <c r="F137" s="11">
        <f t="shared" si="0"/>
        <v>1.6910212703513881</v>
      </c>
      <c r="G137" s="2">
        <f t="shared" si="1"/>
        <v>120.6205472141645</v>
      </c>
      <c r="H137" s="2">
        <f t="shared" si="2"/>
        <v>2.1948471390664848</v>
      </c>
      <c r="I137" s="2">
        <f t="shared" si="3"/>
        <v>156.55844642961236</v>
      </c>
      <c r="J137" s="2">
        <f t="shared" si="4"/>
        <v>35.937899215447857</v>
      </c>
      <c r="K137" s="15">
        <f t="shared" si="23"/>
        <v>0.46533119658119659</v>
      </c>
      <c r="L137" s="2">
        <f t="shared" si="14"/>
        <v>132</v>
      </c>
      <c r="M137" s="2">
        <f t="shared" si="21"/>
        <v>71.08</v>
      </c>
      <c r="N137" s="2">
        <v>9.5</v>
      </c>
      <c r="O137" s="2">
        <v>50.26548245743669</v>
      </c>
      <c r="P137" s="11">
        <f t="shared" si="5"/>
        <v>1.8899649492162571</v>
      </c>
      <c r="Q137" s="2">
        <f t="shared" si="6"/>
        <v>134.33870859029156</v>
      </c>
      <c r="R137" s="2">
        <f t="shared" si="7"/>
        <v>2.170893484738992</v>
      </c>
      <c r="S137" s="2">
        <f t="shared" si="8"/>
        <v>154.30710889524755</v>
      </c>
      <c r="T137" s="2">
        <f t="shared" si="9"/>
        <v>19.968400304955992</v>
      </c>
    </row>
    <row r="138" spans="1:20" x14ac:dyDescent="0.25">
      <c r="A138" s="14">
        <f t="shared" si="22"/>
        <v>0.6179665242165242</v>
      </c>
      <c r="B138" s="2">
        <f t="shared" si="11"/>
        <v>133</v>
      </c>
      <c r="C138" s="4">
        <f t="shared" si="20"/>
        <v>71.83</v>
      </c>
      <c r="D138" s="2">
        <v>8.5</v>
      </c>
      <c r="E138" s="2">
        <v>50.26548245743669</v>
      </c>
      <c r="F138" s="11">
        <f t="shared" si="0"/>
        <v>1.6910212703513881</v>
      </c>
      <c r="G138" s="2">
        <f t="shared" si="1"/>
        <v>121.4660578493402</v>
      </c>
      <c r="H138" s="2">
        <f t="shared" si="2"/>
        <v>2.1948471390664848</v>
      </c>
      <c r="I138" s="2">
        <f t="shared" si="3"/>
        <v>157.65586999914561</v>
      </c>
      <c r="J138" s="2">
        <f t="shared" si="4"/>
        <v>36.189812149805405</v>
      </c>
      <c r="K138" s="15">
        <f t="shared" si="23"/>
        <v>0.46547364672364672</v>
      </c>
      <c r="L138" s="2">
        <f t="shared" si="14"/>
        <v>133</v>
      </c>
      <c r="M138" s="2">
        <f t="shared" si="21"/>
        <v>71.58</v>
      </c>
      <c r="N138" s="2">
        <v>8</v>
      </c>
      <c r="O138" s="2">
        <v>50.26548245743669</v>
      </c>
      <c r="P138" s="11">
        <f t="shared" si="5"/>
        <v>1.5915494309189535</v>
      </c>
      <c r="Q138" s="2">
        <f t="shared" si="6"/>
        <v>113.92310826517868</v>
      </c>
      <c r="R138" s="2">
        <f t="shared" si="7"/>
        <v>2.170893484738992</v>
      </c>
      <c r="S138" s="2">
        <f t="shared" si="8"/>
        <v>155.39255563761705</v>
      </c>
      <c r="T138" s="2">
        <f t="shared" si="9"/>
        <v>41.469447372438367</v>
      </c>
    </row>
    <row r="139" spans="1:20" x14ac:dyDescent="0.25">
      <c r="A139" s="14">
        <f t="shared" si="22"/>
        <v>0.61809116809116815</v>
      </c>
      <c r="B139" s="2">
        <f t="shared" si="11"/>
        <v>134</v>
      </c>
      <c r="C139" s="4">
        <f t="shared" si="20"/>
        <v>72.33</v>
      </c>
      <c r="D139" s="2">
        <v>7.5</v>
      </c>
      <c r="E139" s="2">
        <v>50.26548245743669</v>
      </c>
      <c r="F139" s="11">
        <f t="shared" si="0"/>
        <v>1.492077591486519</v>
      </c>
      <c r="G139" s="2">
        <f t="shared" si="1"/>
        <v>107.92197219221991</v>
      </c>
      <c r="H139" s="2">
        <f t="shared" si="2"/>
        <v>2.1948471390664848</v>
      </c>
      <c r="I139" s="2">
        <f t="shared" si="3"/>
        <v>158.75329356867883</v>
      </c>
      <c r="J139" s="2">
        <f t="shared" si="4"/>
        <v>50.831321376458916</v>
      </c>
      <c r="K139" s="15">
        <f t="shared" si="23"/>
        <v>0.4656160968660969</v>
      </c>
      <c r="L139" s="2">
        <f t="shared" si="14"/>
        <v>134</v>
      </c>
      <c r="M139" s="2">
        <f t="shared" si="21"/>
        <v>72.08</v>
      </c>
      <c r="N139" s="2">
        <v>7</v>
      </c>
      <c r="O139" s="2">
        <v>50.26548245743669</v>
      </c>
      <c r="P139" s="11">
        <f t="shared" si="5"/>
        <v>1.3926057520540844</v>
      </c>
      <c r="Q139" s="2">
        <f t="shared" si="6"/>
        <v>100.37902260805841</v>
      </c>
      <c r="R139" s="2">
        <f t="shared" si="7"/>
        <v>2.170893484738992</v>
      </c>
      <c r="S139" s="2">
        <f t="shared" si="8"/>
        <v>156.47800237998655</v>
      </c>
      <c r="T139" s="2">
        <f t="shared" si="9"/>
        <v>56.098979771928143</v>
      </c>
    </row>
    <row r="140" spans="1:20" x14ac:dyDescent="0.25">
      <c r="A140" s="14">
        <f t="shared" si="22"/>
        <v>0.61821581196581199</v>
      </c>
      <c r="B140" s="2">
        <f t="shared" si="11"/>
        <v>135</v>
      </c>
      <c r="C140" s="4">
        <f t="shared" si="20"/>
        <v>72.83</v>
      </c>
      <c r="D140" s="2">
        <v>8</v>
      </c>
      <c r="E140" s="2">
        <v>50.26548245743669</v>
      </c>
      <c r="F140" s="11">
        <f t="shared" si="0"/>
        <v>1.5915494309189535</v>
      </c>
      <c r="G140" s="2">
        <f t="shared" si="1"/>
        <v>115.91254505382739</v>
      </c>
      <c r="H140" s="2">
        <f t="shared" si="2"/>
        <v>2.1948471390664848</v>
      </c>
      <c r="I140" s="2">
        <f t="shared" si="3"/>
        <v>159.85071713821208</v>
      </c>
      <c r="J140" s="2">
        <f t="shared" si="4"/>
        <v>43.938172084384689</v>
      </c>
      <c r="K140" s="15">
        <f t="shared" si="23"/>
        <v>0.46575854700854702</v>
      </c>
      <c r="L140" s="2">
        <f t="shared" si="14"/>
        <v>135</v>
      </c>
      <c r="M140" s="2">
        <f t="shared" si="21"/>
        <v>72.58</v>
      </c>
      <c r="N140" s="2">
        <v>7.5</v>
      </c>
      <c r="O140" s="2">
        <v>50.26548245743669</v>
      </c>
      <c r="P140" s="11">
        <f t="shared" si="5"/>
        <v>1.492077591486519</v>
      </c>
      <c r="Q140" s="2">
        <f t="shared" si="6"/>
        <v>108.29499159009154</v>
      </c>
      <c r="R140" s="2">
        <f t="shared" si="7"/>
        <v>2.170893484738992</v>
      </c>
      <c r="S140" s="2">
        <f t="shared" si="8"/>
        <v>157.56344912235605</v>
      </c>
      <c r="T140" s="2">
        <f t="shared" si="9"/>
        <v>49.268457532264506</v>
      </c>
    </row>
    <row r="141" spans="1:20" x14ac:dyDescent="0.25">
      <c r="A141" s="14">
        <f t="shared" si="22"/>
        <v>0.61834045584045583</v>
      </c>
      <c r="B141" s="2">
        <f t="shared" si="11"/>
        <v>136</v>
      </c>
      <c r="C141" s="4">
        <f t="shared" si="20"/>
        <v>73.33</v>
      </c>
      <c r="D141" s="2">
        <v>8.5</v>
      </c>
      <c r="E141" s="2">
        <v>50.26548245743669</v>
      </c>
      <c r="F141" s="11">
        <f t="shared" si="0"/>
        <v>1.6910212703513881</v>
      </c>
      <c r="G141" s="2">
        <f t="shared" si="1"/>
        <v>124.00258975486729</v>
      </c>
      <c r="H141" s="2">
        <f t="shared" si="2"/>
        <v>2.1948471390664848</v>
      </c>
      <c r="I141" s="2">
        <f t="shared" si="3"/>
        <v>160.94814070774532</v>
      </c>
      <c r="J141" s="2">
        <f t="shared" si="4"/>
        <v>36.945550952878037</v>
      </c>
      <c r="K141" s="15">
        <f t="shared" si="23"/>
        <v>0.46590099715099714</v>
      </c>
      <c r="L141" s="2">
        <f t="shared" si="14"/>
        <v>136</v>
      </c>
      <c r="M141" s="2">
        <f t="shared" si="21"/>
        <v>73.08</v>
      </c>
      <c r="N141" s="2">
        <v>7.5</v>
      </c>
      <c r="O141" s="2">
        <v>50.26548245743669</v>
      </c>
      <c r="P141" s="11">
        <f t="shared" si="5"/>
        <v>1.492077591486519</v>
      </c>
      <c r="Q141" s="2">
        <f t="shared" si="6"/>
        <v>109.0410303858348</v>
      </c>
      <c r="R141" s="2">
        <f t="shared" si="7"/>
        <v>2.170893484738992</v>
      </c>
      <c r="S141" s="2">
        <f t="shared" si="8"/>
        <v>158.64889586472555</v>
      </c>
      <c r="T141" s="2">
        <f t="shared" si="9"/>
        <v>49.607865478890744</v>
      </c>
    </row>
    <row r="142" spans="1:20" x14ac:dyDescent="0.25">
      <c r="A142" s="14">
        <f t="shared" si="22"/>
        <v>0.61846509971509978</v>
      </c>
      <c r="B142" s="2">
        <f t="shared" si="11"/>
        <v>137</v>
      </c>
      <c r="C142" s="4">
        <f t="shared" si="20"/>
        <v>73.83</v>
      </c>
      <c r="D142" s="2">
        <v>8.5</v>
      </c>
      <c r="E142" s="2">
        <v>50.26548245743669</v>
      </c>
      <c r="F142" s="11">
        <f t="shared" si="0"/>
        <v>1.6910212703513881</v>
      </c>
      <c r="G142" s="2">
        <f t="shared" si="1"/>
        <v>124.84810039004297</v>
      </c>
      <c r="H142" s="2">
        <f t="shared" si="2"/>
        <v>2.1948471390664848</v>
      </c>
      <c r="I142" s="2">
        <f t="shared" si="3"/>
        <v>162.04556427727857</v>
      </c>
      <c r="J142" s="2">
        <f t="shared" si="4"/>
        <v>37.1974638872356</v>
      </c>
      <c r="K142" s="15">
        <f t="shared" si="23"/>
        <v>0.46604344729344732</v>
      </c>
      <c r="L142" s="2">
        <f t="shared" si="14"/>
        <v>137</v>
      </c>
      <c r="M142" s="2">
        <f t="shared" si="21"/>
        <v>73.58</v>
      </c>
      <c r="N142" s="2">
        <v>8.5</v>
      </c>
      <c r="O142" s="2">
        <v>50.26548245743669</v>
      </c>
      <c r="P142" s="11">
        <f t="shared" si="5"/>
        <v>1.6910212703513881</v>
      </c>
      <c r="Q142" s="2">
        <f t="shared" si="6"/>
        <v>124.42534507245513</v>
      </c>
      <c r="R142" s="2">
        <f t="shared" si="7"/>
        <v>2.170893484738992</v>
      </c>
      <c r="S142" s="2">
        <f t="shared" si="8"/>
        <v>159.73434260709502</v>
      </c>
      <c r="T142" s="2">
        <f t="shared" si="9"/>
        <v>35.308997534639886</v>
      </c>
    </row>
    <row r="143" spans="1:20" x14ac:dyDescent="0.25">
      <c r="A143" s="14">
        <f t="shared" si="22"/>
        <v>0.61858974358974361</v>
      </c>
      <c r="B143" s="2">
        <f t="shared" si="11"/>
        <v>138</v>
      </c>
      <c r="C143" s="4">
        <f t="shared" si="20"/>
        <v>74.33</v>
      </c>
      <c r="D143" s="2">
        <v>8.5</v>
      </c>
      <c r="E143" s="2">
        <v>50.26548245743669</v>
      </c>
      <c r="F143" s="11">
        <f t="shared" si="0"/>
        <v>1.6910212703513881</v>
      </c>
      <c r="G143" s="2">
        <f t="shared" si="1"/>
        <v>125.69361102521867</v>
      </c>
      <c r="H143" s="2">
        <f t="shared" si="2"/>
        <v>2.1948471390664848</v>
      </c>
      <c r="I143" s="2">
        <f t="shared" si="3"/>
        <v>163.14298784681182</v>
      </c>
      <c r="J143" s="2">
        <f t="shared" si="4"/>
        <v>37.449376821593148</v>
      </c>
      <c r="K143" s="15">
        <f t="shared" si="23"/>
        <v>0.46618589743589745</v>
      </c>
      <c r="L143" s="2">
        <f t="shared" si="14"/>
        <v>138</v>
      </c>
      <c r="M143" s="2">
        <f t="shared" si="21"/>
        <v>74.08</v>
      </c>
      <c r="N143" s="2">
        <v>9</v>
      </c>
      <c r="O143" s="2">
        <v>50.26548245743669</v>
      </c>
      <c r="P143" s="11">
        <f t="shared" si="5"/>
        <v>1.7904931097838226</v>
      </c>
      <c r="Q143" s="2">
        <f t="shared" si="6"/>
        <v>132.63972957278557</v>
      </c>
      <c r="R143" s="2">
        <f t="shared" si="7"/>
        <v>2.170893484738992</v>
      </c>
      <c r="S143" s="2">
        <f t="shared" si="8"/>
        <v>160.81978934946451</v>
      </c>
      <c r="T143" s="2">
        <f t="shared" si="9"/>
        <v>28.180059776678945</v>
      </c>
    </row>
    <row r="144" spans="1:20" x14ac:dyDescent="0.25">
      <c r="A144" s="14">
        <f t="shared" si="22"/>
        <v>0.61871438746438745</v>
      </c>
      <c r="B144" s="2">
        <f t="shared" si="11"/>
        <v>139</v>
      </c>
      <c r="C144" s="4">
        <f t="shared" si="20"/>
        <v>74.83</v>
      </c>
      <c r="D144" s="2">
        <v>9</v>
      </c>
      <c r="E144" s="2">
        <v>50.26548245743669</v>
      </c>
      <c r="F144" s="11">
        <f t="shared" si="0"/>
        <v>1.7904931097838226</v>
      </c>
      <c r="G144" s="2">
        <f t="shared" si="1"/>
        <v>133.98259940512344</v>
      </c>
      <c r="H144" s="2">
        <f t="shared" si="2"/>
        <v>2.1948471390664848</v>
      </c>
      <c r="I144" s="2">
        <f t="shared" si="3"/>
        <v>164.24041141634504</v>
      </c>
      <c r="J144" s="2">
        <f t="shared" si="4"/>
        <v>30.257812011221603</v>
      </c>
      <c r="K144" s="15">
        <f t="shared" si="23"/>
        <v>0.46632834757834757</v>
      </c>
      <c r="L144" s="2">
        <f t="shared" si="14"/>
        <v>139</v>
      </c>
      <c r="M144" s="2">
        <f t="shared" si="21"/>
        <v>74.58</v>
      </c>
      <c r="N144" s="2">
        <v>9</v>
      </c>
      <c r="O144" s="2">
        <v>50.26548245743669</v>
      </c>
      <c r="P144" s="11">
        <f t="shared" si="5"/>
        <v>1.7904931097838226</v>
      </c>
      <c r="Q144" s="2">
        <f t="shared" si="6"/>
        <v>133.53497612767748</v>
      </c>
      <c r="R144" s="2">
        <f t="shared" si="7"/>
        <v>2.170893484738992</v>
      </c>
      <c r="S144" s="2">
        <f t="shared" si="8"/>
        <v>161.90523609183401</v>
      </c>
      <c r="T144" s="2">
        <f t="shared" si="9"/>
        <v>28.370259964156531</v>
      </c>
    </row>
    <row r="145" spans="1:20" x14ac:dyDescent="0.25">
      <c r="A145" s="14">
        <f t="shared" si="22"/>
        <v>0.6188390313390314</v>
      </c>
      <c r="B145" s="2">
        <f t="shared" si="11"/>
        <v>140</v>
      </c>
      <c r="C145" s="4">
        <f t="shared" si="20"/>
        <v>75.33</v>
      </c>
      <c r="D145" s="2">
        <v>8.5</v>
      </c>
      <c r="E145" s="2">
        <v>50.26548245743669</v>
      </c>
      <c r="F145" s="11">
        <f t="shared" si="0"/>
        <v>1.6910212703513881</v>
      </c>
      <c r="G145" s="2">
        <f t="shared" si="1"/>
        <v>127.38463229557006</v>
      </c>
      <c r="H145" s="2">
        <f t="shared" si="2"/>
        <v>2.1948471390664848</v>
      </c>
      <c r="I145" s="2">
        <f t="shared" si="3"/>
        <v>165.33783498587829</v>
      </c>
      <c r="J145" s="2">
        <f t="shared" si="4"/>
        <v>37.953202690308231</v>
      </c>
      <c r="K145" s="15">
        <f t="shared" si="23"/>
        <v>0.46647079772079775</v>
      </c>
      <c r="L145" s="2">
        <f t="shared" si="14"/>
        <v>140</v>
      </c>
      <c r="M145" s="2">
        <f t="shared" si="21"/>
        <v>75.08</v>
      </c>
      <c r="N145" s="2">
        <v>9</v>
      </c>
      <c r="O145" s="2">
        <v>50.26548245743669</v>
      </c>
      <c r="P145" s="11">
        <f t="shared" si="5"/>
        <v>1.7904931097838226</v>
      </c>
      <c r="Q145" s="2">
        <f t="shared" si="6"/>
        <v>134.43022268256939</v>
      </c>
      <c r="R145" s="2">
        <f t="shared" si="7"/>
        <v>2.170893484738992</v>
      </c>
      <c r="S145" s="2">
        <f t="shared" si="8"/>
        <v>162.99068283420351</v>
      </c>
      <c r="T145" s="2">
        <f t="shared" si="9"/>
        <v>28.560460151634118</v>
      </c>
    </row>
    <row r="146" spans="1:20" x14ac:dyDescent="0.25">
      <c r="A146" s="14">
        <f t="shared" si="22"/>
        <v>0.61896367521367524</v>
      </c>
      <c r="B146" s="2">
        <f t="shared" si="11"/>
        <v>141</v>
      </c>
      <c r="C146" s="4">
        <f t="shared" si="20"/>
        <v>75.83</v>
      </c>
      <c r="D146" s="2">
        <v>10</v>
      </c>
      <c r="E146" s="2">
        <v>50.26548245743669</v>
      </c>
      <c r="F146" s="11">
        <f t="shared" si="0"/>
        <v>1.9894367886486919</v>
      </c>
      <c r="G146" s="2">
        <f t="shared" si="1"/>
        <v>150.8589916832303</v>
      </c>
      <c r="H146" s="2">
        <f t="shared" si="2"/>
        <v>2.1948471390664848</v>
      </c>
      <c r="I146" s="2">
        <f t="shared" si="3"/>
        <v>166.43525855541154</v>
      </c>
      <c r="J146" s="2">
        <f t="shared" si="4"/>
        <v>15.576266872181236</v>
      </c>
      <c r="K146" s="15">
        <f t="shared" si="23"/>
        <v>0.46661324786324787</v>
      </c>
      <c r="L146" s="2">
        <f t="shared" si="14"/>
        <v>141</v>
      </c>
      <c r="M146" s="2">
        <f t="shared" si="21"/>
        <v>75.58</v>
      </c>
      <c r="N146" s="2">
        <v>8.5</v>
      </c>
      <c r="O146" s="2">
        <v>50.26548245743669</v>
      </c>
      <c r="P146" s="11">
        <f t="shared" si="5"/>
        <v>1.6910212703513881</v>
      </c>
      <c r="Q146" s="2">
        <f t="shared" si="6"/>
        <v>127.8073876131579</v>
      </c>
      <c r="R146" s="2">
        <f t="shared" si="7"/>
        <v>2.170893484738992</v>
      </c>
      <c r="S146" s="2">
        <f t="shared" si="8"/>
        <v>164.07612957657301</v>
      </c>
      <c r="T146" s="2">
        <f t="shared" si="9"/>
        <v>36.26874196341511</v>
      </c>
    </row>
    <row r="147" spans="1:20" x14ac:dyDescent="0.25">
      <c r="A147" s="14">
        <f t="shared" si="22"/>
        <v>0.61908831908831907</v>
      </c>
      <c r="B147" s="2">
        <f t="shared" si="11"/>
        <v>142</v>
      </c>
      <c r="C147" s="4">
        <f t="shared" si="20"/>
        <v>76.33</v>
      </c>
      <c r="D147" s="2">
        <v>10</v>
      </c>
      <c r="E147" s="2">
        <v>50.26548245743669</v>
      </c>
      <c r="F147" s="11">
        <f t="shared" si="0"/>
        <v>1.9894367886486919</v>
      </c>
      <c r="G147" s="2">
        <f t="shared" si="1"/>
        <v>151.85371007755464</v>
      </c>
      <c r="H147" s="2">
        <f t="shared" si="2"/>
        <v>2.1948471390664848</v>
      </c>
      <c r="I147" s="2">
        <f t="shared" si="3"/>
        <v>167.53268212494478</v>
      </c>
      <c r="J147" s="2">
        <f t="shared" si="4"/>
        <v>15.678972047390147</v>
      </c>
      <c r="K147" s="15">
        <f t="shared" si="23"/>
        <v>0.46675569800569799</v>
      </c>
      <c r="L147" s="2">
        <f t="shared" si="14"/>
        <v>142</v>
      </c>
      <c r="M147" s="2">
        <f t="shared" si="21"/>
        <v>76.08</v>
      </c>
      <c r="N147" s="2">
        <v>9.5</v>
      </c>
      <c r="O147" s="2">
        <v>50.26548245743669</v>
      </c>
      <c r="P147" s="11">
        <f t="shared" si="5"/>
        <v>1.8899649492162571</v>
      </c>
      <c r="Q147" s="2">
        <f t="shared" si="6"/>
        <v>143.78853333637284</v>
      </c>
      <c r="R147" s="2">
        <f t="shared" si="7"/>
        <v>2.170893484738992</v>
      </c>
      <c r="S147" s="2">
        <f t="shared" si="8"/>
        <v>165.16157631894251</v>
      </c>
      <c r="T147" s="2">
        <f t="shared" si="9"/>
        <v>21.373042982569672</v>
      </c>
    </row>
    <row r="148" spans="1:20" x14ac:dyDescent="0.25">
      <c r="A148" s="14">
        <f t="shared" si="22"/>
        <v>0.61921296296296302</v>
      </c>
      <c r="B148" s="2">
        <f t="shared" si="11"/>
        <v>143</v>
      </c>
      <c r="C148" s="4">
        <f t="shared" si="20"/>
        <v>76.83</v>
      </c>
      <c r="D148" s="2">
        <v>11</v>
      </c>
      <c r="E148" s="2">
        <v>50.26548245743669</v>
      </c>
      <c r="F148" s="11">
        <f t="shared" si="0"/>
        <v>2.1883804675135607</v>
      </c>
      <c r="G148" s="2">
        <f t="shared" si="1"/>
        <v>168.13327131906686</v>
      </c>
      <c r="H148" s="2">
        <f t="shared" si="2"/>
        <v>2.1948471390664848</v>
      </c>
      <c r="I148" s="2">
        <f t="shared" si="3"/>
        <v>168.63010569447803</v>
      </c>
      <c r="J148" s="2">
        <f t="shared" si="4"/>
        <v>0.49683437541116859</v>
      </c>
      <c r="K148" s="15">
        <f t="shared" si="23"/>
        <v>0.46689814814814817</v>
      </c>
      <c r="L148" s="2">
        <f t="shared" si="14"/>
        <v>143</v>
      </c>
      <c r="M148" s="2">
        <f t="shared" si="21"/>
        <v>76.58</v>
      </c>
      <c r="N148" s="2">
        <v>9.5</v>
      </c>
      <c r="O148" s="2">
        <v>50.26548245743669</v>
      </c>
      <c r="P148" s="11">
        <f t="shared" si="5"/>
        <v>1.8899649492162571</v>
      </c>
      <c r="Q148" s="2">
        <f t="shared" si="6"/>
        <v>144.73351581098098</v>
      </c>
      <c r="R148" s="2">
        <f t="shared" si="7"/>
        <v>2.170893484738992</v>
      </c>
      <c r="S148" s="2">
        <f t="shared" si="8"/>
        <v>166.24702306131201</v>
      </c>
      <c r="T148" s="2">
        <f t="shared" si="9"/>
        <v>21.513507250331031</v>
      </c>
    </row>
    <row r="149" spans="1:20" x14ac:dyDescent="0.25">
      <c r="A149" s="14">
        <f t="shared" si="22"/>
        <v>0.61933760683760686</v>
      </c>
      <c r="B149" s="2">
        <f t="shared" si="11"/>
        <v>144</v>
      </c>
      <c r="C149" s="4">
        <f t="shared" si="20"/>
        <v>77.33</v>
      </c>
      <c r="D149" s="2">
        <v>9</v>
      </c>
      <c r="E149" s="2">
        <v>50.26548245743669</v>
      </c>
      <c r="F149" s="11">
        <f t="shared" si="0"/>
        <v>1.7904931097838226</v>
      </c>
      <c r="G149" s="2">
        <f t="shared" si="1"/>
        <v>138.458832179583</v>
      </c>
      <c r="H149" s="2">
        <f t="shared" si="2"/>
        <v>2.1948471390664848</v>
      </c>
      <c r="I149" s="2">
        <f t="shared" si="3"/>
        <v>169.72752926401125</v>
      </c>
      <c r="J149" s="2">
        <f t="shared" si="4"/>
        <v>31.268697084428254</v>
      </c>
      <c r="K149" s="15">
        <f t="shared" si="23"/>
        <v>0.4670405982905983</v>
      </c>
      <c r="L149" s="2">
        <f t="shared" si="14"/>
        <v>144</v>
      </c>
      <c r="M149" s="2">
        <f t="shared" si="21"/>
        <v>77.08</v>
      </c>
      <c r="N149" s="2">
        <v>9.5</v>
      </c>
      <c r="O149" s="2">
        <v>50.26548245743669</v>
      </c>
      <c r="P149" s="11">
        <f t="shared" si="5"/>
        <v>1.8899649492162571</v>
      </c>
      <c r="Q149" s="2">
        <f t="shared" si="6"/>
        <v>145.67849828558909</v>
      </c>
      <c r="R149" s="2">
        <f t="shared" si="7"/>
        <v>2.170893484738992</v>
      </c>
      <c r="S149" s="2">
        <f t="shared" si="8"/>
        <v>167.33246980368151</v>
      </c>
      <c r="T149" s="2">
        <f t="shared" si="9"/>
        <v>21.653971518092419</v>
      </c>
    </row>
    <row r="150" spans="1:20" x14ac:dyDescent="0.25">
      <c r="A150" s="14">
        <f t="shared" si="22"/>
        <v>0.61946225071225069</v>
      </c>
      <c r="B150" s="2">
        <f t="shared" si="11"/>
        <v>145</v>
      </c>
      <c r="C150" s="4">
        <f t="shared" si="20"/>
        <v>77.83</v>
      </c>
      <c r="D150" s="2">
        <v>10</v>
      </c>
      <c r="E150" s="2">
        <v>50.26548245743669</v>
      </c>
      <c r="F150" s="11">
        <f t="shared" si="0"/>
        <v>1.9894367886486919</v>
      </c>
      <c r="G150" s="2">
        <f t="shared" si="1"/>
        <v>154.83786526052768</v>
      </c>
      <c r="H150" s="2">
        <f t="shared" si="2"/>
        <v>2.1948471390664848</v>
      </c>
      <c r="I150" s="2">
        <f t="shared" si="3"/>
        <v>170.8249528335445</v>
      </c>
      <c r="J150" s="2">
        <f t="shared" si="4"/>
        <v>15.987087573016822</v>
      </c>
      <c r="K150" s="15">
        <f t="shared" si="23"/>
        <v>0.46718304843304842</v>
      </c>
      <c r="L150" s="2">
        <f t="shared" si="14"/>
        <v>145</v>
      </c>
      <c r="M150" s="2">
        <f t="shared" si="21"/>
        <v>77.58</v>
      </c>
      <c r="N150" s="2">
        <v>10</v>
      </c>
      <c r="O150" s="2">
        <v>50.26548245743669</v>
      </c>
      <c r="P150" s="11">
        <f t="shared" si="5"/>
        <v>1.9894367886486919</v>
      </c>
      <c r="Q150" s="2">
        <f t="shared" si="6"/>
        <v>154.34050606336552</v>
      </c>
      <c r="R150" s="2">
        <f t="shared" si="7"/>
        <v>2.170893484738992</v>
      </c>
      <c r="S150" s="2">
        <f t="shared" si="8"/>
        <v>168.417916546051</v>
      </c>
      <c r="T150" s="2">
        <f t="shared" si="9"/>
        <v>14.07741048268548</v>
      </c>
    </row>
    <row r="151" spans="1:20" x14ac:dyDescent="0.25">
      <c r="A151" s="14">
        <f t="shared" si="22"/>
        <v>0.61958689458689464</v>
      </c>
      <c r="B151" s="2">
        <f t="shared" si="11"/>
        <v>146</v>
      </c>
      <c r="C151" s="4">
        <f t="shared" si="20"/>
        <v>78.33</v>
      </c>
      <c r="D151" s="2">
        <v>10</v>
      </c>
      <c r="E151" s="2">
        <v>50.26548245743669</v>
      </c>
      <c r="F151" s="11">
        <f t="shared" si="0"/>
        <v>1.9894367886486919</v>
      </c>
      <c r="G151" s="2">
        <f t="shared" si="1"/>
        <v>155.83258365485204</v>
      </c>
      <c r="H151" s="2">
        <f t="shared" si="2"/>
        <v>2.1948471390664848</v>
      </c>
      <c r="I151" s="2">
        <f t="shared" si="3"/>
        <v>171.92237640307775</v>
      </c>
      <c r="J151" s="2">
        <f t="shared" si="4"/>
        <v>16.089792748225705</v>
      </c>
      <c r="K151" s="15">
        <f t="shared" si="23"/>
        <v>0.4673254985754986</v>
      </c>
      <c r="L151" s="2">
        <f t="shared" si="14"/>
        <v>146</v>
      </c>
      <c r="M151" s="2">
        <f t="shared" si="21"/>
        <v>78.08</v>
      </c>
      <c r="N151" s="2">
        <v>10</v>
      </c>
      <c r="O151" s="2">
        <v>50.26548245743669</v>
      </c>
      <c r="P151" s="11">
        <f t="shared" si="5"/>
        <v>1.9894367886486919</v>
      </c>
      <c r="Q151" s="2">
        <f t="shared" si="6"/>
        <v>155.33522445768986</v>
      </c>
      <c r="R151" s="2">
        <f t="shared" si="7"/>
        <v>2.170893484738992</v>
      </c>
      <c r="S151" s="2">
        <f t="shared" si="8"/>
        <v>169.5033632884205</v>
      </c>
      <c r="T151" s="2">
        <f t="shared" si="9"/>
        <v>14.168138830730641</v>
      </c>
    </row>
    <row r="152" spans="1:20" x14ac:dyDescent="0.25">
      <c r="A152" s="14">
        <f t="shared" si="22"/>
        <v>0.61971153846153848</v>
      </c>
      <c r="B152" s="2">
        <f t="shared" si="11"/>
        <v>147</v>
      </c>
      <c r="C152" s="4">
        <f t="shared" si="20"/>
        <v>78.83</v>
      </c>
      <c r="D152" s="2">
        <v>11</v>
      </c>
      <c r="E152" s="2">
        <v>50.26548245743669</v>
      </c>
      <c r="F152" s="11">
        <f t="shared" si="0"/>
        <v>2.1883804675135607</v>
      </c>
      <c r="G152" s="2">
        <f t="shared" si="1"/>
        <v>172.510032254094</v>
      </c>
      <c r="H152" s="2">
        <f t="shared" si="2"/>
        <v>2.1948471390664848</v>
      </c>
      <c r="I152" s="2">
        <f t="shared" si="3"/>
        <v>173.019799972611</v>
      </c>
      <c r="J152" s="2">
        <f t="shared" si="4"/>
        <v>0.50976771851699709</v>
      </c>
      <c r="K152" s="15">
        <f t="shared" si="23"/>
        <v>0.46746794871794872</v>
      </c>
      <c r="L152" s="2">
        <f t="shared" si="14"/>
        <v>147</v>
      </c>
      <c r="M152" s="2">
        <f t="shared" si="21"/>
        <v>78.58</v>
      </c>
      <c r="N152" s="2">
        <v>10.5</v>
      </c>
      <c r="O152" s="2">
        <v>50.26548245743669</v>
      </c>
      <c r="P152" s="11">
        <f t="shared" si="5"/>
        <v>2.0889086280811267</v>
      </c>
      <c r="Q152" s="2">
        <f t="shared" si="6"/>
        <v>164.14643999461492</v>
      </c>
      <c r="R152" s="2">
        <f t="shared" si="7"/>
        <v>2.170893484738992</v>
      </c>
      <c r="S152" s="2">
        <f t="shared" si="8"/>
        <v>170.58881003079</v>
      </c>
      <c r="T152" s="2">
        <f t="shared" si="9"/>
        <v>6.4423700361750775</v>
      </c>
    </row>
    <row r="153" spans="1:20" x14ac:dyDescent="0.25">
      <c r="A153" s="14">
        <f t="shared" si="22"/>
        <v>0.61983618233618232</v>
      </c>
      <c r="B153" s="2">
        <f t="shared" si="11"/>
        <v>148</v>
      </c>
      <c r="C153" s="4">
        <f t="shared" si="20"/>
        <v>79.33</v>
      </c>
      <c r="D153" s="2">
        <v>10</v>
      </c>
      <c r="E153" s="2">
        <v>50.26548245743669</v>
      </c>
      <c r="F153" s="11">
        <f t="shared" si="0"/>
        <v>1.9894367886486919</v>
      </c>
      <c r="G153" s="2">
        <f t="shared" si="1"/>
        <v>157.82202044350072</v>
      </c>
      <c r="H153" s="2">
        <f t="shared" si="2"/>
        <v>2.1948471390664848</v>
      </c>
      <c r="I153" s="2">
        <f t="shared" si="3"/>
        <v>174.11722354214425</v>
      </c>
      <c r="J153" s="2">
        <f t="shared" si="4"/>
        <v>16.295203098643526</v>
      </c>
      <c r="K153" s="15">
        <f t="shared" si="23"/>
        <v>0.46761039886039885</v>
      </c>
      <c r="L153" s="2">
        <f t="shared" si="14"/>
        <v>148</v>
      </c>
      <c r="M153" s="2">
        <f t="shared" si="21"/>
        <v>79.08</v>
      </c>
      <c r="N153" s="2">
        <v>10</v>
      </c>
      <c r="O153" s="2">
        <v>50.26548245743669</v>
      </c>
      <c r="P153" s="11">
        <f t="shared" si="5"/>
        <v>1.9894367886486919</v>
      </c>
      <c r="Q153" s="2">
        <f t="shared" si="6"/>
        <v>157.32466124633856</v>
      </c>
      <c r="R153" s="2">
        <f t="shared" si="7"/>
        <v>2.170893484738992</v>
      </c>
      <c r="S153" s="2">
        <f t="shared" si="8"/>
        <v>171.6742567731595</v>
      </c>
      <c r="T153" s="2">
        <f t="shared" si="9"/>
        <v>14.349595526820934</v>
      </c>
    </row>
    <row r="154" spans="1:20" x14ac:dyDescent="0.25">
      <c r="A154" s="14">
        <f t="shared" si="22"/>
        <v>0.61996082621082627</v>
      </c>
      <c r="B154" s="2">
        <f t="shared" si="11"/>
        <v>149</v>
      </c>
      <c r="C154" s="4">
        <f t="shared" si="20"/>
        <v>79.83</v>
      </c>
      <c r="D154" s="2">
        <v>11</v>
      </c>
      <c r="E154" s="2">
        <v>50.26548245743669</v>
      </c>
      <c r="F154" s="11">
        <f t="shared" si="0"/>
        <v>2.1883804675135607</v>
      </c>
      <c r="G154" s="2">
        <f t="shared" si="1"/>
        <v>174.69841272160755</v>
      </c>
      <c r="H154" s="2">
        <f t="shared" si="2"/>
        <v>2.1948471390664848</v>
      </c>
      <c r="I154" s="2">
        <f t="shared" si="3"/>
        <v>175.21464711167746</v>
      </c>
      <c r="J154" s="2">
        <f t="shared" si="4"/>
        <v>0.51623439006991134</v>
      </c>
      <c r="K154" s="15">
        <f t="shared" si="23"/>
        <v>0.46775284900284902</v>
      </c>
      <c r="L154" s="2">
        <f t="shared" si="14"/>
        <v>149</v>
      </c>
      <c r="M154" s="2">
        <f t="shared" si="21"/>
        <v>79.58</v>
      </c>
      <c r="N154" s="2">
        <v>10.5</v>
      </c>
      <c r="O154" s="2">
        <v>50.26548245743669</v>
      </c>
      <c r="P154" s="11">
        <f t="shared" si="5"/>
        <v>2.0889086280811267</v>
      </c>
      <c r="Q154" s="2">
        <f t="shared" si="6"/>
        <v>166.23534862269605</v>
      </c>
      <c r="R154" s="2">
        <f t="shared" si="7"/>
        <v>2.170893484738992</v>
      </c>
      <c r="S154" s="2">
        <f t="shared" si="8"/>
        <v>172.75970351552897</v>
      </c>
      <c r="T154" s="2">
        <f t="shared" si="9"/>
        <v>6.5243548928329176</v>
      </c>
    </row>
    <row r="155" spans="1:20" x14ac:dyDescent="0.25">
      <c r="A155" s="14">
        <f t="shared" si="22"/>
        <v>0.6200854700854701</v>
      </c>
      <c r="B155" s="2">
        <f t="shared" si="11"/>
        <v>150</v>
      </c>
      <c r="C155" s="4">
        <f t="shared" si="20"/>
        <v>80.33</v>
      </c>
      <c r="D155" s="2">
        <v>11</v>
      </c>
      <c r="E155" s="2">
        <v>50.26548245743669</v>
      </c>
      <c r="F155" s="11">
        <f t="shared" si="0"/>
        <v>2.1883804675135607</v>
      </c>
      <c r="G155" s="2">
        <f t="shared" si="1"/>
        <v>175.79260295536434</v>
      </c>
      <c r="H155" s="2">
        <f t="shared" si="2"/>
        <v>2.1948471390664848</v>
      </c>
      <c r="I155" s="2">
        <f t="shared" si="3"/>
        <v>176.31207068121071</v>
      </c>
      <c r="J155" s="2">
        <f t="shared" si="4"/>
        <v>0.51946772584636847</v>
      </c>
      <c r="K155" s="15">
        <f t="shared" si="23"/>
        <v>0.46789529914529915</v>
      </c>
      <c r="L155" s="2">
        <f t="shared" si="14"/>
        <v>150</v>
      </c>
      <c r="M155" s="2">
        <f t="shared" si="21"/>
        <v>80.08</v>
      </c>
      <c r="N155" s="2">
        <v>14</v>
      </c>
      <c r="O155" s="2">
        <v>50.26548245743669</v>
      </c>
      <c r="P155" s="11">
        <f t="shared" si="5"/>
        <v>2.7852115041081689</v>
      </c>
      <c r="Q155" s="2">
        <f t="shared" si="6"/>
        <v>223.03973724898216</v>
      </c>
      <c r="R155" s="2">
        <f t="shared" si="7"/>
        <v>2.170893484738992</v>
      </c>
      <c r="S155" s="2">
        <f t="shared" si="8"/>
        <v>173.84515025789847</v>
      </c>
      <c r="T155" s="2">
        <f t="shared" si="9"/>
        <v>49.194586991083696</v>
      </c>
    </row>
    <row r="156" spans="1:20" x14ac:dyDescent="0.25">
      <c r="A156" s="14">
        <f t="shared" si="22"/>
        <v>0.62021011396011394</v>
      </c>
      <c r="B156" s="2">
        <f t="shared" si="11"/>
        <v>151</v>
      </c>
      <c r="C156" s="4">
        <f t="shared" si="20"/>
        <v>80.83</v>
      </c>
      <c r="D156" s="2">
        <v>12</v>
      </c>
      <c r="E156" s="2">
        <v>50.26548245743669</v>
      </c>
      <c r="F156" s="11">
        <f t="shared" si="0"/>
        <v>2.3873241463784298</v>
      </c>
      <c r="G156" s="2">
        <f t="shared" si="1"/>
        <v>192.96741075176848</v>
      </c>
      <c r="H156" s="2">
        <f t="shared" si="2"/>
        <v>2.1948471390664848</v>
      </c>
      <c r="I156" s="2">
        <f t="shared" si="3"/>
        <v>177.40949425074396</v>
      </c>
      <c r="J156" s="2">
        <f t="shared" si="4"/>
        <v>15.557916501024522</v>
      </c>
      <c r="K156" s="15">
        <f t="shared" si="23"/>
        <v>0.46803774928774927</v>
      </c>
      <c r="L156" s="2">
        <f t="shared" si="14"/>
        <v>151</v>
      </c>
      <c r="M156" s="2">
        <f t="shared" si="21"/>
        <v>80.58</v>
      </c>
      <c r="N156" s="2">
        <v>12.5</v>
      </c>
      <c r="O156" s="2">
        <v>50.26548245743669</v>
      </c>
      <c r="P156" s="11">
        <f t="shared" si="5"/>
        <v>2.4867959858108648</v>
      </c>
      <c r="Q156" s="2">
        <f t="shared" si="6"/>
        <v>200.38602053663948</v>
      </c>
      <c r="R156" s="2">
        <f t="shared" si="7"/>
        <v>2.170893484738992</v>
      </c>
      <c r="S156" s="2">
        <f t="shared" si="8"/>
        <v>174.93059700026797</v>
      </c>
      <c r="T156" s="2">
        <f t="shared" si="9"/>
        <v>25.455423536371512</v>
      </c>
    </row>
    <row r="157" spans="1:20" x14ac:dyDescent="0.25">
      <c r="A157" s="14">
        <f t="shared" si="22"/>
        <v>0.62033475783475789</v>
      </c>
      <c r="B157" s="2">
        <f t="shared" si="11"/>
        <v>152</v>
      </c>
      <c r="C157" s="4">
        <f t="shared" si="20"/>
        <v>81.33</v>
      </c>
      <c r="D157" s="2">
        <v>13</v>
      </c>
      <c r="E157" s="2">
        <v>50.26548245743669</v>
      </c>
      <c r="F157" s="11">
        <f t="shared" si="0"/>
        <v>2.5862678252432989</v>
      </c>
      <c r="G157" s="2">
        <f t="shared" si="1"/>
        <v>210.3411622270375</v>
      </c>
      <c r="H157" s="2">
        <f t="shared" si="2"/>
        <v>2.1948471390664848</v>
      </c>
      <c r="I157" s="2">
        <f t="shared" si="3"/>
        <v>178.50691782027721</v>
      </c>
      <c r="J157" s="2">
        <f t="shared" si="4"/>
        <v>31.834244406760291</v>
      </c>
      <c r="K157" s="15">
        <f t="shared" si="23"/>
        <v>0.46818019943019945</v>
      </c>
      <c r="L157" s="2">
        <f t="shared" si="14"/>
        <v>152</v>
      </c>
      <c r="M157" s="2">
        <f t="shared" si="21"/>
        <v>81.08</v>
      </c>
      <c r="N157" s="2">
        <v>12.5</v>
      </c>
      <c r="O157" s="2">
        <v>50.26548245743669</v>
      </c>
      <c r="P157" s="11">
        <f t="shared" si="5"/>
        <v>2.4867959858108648</v>
      </c>
      <c r="Q157" s="2">
        <f t="shared" si="6"/>
        <v>201.62941852954492</v>
      </c>
      <c r="R157" s="2">
        <f t="shared" si="7"/>
        <v>2.170893484738992</v>
      </c>
      <c r="S157" s="2">
        <f t="shared" si="8"/>
        <v>176.01604374263746</v>
      </c>
      <c r="T157" s="2">
        <f t="shared" si="9"/>
        <v>25.613374786907457</v>
      </c>
    </row>
    <row r="158" spans="1:20" x14ac:dyDescent="0.25">
      <c r="A158" s="14">
        <f t="shared" si="22"/>
        <v>0.62045940170940173</v>
      </c>
      <c r="B158" s="2">
        <f t="shared" si="11"/>
        <v>153</v>
      </c>
      <c r="C158" s="4">
        <f t="shared" si="20"/>
        <v>81.83</v>
      </c>
      <c r="D158" s="2">
        <v>10.5</v>
      </c>
      <c r="E158" s="2">
        <v>50.26548245743669</v>
      </c>
      <c r="F158" s="11">
        <f t="shared" si="0"/>
        <v>2.0889086280811267</v>
      </c>
      <c r="G158" s="2">
        <f t="shared" si="1"/>
        <v>170.9353930358786</v>
      </c>
      <c r="H158" s="2">
        <f t="shared" si="2"/>
        <v>2.1948471390664848</v>
      </c>
      <c r="I158" s="2">
        <f t="shared" si="3"/>
        <v>179.60434138981046</v>
      </c>
      <c r="J158" s="2">
        <f t="shared" si="4"/>
        <v>8.668948353931853</v>
      </c>
      <c r="K158" s="15">
        <f t="shared" si="23"/>
        <v>0.46832264957264957</v>
      </c>
      <c r="L158" s="2">
        <f t="shared" si="14"/>
        <v>153</v>
      </c>
      <c r="M158" s="2">
        <f t="shared" si="21"/>
        <v>81.58</v>
      </c>
      <c r="N158" s="2">
        <v>11.5</v>
      </c>
      <c r="O158" s="2">
        <v>50.26548245743669</v>
      </c>
      <c r="P158" s="11">
        <f t="shared" si="5"/>
        <v>2.2878523069459957</v>
      </c>
      <c r="Q158" s="2">
        <f t="shared" si="6"/>
        <v>186.64299120065434</v>
      </c>
      <c r="R158" s="2">
        <f t="shared" si="7"/>
        <v>2.170893484738992</v>
      </c>
      <c r="S158" s="2">
        <f t="shared" si="8"/>
        <v>177.10149048500696</v>
      </c>
      <c r="T158" s="2">
        <f t="shared" si="9"/>
        <v>9.5415007156473735</v>
      </c>
    </row>
    <row r="159" spans="1:20" x14ac:dyDescent="0.25">
      <c r="A159" s="14">
        <f t="shared" si="22"/>
        <v>0.62058404558404556</v>
      </c>
      <c r="B159" s="2">
        <f t="shared" si="11"/>
        <v>154</v>
      </c>
      <c r="C159" s="4">
        <f t="shared" si="20"/>
        <v>82.33</v>
      </c>
      <c r="D159" s="2">
        <v>13</v>
      </c>
      <c r="E159" s="2">
        <v>50.26548245743669</v>
      </c>
      <c r="F159" s="11">
        <f t="shared" si="0"/>
        <v>2.5862678252432989</v>
      </c>
      <c r="G159" s="2">
        <f t="shared" si="1"/>
        <v>212.92743005228078</v>
      </c>
      <c r="H159" s="2">
        <f t="shared" si="2"/>
        <v>2.1948471390664848</v>
      </c>
      <c r="I159" s="2">
        <f t="shared" si="3"/>
        <v>180.70176495934368</v>
      </c>
      <c r="J159" s="2">
        <f t="shared" si="4"/>
        <v>32.225665092937106</v>
      </c>
      <c r="K159" s="15">
        <f t="shared" si="23"/>
        <v>0.4684650997150997</v>
      </c>
      <c r="L159" s="2">
        <f t="shared" si="14"/>
        <v>154</v>
      </c>
      <c r="M159" s="2">
        <f t="shared" si="21"/>
        <v>82.08</v>
      </c>
      <c r="N159" s="2">
        <v>12.5</v>
      </c>
      <c r="O159" s="2">
        <v>50.26548245743669</v>
      </c>
      <c r="P159" s="11">
        <f t="shared" si="5"/>
        <v>2.4867959858108648</v>
      </c>
      <c r="Q159" s="2">
        <f t="shared" si="6"/>
        <v>204.11621451535578</v>
      </c>
      <c r="R159" s="2">
        <f t="shared" si="7"/>
        <v>2.170893484738992</v>
      </c>
      <c r="S159" s="2">
        <f t="shared" si="8"/>
        <v>178.18693722737646</v>
      </c>
      <c r="T159" s="2">
        <f t="shared" si="9"/>
        <v>25.929277287979318</v>
      </c>
    </row>
    <row r="160" spans="1:20" x14ac:dyDescent="0.25">
      <c r="A160" s="14">
        <f t="shared" si="22"/>
        <v>0.62070868945868951</v>
      </c>
      <c r="B160" s="2">
        <f t="shared" si="11"/>
        <v>155</v>
      </c>
      <c r="C160" s="4">
        <f t="shared" si="20"/>
        <v>82.83</v>
      </c>
      <c r="D160" s="2">
        <v>11</v>
      </c>
      <c r="E160" s="2">
        <v>50.26548245743669</v>
      </c>
      <c r="F160" s="11">
        <f t="shared" si="0"/>
        <v>2.1883804675135607</v>
      </c>
      <c r="G160" s="2">
        <f t="shared" si="1"/>
        <v>181.26355412414824</v>
      </c>
      <c r="H160" s="2">
        <f t="shared" si="2"/>
        <v>2.1948471390664848</v>
      </c>
      <c r="I160" s="2">
        <f t="shared" si="3"/>
        <v>181.79918852887693</v>
      </c>
      <c r="J160" s="2">
        <f t="shared" si="4"/>
        <v>0.53563440472868251</v>
      </c>
      <c r="K160" s="15">
        <f t="shared" si="23"/>
        <v>0.46860754985754988</v>
      </c>
      <c r="L160" s="2">
        <f t="shared" si="14"/>
        <v>155</v>
      </c>
      <c r="M160" s="2">
        <f t="shared" si="21"/>
        <v>82.58</v>
      </c>
      <c r="N160" s="2">
        <v>12.5</v>
      </c>
      <c r="O160" s="2">
        <v>50.26548245743669</v>
      </c>
      <c r="P160" s="11">
        <f t="shared" si="5"/>
        <v>2.4867959858108648</v>
      </c>
      <c r="Q160" s="2">
        <f t="shared" si="6"/>
        <v>205.35961250826122</v>
      </c>
      <c r="R160" s="2">
        <f t="shared" si="7"/>
        <v>2.170893484738992</v>
      </c>
      <c r="S160" s="2">
        <f t="shared" si="8"/>
        <v>179.27238396974596</v>
      </c>
      <c r="T160" s="2">
        <f t="shared" si="9"/>
        <v>26.087228538515262</v>
      </c>
    </row>
    <row r="161" spans="1:20" x14ac:dyDescent="0.25">
      <c r="A161" s="10">
        <v>0.62083333333333335</v>
      </c>
      <c r="B161" s="2">
        <f t="shared" si="11"/>
        <v>156</v>
      </c>
      <c r="C161" s="4">
        <f t="shared" si="20"/>
        <v>83.33</v>
      </c>
      <c r="D161" s="2">
        <v>10.5</v>
      </c>
      <c r="E161" s="2">
        <v>50.26548245743669</v>
      </c>
      <c r="F161" s="11">
        <f t="shared" si="0"/>
        <v>2.0889086280811267</v>
      </c>
      <c r="G161" s="2">
        <f t="shared" si="1"/>
        <v>174.06875597800027</v>
      </c>
      <c r="H161" s="2">
        <f t="shared" si="2"/>
        <v>2.1948471390664848</v>
      </c>
      <c r="I161" s="2">
        <f t="shared" si="3"/>
        <v>182.89661209841017</v>
      </c>
      <c r="J161" s="2">
        <f t="shared" si="4"/>
        <v>8.8278561204099049</v>
      </c>
      <c r="K161" s="12">
        <v>0.46875</v>
      </c>
      <c r="L161" s="2">
        <f t="shared" si="14"/>
        <v>156</v>
      </c>
      <c r="M161" s="2">
        <f t="shared" si="21"/>
        <v>83.08</v>
      </c>
      <c r="N161" s="2">
        <v>10.5</v>
      </c>
      <c r="O161" s="2">
        <v>50.26548245743669</v>
      </c>
      <c r="P161" s="11">
        <f t="shared" si="5"/>
        <v>2.0889086280811267</v>
      </c>
      <c r="Q161" s="2">
        <f t="shared" si="6"/>
        <v>173.54652882098</v>
      </c>
      <c r="R161" s="2">
        <f t="shared" si="7"/>
        <v>2.170893484738992</v>
      </c>
      <c r="S161" s="2">
        <f t="shared" si="8"/>
        <v>180.35783071211546</v>
      </c>
      <c r="T161" s="2">
        <f t="shared" si="9"/>
        <v>6.8113018911354573</v>
      </c>
    </row>
    <row r="162" spans="1:20" x14ac:dyDescent="0.25">
      <c r="A162" s="10">
        <v>0.62083333333333335</v>
      </c>
      <c r="B162" s="2">
        <f t="shared" si="11"/>
        <v>157</v>
      </c>
      <c r="C162" s="4">
        <f t="shared" si="20"/>
        <v>83.83</v>
      </c>
      <c r="D162" s="2">
        <v>12.5</v>
      </c>
      <c r="E162" s="2">
        <v>50.26548245743669</v>
      </c>
      <c r="F162" s="11">
        <f t="shared" si="0"/>
        <v>2.4867959858108648</v>
      </c>
      <c r="G162" s="2">
        <f t="shared" si="1"/>
        <v>208.4681074905248</v>
      </c>
      <c r="H162" s="2">
        <f t="shared" si="2"/>
        <v>2.1948471390664848</v>
      </c>
      <c r="I162" s="2">
        <f t="shared" si="3"/>
        <v>183.99403566794342</v>
      </c>
      <c r="J162" s="2">
        <f t="shared" si="4"/>
        <v>24.474071822581379</v>
      </c>
      <c r="K162" s="12">
        <v>0.46875</v>
      </c>
      <c r="L162" s="2">
        <f t="shared" si="14"/>
        <v>157</v>
      </c>
      <c r="M162" s="2">
        <f t="shared" si="21"/>
        <v>83.58</v>
      </c>
      <c r="N162" s="2">
        <v>10.5</v>
      </c>
      <c r="O162" s="2">
        <v>50.26548245743669</v>
      </c>
      <c r="P162" s="11">
        <f t="shared" si="5"/>
        <v>2.0889086280811267</v>
      </c>
      <c r="Q162" s="2">
        <f t="shared" si="6"/>
        <v>174.59098313502056</v>
      </c>
      <c r="R162" s="2">
        <f t="shared" si="7"/>
        <v>2.170893484738992</v>
      </c>
      <c r="S162" s="2">
        <f t="shared" si="8"/>
        <v>181.44327745448496</v>
      </c>
      <c r="T162" s="2">
        <f t="shared" si="9"/>
        <v>6.8522943194643915</v>
      </c>
    </row>
    <row r="163" spans="1:20" x14ac:dyDescent="0.25">
      <c r="A163" s="10"/>
      <c r="C163" s="4"/>
      <c r="F163" s="11"/>
      <c r="K163" s="12"/>
      <c r="P163" s="11"/>
    </row>
    <row r="164" spans="1:20" x14ac:dyDescent="0.25">
      <c r="A164" s="10"/>
      <c r="C164" s="4"/>
      <c r="F164" s="11"/>
      <c r="K164" s="12"/>
      <c r="P164" s="11"/>
    </row>
    <row r="165" spans="1:20" x14ac:dyDescent="0.25">
      <c r="A165" s="10"/>
      <c r="C165" s="4"/>
      <c r="F165" s="11"/>
      <c r="K165" s="12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29">
    <mergeCell ref="V23:X23"/>
    <mergeCell ref="V24:X24"/>
    <mergeCell ref="V25:X25"/>
    <mergeCell ref="V26:X26"/>
    <mergeCell ref="V11:W11"/>
    <mergeCell ref="V12:W12"/>
    <mergeCell ref="V13:W13"/>
    <mergeCell ref="V14:W14"/>
    <mergeCell ref="V15:W15"/>
    <mergeCell ref="V16:W16"/>
    <mergeCell ref="V17:W17"/>
    <mergeCell ref="V10:W10"/>
    <mergeCell ref="V18:W18"/>
    <mergeCell ref="V19:X19"/>
    <mergeCell ref="W20:X20"/>
    <mergeCell ref="V21:W21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E4:F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X276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15315.312066324454</v>
      </c>
      <c r="G2" s="4">
        <f>SUM(C6:C174)</f>
        <v>6934.3099999999931</v>
      </c>
      <c r="H2" s="2">
        <f>F2/G2</f>
        <v>2.208628121085511</v>
      </c>
      <c r="I2" s="2">
        <f>SUM(J6:J174)</f>
        <v>1959.3899715182238</v>
      </c>
      <c r="J2" s="2">
        <f>(1-(I2/(F2)))*100</f>
        <v>87.206333354273852</v>
      </c>
      <c r="K2" s="1"/>
      <c r="L2" s="1"/>
      <c r="M2" s="1"/>
      <c r="N2" s="1"/>
      <c r="O2" s="1"/>
      <c r="P2" s="2">
        <f>SUM(Q6:Q174)</f>
        <v>17079.678897481339</v>
      </c>
      <c r="Q2" s="2">
        <f>SUM(M6:M174)</f>
        <v>6895.0599999999931</v>
      </c>
      <c r="R2" s="2">
        <f>P2/Q2</f>
        <v>2.4770892345362268</v>
      </c>
      <c r="S2" s="2">
        <f>SUM(T6:T174)</f>
        <v>1973.3217444344602</v>
      </c>
      <c r="T2" s="2">
        <f>(1-(S2/(P2)))*100</f>
        <v>88.446376795025955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48" t="s">
        <v>87</v>
      </c>
      <c r="F4" s="32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48" t="s">
        <v>87</v>
      </c>
      <c r="P4" s="32"/>
      <c r="V4" s="34" t="s">
        <v>12</v>
      </c>
      <c r="W4" s="36"/>
      <c r="X4" s="6" t="s">
        <v>87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45793</v>
      </c>
    </row>
    <row r="6" spans="1:24" x14ac:dyDescent="0.25">
      <c r="A6" s="10">
        <v>0.47013888888888888</v>
      </c>
      <c r="B6" s="2">
        <v>1</v>
      </c>
      <c r="C6" s="4">
        <v>4.83</v>
      </c>
      <c r="D6" s="2">
        <v>3.5</v>
      </c>
      <c r="E6" s="2">
        <v>50.26548245743669</v>
      </c>
      <c r="F6" s="11">
        <f t="shared" ref="F6:F162" si="0">(D6/E6)*10</f>
        <v>0.69630287602704222</v>
      </c>
      <c r="G6" s="2">
        <f t="shared" ref="G6:G162" si="1">F6*C6</f>
        <v>3.363142891210614</v>
      </c>
      <c r="H6" s="2">
        <f t="shared" ref="H6:H162" si="2">$H$2</f>
        <v>2.208628121085511</v>
      </c>
      <c r="I6" s="2">
        <f t="shared" ref="I6:I162" si="3">H6*C6</f>
        <v>10.667673824843018</v>
      </c>
      <c r="J6" s="2">
        <f t="shared" ref="J6:J162" si="4">ABS(G6-I6)</f>
        <v>7.3045309336324031</v>
      </c>
      <c r="K6" s="12">
        <v>0.44930555555555557</v>
      </c>
      <c r="L6" s="2">
        <v>1</v>
      </c>
      <c r="M6" s="2">
        <v>4.58</v>
      </c>
      <c r="N6" s="2">
        <v>3</v>
      </c>
      <c r="O6" s="2">
        <v>50.26548245743669</v>
      </c>
      <c r="P6" s="11">
        <f t="shared" ref="P6:P162" si="5">(N6/O6)*10</f>
        <v>0.59683103659460746</v>
      </c>
      <c r="Q6" s="2">
        <f t="shared" ref="Q6:Q162" si="6">P6*M6</f>
        <v>2.7334861476033021</v>
      </c>
      <c r="R6" s="2">
        <f t="shared" ref="R6:R162" si="7">$R$2</f>
        <v>2.4770892345362268</v>
      </c>
      <c r="S6" s="2">
        <f t="shared" ref="S6:S162" si="8">R6*M6</f>
        <v>11.345068694175918</v>
      </c>
      <c r="T6" s="2">
        <f t="shared" ref="T6:T162" si="9">ABS(Q6-S6)</f>
        <v>8.6115825465726168</v>
      </c>
      <c r="V6" s="37" t="s">
        <v>23</v>
      </c>
      <c r="W6" s="36"/>
      <c r="X6" s="13" t="s">
        <v>80</v>
      </c>
    </row>
    <row r="7" spans="1:24" x14ac:dyDescent="0.25">
      <c r="A7" s="30">
        <f t="shared" ref="A7:A43" si="10">IF(AND($A$6&lt;&gt;"",$A$44&lt;&gt;""), $A$6 + (B7 - $B$6) * (($A$44 - $A$6) / ($B$44 - $B$6)), "")</f>
        <v>0.47028508771929822</v>
      </c>
      <c r="B7" s="2">
        <f t="shared" ref="B7:B162" si="11">B6+1</f>
        <v>2</v>
      </c>
      <c r="C7" s="4">
        <f t="shared" ref="C7:C109" si="12">C6+0.5</f>
        <v>5.33</v>
      </c>
      <c r="D7" s="2">
        <v>5</v>
      </c>
      <c r="E7" s="2">
        <v>50.26548245743669</v>
      </c>
      <c r="F7" s="11">
        <f t="shared" si="0"/>
        <v>0.99471839432434594</v>
      </c>
      <c r="G7" s="2">
        <f t="shared" si="1"/>
        <v>5.3018490417487643</v>
      </c>
      <c r="H7" s="2">
        <f t="shared" si="2"/>
        <v>2.208628121085511</v>
      </c>
      <c r="I7" s="2">
        <f t="shared" si="3"/>
        <v>11.771987885385773</v>
      </c>
      <c r="J7" s="2">
        <f t="shared" si="4"/>
        <v>6.4701388436370086</v>
      </c>
      <c r="K7" s="15">
        <f t="shared" ref="K7:K43" si="13">IF(AND($K$6&lt;&gt;"",$K$44&lt;&gt;""), $K$6 + (L7 - $L$6) * (($K$44 - $K$6) / ($L$44 - $L$6)), "")</f>
        <v>0.44943347953216378</v>
      </c>
      <c r="L7" s="2">
        <f t="shared" ref="L7:L162" si="14">L6+1</f>
        <v>2</v>
      </c>
      <c r="M7" s="2">
        <f t="shared" ref="M7:M109" si="15">M6+0.5</f>
        <v>5.08</v>
      </c>
      <c r="N7" s="2">
        <v>4</v>
      </c>
      <c r="O7" s="2">
        <v>50.26548245743669</v>
      </c>
      <c r="P7" s="11">
        <f t="shared" si="5"/>
        <v>0.79577471545947676</v>
      </c>
      <c r="Q7" s="2">
        <f t="shared" si="6"/>
        <v>4.0425355545341422</v>
      </c>
      <c r="R7" s="2">
        <f t="shared" si="7"/>
        <v>2.4770892345362268</v>
      </c>
      <c r="S7" s="2">
        <f t="shared" si="8"/>
        <v>12.583613311444033</v>
      </c>
      <c r="T7" s="2">
        <f t="shared" si="9"/>
        <v>8.5410777569098908</v>
      </c>
      <c r="V7" s="37" t="s">
        <v>24</v>
      </c>
      <c r="W7" s="36"/>
      <c r="X7" s="6" t="s">
        <v>88</v>
      </c>
    </row>
    <row r="8" spans="1:24" x14ac:dyDescent="0.25">
      <c r="A8" s="30">
        <f t="shared" si="10"/>
        <v>0.47043128654970762</v>
      </c>
      <c r="B8" s="2">
        <f t="shared" si="11"/>
        <v>3</v>
      </c>
      <c r="C8" s="4">
        <f t="shared" si="12"/>
        <v>5.83</v>
      </c>
      <c r="D8" s="2">
        <v>6.5</v>
      </c>
      <c r="E8" s="2">
        <v>50.26548245743669</v>
      </c>
      <c r="F8" s="11">
        <f t="shared" si="0"/>
        <v>1.2931339126216495</v>
      </c>
      <c r="G8" s="2">
        <f t="shared" si="1"/>
        <v>7.5389707105842163</v>
      </c>
      <c r="H8" s="2">
        <f t="shared" si="2"/>
        <v>2.208628121085511</v>
      </c>
      <c r="I8" s="2">
        <f t="shared" si="3"/>
        <v>12.87630194592853</v>
      </c>
      <c r="J8" s="2">
        <f t="shared" si="4"/>
        <v>5.3373312353443136</v>
      </c>
      <c r="K8" s="15">
        <f t="shared" si="13"/>
        <v>0.44956140350877194</v>
      </c>
      <c r="L8" s="2">
        <f t="shared" si="14"/>
        <v>3</v>
      </c>
      <c r="M8" s="2">
        <f t="shared" si="15"/>
        <v>5.58</v>
      </c>
      <c r="N8" s="2">
        <v>6</v>
      </c>
      <c r="O8" s="2">
        <v>50.26548245743669</v>
      </c>
      <c r="P8" s="11">
        <f t="shared" si="5"/>
        <v>1.1936620731892149</v>
      </c>
      <c r="Q8" s="2">
        <f t="shared" si="6"/>
        <v>6.6606343683958196</v>
      </c>
      <c r="R8" s="2">
        <f t="shared" si="7"/>
        <v>2.4770892345362268</v>
      </c>
      <c r="S8" s="2">
        <f t="shared" si="8"/>
        <v>13.822157928712146</v>
      </c>
      <c r="T8" s="2">
        <f t="shared" si="9"/>
        <v>7.1615235603163265</v>
      </c>
      <c r="V8" s="34" t="s">
        <v>25</v>
      </c>
      <c r="W8" s="35"/>
      <c r="X8" s="36"/>
    </row>
    <row r="9" spans="1:24" x14ac:dyDescent="0.25">
      <c r="A9" s="30">
        <f t="shared" si="10"/>
        <v>0.47057748538011696</v>
      </c>
      <c r="B9" s="2">
        <f t="shared" si="11"/>
        <v>4</v>
      </c>
      <c r="C9" s="4">
        <f t="shared" si="12"/>
        <v>6.33</v>
      </c>
      <c r="D9" s="2">
        <v>8.5</v>
      </c>
      <c r="E9" s="2">
        <v>50.26548245743669</v>
      </c>
      <c r="F9" s="11">
        <f t="shared" si="0"/>
        <v>1.6910212703513881</v>
      </c>
      <c r="G9" s="2">
        <f t="shared" si="1"/>
        <v>10.704164641324287</v>
      </c>
      <c r="H9" s="2">
        <f t="shared" si="2"/>
        <v>2.208628121085511</v>
      </c>
      <c r="I9" s="2">
        <f t="shared" si="3"/>
        <v>13.980616006471285</v>
      </c>
      <c r="J9" s="2">
        <f t="shared" si="4"/>
        <v>3.2764513651469986</v>
      </c>
      <c r="K9" s="15">
        <f t="shared" si="13"/>
        <v>0.44968932748538015</v>
      </c>
      <c r="L9" s="2">
        <f t="shared" si="14"/>
        <v>4</v>
      </c>
      <c r="M9" s="2">
        <f t="shared" si="15"/>
        <v>6.08</v>
      </c>
      <c r="N9" s="2">
        <v>8</v>
      </c>
      <c r="O9" s="2">
        <v>50.26548245743669</v>
      </c>
      <c r="P9" s="11">
        <f t="shared" si="5"/>
        <v>1.5915494309189535</v>
      </c>
      <c r="Q9" s="2">
        <f t="shared" si="6"/>
        <v>9.6766205399872369</v>
      </c>
      <c r="R9" s="2">
        <f t="shared" si="7"/>
        <v>2.4770892345362268</v>
      </c>
      <c r="S9" s="2">
        <f t="shared" si="8"/>
        <v>15.060702545980259</v>
      </c>
      <c r="T9" s="2">
        <f t="shared" si="9"/>
        <v>5.3840820059930223</v>
      </c>
      <c r="V9" s="34" t="s">
        <v>26</v>
      </c>
      <c r="W9" s="36"/>
      <c r="X9" s="16">
        <v>0.53472222222222221</v>
      </c>
    </row>
    <row r="10" spans="1:24" x14ac:dyDescent="0.25">
      <c r="A10" s="30">
        <f t="shared" si="10"/>
        <v>0.47072368421052629</v>
      </c>
      <c r="B10" s="2">
        <f t="shared" si="11"/>
        <v>5</v>
      </c>
      <c r="C10" s="4">
        <f t="shared" si="12"/>
        <v>6.83</v>
      </c>
      <c r="D10" s="2">
        <v>10</v>
      </c>
      <c r="E10" s="2">
        <v>50.26548245743669</v>
      </c>
      <c r="F10" s="11">
        <f t="shared" si="0"/>
        <v>1.9894367886486919</v>
      </c>
      <c r="G10" s="2">
        <f t="shared" si="1"/>
        <v>13.587853266470566</v>
      </c>
      <c r="H10" s="2">
        <f t="shared" si="2"/>
        <v>2.208628121085511</v>
      </c>
      <c r="I10" s="2">
        <f t="shared" si="3"/>
        <v>15.08493006701404</v>
      </c>
      <c r="J10" s="2">
        <f t="shared" si="4"/>
        <v>1.4970768005434749</v>
      </c>
      <c r="K10" s="15">
        <f t="shared" si="13"/>
        <v>0.44981725146198831</v>
      </c>
      <c r="L10" s="2">
        <f t="shared" si="14"/>
        <v>5</v>
      </c>
      <c r="M10" s="2">
        <f t="shared" si="15"/>
        <v>6.58</v>
      </c>
      <c r="N10" s="2">
        <v>9.5</v>
      </c>
      <c r="O10" s="2">
        <v>50.26548245743669</v>
      </c>
      <c r="P10" s="11">
        <f t="shared" si="5"/>
        <v>1.8899649492162571</v>
      </c>
      <c r="Q10" s="2">
        <f t="shared" si="6"/>
        <v>12.435969365842972</v>
      </c>
      <c r="R10" s="2">
        <f t="shared" si="7"/>
        <v>2.4770892345362268</v>
      </c>
      <c r="S10" s="2">
        <f t="shared" si="8"/>
        <v>16.299247163248371</v>
      </c>
      <c r="T10" s="2">
        <f t="shared" si="9"/>
        <v>3.8632777974053987</v>
      </c>
      <c r="V10" s="34" t="s">
        <v>27</v>
      </c>
      <c r="W10" s="36"/>
      <c r="X10" s="6">
        <v>50</v>
      </c>
    </row>
    <row r="11" spans="1:24" x14ac:dyDescent="0.25">
      <c r="A11" s="30">
        <f t="shared" si="10"/>
        <v>0.47086988304093569</v>
      </c>
      <c r="B11" s="2">
        <f t="shared" si="11"/>
        <v>6</v>
      </c>
      <c r="C11" s="4">
        <f t="shared" si="12"/>
        <v>7.33</v>
      </c>
      <c r="D11" s="2">
        <v>12</v>
      </c>
      <c r="E11" s="2">
        <v>50.26548245743669</v>
      </c>
      <c r="F11" s="11">
        <f t="shared" si="0"/>
        <v>2.3873241463784298</v>
      </c>
      <c r="G11" s="2">
        <f t="shared" si="1"/>
        <v>17.499085992953891</v>
      </c>
      <c r="H11" s="2">
        <f t="shared" si="2"/>
        <v>2.208628121085511</v>
      </c>
      <c r="I11" s="2">
        <f t="shared" si="3"/>
        <v>16.189244127556794</v>
      </c>
      <c r="J11" s="2">
        <f t="shared" si="4"/>
        <v>1.3098418653970967</v>
      </c>
      <c r="K11" s="15">
        <f t="shared" si="13"/>
        <v>0.44994517543859652</v>
      </c>
      <c r="L11" s="2">
        <f t="shared" si="14"/>
        <v>6</v>
      </c>
      <c r="M11" s="2">
        <f t="shared" si="15"/>
        <v>7.08</v>
      </c>
      <c r="N11" s="2">
        <v>11</v>
      </c>
      <c r="O11" s="2">
        <v>50.26548245743669</v>
      </c>
      <c r="P11" s="11">
        <f t="shared" si="5"/>
        <v>2.1883804675135607</v>
      </c>
      <c r="Q11" s="2">
        <f t="shared" si="6"/>
        <v>15.493733709996011</v>
      </c>
      <c r="R11" s="2">
        <f t="shared" si="7"/>
        <v>2.4770892345362268</v>
      </c>
      <c r="S11" s="2">
        <f t="shared" si="8"/>
        <v>17.537791780516486</v>
      </c>
      <c r="T11" s="2">
        <f t="shared" si="9"/>
        <v>2.0440580705204745</v>
      </c>
      <c r="V11" s="34" t="s">
        <v>28</v>
      </c>
      <c r="W11" s="36"/>
      <c r="X11" s="6">
        <v>50</v>
      </c>
    </row>
    <row r="12" spans="1:24" x14ac:dyDescent="0.25">
      <c r="A12" s="30">
        <f t="shared" si="10"/>
        <v>0.47101608187134503</v>
      </c>
      <c r="B12" s="2">
        <f t="shared" si="11"/>
        <v>7</v>
      </c>
      <c r="C12" s="4">
        <f t="shared" si="12"/>
        <v>7.83</v>
      </c>
      <c r="D12" s="23">
        <v>17</v>
      </c>
      <c r="E12" s="2">
        <v>50.26548245743669</v>
      </c>
      <c r="F12" s="11">
        <f t="shared" si="0"/>
        <v>3.3820425407027761</v>
      </c>
      <c r="G12" s="2">
        <f t="shared" si="1"/>
        <v>26.481393093702739</v>
      </c>
      <c r="H12" s="2">
        <f t="shared" si="2"/>
        <v>2.208628121085511</v>
      </c>
      <c r="I12" s="2">
        <f t="shared" si="3"/>
        <v>17.293558188099553</v>
      </c>
      <c r="J12" s="2">
        <f t="shared" si="4"/>
        <v>9.1878349056031858</v>
      </c>
      <c r="K12" s="15">
        <f t="shared" si="13"/>
        <v>0.45007309941520468</v>
      </c>
      <c r="L12" s="2">
        <f t="shared" si="14"/>
        <v>7</v>
      </c>
      <c r="M12" s="2">
        <f t="shared" si="15"/>
        <v>7.58</v>
      </c>
      <c r="N12" s="23">
        <v>14</v>
      </c>
      <c r="O12" s="2">
        <v>50.26548245743669</v>
      </c>
      <c r="P12" s="11">
        <f t="shared" si="5"/>
        <v>2.7852115041081689</v>
      </c>
      <c r="Q12" s="2">
        <f t="shared" si="6"/>
        <v>21.111903201139921</v>
      </c>
      <c r="R12" s="2">
        <f t="shared" si="7"/>
        <v>2.4770892345362268</v>
      </c>
      <c r="S12" s="2">
        <f t="shared" si="8"/>
        <v>18.776336397784601</v>
      </c>
      <c r="T12" s="2">
        <f t="shared" si="9"/>
        <v>2.3355668033553201</v>
      </c>
      <c r="V12" s="34" t="s">
        <v>29</v>
      </c>
      <c r="W12" s="36"/>
      <c r="X12" s="6">
        <v>50</v>
      </c>
    </row>
    <row r="13" spans="1:24" x14ac:dyDescent="0.25">
      <c r="A13" s="30">
        <f t="shared" si="10"/>
        <v>0.47116228070175437</v>
      </c>
      <c r="B13" s="2">
        <f t="shared" si="11"/>
        <v>8</v>
      </c>
      <c r="C13" s="4">
        <f t="shared" si="12"/>
        <v>8.33</v>
      </c>
      <c r="D13" s="2">
        <v>16.5</v>
      </c>
      <c r="E13" s="2">
        <v>50.26548245743669</v>
      </c>
      <c r="F13" s="11">
        <f t="shared" si="0"/>
        <v>3.2825707012703416</v>
      </c>
      <c r="G13" s="2">
        <f t="shared" si="1"/>
        <v>27.343813941581946</v>
      </c>
      <c r="H13" s="2">
        <f t="shared" si="2"/>
        <v>2.208628121085511</v>
      </c>
      <c r="I13" s="2">
        <f t="shared" si="3"/>
        <v>18.397872248642308</v>
      </c>
      <c r="J13" s="2">
        <f t="shared" si="4"/>
        <v>8.9459416929396376</v>
      </c>
      <c r="K13" s="15">
        <f t="shared" si="13"/>
        <v>0.45020102339181289</v>
      </c>
      <c r="L13" s="2">
        <f t="shared" si="14"/>
        <v>8</v>
      </c>
      <c r="M13" s="2">
        <f t="shared" si="15"/>
        <v>8.08</v>
      </c>
      <c r="N13" s="2">
        <v>16.5</v>
      </c>
      <c r="O13" s="2">
        <v>50.26548245743669</v>
      </c>
      <c r="P13" s="11">
        <f t="shared" si="5"/>
        <v>3.2825707012703416</v>
      </c>
      <c r="Q13" s="2">
        <f t="shared" si="6"/>
        <v>26.52317126626436</v>
      </c>
      <c r="R13" s="2">
        <f t="shared" si="7"/>
        <v>2.4770892345362268</v>
      </c>
      <c r="S13" s="2">
        <f t="shared" si="8"/>
        <v>20.014881015052712</v>
      </c>
      <c r="T13" s="2">
        <f t="shared" si="9"/>
        <v>6.5082902512116476</v>
      </c>
      <c r="V13" s="34" t="s">
        <v>30</v>
      </c>
      <c r="W13" s="36"/>
      <c r="X13" s="16">
        <v>0.62430555555555556</v>
      </c>
    </row>
    <row r="14" spans="1:24" x14ac:dyDescent="0.25">
      <c r="A14" s="30">
        <f t="shared" si="10"/>
        <v>0.47130847953216376</v>
      </c>
      <c r="B14" s="2">
        <f t="shared" si="11"/>
        <v>9</v>
      </c>
      <c r="C14" s="4">
        <f t="shared" si="12"/>
        <v>8.83</v>
      </c>
      <c r="D14" s="2">
        <v>16.5</v>
      </c>
      <c r="E14" s="2">
        <v>50.26548245743669</v>
      </c>
      <c r="F14" s="11">
        <f t="shared" si="0"/>
        <v>3.2825707012703416</v>
      </c>
      <c r="G14" s="2">
        <f t="shared" si="1"/>
        <v>28.985099292217114</v>
      </c>
      <c r="H14" s="2">
        <f t="shared" si="2"/>
        <v>2.208628121085511</v>
      </c>
      <c r="I14" s="2">
        <f t="shared" si="3"/>
        <v>19.502186309185063</v>
      </c>
      <c r="J14" s="2">
        <f t="shared" si="4"/>
        <v>9.4829129830320511</v>
      </c>
      <c r="K14" s="15">
        <f t="shared" si="13"/>
        <v>0.45032894736842105</v>
      </c>
      <c r="L14" s="2">
        <f t="shared" si="14"/>
        <v>9</v>
      </c>
      <c r="M14" s="2">
        <f t="shared" si="15"/>
        <v>8.58</v>
      </c>
      <c r="N14" s="2">
        <v>17</v>
      </c>
      <c r="O14" s="2">
        <v>50.26548245743669</v>
      </c>
      <c r="P14" s="11">
        <f t="shared" si="5"/>
        <v>3.3820425407027761</v>
      </c>
      <c r="Q14" s="2">
        <f t="shared" si="6"/>
        <v>29.01792499922982</v>
      </c>
      <c r="R14" s="2">
        <f t="shared" si="7"/>
        <v>2.4770892345362268</v>
      </c>
      <c r="S14" s="2">
        <f t="shared" si="8"/>
        <v>21.253425632320827</v>
      </c>
      <c r="T14" s="2">
        <f t="shared" si="9"/>
        <v>7.7644993669089928</v>
      </c>
      <c r="V14" s="34" t="s">
        <v>31</v>
      </c>
      <c r="W14" s="36"/>
      <c r="X14" s="6">
        <v>45</v>
      </c>
    </row>
    <row r="15" spans="1:24" x14ac:dyDescent="0.25">
      <c r="A15" s="30">
        <f t="shared" si="10"/>
        <v>0.4714546783625731</v>
      </c>
      <c r="B15" s="2">
        <f t="shared" si="11"/>
        <v>10</v>
      </c>
      <c r="C15" s="4">
        <f t="shared" si="12"/>
        <v>9.33</v>
      </c>
      <c r="D15" s="2">
        <v>17.5</v>
      </c>
      <c r="E15" s="2">
        <v>50.26548245743669</v>
      </c>
      <c r="F15" s="11">
        <f t="shared" si="0"/>
        <v>3.4815143801352106</v>
      </c>
      <c r="G15" s="2">
        <f t="shared" si="1"/>
        <v>32.482529166661514</v>
      </c>
      <c r="H15" s="2">
        <f t="shared" si="2"/>
        <v>2.208628121085511</v>
      </c>
      <c r="I15" s="2">
        <f t="shared" si="3"/>
        <v>20.606500369727819</v>
      </c>
      <c r="J15" s="2">
        <f t="shared" si="4"/>
        <v>11.876028796933696</v>
      </c>
      <c r="K15" s="15">
        <f t="shared" si="13"/>
        <v>0.45045687134502926</v>
      </c>
      <c r="L15" s="2">
        <f t="shared" si="14"/>
        <v>10</v>
      </c>
      <c r="M15" s="2">
        <f t="shared" si="15"/>
        <v>9.08</v>
      </c>
      <c r="N15" s="2">
        <v>17</v>
      </c>
      <c r="O15" s="2">
        <v>50.26548245743669</v>
      </c>
      <c r="P15" s="11">
        <f t="shared" si="5"/>
        <v>3.3820425407027761</v>
      </c>
      <c r="Q15" s="2">
        <f t="shared" si="6"/>
        <v>30.708946269581208</v>
      </c>
      <c r="R15" s="2">
        <f t="shared" si="7"/>
        <v>2.4770892345362268</v>
      </c>
      <c r="S15" s="2">
        <f t="shared" si="8"/>
        <v>22.491970249588938</v>
      </c>
      <c r="T15" s="2">
        <f t="shared" si="9"/>
        <v>8.2169760199922699</v>
      </c>
      <c r="V15" s="34" t="s">
        <v>32</v>
      </c>
      <c r="W15" s="36"/>
      <c r="X15" s="6">
        <v>45.5</v>
      </c>
    </row>
    <row r="16" spans="1:24" x14ac:dyDescent="0.25">
      <c r="A16" s="30">
        <f t="shared" si="10"/>
        <v>0.47160087719298244</v>
      </c>
      <c r="B16" s="2">
        <f t="shared" si="11"/>
        <v>11</v>
      </c>
      <c r="C16" s="4">
        <f t="shared" si="12"/>
        <v>9.83</v>
      </c>
      <c r="D16" s="2">
        <v>19</v>
      </c>
      <c r="E16" s="2">
        <v>50.26548245743669</v>
      </c>
      <c r="F16" s="11">
        <f t="shared" si="0"/>
        <v>3.7799298984325143</v>
      </c>
      <c r="G16" s="2">
        <f t="shared" si="1"/>
        <v>37.156710901591616</v>
      </c>
      <c r="H16" s="2">
        <f t="shared" si="2"/>
        <v>2.208628121085511</v>
      </c>
      <c r="I16" s="2">
        <f t="shared" si="3"/>
        <v>21.710814430270574</v>
      </c>
      <c r="J16" s="2">
        <f t="shared" si="4"/>
        <v>15.445896471321042</v>
      </c>
      <c r="K16" s="15">
        <f t="shared" si="13"/>
        <v>0.45058479532163742</v>
      </c>
      <c r="L16" s="2">
        <f t="shared" si="14"/>
        <v>11</v>
      </c>
      <c r="M16" s="2">
        <f t="shared" si="15"/>
        <v>9.58</v>
      </c>
      <c r="N16" s="2">
        <v>18</v>
      </c>
      <c r="O16" s="2">
        <v>50.26548245743669</v>
      </c>
      <c r="P16" s="11">
        <f t="shared" si="5"/>
        <v>3.5809862195676452</v>
      </c>
      <c r="Q16" s="2">
        <f t="shared" si="6"/>
        <v>34.305847983458044</v>
      </c>
      <c r="R16" s="2">
        <f t="shared" si="7"/>
        <v>2.4770892345362268</v>
      </c>
      <c r="S16" s="2">
        <f t="shared" si="8"/>
        <v>23.730514866857053</v>
      </c>
      <c r="T16" s="2">
        <f t="shared" si="9"/>
        <v>10.575333116600991</v>
      </c>
      <c r="V16" s="34" t="s">
        <v>33</v>
      </c>
      <c r="W16" s="36"/>
      <c r="X16" s="6">
        <v>45</v>
      </c>
    </row>
    <row r="17" spans="1:24" x14ac:dyDescent="0.25">
      <c r="A17" s="30">
        <f t="shared" si="10"/>
        <v>0.47174707602339178</v>
      </c>
      <c r="B17" s="2">
        <f t="shared" si="11"/>
        <v>12</v>
      </c>
      <c r="C17" s="4">
        <f t="shared" si="12"/>
        <v>10.33</v>
      </c>
      <c r="D17" s="2">
        <v>19</v>
      </c>
      <c r="E17" s="2">
        <v>50.26548245743669</v>
      </c>
      <c r="F17" s="11">
        <f t="shared" si="0"/>
        <v>3.7799298984325143</v>
      </c>
      <c r="G17" s="2">
        <f t="shared" si="1"/>
        <v>39.046675850807873</v>
      </c>
      <c r="H17" s="2">
        <f t="shared" si="2"/>
        <v>2.208628121085511</v>
      </c>
      <c r="I17" s="2">
        <f t="shared" si="3"/>
        <v>22.815128490813329</v>
      </c>
      <c r="J17" s="2">
        <f t="shared" si="4"/>
        <v>16.231547359994543</v>
      </c>
      <c r="K17" s="15">
        <f t="shared" si="13"/>
        <v>0.45071271929824563</v>
      </c>
      <c r="L17" s="2">
        <f t="shared" si="14"/>
        <v>12</v>
      </c>
      <c r="M17" s="2">
        <f t="shared" si="15"/>
        <v>10.08</v>
      </c>
      <c r="N17" s="2">
        <v>24.5</v>
      </c>
      <c r="O17" s="2">
        <v>50.26548245743669</v>
      </c>
      <c r="P17" s="11">
        <f t="shared" si="5"/>
        <v>4.8741201321892946</v>
      </c>
      <c r="Q17" s="2">
        <f t="shared" si="6"/>
        <v>49.131130932468089</v>
      </c>
      <c r="R17" s="2">
        <f t="shared" si="7"/>
        <v>2.4770892345362268</v>
      </c>
      <c r="S17" s="2">
        <f t="shared" si="8"/>
        <v>24.969059484125165</v>
      </c>
      <c r="T17" s="2">
        <f t="shared" si="9"/>
        <v>24.162071448342925</v>
      </c>
      <c r="V17" s="38" t="s">
        <v>34</v>
      </c>
      <c r="W17" s="36"/>
      <c r="X17" s="17">
        <f>((X10-X14)+(X11-X15)+(X12-X16))/3</f>
        <v>4.833333333333333</v>
      </c>
    </row>
    <row r="18" spans="1:24" x14ac:dyDescent="0.25">
      <c r="A18" s="30">
        <f t="shared" si="10"/>
        <v>0.47189327485380117</v>
      </c>
      <c r="B18" s="2">
        <f t="shared" si="11"/>
        <v>13</v>
      </c>
      <c r="C18" s="4">
        <f t="shared" si="12"/>
        <v>10.83</v>
      </c>
      <c r="D18" s="2">
        <v>20</v>
      </c>
      <c r="E18" s="2">
        <v>50.26548245743669</v>
      </c>
      <c r="F18" s="11">
        <f t="shared" si="0"/>
        <v>3.9788735772973838</v>
      </c>
      <c r="G18" s="2">
        <f t="shared" si="1"/>
        <v>43.091200842130668</v>
      </c>
      <c r="H18" s="2">
        <f t="shared" si="2"/>
        <v>2.208628121085511</v>
      </c>
      <c r="I18" s="2">
        <f t="shared" si="3"/>
        <v>23.919442551356084</v>
      </c>
      <c r="J18" s="2">
        <f t="shared" si="4"/>
        <v>19.171758290774584</v>
      </c>
      <c r="K18" s="15">
        <f t="shared" si="13"/>
        <v>0.45084064327485379</v>
      </c>
      <c r="L18" s="2">
        <f t="shared" si="14"/>
        <v>13</v>
      </c>
      <c r="M18" s="2">
        <f t="shared" si="15"/>
        <v>10.58</v>
      </c>
      <c r="N18" s="2">
        <v>18</v>
      </c>
      <c r="O18" s="2">
        <v>50.26548245743669</v>
      </c>
      <c r="P18" s="11">
        <f t="shared" si="5"/>
        <v>3.5809862195676452</v>
      </c>
      <c r="Q18" s="2">
        <f t="shared" si="6"/>
        <v>37.886834203025685</v>
      </c>
      <c r="R18" s="2">
        <f t="shared" si="7"/>
        <v>2.4770892345362268</v>
      </c>
      <c r="S18" s="2">
        <f t="shared" si="8"/>
        <v>26.207604101393279</v>
      </c>
      <c r="T18" s="2">
        <f t="shared" si="9"/>
        <v>11.679230101632406</v>
      </c>
      <c r="V18" s="38" t="s">
        <v>35</v>
      </c>
      <c r="W18" s="36"/>
      <c r="X18" s="18" t="s">
        <v>41</v>
      </c>
    </row>
    <row r="19" spans="1:24" x14ac:dyDescent="0.25">
      <c r="A19" s="30">
        <f t="shared" si="10"/>
        <v>0.47203947368421051</v>
      </c>
      <c r="B19" s="2">
        <f t="shared" si="11"/>
        <v>14</v>
      </c>
      <c r="C19" s="4">
        <f t="shared" si="12"/>
        <v>11.33</v>
      </c>
      <c r="D19" s="2">
        <v>18</v>
      </c>
      <c r="E19" s="2">
        <v>50.26548245743669</v>
      </c>
      <c r="F19" s="11">
        <f t="shared" si="0"/>
        <v>3.5809862195676452</v>
      </c>
      <c r="G19" s="2">
        <f t="shared" si="1"/>
        <v>40.572573867701422</v>
      </c>
      <c r="H19" s="2">
        <f t="shared" si="2"/>
        <v>2.208628121085511</v>
      </c>
      <c r="I19" s="2">
        <f t="shared" si="3"/>
        <v>25.02375661189884</v>
      </c>
      <c r="J19" s="2">
        <f t="shared" si="4"/>
        <v>15.548817255802582</v>
      </c>
      <c r="K19" s="15">
        <f t="shared" si="13"/>
        <v>0.450968567251462</v>
      </c>
      <c r="L19" s="2">
        <f t="shared" si="14"/>
        <v>14</v>
      </c>
      <c r="M19" s="2">
        <f t="shared" si="15"/>
        <v>11.08</v>
      </c>
      <c r="N19" s="2">
        <v>17.5</v>
      </c>
      <c r="O19" s="2">
        <v>50.26548245743669</v>
      </c>
      <c r="P19" s="11">
        <f t="shared" si="5"/>
        <v>3.4815143801352106</v>
      </c>
      <c r="Q19" s="2">
        <f t="shared" si="6"/>
        <v>38.575179331898134</v>
      </c>
      <c r="R19" s="2">
        <f t="shared" si="7"/>
        <v>2.4770892345362268</v>
      </c>
      <c r="S19" s="2">
        <f t="shared" si="8"/>
        <v>27.446148718661394</v>
      </c>
      <c r="T19" s="2">
        <f t="shared" si="9"/>
        <v>11.12903061323674</v>
      </c>
      <c r="V19" s="39" t="s">
        <v>37</v>
      </c>
      <c r="W19" s="35"/>
      <c r="X19" s="36"/>
    </row>
    <row r="20" spans="1:24" x14ac:dyDescent="0.25">
      <c r="A20" s="30">
        <f t="shared" si="10"/>
        <v>0.47218567251461985</v>
      </c>
      <c r="B20" s="2">
        <f t="shared" si="11"/>
        <v>15</v>
      </c>
      <c r="C20" s="4">
        <f t="shared" si="12"/>
        <v>11.83</v>
      </c>
      <c r="D20" s="2">
        <v>18</v>
      </c>
      <c r="E20" s="2">
        <v>50.26548245743669</v>
      </c>
      <c r="F20" s="11">
        <f t="shared" si="0"/>
        <v>3.5809862195676452</v>
      </c>
      <c r="G20" s="2">
        <f t="shared" si="1"/>
        <v>42.363066977485239</v>
      </c>
      <c r="H20" s="2">
        <f t="shared" si="2"/>
        <v>2.208628121085511</v>
      </c>
      <c r="I20" s="2">
        <f t="shared" si="3"/>
        <v>26.128070672441595</v>
      </c>
      <c r="J20" s="2">
        <f t="shared" si="4"/>
        <v>16.234996305043644</v>
      </c>
      <c r="K20" s="15">
        <f t="shared" si="13"/>
        <v>0.45109649122807016</v>
      </c>
      <c r="L20" s="2">
        <f t="shared" si="14"/>
        <v>15</v>
      </c>
      <c r="M20" s="2">
        <f t="shared" si="15"/>
        <v>11.58</v>
      </c>
      <c r="N20" s="2">
        <v>18.5</v>
      </c>
      <c r="O20" s="2">
        <v>50.26548245743669</v>
      </c>
      <c r="P20" s="11">
        <f t="shared" si="5"/>
        <v>3.6804580590000797</v>
      </c>
      <c r="Q20" s="2">
        <f t="shared" si="6"/>
        <v>42.619704323220923</v>
      </c>
      <c r="R20" s="2">
        <f t="shared" si="7"/>
        <v>2.4770892345362268</v>
      </c>
      <c r="S20" s="2">
        <f t="shared" si="8"/>
        <v>28.684693335929506</v>
      </c>
      <c r="T20" s="2">
        <f t="shared" si="9"/>
        <v>13.935010987291417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30">
        <f t="shared" si="10"/>
        <v>0.47233187134502924</v>
      </c>
      <c r="B21" s="2">
        <f t="shared" si="11"/>
        <v>16</v>
      </c>
      <c r="C21" s="4">
        <f t="shared" si="12"/>
        <v>12.33</v>
      </c>
      <c r="D21" s="2">
        <v>16</v>
      </c>
      <c r="E21" s="2">
        <v>50.26548245743669</v>
      </c>
      <c r="F21" s="11">
        <f t="shared" si="0"/>
        <v>3.183098861837907</v>
      </c>
      <c r="G21" s="2">
        <f t="shared" si="1"/>
        <v>39.247608966461392</v>
      </c>
      <c r="H21" s="2">
        <f t="shared" si="2"/>
        <v>2.208628121085511</v>
      </c>
      <c r="I21" s="2">
        <f t="shared" si="3"/>
        <v>27.23238473298435</v>
      </c>
      <c r="J21" s="2">
        <f t="shared" si="4"/>
        <v>12.015224233477042</v>
      </c>
      <c r="K21" s="15">
        <f t="shared" si="13"/>
        <v>0.45122441520467838</v>
      </c>
      <c r="L21" s="2">
        <f t="shared" si="14"/>
        <v>16</v>
      </c>
      <c r="M21" s="2">
        <f t="shared" si="15"/>
        <v>12.08</v>
      </c>
      <c r="N21" s="2">
        <v>19.5</v>
      </c>
      <c r="O21" s="2">
        <v>50.26548245743669</v>
      </c>
      <c r="P21" s="11">
        <f t="shared" si="5"/>
        <v>3.8794017378649488</v>
      </c>
      <c r="Q21" s="2">
        <f t="shared" si="6"/>
        <v>46.863172993408583</v>
      </c>
      <c r="R21" s="2">
        <f t="shared" si="7"/>
        <v>2.4770892345362268</v>
      </c>
      <c r="S21" s="2">
        <f t="shared" si="8"/>
        <v>29.923237953197621</v>
      </c>
      <c r="T21" s="2">
        <f t="shared" si="9"/>
        <v>16.939935040210962</v>
      </c>
      <c r="V21" s="39" t="s">
        <v>39</v>
      </c>
      <c r="W21" s="36"/>
      <c r="X21" s="20">
        <f>(J2+T2)/2</f>
        <v>87.826355074649911</v>
      </c>
    </row>
    <row r="22" spans="1:24" x14ac:dyDescent="0.25">
      <c r="A22" s="30">
        <f t="shared" si="10"/>
        <v>0.47247807017543858</v>
      </c>
      <c r="B22" s="2">
        <f t="shared" si="11"/>
        <v>17</v>
      </c>
      <c r="C22" s="4">
        <f t="shared" si="12"/>
        <v>12.83</v>
      </c>
      <c r="D22" s="2">
        <v>13.5</v>
      </c>
      <c r="E22" s="2">
        <v>50.26548245743669</v>
      </c>
      <c r="F22" s="11">
        <f t="shared" si="0"/>
        <v>2.6857396646757339</v>
      </c>
      <c r="G22" s="2">
        <f t="shared" si="1"/>
        <v>34.458039897789668</v>
      </c>
      <c r="H22" s="2">
        <f t="shared" si="2"/>
        <v>2.208628121085511</v>
      </c>
      <c r="I22" s="2">
        <f t="shared" si="3"/>
        <v>28.336698793527106</v>
      </c>
      <c r="J22" s="2">
        <f t="shared" si="4"/>
        <v>6.1213411042625623</v>
      </c>
      <c r="K22" s="15">
        <f t="shared" si="13"/>
        <v>0.45135233918128653</v>
      </c>
      <c r="L22" s="2">
        <f t="shared" si="14"/>
        <v>17</v>
      </c>
      <c r="M22" s="2">
        <f t="shared" si="15"/>
        <v>12.58</v>
      </c>
      <c r="N22" s="2">
        <v>15</v>
      </c>
      <c r="O22" s="2">
        <v>50.26548245743669</v>
      </c>
      <c r="P22" s="11">
        <f t="shared" si="5"/>
        <v>2.9841551829730379</v>
      </c>
      <c r="Q22" s="2">
        <f t="shared" si="6"/>
        <v>37.540672201800817</v>
      </c>
      <c r="R22" s="2">
        <f t="shared" si="7"/>
        <v>2.4770892345362268</v>
      </c>
      <c r="S22" s="2">
        <f t="shared" si="8"/>
        <v>31.161782570465732</v>
      </c>
      <c r="T22" s="2">
        <f t="shared" si="9"/>
        <v>6.3788896313350847</v>
      </c>
      <c r="V22" s="27"/>
      <c r="W22" s="27"/>
      <c r="X22" s="28"/>
    </row>
    <row r="23" spans="1:24" x14ac:dyDescent="0.25">
      <c r="A23" s="30">
        <f t="shared" si="10"/>
        <v>0.47262426900584792</v>
      </c>
      <c r="B23" s="2">
        <f t="shared" si="11"/>
        <v>18</v>
      </c>
      <c r="C23" s="4">
        <f t="shared" si="12"/>
        <v>13.33</v>
      </c>
      <c r="D23" s="2">
        <v>13</v>
      </c>
      <c r="E23" s="2">
        <v>50.26548245743669</v>
      </c>
      <c r="F23" s="11">
        <f t="shared" si="0"/>
        <v>2.5862678252432989</v>
      </c>
      <c r="G23" s="2">
        <f t="shared" si="1"/>
        <v>34.474950110493175</v>
      </c>
      <c r="H23" s="2">
        <f t="shared" si="2"/>
        <v>2.208628121085511</v>
      </c>
      <c r="I23" s="2">
        <f t="shared" si="3"/>
        <v>29.441012854069861</v>
      </c>
      <c r="J23" s="2">
        <f t="shared" si="4"/>
        <v>5.0339372564233145</v>
      </c>
      <c r="K23" s="15">
        <f t="shared" si="13"/>
        <v>0.45148026315789475</v>
      </c>
      <c r="L23" s="2">
        <f t="shared" si="14"/>
        <v>18</v>
      </c>
      <c r="M23" s="2">
        <f t="shared" si="15"/>
        <v>13.08</v>
      </c>
      <c r="N23" s="2">
        <v>14</v>
      </c>
      <c r="O23" s="2">
        <v>50.26548245743669</v>
      </c>
      <c r="P23" s="11">
        <f t="shared" si="5"/>
        <v>2.7852115041081689</v>
      </c>
      <c r="Q23" s="2">
        <f t="shared" si="6"/>
        <v>36.430566473734849</v>
      </c>
      <c r="R23" s="2">
        <f t="shared" si="7"/>
        <v>2.4770892345362268</v>
      </c>
      <c r="S23" s="2">
        <f t="shared" si="8"/>
        <v>32.400327187733843</v>
      </c>
      <c r="T23" s="2">
        <f t="shared" si="9"/>
        <v>4.0302392860010059</v>
      </c>
      <c r="V23" s="34" t="s">
        <v>45</v>
      </c>
      <c r="W23" s="35"/>
      <c r="X23" s="36"/>
    </row>
    <row r="24" spans="1:24" x14ac:dyDescent="0.25">
      <c r="A24" s="30">
        <f t="shared" si="10"/>
        <v>0.47277046783625731</v>
      </c>
      <c r="B24" s="2">
        <f t="shared" si="11"/>
        <v>19</v>
      </c>
      <c r="C24" s="4">
        <f t="shared" si="12"/>
        <v>13.83</v>
      </c>
      <c r="D24" s="2">
        <v>13.5</v>
      </c>
      <c r="E24" s="2">
        <v>50.26548245743669</v>
      </c>
      <c r="F24" s="11">
        <f t="shared" si="0"/>
        <v>2.6857396646757339</v>
      </c>
      <c r="G24" s="2">
        <f t="shared" si="1"/>
        <v>37.143779562465397</v>
      </c>
      <c r="H24" s="2">
        <f t="shared" si="2"/>
        <v>2.208628121085511</v>
      </c>
      <c r="I24" s="2">
        <f t="shared" si="3"/>
        <v>30.545326914612616</v>
      </c>
      <c r="J24" s="2">
        <f t="shared" si="4"/>
        <v>6.5984526478527812</v>
      </c>
      <c r="K24" s="15">
        <f t="shared" si="13"/>
        <v>0.4516081871345029</v>
      </c>
      <c r="L24" s="2">
        <f t="shared" si="14"/>
        <v>19</v>
      </c>
      <c r="M24" s="2">
        <f t="shared" si="15"/>
        <v>13.58</v>
      </c>
      <c r="N24" s="2">
        <v>13</v>
      </c>
      <c r="O24" s="2">
        <v>50.26548245743669</v>
      </c>
      <c r="P24" s="11">
        <f t="shared" si="5"/>
        <v>2.5862678252432989</v>
      </c>
      <c r="Q24" s="2">
        <f t="shared" si="6"/>
        <v>35.121517066803996</v>
      </c>
      <c r="R24" s="2">
        <f t="shared" si="7"/>
        <v>2.4770892345362268</v>
      </c>
      <c r="S24" s="2">
        <f t="shared" si="8"/>
        <v>33.638871805001962</v>
      </c>
      <c r="T24" s="2">
        <f t="shared" si="9"/>
        <v>1.482645261802034</v>
      </c>
      <c r="V24" s="49" t="s">
        <v>46</v>
      </c>
      <c r="W24" s="35"/>
      <c r="X24" s="36"/>
    </row>
    <row r="25" spans="1:24" x14ac:dyDescent="0.25">
      <c r="A25" s="30">
        <f t="shared" si="10"/>
        <v>0.47291666666666665</v>
      </c>
      <c r="B25" s="2">
        <f t="shared" si="11"/>
        <v>20</v>
      </c>
      <c r="C25" s="4">
        <f t="shared" si="12"/>
        <v>14.33</v>
      </c>
      <c r="D25" s="2">
        <v>14.5</v>
      </c>
      <c r="E25" s="2">
        <v>50.26548245743669</v>
      </c>
      <c r="F25" s="11">
        <f t="shared" si="0"/>
        <v>2.8846833435406034</v>
      </c>
      <c r="G25" s="2">
        <f t="shared" si="1"/>
        <v>41.337512312936845</v>
      </c>
      <c r="H25" s="2">
        <f t="shared" si="2"/>
        <v>2.208628121085511</v>
      </c>
      <c r="I25" s="2">
        <f t="shared" si="3"/>
        <v>31.649640975155371</v>
      </c>
      <c r="J25" s="2">
        <f t="shared" si="4"/>
        <v>9.6878713377814734</v>
      </c>
      <c r="K25" s="15">
        <f t="shared" si="13"/>
        <v>0.45173611111111112</v>
      </c>
      <c r="L25" s="2">
        <f t="shared" si="14"/>
        <v>20</v>
      </c>
      <c r="M25" s="2">
        <f t="shared" si="15"/>
        <v>14.08</v>
      </c>
      <c r="N25" s="2">
        <v>14.5</v>
      </c>
      <c r="O25" s="2">
        <v>50.26548245743669</v>
      </c>
      <c r="P25" s="11">
        <f t="shared" si="5"/>
        <v>2.8846833435406034</v>
      </c>
      <c r="Q25" s="2">
        <f t="shared" si="6"/>
        <v>40.616341477051698</v>
      </c>
      <c r="R25" s="2">
        <f t="shared" si="7"/>
        <v>2.4770892345362268</v>
      </c>
      <c r="S25" s="2">
        <f t="shared" si="8"/>
        <v>34.877416422270073</v>
      </c>
      <c r="T25" s="2">
        <f t="shared" si="9"/>
        <v>5.7389250547816246</v>
      </c>
      <c r="V25" s="34" t="s">
        <v>47</v>
      </c>
      <c r="W25" s="35"/>
      <c r="X25" s="36"/>
    </row>
    <row r="26" spans="1:24" x14ac:dyDescent="0.25">
      <c r="A26" s="30">
        <f t="shared" si="10"/>
        <v>0.47306286549707599</v>
      </c>
      <c r="B26" s="2">
        <f t="shared" si="11"/>
        <v>21</v>
      </c>
      <c r="C26" s="4">
        <f t="shared" si="12"/>
        <v>14.83</v>
      </c>
      <c r="D26" s="2">
        <v>13.5</v>
      </c>
      <c r="E26" s="2">
        <v>50.26548245743669</v>
      </c>
      <c r="F26" s="11">
        <f t="shared" si="0"/>
        <v>2.6857396646757339</v>
      </c>
      <c r="G26" s="2">
        <f t="shared" si="1"/>
        <v>39.829519227141134</v>
      </c>
      <c r="H26" s="2">
        <f t="shared" si="2"/>
        <v>2.208628121085511</v>
      </c>
      <c r="I26" s="2">
        <f t="shared" si="3"/>
        <v>32.753955035698127</v>
      </c>
      <c r="J26" s="2">
        <f t="shared" si="4"/>
        <v>7.0755641914430072</v>
      </c>
      <c r="K26" s="15">
        <f t="shared" si="13"/>
        <v>0.45186403508771933</v>
      </c>
      <c r="L26" s="2">
        <f t="shared" si="14"/>
        <v>21</v>
      </c>
      <c r="M26" s="2">
        <f t="shared" si="15"/>
        <v>14.58</v>
      </c>
      <c r="N26" s="2">
        <v>14</v>
      </c>
      <c r="O26" s="2">
        <v>50.26548245743669</v>
      </c>
      <c r="P26" s="11">
        <f t="shared" si="5"/>
        <v>2.7852115041081689</v>
      </c>
      <c r="Q26" s="2">
        <f t="shared" si="6"/>
        <v>40.608383729897099</v>
      </c>
      <c r="R26" s="2">
        <f t="shared" si="7"/>
        <v>2.4770892345362268</v>
      </c>
      <c r="S26" s="2">
        <f t="shared" si="8"/>
        <v>36.115961039538185</v>
      </c>
      <c r="T26" s="2">
        <f t="shared" si="9"/>
        <v>4.4924226903589144</v>
      </c>
      <c r="V26" s="49" t="s">
        <v>48</v>
      </c>
      <c r="W26" s="35"/>
      <c r="X26" s="36"/>
    </row>
    <row r="27" spans="1:24" x14ac:dyDescent="0.25">
      <c r="A27" s="30">
        <f t="shared" si="10"/>
        <v>0.47320906432748538</v>
      </c>
      <c r="B27" s="2">
        <f t="shared" si="11"/>
        <v>22</v>
      </c>
      <c r="C27" s="4">
        <f t="shared" si="12"/>
        <v>15.33</v>
      </c>
      <c r="D27" s="2">
        <v>11.5</v>
      </c>
      <c r="E27" s="2">
        <v>50.26548245743669</v>
      </c>
      <c r="F27" s="11">
        <f t="shared" si="0"/>
        <v>2.2878523069459957</v>
      </c>
      <c r="G27" s="2">
        <f t="shared" si="1"/>
        <v>35.072775865482114</v>
      </c>
      <c r="H27" s="2">
        <f t="shared" si="2"/>
        <v>2.208628121085511</v>
      </c>
      <c r="I27" s="2">
        <f t="shared" si="3"/>
        <v>33.858269096240882</v>
      </c>
      <c r="J27" s="2">
        <f t="shared" si="4"/>
        <v>1.2145067692412326</v>
      </c>
      <c r="K27" s="15">
        <f t="shared" si="13"/>
        <v>0.45199195906432749</v>
      </c>
      <c r="L27" s="2">
        <f t="shared" si="14"/>
        <v>22</v>
      </c>
      <c r="M27" s="2">
        <f t="shared" si="15"/>
        <v>15.08</v>
      </c>
      <c r="N27" s="2">
        <v>13.5</v>
      </c>
      <c r="O27" s="2">
        <v>50.26548245743669</v>
      </c>
      <c r="P27" s="11">
        <f t="shared" si="5"/>
        <v>2.6857396646757339</v>
      </c>
      <c r="Q27" s="2">
        <f t="shared" si="6"/>
        <v>40.500954143310068</v>
      </c>
      <c r="R27" s="2">
        <f t="shared" si="7"/>
        <v>2.4770892345362268</v>
      </c>
      <c r="S27" s="2">
        <f t="shared" si="8"/>
        <v>37.354505656806303</v>
      </c>
      <c r="T27" s="2">
        <f t="shared" si="9"/>
        <v>3.1464484865037647</v>
      </c>
      <c r="V27" s="29"/>
      <c r="W27" s="29"/>
      <c r="X27" s="29"/>
    </row>
    <row r="28" spans="1:24" x14ac:dyDescent="0.25">
      <c r="A28" s="30">
        <f t="shared" si="10"/>
        <v>0.47335526315789472</v>
      </c>
      <c r="B28" s="2">
        <f t="shared" si="11"/>
        <v>23</v>
      </c>
      <c r="C28" s="4">
        <f t="shared" si="12"/>
        <v>15.83</v>
      </c>
      <c r="D28" s="2">
        <v>11.5</v>
      </c>
      <c r="E28" s="2">
        <v>50.26548245743669</v>
      </c>
      <c r="F28" s="11">
        <f t="shared" si="0"/>
        <v>2.2878523069459957</v>
      </c>
      <c r="G28" s="2">
        <f t="shared" si="1"/>
        <v>36.216702018955111</v>
      </c>
      <c r="H28" s="2">
        <f t="shared" si="2"/>
        <v>2.208628121085511</v>
      </c>
      <c r="I28" s="2">
        <f t="shared" si="3"/>
        <v>34.962583156783637</v>
      </c>
      <c r="J28" s="2">
        <f t="shared" si="4"/>
        <v>1.2541188621714738</v>
      </c>
      <c r="K28" s="15">
        <f t="shared" si="13"/>
        <v>0.4521198830409357</v>
      </c>
      <c r="L28" s="2">
        <f t="shared" si="14"/>
        <v>23</v>
      </c>
      <c r="M28" s="2">
        <f t="shared" si="15"/>
        <v>15.58</v>
      </c>
      <c r="N28" s="2">
        <v>12</v>
      </c>
      <c r="O28" s="2">
        <v>50.26548245743669</v>
      </c>
      <c r="P28" s="11">
        <f t="shared" si="5"/>
        <v>2.3873241463784298</v>
      </c>
      <c r="Q28" s="2">
        <f t="shared" si="6"/>
        <v>37.194510200575934</v>
      </c>
      <c r="R28" s="2">
        <f t="shared" si="7"/>
        <v>2.4770892345362268</v>
      </c>
      <c r="S28" s="2">
        <f t="shared" si="8"/>
        <v>38.593050274074415</v>
      </c>
      <c r="T28" s="2">
        <f t="shared" si="9"/>
        <v>1.3985400734984808</v>
      </c>
      <c r="V28" s="24" t="s">
        <v>49</v>
      </c>
      <c r="W28" s="24" t="s">
        <v>50</v>
      </c>
      <c r="X28" s="29"/>
    </row>
    <row r="29" spans="1:24" x14ac:dyDescent="0.25">
      <c r="A29" s="30">
        <f t="shared" si="10"/>
        <v>0.47350146198830406</v>
      </c>
      <c r="B29" s="2">
        <f t="shared" si="11"/>
        <v>24</v>
      </c>
      <c r="C29" s="4">
        <f t="shared" si="12"/>
        <v>16.329999999999998</v>
      </c>
      <c r="D29" s="2">
        <v>14</v>
      </c>
      <c r="E29" s="2">
        <v>50.26548245743669</v>
      </c>
      <c r="F29" s="11">
        <f t="shared" si="0"/>
        <v>2.7852115041081689</v>
      </c>
      <c r="G29" s="2">
        <f t="shared" si="1"/>
        <v>45.482503862086396</v>
      </c>
      <c r="H29" s="2">
        <f t="shared" si="2"/>
        <v>2.208628121085511</v>
      </c>
      <c r="I29" s="2">
        <f t="shared" si="3"/>
        <v>36.066897217326392</v>
      </c>
      <c r="J29" s="2">
        <f t="shared" si="4"/>
        <v>9.415606644760004</v>
      </c>
      <c r="K29" s="15">
        <f t="shared" si="13"/>
        <v>0.45224780701754386</v>
      </c>
      <c r="L29" s="2">
        <f t="shared" si="14"/>
        <v>24</v>
      </c>
      <c r="M29" s="2">
        <f t="shared" si="15"/>
        <v>16.079999999999998</v>
      </c>
      <c r="N29" s="2">
        <v>12</v>
      </c>
      <c r="O29" s="2">
        <v>50.26548245743669</v>
      </c>
      <c r="P29" s="11">
        <f t="shared" si="5"/>
        <v>2.3873241463784298</v>
      </c>
      <c r="Q29" s="2">
        <f t="shared" si="6"/>
        <v>38.38817227376515</v>
      </c>
      <c r="R29" s="2">
        <f t="shared" si="7"/>
        <v>2.4770892345362268</v>
      </c>
      <c r="S29" s="2">
        <f t="shared" si="8"/>
        <v>39.831594891342519</v>
      </c>
      <c r="T29" s="2">
        <f t="shared" si="9"/>
        <v>1.4434226175773688</v>
      </c>
      <c r="V29" s="24">
        <f>MAX(D4:D160)</f>
        <v>20</v>
      </c>
      <c r="W29" s="24">
        <f>MAX(N4:N160)</f>
        <v>24.5</v>
      </c>
      <c r="X29" s="29"/>
    </row>
    <row r="30" spans="1:24" x14ac:dyDescent="0.25">
      <c r="A30" s="30">
        <f t="shared" si="10"/>
        <v>0.47364766081871346</v>
      </c>
      <c r="B30" s="2">
        <f t="shared" si="11"/>
        <v>25</v>
      </c>
      <c r="C30" s="4">
        <f t="shared" si="12"/>
        <v>16.829999999999998</v>
      </c>
      <c r="D30" s="2">
        <v>11.5</v>
      </c>
      <c r="E30" s="2">
        <v>50.26548245743669</v>
      </c>
      <c r="F30" s="11">
        <f t="shared" si="0"/>
        <v>2.2878523069459957</v>
      </c>
      <c r="G30" s="2">
        <f t="shared" si="1"/>
        <v>38.504554325901104</v>
      </c>
      <c r="H30" s="2">
        <f t="shared" si="2"/>
        <v>2.208628121085511</v>
      </c>
      <c r="I30" s="2">
        <f t="shared" si="3"/>
        <v>37.171211277869148</v>
      </c>
      <c r="J30" s="2">
        <f t="shared" si="4"/>
        <v>1.3333430480319564</v>
      </c>
      <c r="K30" s="15">
        <f t="shared" si="13"/>
        <v>0.45237573099415207</v>
      </c>
      <c r="L30" s="2">
        <f t="shared" si="14"/>
        <v>25</v>
      </c>
      <c r="M30" s="2">
        <f t="shared" si="15"/>
        <v>16.579999999999998</v>
      </c>
      <c r="N30" s="2">
        <v>14</v>
      </c>
      <c r="O30" s="2">
        <v>50.26548245743669</v>
      </c>
      <c r="P30" s="11">
        <f t="shared" si="5"/>
        <v>2.7852115041081689</v>
      </c>
      <c r="Q30" s="2">
        <f t="shared" si="6"/>
        <v>46.178806738113437</v>
      </c>
      <c r="R30" s="2">
        <f t="shared" si="7"/>
        <v>2.4770892345362268</v>
      </c>
      <c r="S30" s="2">
        <f t="shared" si="8"/>
        <v>41.070139508610637</v>
      </c>
      <c r="T30" s="2">
        <f t="shared" si="9"/>
        <v>5.1086672295027995</v>
      </c>
      <c r="V30" s="24" t="s">
        <v>14</v>
      </c>
      <c r="W30" s="24" t="s">
        <v>14</v>
      </c>
      <c r="X30" s="29"/>
    </row>
    <row r="31" spans="1:24" x14ac:dyDescent="0.25">
      <c r="A31" s="30">
        <f t="shared" si="10"/>
        <v>0.47379385964912279</v>
      </c>
      <c r="B31" s="2">
        <f t="shared" si="11"/>
        <v>26</v>
      </c>
      <c r="C31" s="4">
        <f t="shared" si="12"/>
        <v>17.329999999999998</v>
      </c>
      <c r="D31" s="2">
        <v>12</v>
      </c>
      <c r="E31" s="2">
        <v>50.26548245743669</v>
      </c>
      <c r="F31" s="11">
        <f t="shared" si="0"/>
        <v>2.3873241463784298</v>
      </c>
      <c r="G31" s="2">
        <f t="shared" si="1"/>
        <v>41.372327456738184</v>
      </c>
      <c r="H31" s="2">
        <f t="shared" si="2"/>
        <v>2.208628121085511</v>
      </c>
      <c r="I31" s="2">
        <f t="shared" si="3"/>
        <v>38.275525338411903</v>
      </c>
      <c r="J31" s="2">
        <f t="shared" si="4"/>
        <v>3.0968021183262806</v>
      </c>
      <c r="K31" s="15">
        <f t="shared" si="13"/>
        <v>0.45250365497076023</v>
      </c>
      <c r="L31" s="2">
        <f t="shared" si="14"/>
        <v>26</v>
      </c>
      <c r="M31" s="2">
        <f t="shared" si="15"/>
        <v>17.079999999999998</v>
      </c>
      <c r="N31" s="2">
        <v>12</v>
      </c>
      <c r="O31" s="2">
        <v>50.26548245743669</v>
      </c>
      <c r="P31" s="11">
        <f t="shared" si="5"/>
        <v>2.3873241463784298</v>
      </c>
      <c r="Q31" s="2">
        <f t="shared" si="6"/>
        <v>40.775496420143575</v>
      </c>
      <c r="R31" s="2">
        <f t="shared" si="7"/>
        <v>2.4770892345362268</v>
      </c>
      <c r="S31" s="2">
        <f t="shared" si="8"/>
        <v>42.308684125878749</v>
      </c>
      <c r="T31" s="2">
        <f t="shared" si="9"/>
        <v>1.5331877057351733</v>
      </c>
      <c r="V31" s="24">
        <f t="array" ref="V31">INDEX(B4:B160, MATCH(MAX(D4:D160), D4:D160, 0))</f>
        <v>13</v>
      </c>
      <c r="W31" s="24">
        <f t="array" ref="W31">INDEX(L4:L160, MATCH(MAX(N4:N160), N4:N160, 0))</f>
        <v>12</v>
      </c>
      <c r="X31" s="29"/>
    </row>
    <row r="32" spans="1:24" x14ac:dyDescent="0.25">
      <c r="A32" s="30">
        <f t="shared" si="10"/>
        <v>0.47394005847953213</v>
      </c>
      <c r="B32" s="2">
        <f t="shared" si="11"/>
        <v>27</v>
      </c>
      <c r="C32" s="4">
        <f t="shared" si="12"/>
        <v>17.829999999999998</v>
      </c>
      <c r="D32" s="2">
        <v>11</v>
      </c>
      <c r="E32" s="2">
        <v>50.26548245743669</v>
      </c>
      <c r="F32" s="11">
        <f t="shared" si="0"/>
        <v>2.1883804675135607</v>
      </c>
      <c r="G32" s="2">
        <f t="shared" si="1"/>
        <v>39.018823735766787</v>
      </c>
      <c r="H32" s="2">
        <f t="shared" si="2"/>
        <v>2.208628121085511</v>
      </c>
      <c r="I32" s="2">
        <f t="shared" si="3"/>
        <v>39.379839398954658</v>
      </c>
      <c r="J32" s="2">
        <f t="shared" si="4"/>
        <v>0.36101566318787093</v>
      </c>
      <c r="K32" s="15">
        <f t="shared" si="13"/>
        <v>0.45263157894736844</v>
      </c>
      <c r="L32" s="2">
        <f t="shared" si="14"/>
        <v>27</v>
      </c>
      <c r="M32" s="2">
        <f t="shared" si="15"/>
        <v>17.579999999999998</v>
      </c>
      <c r="N32" s="2">
        <v>11.5</v>
      </c>
      <c r="O32" s="2">
        <v>50.26548245743669</v>
      </c>
      <c r="P32" s="11">
        <f t="shared" si="5"/>
        <v>2.2878523069459957</v>
      </c>
      <c r="Q32" s="2">
        <f t="shared" si="6"/>
        <v>40.220443556110602</v>
      </c>
      <c r="R32" s="2">
        <f t="shared" si="7"/>
        <v>2.4770892345362268</v>
      </c>
      <c r="S32" s="2">
        <f t="shared" si="8"/>
        <v>43.54722874314686</v>
      </c>
      <c r="T32" s="2">
        <f t="shared" si="9"/>
        <v>3.3267851870362577</v>
      </c>
    </row>
    <row r="33" spans="1:20" x14ac:dyDescent="0.25">
      <c r="A33" s="30">
        <f t="shared" si="10"/>
        <v>0.47408625730994153</v>
      </c>
      <c r="B33" s="2">
        <f t="shared" si="11"/>
        <v>28</v>
      </c>
      <c r="C33" s="4">
        <f t="shared" si="12"/>
        <v>18.329999999999998</v>
      </c>
      <c r="D33" s="2">
        <v>13.5</v>
      </c>
      <c r="E33" s="2">
        <v>50.26548245743669</v>
      </c>
      <c r="F33" s="11">
        <f t="shared" si="0"/>
        <v>2.6857396646757339</v>
      </c>
      <c r="G33" s="2">
        <f t="shared" si="1"/>
        <v>49.229608053506198</v>
      </c>
      <c r="H33" s="2">
        <f t="shared" si="2"/>
        <v>2.208628121085511</v>
      </c>
      <c r="I33" s="2">
        <f t="shared" si="3"/>
        <v>40.484153459497414</v>
      </c>
      <c r="J33" s="2">
        <f t="shared" si="4"/>
        <v>8.745454594008784</v>
      </c>
      <c r="K33" s="15">
        <f t="shared" si="13"/>
        <v>0.4527595029239766</v>
      </c>
      <c r="L33" s="2">
        <f t="shared" si="14"/>
        <v>28</v>
      </c>
      <c r="M33" s="2">
        <f t="shared" si="15"/>
        <v>18.079999999999998</v>
      </c>
      <c r="N33" s="2">
        <v>12.5</v>
      </c>
      <c r="O33" s="2">
        <v>50.26548245743669</v>
      </c>
      <c r="P33" s="11">
        <f t="shared" si="5"/>
        <v>2.4867959858108648</v>
      </c>
      <c r="Q33" s="2">
        <f t="shared" si="6"/>
        <v>44.961271423460431</v>
      </c>
      <c r="R33" s="2">
        <f t="shared" si="7"/>
        <v>2.4770892345362268</v>
      </c>
      <c r="S33" s="2">
        <f t="shared" si="8"/>
        <v>44.785773360414979</v>
      </c>
      <c r="T33" s="2">
        <f t="shared" si="9"/>
        <v>0.17549806304545257</v>
      </c>
    </row>
    <row r="34" spans="1:20" x14ac:dyDescent="0.25">
      <c r="A34" s="30">
        <f t="shared" si="10"/>
        <v>0.47423245614035087</v>
      </c>
      <c r="B34" s="2">
        <f t="shared" si="11"/>
        <v>29</v>
      </c>
      <c r="C34" s="4">
        <f t="shared" si="12"/>
        <v>18.829999999999998</v>
      </c>
      <c r="D34" s="2">
        <v>13.5</v>
      </c>
      <c r="E34" s="2">
        <v>50.26548245743669</v>
      </c>
      <c r="F34" s="11">
        <f t="shared" si="0"/>
        <v>2.6857396646757339</v>
      </c>
      <c r="G34" s="2">
        <f t="shared" si="1"/>
        <v>50.572477885844066</v>
      </c>
      <c r="H34" s="2">
        <f t="shared" si="2"/>
        <v>2.208628121085511</v>
      </c>
      <c r="I34" s="2">
        <f t="shared" si="3"/>
        <v>41.588467520040169</v>
      </c>
      <c r="J34" s="2">
        <f t="shared" si="4"/>
        <v>8.984010365803897</v>
      </c>
      <c r="K34" s="15">
        <f t="shared" si="13"/>
        <v>0.45288742690058481</v>
      </c>
      <c r="L34" s="2">
        <f t="shared" si="14"/>
        <v>29</v>
      </c>
      <c r="M34" s="2">
        <f t="shared" si="15"/>
        <v>18.579999999999998</v>
      </c>
      <c r="N34" s="2">
        <v>14</v>
      </c>
      <c r="O34" s="2">
        <v>50.26548245743669</v>
      </c>
      <c r="P34" s="11">
        <f t="shared" si="5"/>
        <v>2.7852115041081689</v>
      </c>
      <c r="Q34" s="2">
        <f t="shared" si="6"/>
        <v>51.749229746329775</v>
      </c>
      <c r="R34" s="2">
        <f t="shared" si="7"/>
        <v>2.4770892345362268</v>
      </c>
      <c r="S34" s="2">
        <f t="shared" si="8"/>
        <v>46.02431797768309</v>
      </c>
      <c r="T34" s="2">
        <f t="shared" si="9"/>
        <v>5.7249117686466846</v>
      </c>
    </row>
    <row r="35" spans="1:20" x14ac:dyDescent="0.25">
      <c r="A35" s="30">
        <f t="shared" si="10"/>
        <v>0.47437865497076021</v>
      </c>
      <c r="B35" s="2">
        <f t="shared" si="11"/>
        <v>30</v>
      </c>
      <c r="C35" s="4">
        <f t="shared" si="12"/>
        <v>19.329999999999998</v>
      </c>
      <c r="D35" s="2">
        <v>12</v>
      </c>
      <c r="E35" s="2">
        <v>50.26548245743669</v>
      </c>
      <c r="F35" s="11">
        <f t="shared" si="0"/>
        <v>2.3873241463784298</v>
      </c>
      <c r="G35" s="2">
        <f t="shared" si="1"/>
        <v>46.146975749495041</v>
      </c>
      <c r="H35" s="2">
        <f t="shared" si="2"/>
        <v>2.208628121085511</v>
      </c>
      <c r="I35" s="2">
        <f t="shared" si="3"/>
        <v>42.692781580582924</v>
      </c>
      <c r="J35" s="2">
        <f t="shared" si="4"/>
        <v>3.4541941689121174</v>
      </c>
      <c r="K35" s="15">
        <f t="shared" si="13"/>
        <v>0.45301535087719297</v>
      </c>
      <c r="L35" s="2">
        <f t="shared" si="14"/>
        <v>30</v>
      </c>
      <c r="M35" s="2">
        <f t="shared" si="15"/>
        <v>19.079999999999998</v>
      </c>
      <c r="N35" s="2">
        <v>13</v>
      </c>
      <c r="O35" s="2">
        <v>50.26548245743669</v>
      </c>
      <c r="P35" s="11">
        <f t="shared" si="5"/>
        <v>2.5862678252432989</v>
      </c>
      <c r="Q35" s="2">
        <f t="shared" si="6"/>
        <v>49.345990105642137</v>
      </c>
      <c r="R35" s="2">
        <f t="shared" si="7"/>
        <v>2.4770892345362268</v>
      </c>
      <c r="S35" s="2">
        <f t="shared" si="8"/>
        <v>47.262862594951201</v>
      </c>
      <c r="T35" s="2">
        <f t="shared" si="9"/>
        <v>2.0831275106909359</v>
      </c>
    </row>
    <row r="36" spans="1:20" x14ac:dyDescent="0.25">
      <c r="A36" s="30">
        <f t="shared" si="10"/>
        <v>0.47452485380116954</v>
      </c>
      <c r="B36" s="2">
        <f t="shared" si="11"/>
        <v>31</v>
      </c>
      <c r="C36" s="4">
        <f t="shared" si="12"/>
        <v>19.829999999999998</v>
      </c>
      <c r="D36" s="2">
        <v>12.5</v>
      </c>
      <c r="E36" s="2">
        <v>50.26548245743669</v>
      </c>
      <c r="F36" s="11">
        <f t="shared" si="0"/>
        <v>2.4867959858108648</v>
      </c>
      <c r="G36" s="2">
        <f t="shared" si="1"/>
        <v>49.313164398629446</v>
      </c>
      <c r="H36" s="2">
        <f t="shared" si="2"/>
        <v>2.208628121085511</v>
      </c>
      <c r="I36" s="2">
        <f t="shared" si="3"/>
        <v>43.797095641125679</v>
      </c>
      <c r="J36" s="2">
        <f t="shared" si="4"/>
        <v>5.516068757503767</v>
      </c>
      <c r="K36" s="15">
        <f t="shared" si="13"/>
        <v>0.45314327485380118</v>
      </c>
      <c r="L36" s="2">
        <f t="shared" si="14"/>
        <v>31</v>
      </c>
      <c r="M36" s="2">
        <f t="shared" si="15"/>
        <v>19.579999999999998</v>
      </c>
      <c r="N36" s="2">
        <v>12.5</v>
      </c>
      <c r="O36" s="2">
        <v>50.26548245743669</v>
      </c>
      <c r="P36" s="11">
        <f t="shared" si="5"/>
        <v>2.4867959858108648</v>
      </c>
      <c r="Q36" s="2">
        <f t="shared" si="6"/>
        <v>48.691465402176732</v>
      </c>
      <c r="R36" s="2">
        <f t="shared" si="7"/>
        <v>2.4770892345362268</v>
      </c>
      <c r="S36" s="2">
        <f t="shared" si="8"/>
        <v>48.501407212219313</v>
      </c>
      <c r="T36" s="2">
        <f t="shared" si="9"/>
        <v>0.19005818995741919</v>
      </c>
    </row>
    <row r="37" spans="1:20" x14ac:dyDescent="0.25">
      <c r="A37" s="30">
        <f t="shared" si="10"/>
        <v>0.47467105263157894</v>
      </c>
      <c r="B37" s="2">
        <f t="shared" si="11"/>
        <v>32</v>
      </c>
      <c r="C37" s="4">
        <f t="shared" si="12"/>
        <v>20.329999999999998</v>
      </c>
      <c r="D37" s="23">
        <v>11</v>
      </c>
      <c r="E37" s="2">
        <v>50.26548245743669</v>
      </c>
      <c r="F37" s="11">
        <f t="shared" si="0"/>
        <v>2.1883804675135607</v>
      </c>
      <c r="G37" s="2">
        <f t="shared" si="1"/>
        <v>44.489774904550686</v>
      </c>
      <c r="H37" s="2">
        <f t="shared" si="2"/>
        <v>2.208628121085511</v>
      </c>
      <c r="I37" s="2">
        <f t="shared" si="3"/>
        <v>44.901409701668435</v>
      </c>
      <c r="J37" s="2">
        <f t="shared" si="4"/>
        <v>0.41163479711774897</v>
      </c>
      <c r="K37" s="15">
        <f t="shared" si="13"/>
        <v>0.45327119883040934</v>
      </c>
      <c r="L37" s="23">
        <f t="shared" si="14"/>
        <v>32</v>
      </c>
      <c r="M37" s="23">
        <f t="shared" si="15"/>
        <v>20.079999999999998</v>
      </c>
      <c r="N37" s="23">
        <v>14</v>
      </c>
      <c r="O37" s="2">
        <v>50.26548245743669</v>
      </c>
      <c r="P37" s="11">
        <f t="shared" si="5"/>
        <v>2.7852115041081689</v>
      </c>
      <c r="Q37" s="2">
        <f t="shared" si="6"/>
        <v>55.927047002492024</v>
      </c>
      <c r="R37" s="2">
        <f t="shared" si="7"/>
        <v>2.4770892345362268</v>
      </c>
      <c r="S37" s="2">
        <f t="shared" si="8"/>
        <v>49.739951829487431</v>
      </c>
      <c r="T37" s="2">
        <f t="shared" si="9"/>
        <v>6.1870951730045931</v>
      </c>
    </row>
    <row r="38" spans="1:20" x14ac:dyDescent="0.25">
      <c r="A38" s="30">
        <f t="shared" si="10"/>
        <v>0.47481725146198828</v>
      </c>
      <c r="B38" s="2">
        <f t="shared" si="11"/>
        <v>33</v>
      </c>
      <c r="C38" s="4">
        <f t="shared" si="12"/>
        <v>20.83</v>
      </c>
      <c r="D38" s="2">
        <v>12.5</v>
      </c>
      <c r="E38" s="2">
        <v>50.26548245743669</v>
      </c>
      <c r="F38" s="11">
        <f t="shared" si="0"/>
        <v>2.4867959858108648</v>
      </c>
      <c r="G38" s="2">
        <f t="shared" si="1"/>
        <v>51.799960384440311</v>
      </c>
      <c r="H38" s="2">
        <f t="shared" si="2"/>
        <v>2.208628121085511</v>
      </c>
      <c r="I38" s="2">
        <f t="shared" si="3"/>
        <v>46.00572376221119</v>
      </c>
      <c r="J38" s="2">
        <f t="shared" si="4"/>
        <v>5.7942366222291213</v>
      </c>
      <c r="K38" s="15">
        <f t="shared" si="13"/>
        <v>0.45339912280701755</v>
      </c>
      <c r="L38" s="2">
        <f t="shared" si="14"/>
        <v>33</v>
      </c>
      <c r="M38" s="2">
        <f t="shared" si="15"/>
        <v>20.58</v>
      </c>
      <c r="N38" s="2">
        <v>17.5</v>
      </c>
      <c r="O38" s="2">
        <v>50.26548245743669</v>
      </c>
      <c r="P38" s="11">
        <f t="shared" si="5"/>
        <v>3.4815143801352106</v>
      </c>
      <c r="Q38" s="2">
        <f t="shared" si="6"/>
        <v>71.649565943182623</v>
      </c>
      <c r="R38" s="2">
        <f t="shared" si="7"/>
        <v>2.4770892345362268</v>
      </c>
      <c r="S38" s="2">
        <f t="shared" si="8"/>
        <v>50.978496446755543</v>
      </c>
      <c r="T38" s="2">
        <f t="shared" si="9"/>
        <v>20.67106949642708</v>
      </c>
    </row>
    <row r="39" spans="1:20" x14ac:dyDescent="0.25">
      <c r="A39" s="30">
        <f t="shared" si="10"/>
        <v>0.47496345029239762</v>
      </c>
      <c r="B39" s="2">
        <f t="shared" si="11"/>
        <v>34</v>
      </c>
      <c r="C39" s="4">
        <f t="shared" si="12"/>
        <v>21.33</v>
      </c>
      <c r="D39" s="2">
        <v>11.5</v>
      </c>
      <c r="E39" s="2">
        <v>50.26548245743669</v>
      </c>
      <c r="F39" s="11">
        <f t="shared" si="0"/>
        <v>2.2878523069459957</v>
      </c>
      <c r="G39" s="2">
        <f t="shared" si="1"/>
        <v>48.799889707158087</v>
      </c>
      <c r="H39" s="2">
        <f t="shared" si="2"/>
        <v>2.208628121085511</v>
      </c>
      <c r="I39" s="2">
        <f t="shared" si="3"/>
        <v>47.110037822753945</v>
      </c>
      <c r="J39" s="2">
        <f t="shared" si="4"/>
        <v>1.6898518844041419</v>
      </c>
      <c r="K39" s="15">
        <f t="shared" si="13"/>
        <v>0.45352704678362571</v>
      </c>
      <c r="L39" s="2">
        <f t="shared" si="14"/>
        <v>34</v>
      </c>
      <c r="M39" s="2">
        <f t="shared" si="15"/>
        <v>21.08</v>
      </c>
      <c r="N39" s="2">
        <v>13</v>
      </c>
      <c r="O39" s="2">
        <v>50.26548245743669</v>
      </c>
      <c r="P39" s="11">
        <f t="shared" si="5"/>
        <v>2.5862678252432989</v>
      </c>
      <c r="Q39" s="2">
        <f t="shared" si="6"/>
        <v>54.518525756128739</v>
      </c>
      <c r="R39" s="2">
        <f t="shared" si="7"/>
        <v>2.4770892345362268</v>
      </c>
      <c r="S39" s="2">
        <f t="shared" si="8"/>
        <v>52.217041064023654</v>
      </c>
      <c r="T39" s="2">
        <f t="shared" si="9"/>
        <v>2.3014846921050847</v>
      </c>
    </row>
    <row r="40" spans="1:20" x14ac:dyDescent="0.25">
      <c r="A40" s="30">
        <f t="shared" si="10"/>
        <v>0.47510964912280701</v>
      </c>
      <c r="B40" s="2">
        <f t="shared" si="11"/>
        <v>35</v>
      </c>
      <c r="C40" s="4">
        <f t="shared" si="12"/>
        <v>21.83</v>
      </c>
      <c r="D40" s="2">
        <v>11</v>
      </c>
      <c r="E40" s="2">
        <v>50.26548245743669</v>
      </c>
      <c r="F40" s="11">
        <f t="shared" si="0"/>
        <v>2.1883804675135607</v>
      </c>
      <c r="G40" s="2">
        <f t="shared" si="1"/>
        <v>47.77234560582103</v>
      </c>
      <c r="H40" s="2">
        <f t="shared" si="2"/>
        <v>2.208628121085511</v>
      </c>
      <c r="I40" s="2">
        <f t="shared" si="3"/>
        <v>48.2143518832967</v>
      </c>
      <c r="J40" s="2">
        <f t="shared" si="4"/>
        <v>0.44200627747567012</v>
      </c>
      <c r="K40" s="15">
        <f t="shared" si="13"/>
        <v>0.45365497076023392</v>
      </c>
      <c r="L40" s="2">
        <f t="shared" si="14"/>
        <v>35</v>
      </c>
      <c r="M40" s="2">
        <f t="shared" si="15"/>
        <v>21.58</v>
      </c>
      <c r="N40" s="2">
        <v>11.5</v>
      </c>
      <c r="O40" s="2">
        <v>50.26548245743669</v>
      </c>
      <c r="P40" s="11">
        <f t="shared" si="5"/>
        <v>2.2878523069459957</v>
      </c>
      <c r="Q40" s="2">
        <f t="shared" si="6"/>
        <v>49.371852783894582</v>
      </c>
      <c r="R40" s="2">
        <f t="shared" si="7"/>
        <v>2.4770892345362268</v>
      </c>
      <c r="S40" s="2">
        <f t="shared" si="8"/>
        <v>53.455585681291772</v>
      </c>
      <c r="T40" s="2">
        <f t="shared" si="9"/>
        <v>4.0837328973971907</v>
      </c>
    </row>
    <row r="41" spans="1:20" x14ac:dyDescent="0.25">
      <c r="A41" s="30">
        <f t="shared" si="10"/>
        <v>0.47525584795321635</v>
      </c>
      <c r="B41" s="2">
        <f t="shared" si="11"/>
        <v>36</v>
      </c>
      <c r="C41" s="4">
        <f t="shared" si="12"/>
        <v>22.33</v>
      </c>
      <c r="D41" s="2">
        <v>11</v>
      </c>
      <c r="E41" s="2">
        <v>50.26548245743669</v>
      </c>
      <c r="F41" s="11">
        <f t="shared" si="0"/>
        <v>2.1883804675135607</v>
      </c>
      <c r="G41" s="2">
        <f t="shared" si="1"/>
        <v>48.866535839577807</v>
      </c>
      <c r="H41" s="2">
        <f t="shared" si="2"/>
        <v>2.208628121085511</v>
      </c>
      <c r="I41" s="2">
        <f t="shared" si="3"/>
        <v>49.318665943839456</v>
      </c>
      <c r="J41" s="2">
        <f t="shared" si="4"/>
        <v>0.45213010426164857</v>
      </c>
      <c r="K41" s="15">
        <f t="shared" si="13"/>
        <v>0.45378289473684208</v>
      </c>
      <c r="L41" s="2">
        <f t="shared" si="14"/>
        <v>36</v>
      </c>
      <c r="M41" s="2">
        <f t="shared" si="15"/>
        <v>22.08</v>
      </c>
      <c r="N41" s="2">
        <v>11.5</v>
      </c>
      <c r="O41" s="2">
        <v>50.26548245743669</v>
      </c>
      <c r="P41" s="11">
        <f t="shared" si="5"/>
        <v>2.2878523069459957</v>
      </c>
      <c r="Q41" s="2">
        <f t="shared" si="6"/>
        <v>50.515778937367578</v>
      </c>
      <c r="R41" s="2">
        <f t="shared" si="7"/>
        <v>2.4770892345362268</v>
      </c>
      <c r="S41" s="2">
        <f t="shared" si="8"/>
        <v>54.694130298559884</v>
      </c>
      <c r="T41" s="2">
        <f t="shared" si="9"/>
        <v>4.1783513611923055</v>
      </c>
    </row>
    <row r="42" spans="1:20" x14ac:dyDescent="0.25">
      <c r="A42" s="30">
        <f t="shared" si="10"/>
        <v>0.47540204678362569</v>
      </c>
      <c r="B42" s="2">
        <f t="shared" si="11"/>
        <v>37</v>
      </c>
      <c r="C42" s="4">
        <f t="shared" si="12"/>
        <v>22.83</v>
      </c>
      <c r="D42" s="2">
        <v>13</v>
      </c>
      <c r="E42" s="2">
        <v>50.26548245743669</v>
      </c>
      <c r="F42" s="11">
        <f t="shared" si="0"/>
        <v>2.5862678252432989</v>
      </c>
      <c r="G42" s="2">
        <f t="shared" si="1"/>
        <v>59.044494450304512</v>
      </c>
      <c r="H42" s="2">
        <f t="shared" si="2"/>
        <v>2.208628121085511</v>
      </c>
      <c r="I42" s="2">
        <f t="shared" si="3"/>
        <v>50.422980004382211</v>
      </c>
      <c r="J42" s="2">
        <f t="shared" si="4"/>
        <v>8.6215144459223012</v>
      </c>
      <c r="K42" s="15">
        <f t="shared" si="13"/>
        <v>0.45391081871345029</v>
      </c>
      <c r="L42" s="2">
        <f t="shared" si="14"/>
        <v>37</v>
      </c>
      <c r="M42" s="2">
        <f t="shared" si="15"/>
        <v>22.58</v>
      </c>
      <c r="N42" s="2">
        <v>12.5</v>
      </c>
      <c r="O42" s="2">
        <v>50.26548245743669</v>
      </c>
      <c r="P42" s="11">
        <f t="shared" si="5"/>
        <v>2.4867959858108648</v>
      </c>
      <c r="Q42" s="2">
        <f t="shared" si="6"/>
        <v>56.151853359609326</v>
      </c>
      <c r="R42" s="2">
        <f t="shared" si="7"/>
        <v>2.4770892345362268</v>
      </c>
      <c r="S42" s="2">
        <f t="shared" si="8"/>
        <v>55.932674915827995</v>
      </c>
      <c r="T42" s="2">
        <f t="shared" si="9"/>
        <v>0.21917844378133111</v>
      </c>
    </row>
    <row r="43" spans="1:20" x14ac:dyDescent="0.25">
      <c r="A43" s="30">
        <f t="shared" si="10"/>
        <v>0.47554824561403508</v>
      </c>
      <c r="B43" s="2">
        <f t="shared" si="11"/>
        <v>38</v>
      </c>
      <c r="C43" s="4">
        <f t="shared" si="12"/>
        <v>23.33</v>
      </c>
      <c r="D43" s="2">
        <v>12</v>
      </c>
      <c r="E43" s="2">
        <v>50.26548245743669</v>
      </c>
      <c r="F43" s="11">
        <f t="shared" si="0"/>
        <v>2.3873241463784298</v>
      </c>
      <c r="G43" s="2">
        <f t="shared" si="1"/>
        <v>55.696272335008764</v>
      </c>
      <c r="H43" s="2">
        <f t="shared" si="2"/>
        <v>2.208628121085511</v>
      </c>
      <c r="I43" s="2">
        <f t="shared" si="3"/>
        <v>51.527294064924966</v>
      </c>
      <c r="J43" s="2">
        <f t="shared" si="4"/>
        <v>4.1689782700837981</v>
      </c>
      <c r="K43" s="15">
        <f t="shared" si="13"/>
        <v>0.45403874269005845</v>
      </c>
      <c r="L43" s="2">
        <f t="shared" si="14"/>
        <v>38</v>
      </c>
      <c r="M43" s="2">
        <f t="shared" si="15"/>
        <v>23.08</v>
      </c>
      <c r="N43" s="2">
        <v>13</v>
      </c>
      <c r="O43" s="2">
        <v>50.26548245743669</v>
      </c>
      <c r="P43" s="11">
        <f t="shared" si="5"/>
        <v>2.5862678252432989</v>
      </c>
      <c r="Q43" s="2">
        <f t="shared" si="6"/>
        <v>59.691061406615333</v>
      </c>
      <c r="R43" s="2">
        <f t="shared" si="7"/>
        <v>2.4770892345362268</v>
      </c>
      <c r="S43" s="2">
        <f t="shared" si="8"/>
        <v>57.171219533096107</v>
      </c>
      <c r="T43" s="2">
        <f t="shared" si="9"/>
        <v>2.5198418735192263</v>
      </c>
    </row>
    <row r="44" spans="1:20" x14ac:dyDescent="0.25">
      <c r="A44" s="10">
        <v>0.47569444444444442</v>
      </c>
      <c r="B44" s="2">
        <f t="shared" si="11"/>
        <v>39</v>
      </c>
      <c r="C44" s="4">
        <f t="shared" si="12"/>
        <v>23.83</v>
      </c>
      <c r="D44" s="2">
        <v>12</v>
      </c>
      <c r="E44" s="2">
        <v>50.26548245743669</v>
      </c>
      <c r="F44" s="11">
        <f t="shared" si="0"/>
        <v>2.3873241463784298</v>
      </c>
      <c r="G44" s="2">
        <f t="shared" si="1"/>
        <v>56.889934408197981</v>
      </c>
      <c r="H44" s="2">
        <f t="shared" si="2"/>
        <v>2.208628121085511</v>
      </c>
      <c r="I44" s="2">
        <f t="shared" si="3"/>
        <v>52.631608125467721</v>
      </c>
      <c r="J44" s="2">
        <f t="shared" si="4"/>
        <v>4.258326282730259</v>
      </c>
      <c r="K44" s="12">
        <v>0.45416666666666666</v>
      </c>
      <c r="L44" s="2">
        <f t="shared" si="14"/>
        <v>39</v>
      </c>
      <c r="M44" s="2">
        <f t="shared" si="15"/>
        <v>23.58</v>
      </c>
      <c r="N44" s="2">
        <v>12.5</v>
      </c>
      <c r="O44" s="2">
        <v>50.26548245743669</v>
      </c>
      <c r="P44" s="11">
        <f t="shared" si="5"/>
        <v>2.4867959858108648</v>
      </c>
      <c r="Q44" s="2">
        <f t="shared" si="6"/>
        <v>58.638649345420191</v>
      </c>
      <c r="R44" s="2">
        <f t="shared" si="7"/>
        <v>2.4770892345362268</v>
      </c>
      <c r="S44" s="2">
        <f t="shared" si="8"/>
        <v>58.409764150364225</v>
      </c>
      <c r="T44" s="2">
        <f t="shared" si="9"/>
        <v>0.22888519505596605</v>
      </c>
    </row>
    <row r="45" spans="1:20" x14ac:dyDescent="0.25">
      <c r="A45" s="14">
        <f t="shared" ref="A45:A82" si="16">IF(AND($A$44&lt;&gt;"",$A$83&lt;&gt;""), $A$44 + (B45 - $B$44) * (($A$83 - $A$44) / ($B$83 - $B$44)), "")</f>
        <v>0.47580128205128203</v>
      </c>
      <c r="B45" s="2">
        <f t="shared" si="11"/>
        <v>40</v>
      </c>
      <c r="C45" s="4">
        <f t="shared" si="12"/>
        <v>24.33</v>
      </c>
      <c r="D45" s="2">
        <v>12</v>
      </c>
      <c r="E45" s="2">
        <v>50.26548245743669</v>
      </c>
      <c r="F45" s="11">
        <f t="shared" si="0"/>
        <v>2.3873241463784298</v>
      </c>
      <c r="G45" s="2">
        <f t="shared" si="1"/>
        <v>58.083596481387197</v>
      </c>
      <c r="H45" s="2">
        <f t="shared" si="2"/>
        <v>2.208628121085511</v>
      </c>
      <c r="I45" s="2">
        <f t="shared" si="3"/>
        <v>53.735922186010477</v>
      </c>
      <c r="J45" s="2">
        <f t="shared" si="4"/>
        <v>4.34767429537672</v>
      </c>
      <c r="K45" s="15">
        <f t="shared" ref="K45:K82" si="17">IF(AND($K$44&lt;&gt;"",$K$83&lt;&gt;""), $K$44 + (L45 - $L$44) * (($K$83 - $K$44) / ($L$83 - $L$44)), "")</f>
        <v>0.45429131054131056</v>
      </c>
      <c r="L45" s="2">
        <f t="shared" si="14"/>
        <v>40</v>
      </c>
      <c r="M45" s="2">
        <f t="shared" si="15"/>
        <v>24.08</v>
      </c>
      <c r="N45" s="2">
        <v>12</v>
      </c>
      <c r="O45" s="2">
        <v>50.26548245743669</v>
      </c>
      <c r="P45" s="11">
        <f t="shared" si="5"/>
        <v>2.3873241463784298</v>
      </c>
      <c r="Q45" s="2">
        <f t="shared" si="6"/>
        <v>57.486765444792589</v>
      </c>
      <c r="R45" s="2">
        <f t="shared" si="7"/>
        <v>2.4770892345362268</v>
      </c>
      <c r="S45" s="2">
        <f t="shared" si="8"/>
        <v>59.648308767632336</v>
      </c>
      <c r="T45" s="2">
        <f t="shared" si="9"/>
        <v>2.1615433228397478</v>
      </c>
    </row>
    <row r="46" spans="1:20" x14ac:dyDescent="0.25">
      <c r="A46" s="14">
        <f t="shared" si="16"/>
        <v>0.47590811965811963</v>
      </c>
      <c r="B46" s="2">
        <f t="shared" si="11"/>
        <v>41</v>
      </c>
      <c r="C46" s="4">
        <f t="shared" si="12"/>
        <v>24.83</v>
      </c>
      <c r="D46" s="2">
        <v>14.5</v>
      </c>
      <c r="E46" s="2">
        <v>50.26548245743669</v>
      </c>
      <c r="F46" s="11">
        <f t="shared" si="0"/>
        <v>2.8846833435406034</v>
      </c>
      <c r="G46" s="2">
        <f t="shared" si="1"/>
        <v>71.626687420113171</v>
      </c>
      <c r="H46" s="2">
        <f t="shared" si="2"/>
        <v>2.208628121085511</v>
      </c>
      <c r="I46" s="2">
        <f t="shared" si="3"/>
        <v>54.840236246553232</v>
      </c>
      <c r="J46" s="2">
        <f t="shared" si="4"/>
        <v>16.786451173559939</v>
      </c>
      <c r="K46" s="15">
        <f t="shared" si="17"/>
        <v>0.45441595441595439</v>
      </c>
      <c r="L46" s="2">
        <f t="shared" si="14"/>
        <v>41</v>
      </c>
      <c r="M46" s="2">
        <f t="shared" si="15"/>
        <v>24.58</v>
      </c>
      <c r="N46" s="2">
        <v>13</v>
      </c>
      <c r="O46" s="2">
        <v>50.26548245743669</v>
      </c>
      <c r="P46" s="11">
        <f t="shared" si="5"/>
        <v>2.5862678252432989</v>
      </c>
      <c r="Q46" s="2">
        <f t="shared" si="6"/>
        <v>63.570463144480286</v>
      </c>
      <c r="R46" s="2">
        <f t="shared" si="7"/>
        <v>2.4770892345362268</v>
      </c>
      <c r="S46" s="2">
        <f t="shared" si="8"/>
        <v>60.886853384900448</v>
      </c>
      <c r="T46" s="2">
        <f t="shared" si="9"/>
        <v>2.6836097595798378</v>
      </c>
    </row>
    <row r="47" spans="1:20" x14ac:dyDescent="0.25">
      <c r="A47" s="14">
        <f t="shared" si="16"/>
        <v>0.47601495726495724</v>
      </c>
      <c r="B47" s="2">
        <f t="shared" si="11"/>
        <v>42</v>
      </c>
      <c r="C47" s="4">
        <f t="shared" si="12"/>
        <v>25.33</v>
      </c>
      <c r="D47" s="2">
        <v>12.5</v>
      </c>
      <c r="E47" s="2">
        <v>50.26548245743669</v>
      </c>
      <c r="F47" s="11">
        <f t="shared" si="0"/>
        <v>2.4867959858108648</v>
      </c>
      <c r="G47" s="2">
        <f t="shared" si="1"/>
        <v>62.990542320589199</v>
      </c>
      <c r="H47" s="2">
        <f t="shared" si="2"/>
        <v>2.208628121085511</v>
      </c>
      <c r="I47" s="2">
        <f t="shared" si="3"/>
        <v>55.944550307095987</v>
      </c>
      <c r="J47" s="2">
        <f t="shared" si="4"/>
        <v>7.0459920134932119</v>
      </c>
      <c r="K47" s="15">
        <f t="shared" si="17"/>
        <v>0.45454059829059829</v>
      </c>
      <c r="L47" s="2">
        <f t="shared" si="14"/>
        <v>42</v>
      </c>
      <c r="M47" s="2">
        <f t="shared" si="15"/>
        <v>25.08</v>
      </c>
      <c r="N47" s="2">
        <v>14.5</v>
      </c>
      <c r="O47" s="2">
        <v>50.26548245743669</v>
      </c>
      <c r="P47" s="11">
        <f t="shared" si="5"/>
        <v>2.8846833435406034</v>
      </c>
      <c r="Q47" s="2">
        <f t="shared" si="6"/>
        <v>72.347858255998332</v>
      </c>
      <c r="R47" s="2">
        <f t="shared" si="7"/>
        <v>2.4770892345362268</v>
      </c>
      <c r="S47" s="2">
        <f t="shared" si="8"/>
        <v>62.125398002168566</v>
      </c>
      <c r="T47" s="2">
        <f t="shared" si="9"/>
        <v>10.222460253829766</v>
      </c>
    </row>
    <row r="48" spans="1:20" x14ac:dyDescent="0.25">
      <c r="A48" s="14">
        <f t="shared" si="16"/>
        <v>0.47612179487179485</v>
      </c>
      <c r="B48" s="2">
        <f t="shared" si="11"/>
        <v>43</v>
      </c>
      <c r="C48" s="4">
        <f t="shared" si="12"/>
        <v>25.83</v>
      </c>
      <c r="D48" s="2">
        <v>11.5</v>
      </c>
      <c r="E48" s="2">
        <v>50.26548245743669</v>
      </c>
      <c r="F48" s="11">
        <f t="shared" si="0"/>
        <v>2.2878523069459957</v>
      </c>
      <c r="G48" s="2">
        <f t="shared" si="1"/>
        <v>59.095225088415063</v>
      </c>
      <c r="H48" s="2">
        <f t="shared" si="2"/>
        <v>2.208628121085511</v>
      </c>
      <c r="I48" s="2">
        <f t="shared" si="3"/>
        <v>57.048864367638743</v>
      </c>
      <c r="J48" s="2">
        <f t="shared" si="4"/>
        <v>2.0463607207763204</v>
      </c>
      <c r="K48" s="15">
        <f t="shared" si="17"/>
        <v>0.45466524216524218</v>
      </c>
      <c r="L48" s="2">
        <f t="shared" si="14"/>
        <v>43</v>
      </c>
      <c r="M48" s="2">
        <f t="shared" si="15"/>
        <v>25.58</v>
      </c>
      <c r="N48" s="2">
        <v>14.5</v>
      </c>
      <c r="O48" s="2">
        <v>50.26548245743669</v>
      </c>
      <c r="P48" s="11">
        <f t="shared" si="5"/>
        <v>2.8846833435406034</v>
      </c>
      <c r="Q48" s="2">
        <f t="shared" si="6"/>
        <v>73.790199927768626</v>
      </c>
      <c r="R48" s="2">
        <f t="shared" si="7"/>
        <v>2.4770892345362268</v>
      </c>
      <c r="S48" s="2">
        <f t="shared" si="8"/>
        <v>63.363942619436678</v>
      </c>
      <c r="T48" s="2">
        <f t="shared" si="9"/>
        <v>10.426257308331948</v>
      </c>
    </row>
    <row r="49" spans="1:20" x14ac:dyDescent="0.25">
      <c r="A49" s="14">
        <f t="shared" si="16"/>
        <v>0.47622863247863245</v>
      </c>
      <c r="B49" s="2">
        <f t="shared" si="11"/>
        <v>44</v>
      </c>
      <c r="C49" s="4">
        <f t="shared" si="12"/>
        <v>26.33</v>
      </c>
      <c r="D49" s="2">
        <v>11.5</v>
      </c>
      <c r="E49" s="2">
        <v>50.26548245743669</v>
      </c>
      <c r="F49" s="11">
        <f t="shared" si="0"/>
        <v>2.2878523069459957</v>
      </c>
      <c r="G49" s="2">
        <f t="shared" si="1"/>
        <v>60.239151241888067</v>
      </c>
      <c r="H49" s="2">
        <f t="shared" si="2"/>
        <v>2.208628121085511</v>
      </c>
      <c r="I49" s="2">
        <f t="shared" si="3"/>
        <v>58.153178428181498</v>
      </c>
      <c r="J49" s="2">
        <f t="shared" si="4"/>
        <v>2.0859728137065687</v>
      </c>
      <c r="K49" s="15">
        <f t="shared" si="17"/>
        <v>0.45478988603988602</v>
      </c>
      <c r="L49" s="2">
        <f t="shared" si="14"/>
        <v>44</v>
      </c>
      <c r="M49" s="2">
        <f t="shared" si="15"/>
        <v>26.08</v>
      </c>
      <c r="N49" s="2">
        <v>13</v>
      </c>
      <c r="O49" s="2">
        <v>50.26548245743669</v>
      </c>
      <c r="P49" s="11">
        <f t="shared" si="5"/>
        <v>2.5862678252432989</v>
      </c>
      <c r="Q49" s="2">
        <f t="shared" si="6"/>
        <v>67.449864882345224</v>
      </c>
      <c r="R49" s="2">
        <f t="shared" si="7"/>
        <v>2.4770892345362268</v>
      </c>
      <c r="S49" s="2">
        <f t="shared" si="8"/>
        <v>64.602487236704789</v>
      </c>
      <c r="T49" s="2">
        <f t="shared" si="9"/>
        <v>2.8473776456404352</v>
      </c>
    </row>
    <row r="50" spans="1:20" x14ac:dyDescent="0.25">
      <c r="A50" s="14">
        <f t="shared" si="16"/>
        <v>0.47633547008547006</v>
      </c>
      <c r="B50" s="2">
        <f t="shared" si="11"/>
        <v>45</v>
      </c>
      <c r="C50" s="4">
        <f t="shared" si="12"/>
        <v>26.83</v>
      </c>
      <c r="D50" s="2">
        <v>14</v>
      </c>
      <c r="E50" s="2">
        <v>50.26548245743669</v>
      </c>
      <c r="F50" s="11">
        <f t="shared" si="0"/>
        <v>2.7852115041081689</v>
      </c>
      <c r="G50" s="2">
        <f t="shared" si="1"/>
        <v>74.727224655222173</v>
      </c>
      <c r="H50" s="2">
        <f t="shared" si="2"/>
        <v>2.208628121085511</v>
      </c>
      <c r="I50" s="2">
        <f t="shared" si="3"/>
        <v>59.257492488724253</v>
      </c>
      <c r="J50" s="2">
        <f t="shared" si="4"/>
        <v>15.46973216649792</v>
      </c>
      <c r="K50" s="15">
        <f t="shared" si="17"/>
        <v>0.45491452991452991</v>
      </c>
      <c r="L50" s="2">
        <f t="shared" si="14"/>
        <v>45</v>
      </c>
      <c r="M50" s="2">
        <f t="shared" si="15"/>
        <v>26.58</v>
      </c>
      <c r="N50" s="2">
        <v>13</v>
      </c>
      <c r="O50" s="2">
        <v>50.26548245743669</v>
      </c>
      <c r="P50" s="11">
        <f t="shared" si="5"/>
        <v>2.5862678252432989</v>
      </c>
      <c r="Q50" s="2">
        <f t="shared" si="6"/>
        <v>68.74299879496688</v>
      </c>
      <c r="R50" s="2">
        <f t="shared" si="7"/>
        <v>2.4770892345362268</v>
      </c>
      <c r="S50" s="2">
        <f t="shared" si="8"/>
        <v>65.841031853972908</v>
      </c>
      <c r="T50" s="2">
        <f t="shared" si="9"/>
        <v>2.9019669409939723</v>
      </c>
    </row>
    <row r="51" spans="1:20" x14ac:dyDescent="0.25">
      <c r="A51" s="14">
        <f t="shared" si="16"/>
        <v>0.47644230769230766</v>
      </c>
      <c r="B51" s="2">
        <f t="shared" si="11"/>
        <v>46</v>
      </c>
      <c r="C51" s="4">
        <f t="shared" si="12"/>
        <v>27.33</v>
      </c>
      <c r="D51" s="2">
        <v>12.5</v>
      </c>
      <c r="E51" s="2">
        <v>50.26548245743669</v>
      </c>
      <c r="F51" s="11">
        <f t="shared" si="0"/>
        <v>2.4867959858108648</v>
      </c>
      <c r="G51" s="2">
        <f t="shared" si="1"/>
        <v>67.964134292210929</v>
      </c>
      <c r="H51" s="2">
        <f t="shared" si="2"/>
        <v>2.208628121085511</v>
      </c>
      <c r="I51" s="2">
        <f t="shared" si="3"/>
        <v>60.361806549267008</v>
      </c>
      <c r="J51" s="2">
        <f t="shared" si="4"/>
        <v>7.6023277429439204</v>
      </c>
      <c r="K51" s="15">
        <f t="shared" si="17"/>
        <v>0.4550391737891738</v>
      </c>
      <c r="L51" s="2">
        <f t="shared" si="14"/>
        <v>46</v>
      </c>
      <c r="M51" s="2">
        <f t="shared" si="15"/>
        <v>27.08</v>
      </c>
      <c r="N51" s="2">
        <v>14</v>
      </c>
      <c r="O51" s="2">
        <v>50.26548245743669</v>
      </c>
      <c r="P51" s="11">
        <f t="shared" si="5"/>
        <v>2.7852115041081689</v>
      </c>
      <c r="Q51" s="2">
        <f t="shared" si="6"/>
        <v>75.423527531249206</v>
      </c>
      <c r="R51" s="2">
        <f t="shared" si="7"/>
        <v>2.4770892345362268</v>
      </c>
      <c r="S51" s="2">
        <f t="shared" si="8"/>
        <v>67.079576471241012</v>
      </c>
      <c r="T51" s="2">
        <f t="shared" si="9"/>
        <v>8.3439510600081945</v>
      </c>
    </row>
    <row r="52" spans="1:20" x14ac:dyDescent="0.25">
      <c r="A52" s="14">
        <f t="shared" si="16"/>
        <v>0.47654914529914527</v>
      </c>
      <c r="B52" s="2">
        <f t="shared" si="11"/>
        <v>47</v>
      </c>
      <c r="C52" s="4">
        <f t="shared" si="12"/>
        <v>27.83</v>
      </c>
      <c r="D52" s="2">
        <v>12.5</v>
      </c>
      <c r="E52" s="2">
        <v>50.26548245743669</v>
      </c>
      <c r="F52" s="11">
        <f t="shared" si="0"/>
        <v>2.4867959858108648</v>
      </c>
      <c r="G52" s="2">
        <f t="shared" si="1"/>
        <v>69.207532285116358</v>
      </c>
      <c r="H52" s="2">
        <f t="shared" si="2"/>
        <v>2.208628121085511</v>
      </c>
      <c r="I52" s="2">
        <f t="shared" si="3"/>
        <v>61.466120609809764</v>
      </c>
      <c r="J52" s="2">
        <f t="shared" si="4"/>
        <v>7.741411675306594</v>
      </c>
      <c r="K52" s="15">
        <f t="shared" si="17"/>
        <v>0.45516381766381764</v>
      </c>
      <c r="L52" s="2">
        <f t="shared" si="14"/>
        <v>47</v>
      </c>
      <c r="M52" s="2">
        <f t="shared" si="15"/>
        <v>27.58</v>
      </c>
      <c r="N52" s="2">
        <v>14</v>
      </c>
      <c r="O52" s="2">
        <v>50.26548245743669</v>
      </c>
      <c r="P52" s="11">
        <f t="shared" si="5"/>
        <v>2.7852115041081689</v>
      </c>
      <c r="Q52" s="2">
        <f t="shared" si="6"/>
        <v>76.816133283303287</v>
      </c>
      <c r="R52" s="2">
        <f t="shared" si="7"/>
        <v>2.4770892345362268</v>
      </c>
      <c r="S52" s="2">
        <f t="shared" si="8"/>
        <v>68.31812108850913</v>
      </c>
      <c r="T52" s="2">
        <f t="shared" si="9"/>
        <v>8.4980121947941569</v>
      </c>
    </row>
    <row r="53" spans="1:20" x14ac:dyDescent="0.25">
      <c r="A53" s="14">
        <f t="shared" si="16"/>
        <v>0.47665598290598288</v>
      </c>
      <c r="B53" s="2">
        <f t="shared" si="11"/>
        <v>48</v>
      </c>
      <c r="C53" s="4">
        <f t="shared" si="12"/>
        <v>28.33</v>
      </c>
      <c r="D53" s="2">
        <v>11.5</v>
      </c>
      <c r="E53" s="2">
        <v>50.26548245743669</v>
      </c>
      <c r="F53" s="11">
        <f t="shared" si="0"/>
        <v>2.2878523069459957</v>
      </c>
      <c r="G53" s="2">
        <f t="shared" si="1"/>
        <v>64.814855855780053</v>
      </c>
      <c r="H53" s="2">
        <f t="shared" si="2"/>
        <v>2.208628121085511</v>
      </c>
      <c r="I53" s="2">
        <f t="shared" si="3"/>
        <v>62.570434670352526</v>
      </c>
      <c r="J53" s="2">
        <f t="shared" si="4"/>
        <v>2.2444211854275267</v>
      </c>
      <c r="K53" s="15">
        <f t="shared" si="17"/>
        <v>0.45528846153846153</v>
      </c>
      <c r="L53" s="2">
        <f t="shared" si="14"/>
        <v>48</v>
      </c>
      <c r="M53" s="2">
        <f t="shared" si="15"/>
        <v>28.08</v>
      </c>
      <c r="N53" s="2">
        <v>13</v>
      </c>
      <c r="O53" s="2">
        <v>50.26548245743669</v>
      </c>
      <c r="P53" s="11">
        <f t="shared" si="5"/>
        <v>2.5862678252432989</v>
      </c>
      <c r="Q53" s="2">
        <f t="shared" si="6"/>
        <v>72.622400532831833</v>
      </c>
      <c r="R53" s="2">
        <f t="shared" si="7"/>
        <v>2.4770892345362268</v>
      </c>
      <c r="S53" s="2">
        <f t="shared" si="8"/>
        <v>69.556665705777249</v>
      </c>
      <c r="T53" s="2">
        <f t="shared" si="9"/>
        <v>3.0657348270545839</v>
      </c>
    </row>
    <row r="54" spans="1:20" x14ac:dyDescent="0.25">
      <c r="A54" s="14">
        <f t="shared" si="16"/>
        <v>0.47676282051282048</v>
      </c>
      <c r="B54" s="2">
        <f t="shared" si="11"/>
        <v>49</v>
      </c>
      <c r="C54" s="4">
        <f t="shared" si="12"/>
        <v>28.83</v>
      </c>
      <c r="D54" s="2">
        <v>12</v>
      </c>
      <c r="E54" s="2">
        <v>50.26548245743669</v>
      </c>
      <c r="F54" s="11">
        <f t="shared" si="0"/>
        <v>2.3873241463784298</v>
      </c>
      <c r="G54" s="2">
        <f t="shared" si="1"/>
        <v>68.826555140090122</v>
      </c>
      <c r="H54" s="2">
        <f t="shared" si="2"/>
        <v>2.208628121085511</v>
      </c>
      <c r="I54" s="2">
        <f t="shared" si="3"/>
        <v>63.674748730895281</v>
      </c>
      <c r="J54" s="2">
        <f t="shared" si="4"/>
        <v>5.1518064091948403</v>
      </c>
      <c r="K54" s="15">
        <f t="shared" si="17"/>
        <v>0.45541310541310542</v>
      </c>
      <c r="L54" s="2">
        <f t="shared" si="14"/>
        <v>49</v>
      </c>
      <c r="M54" s="2">
        <f t="shared" si="15"/>
        <v>28.58</v>
      </c>
      <c r="N54" s="2">
        <v>13.5</v>
      </c>
      <c r="O54" s="2">
        <v>50.26548245743669</v>
      </c>
      <c r="P54" s="11">
        <f t="shared" si="5"/>
        <v>2.6857396646757339</v>
      </c>
      <c r="Q54" s="2">
        <f t="shared" si="6"/>
        <v>76.758439616432469</v>
      </c>
      <c r="R54" s="2">
        <f t="shared" si="7"/>
        <v>2.4770892345362268</v>
      </c>
      <c r="S54" s="2">
        <f t="shared" si="8"/>
        <v>70.795210323045353</v>
      </c>
      <c r="T54" s="2">
        <f t="shared" si="9"/>
        <v>5.9632292933871156</v>
      </c>
    </row>
    <row r="55" spans="1:20" x14ac:dyDescent="0.25">
      <c r="A55" s="14">
        <f t="shared" si="16"/>
        <v>0.47686965811965809</v>
      </c>
      <c r="B55" s="2">
        <f t="shared" si="11"/>
        <v>50</v>
      </c>
      <c r="C55" s="4">
        <f t="shared" si="12"/>
        <v>29.33</v>
      </c>
      <c r="D55" s="2">
        <v>14</v>
      </c>
      <c r="E55" s="2">
        <v>50.26548245743669</v>
      </c>
      <c r="F55" s="11">
        <f t="shared" si="0"/>
        <v>2.7852115041081689</v>
      </c>
      <c r="G55" s="2">
        <f t="shared" si="1"/>
        <v>81.690253415492592</v>
      </c>
      <c r="H55" s="2">
        <f t="shared" si="2"/>
        <v>2.208628121085511</v>
      </c>
      <c r="I55" s="2">
        <f t="shared" si="3"/>
        <v>64.779062791438037</v>
      </c>
      <c r="J55" s="2">
        <f t="shared" si="4"/>
        <v>16.911190624054555</v>
      </c>
      <c r="K55" s="15">
        <f t="shared" si="17"/>
        <v>0.45553774928774926</v>
      </c>
      <c r="L55" s="2">
        <f t="shared" si="14"/>
        <v>50</v>
      </c>
      <c r="M55" s="2">
        <f t="shared" si="15"/>
        <v>29.08</v>
      </c>
      <c r="N55" s="2">
        <v>16.5</v>
      </c>
      <c r="O55" s="2">
        <v>50.26548245743669</v>
      </c>
      <c r="P55" s="11">
        <f t="shared" si="5"/>
        <v>3.2825707012703416</v>
      </c>
      <c r="Q55" s="2">
        <f t="shared" si="6"/>
        <v>95.457155992941523</v>
      </c>
      <c r="R55" s="2">
        <f t="shared" si="7"/>
        <v>2.4770892345362268</v>
      </c>
      <c r="S55" s="2">
        <f t="shared" si="8"/>
        <v>72.033754940313472</v>
      </c>
      <c r="T55" s="2">
        <f t="shared" si="9"/>
        <v>23.423401052628051</v>
      </c>
    </row>
    <row r="56" spans="1:20" x14ac:dyDescent="0.25">
      <c r="A56" s="14">
        <f t="shared" si="16"/>
        <v>0.4769764957264957</v>
      </c>
      <c r="B56" s="2">
        <f t="shared" si="11"/>
        <v>51</v>
      </c>
      <c r="C56" s="4">
        <f t="shared" si="12"/>
        <v>29.83</v>
      </c>
      <c r="D56" s="2">
        <v>11.5</v>
      </c>
      <c r="E56" s="2">
        <v>50.26548245743669</v>
      </c>
      <c r="F56" s="11">
        <f t="shared" si="0"/>
        <v>2.2878523069459957</v>
      </c>
      <c r="G56" s="2">
        <f t="shared" si="1"/>
        <v>68.246634316199049</v>
      </c>
      <c r="H56" s="2">
        <f t="shared" si="2"/>
        <v>2.208628121085511</v>
      </c>
      <c r="I56" s="2">
        <f t="shared" si="3"/>
        <v>65.883376851980785</v>
      </c>
      <c r="J56" s="2">
        <f t="shared" si="4"/>
        <v>2.3632574642182647</v>
      </c>
      <c r="K56" s="15">
        <f t="shared" si="17"/>
        <v>0.45566239316239315</v>
      </c>
      <c r="L56" s="2">
        <f t="shared" si="14"/>
        <v>51</v>
      </c>
      <c r="M56" s="2">
        <f t="shared" si="15"/>
        <v>29.58</v>
      </c>
      <c r="N56" s="2">
        <v>14.5</v>
      </c>
      <c r="O56" s="2">
        <v>50.26548245743669</v>
      </c>
      <c r="P56" s="11">
        <f t="shared" si="5"/>
        <v>2.8846833435406034</v>
      </c>
      <c r="Q56" s="2">
        <f t="shared" si="6"/>
        <v>85.328933301931045</v>
      </c>
      <c r="R56" s="2">
        <f t="shared" si="7"/>
        <v>2.4770892345362268</v>
      </c>
      <c r="S56" s="2">
        <f t="shared" si="8"/>
        <v>73.27229955758159</v>
      </c>
      <c r="T56" s="2">
        <f t="shared" si="9"/>
        <v>12.056633744349455</v>
      </c>
    </row>
    <row r="57" spans="1:20" x14ac:dyDescent="0.25">
      <c r="A57" s="14">
        <f t="shared" si="16"/>
        <v>0.4770833333333333</v>
      </c>
      <c r="B57" s="2">
        <f t="shared" si="11"/>
        <v>52</v>
      </c>
      <c r="C57" s="4">
        <f t="shared" si="12"/>
        <v>30.33</v>
      </c>
      <c r="D57" s="2">
        <v>11</v>
      </c>
      <c r="E57" s="2">
        <v>50.26548245743669</v>
      </c>
      <c r="F57" s="11">
        <f t="shared" si="0"/>
        <v>2.1883804675135607</v>
      </c>
      <c r="G57" s="2">
        <f t="shared" si="1"/>
        <v>66.373579579686293</v>
      </c>
      <c r="H57" s="2">
        <f t="shared" si="2"/>
        <v>2.208628121085511</v>
      </c>
      <c r="I57" s="2">
        <f t="shared" si="3"/>
        <v>66.987690912523547</v>
      </c>
      <c r="J57" s="2">
        <f t="shared" si="4"/>
        <v>0.61411133283725405</v>
      </c>
      <c r="K57" s="15">
        <f t="shared" si="17"/>
        <v>0.45578703703703705</v>
      </c>
      <c r="L57" s="2">
        <f t="shared" si="14"/>
        <v>52</v>
      </c>
      <c r="M57" s="2">
        <f t="shared" si="15"/>
        <v>30.08</v>
      </c>
      <c r="N57" s="2">
        <v>12</v>
      </c>
      <c r="O57" s="2">
        <v>50.26548245743669</v>
      </c>
      <c r="P57" s="11">
        <f t="shared" si="5"/>
        <v>2.3873241463784298</v>
      </c>
      <c r="Q57" s="2">
        <f t="shared" si="6"/>
        <v>71.810710323063162</v>
      </c>
      <c r="R57" s="2">
        <f t="shared" si="7"/>
        <v>2.4770892345362268</v>
      </c>
      <c r="S57" s="2">
        <f t="shared" si="8"/>
        <v>74.510844174849694</v>
      </c>
      <c r="T57" s="2">
        <f t="shared" si="9"/>
        <v>2.7001338517865321</v>
      </c>
    </row>
    <row r="58" spans="1:20" x14ac:dyDescent="0.25">
      <c r="A58" s="14">
        <f t="shared" si="16"/>
        <v>0.47719017094017091</v>
      </c>
      <c r="B58" s="2">
        <f t="shared" si="11"/>
        <v>53</v>
      </c>
      <c r="C58" s="4">
        <f t="shared" si="12"/>
        <v>30.83</v>
      </c>
      <c r="D58" s="2">
        <v>10.5</v>
      </c>
      <c r="E58" s="2">
        <v>50.26548245743669</v>
      </c>
      <c r="F58" s="11">
        <f t="shared" si="0"/>
        <v>2.0889086280811267</v>
      </c>
      <c r="G58" s="2">
        <f t="shared" si="1"/>
        <v>64.401053003741126</v>
      </c>
      <c r="H58" s="2">
        <f t="shared" si="2"/>
        <v>2.208628121085511</v>
      </c>
      <c r="I58" s="2">
        <f t="shared" si="3"/>
        <v>68.092004973066295</v>
      </c>
      <c r="J58" s="2">
        <f t="shared" si="4"/>
        <v>3.6909519693251696</v>
      </c>
      <c r="K58" s="15">
        <f t="shared" si="17"/>
        <v>0.45591168091168088</v>
      </c>
      <c r="L58" s="2">
        <f t="shared" si="14"/>
        <v>53</v>
      </c>
      <c r="M58" s="2">
        <f t="shared" si="15"/>
        <v>30.58</v>
      </c>
      <c r="N58" s="2">
        <v>13</v>
      </c>
      <c r="O58" s="2">
        <v>50.26548245743669</v>
      </c>
      <c r="P58" s="11">
        <f t="shared" si="5"/>
        <v>2.5862678252432989</v>
      </c>
      <c r="Q58" s="2">
        <f t="shared" si="6"/>
        <v>79.088070095940083</v>
      </c>
      <c r="R58" s="2">
        <f t="shared" si="7"/>
        <v>2.4770892345362268</v>
      </c>
      <c r="S58" s="2">
        <f t="shared" si="8"/>
        <v>75.749388792117813</v>
      </c>
      <c r="T58" s="2">
        <f t="shared" si="9"/>
        <v>3.3386813038222698</v>
      </c>
    </row>
    <row r="59" spans="1:20" x14ac:dyDescent="0.25">
      <c r="A59" s="14">
        <f t="shared" si="16"/>
        <v>0.47729700854700852</v>
      </c>
      <c r="B59" s="2">
        <f t="shared" si="11"/>
        <v>54</v>
      </c>
      <c r="C59" s="4">
        <f t="shared" si="12"/>
        <v>31.33</v>
      </c>
      <c r="D59" s="2">
        <v>13.5</v>
      </c>
      <c r="E59" s="2">
        <v>50.26548245743669</v>
      </c>
      <c r="F59" s="11">
        <f t="shared" si="0"/>
        <v>2.6857396646757339</v>
      </c>
      <c r="G59" s="2">
        <f t="shared" si="1"/>
        <v>84.144223694290744</v>
      </c>
      <c r="H59" s="2">
        <f t="shared" si="2"/>
        <v>2.208628121085511</v>
      </c>
      <c r="I59" s="2">
        <f t="shared" si="3"/>
        <v>69.196319033609058</v>
      </c>
      <c r="J59" s="2">
        <f t="shared" si="4"/>
        <v>14.947904660681687</v>
      </c>
      <c r="K59" s="15">
        <f t="shared" si="17"/>
        <v>0.45603632478632478</v>
      </c>
      <c r="L59" s="2">
        <f t="shared" si="14"/>
        <v>54</v>
      </c>
      <c r="M59" s="2">
        <f t="shared" si="15"/>
        <v>31.08</v>
      </c>
      <c r="N59" s="2">
        <v>13.5</v>
      </c>
      <c r="O59" s="2">
        <v>50.26548245743669</v>
      </c>
      <c r="P59" s="11">
        <f t="shared" si="5"/>
        <v>2.6857396646757339</v>
      </c>
      <c r="Q59" s="2">
        <f t="shared" si="6"/>
        <v>83.47278877812181</v>
      </c>
      <c r="R59" s="2">
        <f t="shared" si="7"/>
        <v>2.4770892345362268</v>
      </c>
      <c r="S59" s="2">
        <f t="shared" si="8"/>
        <v>76.987933409385917</v>
      </c>
      <c r="T59" s="2">
        <f t="shared" si="9"/>
        <v>6.484855368735893</v>
      </c>
    </row>
    <row r="60" spans="1:20" x14ac:dyDescent="0.25">
      <c r="A60" s="14">
        <f t="shared" si="16"/>
        <v>0.47740384615384612</v>
      </c>
      <c r="B60" s="2">
        <f t="shared" si="11"/>
        <v>55</v>
      </c>
      <c r="C60" s="4">
        <f t="shared" si="12"/>
        <v>31.83</v>
      </c>
      <c r="D60" s="2">
        <v>11</v>
      </c>
      <c r="E60" s="2">
        <v>50.26548245743669</v>
      </c>
      <c r="F60" s="11">
        <f t="shared" si="0"/>
        <v>2.1883804675135607</v>
      </c>
      <c r="G60" s="2">
        <f t="shared" si="1"/>
        <v>69.656150280956638</v>
      </c>
      <c r="H60" s="2">
        <f t="shared" si="2"/>
        <v>2.208628121085511</v>
      </c>
      <c r="I60" s="2">
        <f t="shared" si="3"/>
        <v>70.300633094151806</v>
      </c>
      <c r="J60" s="2">
        <f t="shared" si="4"/>
        <v>0.64448281319516809</v>
      </c>
      <c r="K60" s="15">
        <f t="shared" si="17"/>
        <v>0.45616096866096867</v>
      </c>
      <c r="L60" s="2">
        <f t="shared" si="14"/>
        <v>55</v>
      </c>
      <c r="M60" s="2">
        <f t="shared" si="15"/>
        <v>31.58</v>
      </c>
      <c r="N60" s="2">
        <v>14.5</v>
      </c>
      <c r="O60" s="2">
        <v>50.26548245743669</v>
      </c>
      <c r="P60" s="11">
        <f t="shared" si="5"/>
        <v>2.8846833435406034</v>
      </c>
      <c r="Q60" s="2">
        <f t="shared" si="6"/>
        <v>91.098299989012247</v>
      </c>
      <c r="R60" s="2">
        <f t="shared" si="7"/>
        <v>2.4770892345362268</v>
      </c>
      <c r="S60" s="2">
        <f t="shared" si="8"/>
        <v>78.226478026654036</v>
      </c>
      <c r="T60" s="2">
        <f t="shared" si="9"/>
        <v>12.871821962358212</v>
      </c>
    </row>
    <row r="61" spans="1:20" x14ac:dyDescent="0.25">
      <c r="A61" s="14">
        <f t="shared" si="16"/>
        <v>0.47751068376068373</v>
      </c>
      <c r="B61" s="2">
        <f t="shared" si="11"/>
        <v>56</v>
      </c>
      <c r="C61" s="4">
        <f t="shared" si="12"/>
        <v>32.33</v>
      </c>
      <c r="D61" s="2">
        <v>12.5</v>
      </c>
      <c r="E61" s="2">
        <v>50.26548245743669</v>
      </c>
      <c r="F61" s="11">
        <f t="shared" si="0"/>
        <v>2.4867959858108648</v>
      </c>
      <c r="G61" s="2">
        <f t="shared" si="1"/>
        <v>80.39811422126526</v>
      </c>
      <c r="H61" s="2">
        <f t="shared" si="2"/>
        <v>2.208628121085511</v>
      </c>
      <c r="I61" s="2">
        <f t="shared" si="3"/>
        <v>71.404947154694568</v>
      </c>
      <c r="J61" s="2">
        <f t="shared" si="4"/>
        <v>8.9931670665706918</v>
      </c>
      <c r="K61" s="15">
        <f t="shared" si="17"/>
        <v>0.45628561253561251</v>
      </c>
      <c r="L61" s="2">
        <f t="shared" si="14"/>
        <v>56</v>
      </c>
      <c r="M61" s="2">
        <f t="shared" si="15"/>
        <v>32.08</v>
      </c>
      <c r="N61" s="2">
        <v>13</v>
      </c>
      <c r="O61" s="2">
        <v>50.26548245743669</v>
      </c>
      <c r="P61" s="11">
        <f t="shared" si="5"/>
        <v>2.5862678252432989</v>
      </c>
      <c r="Q61" s="2">
        <f t="shared" si="6"/>
        <v>82.967471833805021</v>
      </c>
      <c r="R61" s="2">
        <f t="shared" si="7"/>
        <v>2.4770892345362268</v>
      </c>
      <c r="S61" s="2">
        <f t="shared" si="8"/>
        <v>79.465022643922154</v>
      </c>
      <c r="T61" s="2">
        <f t="shared" si="9"/>
        <v>3.5024491898828671</v>
      </c>
    </row>
    <row r="62" spans="1:20" x14ac:dyDescent="0.25">
      <c r="A62" s="14">
        <f t="shared" si="16"/>
        <v>0.47761752136752134</v>
      </c>
      <c r="B62" s="2">
        <f t="shared" si="11"/>
        <v>57</v>
      </c>
      <c r="C62" s="4">
        <f t="shared" si="12"/>
        <v>32.83</v>
      </c>
      <c r="D62" s="2">
        <v>12.5</v>
      </c>
      <c r="E62" s="2">
        <v>50.26548245743669</v>
      </c>
      <c r="F62" s="11">
        <f t="shared" si="0"/>
        <v>2.4867959858108648</v>
      </c>
      <c r="G62" s="2">
        <f t="shared" si="1"/>
        <v>81.641512214170689</v>
      </c>
      <c r="H62" s="2">
        <f t="shared" si="2"/>
        <v>2.208628121085511</v>
      </c>
      <c r="I62" s="2">
        <f t="shared" si="3"/>
        <v>72.509261215237316</v>
      </c>
      <c r="J62" s="2">
        <f t="shared" si="4"/>
        <v>9.1322509989333724</v>
      </c>
      <c r="K62" s="15">
        <f t="shared" si="17"/>
        <v>0.4564102564102564</v>
      </c>
      <c r="L62" s="2">
        <f t="shared" si="14"/>
        <v>57</v>
      </c>
      <c r="M62" s="2">
        <f t="shared" si="15"/>
        <v>32.58</v>
      </c>
      <c r="N62" s="2">
        <v>13</v>
      </c>
      <c r="O62" s="2">
        <v>50.26548245743669</v>
      </c>
      <c r="P62" s="11">
        <f t="shared" si="5"/>
        <v>2.5862678252432989</v>
      </c>
      <c r="Q62" s="2">
        <f t="shared" si="6"/>
        <v>84.260605746426677</v>
      </c>
      <c r="R62" s="2">
        <f t="shared" si="7"/>
        <v>2.4770892345362268</v>
      </c>
      <c r="S62" s="2">
        <f t="shared" si="8"/>
        <v>80.703567261190258</v>
      </c>
      <c r="T62" s="2">
        <f t="shared" si="9"/>
        <v>3.5570384852364185</v>
      </c>
    </row>
    <row r="63" spans="1:20" x14ac:dyDescent="0.25">
      <c r="A63" s="14">
        <f t="shared" si="16"/>
        <v>0.47772435897435894</v>
      </c>
      <c r="B63" s="2">
        <f t="shared" si="11"/>
        <v>58</v>
      </c>
      <c r="C63" s="4">
        <f t="shared" si="12"/>
        <v>33.33</v>
      </c>
      <c r="D63" s="2">
        <v>14.5</v>
      </c>
      <c r="E63" s="2">
        <v>50.26548245743669</v>
      </c>
      <c r="F63" s="11">
        <f t="shared" si="0"/>
        <v>2.8846833435406034</v>
      </c>
      <c r="G63" s="2">
        <f t="shared" si="1"/>
        <v>96.146495840208303</v>
      </c>
      <c r="H63" s="2">
        <f t="shared" si="2"/>
        <v>2.208628121085511</v>
      </c>
      <c r="I63" s="2">
        <f t="shared" si="3"/>
        <v>73.613575275780079</v>
      </c>
      <c r="J63" s="2">
        <f t="shared" si="4"/>
        <v>22.532920564428224</v>
      </c>
      <c r="K63" s="15">
        <f t="shared" si="17"/>
        <v>0.45653490028490029</v>
      </c>
      <c r="L63" s="2">
        <f t="shared" si="14"/>
        <v>58</v>
      </c>
      <c r="M63" s="2">
        <f t="shared" si="15"/>
        <v>33.08</v>
      </c>
      <c r="N63" s="2">
        <v>14.5</v>
      </c>
      <c r="O63" s="2">
        <v>50.26548245743669</v>
      </c>
      <c r="P63" s="11">
        <f t="shared" si="5"/>
        <v>2.8846833435406034</v>
      </c>
      <c r="Q63" s="2">
        <f t="shared" si="6"/>
        <v>95.425325004323156</v>
      </c>
      <c r="R63" s="2">
        <f t="shared" si="7"/>
        <v>2.4770892345362268</v>
      </c>
      <c r="S63" s="2">
        <f t="shared" si="8"/>
        <v>81.942111878458377</v>
      </c>
      <c r="T63" s="2">
        <f t="shared" si="9"/>
        <v>13.483213125864779</v>
      </c>
    </row>
    <row r="64" spans="1:20" x14ac:dyDescent="0.25">
      <c r="A64" s="14">
        <f t="shared" si="16"/>
        <v>0.4778311965811966</v>
      </c>
      <c r="B64" s="2">
        <f t="shared" si="11"/>
        <v>59</v>
      </c>
      <c r="C64" s="4">
        <f t="shared" si="12"/>
        <v>33.83</v>
      </c>
      <c r="D64" s="2">
        <v>11.5</v>
      </c>
      <c r="E64" s="2">
        <v>50.26548245743669</v>
      </c>
      <c r="F64" s="11">
        <f t="shared" si="0"/>
        <v>2.2878523069459957</v>
      </c>
      <c r="G64" s="2">
        <f t="shared" si="1"/>
        <v>77.398043543983036</v>
      </c>
      <c r="H64" s="2">
        <f t="shared" si="2"/>
        <v>2.208628121085511</v>
      </c>
      <c r="I64" s="2">
        <f t="shared" si="3"/>
        <v>74.717889336322827</v>
      </c>
      <c r="J64" s="2">
        <f t="shared" si="4"/>
        <v>2.680154207660209</v>
      </c>
      <c r="K64" s="15">
        <f t="shared" si="17"/>
        <v>0.45665954415954413</v>
      </c>
      <c r="L64" s="2">
        <f t="shared" si="14"/>
        <v>59</v>
      </c>
      <c r="M64" s="2">
        <f t="shared" si="15"/>
        <v>33.58</v>
      </c>
      <c r="N64" s="2">
        <v>13</v>
      </c>
      <c r="O64" s="2">
        <v>50.26548245743669</v>
      </c>
      <c r="P64" s="11">
        <f t="shared" si="5"/>
        <v>2.5862678252432989</v>
      </c>
      <c r="Q64" s="2">
        <f t="shared" si="6"/>
        <v>86.846873571669974</v>
      </c>
      <c r="R64" s="2">
        <f t="shared" si="7"/>
        <v>2.4770892345362268</v>
      </c>
      <c r="S64" s="2">
        <f t="shared" si="8"/>
        <v>83.180656495726495</v>
      </c>
      <c r="T64" s="2">
        <f t="shared" si="9"/>
        <v>3.6662170759434787</v>
      </c>
    </row>
    <row r="65" spans="1:20" x14ac:dyDescent="0.25">
      <c r="A65" s="14">
        <f t="shared" si="16"/>
        <v>0.47793803418803421</v>
      </c>
      <c r="B65" s="2">
        <f t="shared" si="11"/>
        <v>60</v>
      </c>
      <c r="C65" s="4">
        <f t="shared" si="12"/>
        <v>34.33</v>
      </c>
      <c r="D65" s="2">
        <v>11.5</v>
      </c>
      <c r="E65" s="2">
        <v>50.26548245743669</v>
      </c>
      <c r="F65" s="11">
        <f t="shared" si="0"/>
        <v>2.2878523069459957</v>
      </c>
      <c r="G65" s="2">
        <f t="shared" si="1"/>
        <v>78.541969697456025</v>
      </c>
      <c r="H65" s="2">
        <f t="shared" si="2"/>
        <v>2.208628121085511</v>
      </c>
      <c r="I65" s="2">
        <f t="shared" si="3"/>
        <v>75.822203396865589</v>
      </c>
      <c r="J65" s="2">
        <f t="shared" si="4"/>
        <v>2.719766300590436</v>
      </c>
      <c r="K65" s="15">
        <f t="shared" si="17"/>
        <v>0.45678418803418802</v>
      </c>
      <c r="L65" s="2">
        <f t="shared" si="14"/>
        <v>60</v>
      </c>
      <c r="M65" s="2">
        <f t="shared" si="15"/>
        <v>34.08</v>
      </c>
      <c r="N65" s="2">
        <v>13</v>
      </c>
      <c r="O65" s="2">
        <v>50.26548245743669</v>
      </c>
      <c r="P65" s="11">
        <f t="shared" si="5"/>
        <v>2.5862678252432989</v>
      </c>
      <c r="Q65" s="2">
        <f t="shared" si="6"/>
        <v>88.140007484291615</v>
      </c>
      <c r="R65" s="2">
        <f t="shared" si="7"/>
        <v>2.4770892345362268</v>
      </c>
      <c r="S65" s="2">
        <f t="shared" si="8"/>
        <v>84.4192011129946</v>
      </c>
      <c r="T65" s="2">
        <f t="shared" si="9"/>
        <v>3.7208063712970159</v>
      </c>
    </row>
    <row r="66" spans="1:20" x14ac:dyDescent="0.25">
      <c r="A66" s="14">
        <f t="shared" si="16"/>
        <v>0.47804487179487182</v>
      </c>
      <c r="B66" s="2">
        <f t="shared" si="11"/>
        <v>61</v>
      </c>
      <c r="C66" s="4">
        <f t="shared" si="12"/>
        <v>34.83</v>
      </c>
      <c r="D66" s="2">
        <v>12</v>
      </c>
      <c r="E66" s="2">
        <v>50.26548245743669</v>
      </c>
      <c r="F66" s="11">
        <f t="shared" si="0"/>
        <v>2.3873241463784298</v>
      </c>
      <c r="G66" s="2">
        <f t="shared" si="1"/>
        <v>83.150500018360702</v>
      </c>
      <c r="H66" s="2">
        <f t="shared" si="2"/>
        <v>2.208628121085511</v>
      </c>
      <c r="I66" s="2">
        <f t="shared" si="3"/>
        <v>76.926517457408337</v>
      </c>
      <c r="J66" s="2">
        <f t="shared" si="4"/>
        <v>6.2239825609523649</v>
      </c>
      <c r="K66" s="15">
        <f t="shared" si="17"/>
        <v>0.45690883190883191</v>
      </c>
      <c r="L66" s="2">
        <f t="shared" si="14"/>
        <v>61</v>
      </c>
      <c r="M66" s="2">
        <f t="shared" si="15"/>
        <v>34.58</v>
      </c>
      <c r="N66" s="2">
        <v>14.5</v>
      </c>
      <c r="O66" s="2">
        <v>50.26548245743669</v>
      </c>
      <c r="P66" s="11">
        <f t="shared" si="5"/>
        <v>2.8846833435406034</v>
      </c>
      <c r="Q66" s="2">
        <f t="shared" si="6"/>
        <v>99.752350019634065</v>
      </c>
      <c r="R66" s="2">
        <f t="shared" si="7"/>
        <v>2.4770892345362268</v>
      </c>
      <c r="S66" s="2">
        <f t="shared" si="8"/>
        <v>85.657745730262718</v>
      </c>
      <c r="T66" s="2">
        <f t="shared" si="9"/>
        <v>14.094604289371347</v>
      </c>
    </row>
    <row r="67" spans="1:20" x14ac:dyDescent="0.25">
      <c r="A67" s="14">
        <f t="shared" si="16"/>
        <v>0.47815170940170942</v>
      </c>
      <c r="B67" s="2">
        <f t="shared" si="11"/>
        <v>62</v>
      </c>
      <c r="C67" s="4">
        <f t="shared" si="12"/>
        <v>35.33</v>
      </c>
      <c r="D67" s="2">
        <v>11.5</v>
      </c>
      <c r="E67" s="2">
        <v>50.26548245743669</v>
      </c>
      <c r="F67" s="11">
        <f t="shared" si="0"/>
        <v>2.2878523069459957</v>
      </c>
      <c r="G67" s="2">
        <f t="shared" si="1"/>
        <v>80.829822004402018</v>
      </c>
      <c r="H67" s="2">
        <f t="shared" si="2"/>
        <v>2.208628121085511</v>
      </c>
      <c r="I67" s="2">
        <f t="shared" si="3"/>
        <v>78.0308315179511</v>
      </c>
      <c r="J67" s="2">
        <f t="shared" si="4"/>
        <v>2.7989904864509185</v>
      </c>
      <c r="K67" s="15">
        <f t="shared" si="17"/>
        <v>0.45703347578347575</v>
      </c>
      <c r="L67" s="2">
        <f t="shared" si="14"/>
        <v>62</v>
      </c>
      <c r="M67" s="2">
        <f t="shared" si="15"/>
        <v>35.08</v>
      </c>
      <c r="N67" s="2">
        <v>13</v>
      </c>
      <c r="O67" s="2">
        <v>50.26548245743669</v>
      </c>
      <c r="P67" s="11">
        <f t="shared" si="5"/>
        <v>2.5862678252432989</v>
      </c>
      <c r="Q67" s="2">
        <f t="shared" si="6"/>
        <v>90.726275309534927</v>
      </c>
      <c r="R67" s="2">
        <f t="shared" si="7"/>
        <v>2.4770892345362268</v>
      </c>
      <c r="S67" s="2">
        <f t="shared" si="8"/>
        <v>86.896290347530837</v>
      </c>
      <c r="T67" s="2">
        <f t="shared" si="9"/>
        <v>3.8299849620040902</v>
      </c>
    </row>
    <row r="68" spans="1:20" x14ac:dyDescent="0.25">
      <c r="A68" s="14">
        <f t="shared" si="16"/>
        <v>0.47825854700854703</v>
      </c>
      <c r="B68" s="2">
        <f t="shared" si="11"/>
        <v>63</v>
      </c>
      <c r="C68" s="4">
        <f t="shared" si="12"/>
        <v>35.83</v>
      </c>
      <c r="D68" s="2">
        <v>10.5</v>
      </c>
      <c r="E68" s="2">
        <v>50.26548245743669</v>
      </c>
      <c r="F68" s="11">
        <f t="shared" si="0"/>
        <v>2.0889086280811267</v>
      </c>
      <c r="G68" s="2">
        <f t="shared" si="1"/>
        <v>74.845596144146768</v>
      </c>
      <c r="H68" s="2">
        <f t="shared" si="2"/>
        <v>2.208628121085511</v>
      </c>
      <c r="I68" s="2">
        <f t="shared" si="3"/>
        <v>79.135145578493848</v>
      </c>
      <c r="J68" s="2">
        <f t="shared" si="4"/>
        <v>4.2895494343470801</v>
      </c>
      <c r="K68" s="15">
        <f t="shared" si="17"/>
        <v>0.45715811965811964</v>
      </c>
      <c r="L68" s="2">
        <f t="shared" si="14"/>
        <v>63</v>
      </c>
      <c r="M68" s="2">
        <f t="shared" si="15"/>
        <v>35.58</v>
      </c>
      <c r="N68" s="2">
        <v>16.5</v>
      </c>
      <c r="O68" s="2">
        <v>50.26548245743669</v>
      </c>
      <c r="P68" s="11">
        <f t="shared" si="5"/>
        <v>3.2825707012703416</v>
      </c>
      <c r="Q68" s="2">
        <f t="shared" si="6"/>
        <v>116.79386555119875</v>
      </c>
      <c r="R68" s="2">
        <f t="shared" si="7"/>
        <v>2.4770892345362268</v>
      </c>
      <c r="S68" s="2">
        <f t="shared" si="8"/>
        <v>88.134834964798941</v>
      </c>
      <c r="T68" s="2">
        <f t="shared" si="9"/>
        <v>28.659030586399808</v>
      </c>
    </row>
    <row r="69" spans="1:20" x14ac:dyDescent="0.25">
      <c r="A69" s="14">
        <f t="shared" si="16"/>
        <v>0.47836538461538464</v>
      </c>
      <c r="B69" s="2">
        <f t="shared" si="11"/>
        <v>64</v>
      </c>
      <c r="C69" s="4">
        <f t="shared" si="12"/>
        <v>36.33</v>
      </c>
      <c r="D69" s="2">
        <v>12</v>
      </c>
      <c r="E69" s="2">
        <v>50.26548245743669</v>
      </c>
      <c r="F69" s="11">
        <f t="shared" si="0"/>
        <v>2.3873241463784298</v>
      </c>
      <c r="G69" s="2">
        <f t="shared" si="1"/>
        <v>86.731486237928351</v>
      </c>
      <c r="H69" s="2">
        <f t="shared" si="2"/>
        <v>2.208628121085511</v>
      </c>
      <c r="I69" s="2">
        <f t="shared" si="3"/>
        <v>80.23945963903661</v>
      </c>
      <c r="J69" s="2">
        <f t="shared" si="4"/>
        <v>6.4920265988917407</v>
      </c>
      <c r="K69" s="15">
        <f t="shared" si="17"/>
        <v>0.45728276353276354</v>
      </c>
      <c r="L69" s="2">
        <f t="shared" si="14"/>
        <v>64</v>
      </c>
      <c r="M69" s="2">
        <f t="shared" si="15"/>
        <v>36.08</v>
      </c>
      <c r="N69" s="2">
        <v>15</v>
      </c>
      <c r="O69" s="2">
        <v>50.26548245743669</v>
      </c>
      <c r="P69" s="11">
        <f t="shared" si="5"/>
        <v>2.9841551829730379</v>
      </c>
      <c r="Q69" s="2">
        <f t="shared" si="6"/>
        <v>107.6683190016672</v>
      </c>
      <c r="R69" s="2">
        <f t="shared" si="7"/>
        <v>2.4770892345362268</v>
      </c>
      <c r="S69" s="2">
        <f t="shared" si="8"/>
        <v>89.373379582067059</v>
      </c>
      <c r="T69" s="2">
        <f t="shared" si="9"/>
        <v>18.294939419600141</v>
      </c>
    </row>
    <row r="70" spans="1:20" x14ac:dyDescent="0.25">
      <c r="A70" s="14">
        <f t="shared" si="16"/>
        <v>0.47847222222222224</v>
      </c>
      <c r="B70" s="2">
        <f t="shared" si="11"/>
        <v>65</v>
      </c>
      <c r="C70" s="4">
        <f t="shared" si="12"/>
        <v>36.83</v>
      </c>
      <c r="D70" s="2">
        <v>11.5</v>
      </c>
      <c r="E70" s="2">
        <v>50.26548245743669</v>
      </c>
      <c r="F70" s="11">
        <f t="shared" si="0"/>
        <v>2.2878523069459957</v>
      </c>
      <c r="G70" s="2">
        <f t="shared" si="1"/>
        <v>84.261600464821015</v>
      </c>
      <c r="H70" s="2">
        <f t="shared" si="2"/>
        <v>2.208628121085511</v>
      </c>
      <c r="I70" s="2">
        <f t="shared" si="3"/>
        <v>81.343773699579373</v>
      </c>
      <c r="J70" s="2">
        <f t="shared" si="4"/>
        <v>2.9178267652416423</v>
      </c>
      <c r="K70" s="15">
        <f t="shared" si="17"/>
        <v>0.45740740740740737</v>
      </c>
      <c r="L70" s="2">
        <f t="shared" si="14"/>
        <v>65</v>
      </c>
      <c r="M70" s="2">
        <f t="shared" si="15"/>
        <v>36.58</v>
      </c>
      <c r="N70" s="2">
        <v>14.5</v>
      </c>
      <c r="O70" s="2">
        <v>50.26548245743669</v>
      </c>
      <c r="P70" s="11">
        <f t="shared" si="5"/>
        <v>2.8846833435406034</v>
      </c>
      <c r="Q70" s="2">
        <f t="shared" si="6"/>
        <v>105.52171670671527</v>
      </c>
      <c r="R70" s="2">
        <f t="shared" si="7"/>
        <v>2.4770892345362268</v>
      </c>
      <c r="S70" s="2">
        <f t="shared" si="8"/>
        <v>90.611924199335164</v>
      </c>
      <c r="T70" s="2">
        <f t="shared" si="9"/>
        <v>14.909792507380104</v>
      </c>
    </row>
    <row r="71" spans="1:20" x14ac:dyDescent="0.25">
      <c r="A71" s="14">
        <f t="shared" si="16"/>
        <v>0.47857905982905985</v>
      </c>
      <c r="B71" s="2">
        <f t="shared" si="11"/>
        <v>66</v>
      </c>
      <c r="C71" s="4">
        <f t="shared" si="12"/>
        <v>37.33</v>
      </c>
      <c r="D71" s="2">
        <v>12</v>
      </c>
      <c r="E71" s="2">
        <v>50.26548245743669</v>
      </c>
      <c r="F71" s="11">
        <f t="shared" si="0"/>
        <v>2.3873241463784298</v>
      </c>
      <c r="G71" s="2">
        <f t="shared" si="1"/>
        <v>89.118810384306784</v>
      </c>
      <c r="H71" s="2">
        <f t="shared" si="2"/>
        <v>2.208628121085511</v>
      </c>
      <c r="I71" s="2">
        <f t="shared" si="3"/>
        <v>82.448087760122121</v>
      </c>
      <c r="J71" s="2">
        <f t="shared" si="4"/>
        <v>6.6707226241846627</v>
      </c>
      <c r="K71" s="15">
        <f t="shared" si="17"/>
        <v>0.45753205128205127</v>
      </c>
      <c r="L71" s="2">
        <f t="shared" si="14"/>
        <v>66</v>
      </c>
      <c r="M71" s="2">
        <f t="shared" si="15"/>
        <v>37.08</v>
      </c>
      <c r="N71" s="2">
        <v>12.5</v>
      </c>
      <c r="O71" s="2">
        <v>50.26548245743669</v>
      </c>
      <c r="P71" s="11">
        <f t="shared" si="5"/>
        <v>2.4867959858108648</v>
      </c>
      <c r="Q71" s="2">
        <f t="shared" si="6"/>
        <v>92.21039515386687</v>
      </c>
      <c r="R71" s="2">
        <f t="shared" si="7"/>
        <v>2.4770892345362268</v>
      </c>
      <c r="S71" s="2">
        <f t="shared" si="8"/>
        <v>91.850468816603282</v>
      </c>
      <c r="T71" s="2">
        <f t="shared" si="9"/>
        <v>0.35992633726358747</v>
      </c>
    </row>
    <row r="72" spans="1:20" x14ac:dyDescent="0.25">
      <c r="A72" s="14">
        <f t="shared" si="16"/>
        <v>0.47868589743589746</v>
      </c>
      <c r="B72" s="2">
        <f t="shared" si="11"/>
        <v>67</v>
      </c>
      <c r="C72" s="4">
        <f t="shared" si="12"/>
        <v>37.83</v>
      </c>
      <c r="D72" s="2">
        <v>13</v>
      </c>
      <c r="E72" s="2">
        <v>50.26548245743669</v>
      </c>
      <c r="F72" s="11">
        <f t="shared" si="0"/>
        <v>2.5862678252432989</v>
      </c>
      <c r="G72" s="2">
        <f t="shared" si="1"/>
        <v>97.838511828953997</v>
      </c>
      <c r="H72" s="2">
        <f t="shared" si="2"/>
        <v>2.208628121085511</v>
      </c>
      <c r="I72" s="2">
        <f t="shared" si="3"/>
        <v>83.552401820664883</v>
      </c>
      <c r="J72" s="2">
        <f t="shared" si="4"/>
        <v>14.286110008289114</v>
      </c>
      <c r="K72" s="15">
        <f t="shared" si="17"/>
        <v>0.45765669515669516</v>
      </c>
      <c r="L72" s="2">
        <f t="shared" si="14"/>
        <v>67</v>
      </c>
      <c r="M72" s="2">
        <f t="shared" si="15"/>
        <v>37.58</v>
      </c>
      <c r="N72" s="2">
        <v>17.5</v>
      </c>
      <c r="O72" s="2">
        <v>50.26548245743669</v>
      </c>
      <c r="P72" s="11">
        <f t="shared" si="5"/>
        <v>3.4815143801352106</v>
      </c>
      <c r="Q72" s="2">
        <f t="shared" si="6"/>
        <v>130.83531040548121</v>
      </c>
      <c r="R72" s="2">
        <f t="shared" si="7"/>
        <v>2.4770892345362268</v>
      </c>
      <c r="S72" s="2">
        <f t="shared" si="8"/>
        <v>93.089013433871401</v>
      </c>
      <c r="T72" s="2">
        <f t="shared" si="9"/>
        <v>37.746296971609809</v>
      </c>
    </row>
    <row r="73" spans="1:20" x14ac:dyDescent="0.25">
      <c r="A73" s="14">
        <f t="shared" si="16"/>
        <v>0.47879273504273506</v>
      </c>
      <c r="B73" s="2">
        <f t="shared" si="11"/>
        <v>68</v>
      </c>
      <c r="C73" s="4">
        <f t="shared" si="12"/>
        <v>38.33</v>
      </c>
      <c r="D73" s="2">
        <v>12</v>
      </c>
      <c r="E73" s="2">
        <v>50.26548245743669</v>
      </c>
      <c r="F73" s="11">
        <f t="shared" si="0"/>
        <v>2.3873241463784298</v>
      </c>
      <c r="G73" s="2">
        <f t="shared" si="1"/>
        <v>91.506134530685216</v>
      </c>
      <c r="H73" s="2">
        <f t="shared" si="2"/>
        <v>2.208628121085511</v>
      </c>
      <c r="I73" s="2">
        <f t="shared" si="3"/>
        <v>84.656715881207631</v>
      </c>
      <c r="J73" s="2">
        <f t="shared" si="4"/>
        <v>6.8494186494775846</v>
      </c>
      <c r="K73" s="15">
        <f t="shared" si="17"/>
        <v>0.457781339031339</v>
      </c>
      <c r="L73" s="2">
        <f t="shared" si="14"/>
        <v>68</v>
      </c>
      <c r="M73" s="2">
        <f t="shared" si="15"/>
        <v>38.08</v>
      </c>
      <c r="N73" s="2">
        <v>14</v>
      </c>
      <c r="O73" s="2">
        <v>50.26548245743669</v>
      </c>
      <c r="P73" s="11">
        <f t="shared" si="5"/>
        <v>2.7852115041081689</v>
      </c>
      <c r="Q73" s="2">
        <f t="shared" si="6"/>
        <v>106.06085407643907</v>
      </c>
      <c r="R73" s="2">
        <f t="shared" si="7"/>
        <v>2.4770892345362268</v>
      </c>
      <c r="S73" s="2">
        <f t="shared" si="8"/>
        <v>94.327558051139505</v>
      </c>
      <c r="T73" s="2">
        <f t="shared" si="9"/>
        <v>11.733296025299566</v>
      </c>
    </row>
    <row r="74" spans="1:20" x14ac:dyDescent="0.25">
      <c r="A74" s="14">
        <f t="shared" si="16"/>
        <v>0.47889957264957267</v>
      </c>
      <c r="B74" s="2">
        <f t="shared" si="11"/>
        <v>69</v>
      </c>
      <c r="C74" s="4">
        <f t="shared" si="12"/>
        <v>38.83</v>
      </c>
      <c r="D74" s="2">
        <v>12</v>
      </c>
      <c r="E74" s="2">
        <v>50.26548245743669</v>
      </c>
      <c r="F74" s="11">
        <f t="shared" si="0"/>
        <v>2.3873241463784298</v>
      </c>
      <c r="G74" s="2">
        <f t="shared" si="1"/>
        <v>92.699796603874432</v>
      </c>
      <c r="H74" s="2">
        <f t="shared" si="2"/>
        <v>2.208628121085511</v>
      </c>
      <c r="I74" s="2">
        <f t="shared" si="3"/>
        <v>85.761029941750394</v>
      </c>
      <c r="J74" s="2">
        <f t="shared" si="4"/>
        <v>6.9387666621240385</v>
      </c>
      <c r="K74" s="15">
        <f t="shared" si="17"/>
        <v>0.45790598290598289</v>
      </c>
      <c r="L74" s="2">
        <f t="shared" si="14"/>
        <v>69</v>
      </c>
      <c r="M74" s="2">
        <f t="shared" si="15"/>
        <v>38.58</v>
      </c>
      <c r="N74" s="2">
        <v>13</v>
      </c>
      <c r="O74" s="2">
        <v>50.26548245743669</v>
      </c>
      <c r="P74" s="11">
        <f t="shared" si="5"/>
        <v>2.5862678252432989</v>
      </c>
      <c r="Q74" s="2">
        <f t="shared" si="6"/>
        <v>99.778212697886474</v>
      </c>
      <c r="R74" s="2">
        <f t="shared" si="7"/>
        <v>2.4770892345362268</v>
      </c>
      <c r="S74" s="2">
        <f t="shared" si="8"/>
        <v>95.566102668407623</v>
      </c>
      <c r="T74" s="2">
        <f t="shared" si="9"/>
        <v>4.2121100294788505</v>
      </c>
    </row>
    <row r="75" spans="1:20" x14ac:dyDescent="0.25">
      <c r="A75" s="14">
        <f t="shared" si="16"/>
        <v>0.47900641025641028</v>
      </c>
      <c r="B75" s="2">
        <f t="shared" si="11"/>
        <v>70</v>
      </c>
      <c r="C75" s="4">
        <f t="shared" si="12"/>
        <v>39.33</v>
      </c>
      <c r="D75" s="2">
        <v>11.5</v>
      </c>
      <c r="E75" s="2">
        <v>50.26548245743669</v>
      </c>
      <c r="F75" s="11">
        <f t="shared" si="0"/>
        <v>2.2878523069459957</v>
      </c>
      <c r="G75" s="2">
        <f t="shared" si="1"/>
        <v>89.981231232186005</v>
      </c>
      <c r="H75" s="2">
        <f t="shared" si="2"/>
        <v>2.208628121085511</v>
      </c>
      <c r="I75" s="2">
        <f t="shared" si="3"/>
        <v>86.865344002293142</v>
      </c>
      <c r="J75" s="2">
        <f t="shared" si="4"/>
        <v>3.1158872298928628</v>
      </c>
      <c r="K75" s="15">
        <f t="shared" si="17"/>
        <v>0.45803062678062678</v>
      </c>
      <c r="L75" s="2">
        <f t="shared" si="14"/>
        <v>70</v>
      </c>
      <c r="M75" s="2">
        <f t="shared" si="15"/>
        <v>39.08</v>
      </c>
      <c r="N75" s="2">
        <v>12.5</v>
      </c>
      <c r="O75" s="2">
        <v>50.26548245743669</v>
      </c>
      <c r="P75" s="11">
        <f t="shared" si="5"/>
        <v>2.4867959858108648</v>
      </c>
      <c r="Q75" s="2">
        <f t="shared" si="6"/>
        <v>97.183987125488599</v>
      </c>
      <c r="R75" s="2">
        <f t="shared" si="7"/>
        <v>2.4770892345362268</v>
      </c>
      <c r="S75" s="2">
        <f t="shared" si="8"/>
        <v>96.804647285675742</v>
      </c>
      <c r="T75" s="2">
        <f t="shared" si="9"/>
        <v>0.37933983981285735</v>
      </c>
    </row>
    <row r="76" spans="1:20" x14ac:dyDescent="0.25">
      <c r="A76" s="14">
        <f t="shared" si="16"/>
        <v>0.47911324786324788</v>
      </c>
      <c r="B76" s="2">
        <f t="shared" si="11"/>
        <v>71</v>
      </c>
      <c r="C76" s="4">
        <f t="shared" si="12"/>
        <v>39.83</v>
      </c>
      <c r="D76" s="2">
        <v>15</v>
      </c>
      <c r="E76" s="2">
        <v>50.26548245743669</v>
      </c>
      <c r="F76" s="11">
        <f t="shared" si="0"/>
        <v>2.9841551829730379</v>
      </c>
      <c r="G76" s="2">
        <f t="shared" si="1"/>
        <v>118.8589009378161</v>
      </c>
      <c r="H76" s="2">
        <f t="shared" si="2"/>
        <v>2.208628121085511</v>
      </c>
      <c r="I76" s="2">
        <f t="shared" si="3"/>
        <v>87.969658062835904</v>
      </c>
      <c r="J76" s="2">
        <f t="shared" si="4"/>
        <v>30.889242874980198</v>
      </c>
      <c r="K76" s="15">
        <f t="shared" si="17"/>
        <v>0.45815527065527062</v>
      </c>
      <c r="L76" s="2">
        <f t="shared" si="14"/>
        <v>71</v>
      </c>
      <c r="M76" s="2">
        <f t="shared" si="15"/>
        <v>39.58</v>
      </c>
      <c r="N76" s="2">
        <v>14</v>
      </c>
      <c r="O76" s="2">
        <v>50.26548245743669</v>
      </c>
      <c r="P76" s="11">
        <f t="shared" si="5"/>
        <v>2.7852115041081689</v>
      </c>
      <c r="Q76" s="2">
        <f t="shared" si="6"/>
        <v>110.23867133260131</v>
      </c>
      <c r="R76" s="2">
        <f t="shared" si="7"/>
        <v>2.4770892345362268</v>
      </c>
      <c r="S76" s="2">
        <f t="shared" si="8"/>
        <v>98.043191902943846</v>
      </c>
      <c r="T76" s="2">
        <f t="shared" si="9"/>
        <v>12.195479429657468</v>
      </c>
    </row>
    <row r="77" spans="1:20" x14ac:dyDescent="0.25">
      <c r="A77" s="14">
        <f t="shared" si="16"/>
        <v>0.47922008547008549</v>
      </c>
      <c r="B77" s="2">
        <f t="shared" si="11"/>
        <v>72</v>
      </c>
      <c r="C77" s="4">
        <f t="shared" si="12"/>
        <v>40.33</v>
      </c>
      <c r="D77" s="2">
        <v>13</v>
      </c>
      <c r="E77" s="2">
        <v>50.26548245743669</v>
      </c>
      <c r="F77" s="11">
        <f t="shared" si="0"/>
        <v>2.5862678252432989</v>
      </c>
      <c r="G77" s="2">
        <f t="shared" si="1"/>
        <v>104.30418139206225</v>
      </c>
      <c r="H77" s="2">
        <f t="shared" si="2"/>
        <v>2.208628121085511</v>
      </c>
      <c r="I77" s="2">
        <f t="shared" si="3"/>
        <v>89.073972123378653</v>
      </c>
      <c r="J77" s="2">
        <f t="shared" si="4"/>
        <v>15.230209268683595</v>
      </c>
      <c r="K77" s="15">
        <f t="shared" si="17"/>
        <v>0.45827991452991451</v>
      </c>
      <c r="L77" s="2">
        <f t="shared" si="14"/>
        <v>72</v>
      </c>
      <c r="M77" s="2">
        <f t="shared" si="15"/>
        <v>40.08</v>
      </c>
      <c r="N77" s="2">
        <v>14.5</v>
      </c>
      <c r="O77" s="2">
        <v>50.26548245743669</v>
      </c>
      <c r="P77" s="11">
        <f t="shared" si="5"/>
        <v>2.8846833435406034</v>
      </c>
      <c r="Q77" s="2">
        <f t="shared" si="6"/>
        <v>115.61810840910738</v>
      </c>
      <c r="R77" s="2">
        <f t="shared" si="7"/>
        <v>2.4770892345362268</v>
      </c>
      <c r="S77" s="2">
        <f t="shared" si="8"/>
        <v>99.281736520211965</v>
      </c>
      <c r="T77" s="2">
        <f t="shared" si="9"/>
        <v>16.336371888895414</v>
      </c>
    </row>
    <row r="78" spans="1:20" x14ac:dyDescent="0.25">
      <c r="A78" s="14">
        <f t="shared" si="16"/>
        <v>0.47932692307692309</v>
      </c>
      <c r="B78" s="2">
        <f t="shared" si="11"/>
        <v>73</v>
      </c>
      <c r="C78" s="4">
        <f t="shared" si="12"/>
        <v>40.83</v>
      </c>
      <c r="D78" s="2">
        <v>11.5</v>
      </c>
      <c r="E78" s="2">
        <v>50.26548245743669</v>
      </c>
      <c r="F78" s="11">
        <f t="shared" si="0"/>
        <v>2.2878523069459957</v>
      </c>
      <c r="G78" s="2">
        <f t="shared" si="1"/>
        <v>93.413009692605002</v>
      </c>
      <c r="H78" s="2">
        <f t="shared" si="2"/>
        <v>2.208628121085511</v>
      </c>
      <c r="I78" s="2">
        <f t="shared" si="3"/>
        <v>90.178286183921415</v>
      </c>
      <c r="J78" s="2">
        <f t="shared" si="4"/>
        <v>3.2347235086835866</v>
      </c>
      <c r="K78" s="15">
        <f t="shared" si="17"/>
        <v>0.4584045584045584</v>
      </c>
      <c r="L78" s="2">
        <f t="shared" si="14"/>
        <v>73</v>
      </c>
      <c r="M78" s="2">
        <f t="shared" si="15"/>
        <v>40.58</v>
      </c>
      <c r="N78" s="2">
        <v>13</v>
      </c>
      <c r="O78" s="2">
        <v>50.26548245743669</v>
      </c>
      <c r="P78" s="11">
        <f t="shared" si="5"/>
        <v>2.5862678252432989</v>
      </c>
      <c r="Q78" s="2">
        <f t="shared" si="6"/>
        <v>104.95074834837307</v>
      </c>
      <c r="R78" s="2">
        <f t="shared" si="7"/>
        <v>2.4770892345362268</v>
      </c>
      <c r="S78" s="2">
        <f t="shared" si="8"/>
        <v>100.52028113748008</v>
      </c>
      <c r="T78" s="2">
        <f t="shared" si="9"/>
        <v>4.430467210892985</v>
      </c>
    </row>
    <row r="79" spans="1:20" x14ac:dyDescent="0.25">
      <c r="A79" s="14">
        <f t="shared" si="16"/>
        <v>0.4794337606837607</v>
      </c>
      <c r="B79" s="2">
        <f t="shared" si="11"/>
        <v>74</v>
      </c>
      <c r="C79" s="4">
        <f t="shared" si="12"/>
        <v>41.33</v>
      </c>
      <c r="D79" s="2">
        <v>11.5</v>
      </c>
      <c r="E79" s="2">
        <v>50.26548245743669</v>
      </c>
      <c r="F79" s="11">
        <f t="shared" si="0"/>
        <v>2.2878523069459957</v>
      </c>
      <c r="G79" s="2">
        <f t="shared" si="1"/>
        <v>94.556935846078005</v>
      </c>
      <c r="H79" s="2">
        <f t="shared" si="2"/>
        <v>2.208628121085511</v>
      </c>
      <c r="I79" s="2">
        <f t="shared" si="3"/>
        <v>91.282600244464163</v>
      </c>
      <c r="J79" s="2">
        <f t="shared" si="4"/>
        <v>3.2743356016138421</v>
      </c>
      <c r="K79" s="15">
        <f t="shared" si="17"/>
        <v>0.45852920227920224</v>
      </c>
      <c r="L79" s="2">
        <f t="shared" si="14"/>
        <v>74</v>
      </c>
      <c r="M79" s="2">
        <f t="shared" si="15"/>
        <v>41.08</v>
      </c>
      <c r="N79" s="2">
        <v>14</v>
      </c>
      <c r="O79" s="2">
        <v>50.26548245743669</v>
      </c>
      <c r="P79" s="11">
        <f t="shared" si="5"/>
        <v>2.7852115041081689</v>
      </c>
      <c r="Q79" s="2">
        <f t="shared" si="6"/>
        <v>114.41648858876357</v>
      </c>
      <c r="R79" s="2">
        <f t="shared" si="7"/>
        <v>2.4770892345362268</v>
      </c>
      <c r="S79" s="2">
        <f t="shared" si="8"/>
        <v>101.75882575474819</v>
      </c>
      <c r="T79" s="2">
        <f t="shared" si="9"/>
        <v>12.657662834015383</v>
      </c>
    </row>
    <row r="80" spans="1:20" x14ac:dyDescent="0.25">
      <c r="A80" s="14">
        <f t="shared" si="16"/>
        <v>0.47954059829059831</v>
      </c>
      <c r="B80" s="2">
        <f t="shared" si="11"/>
        <v>75</v>
      </c>
      <c r="C80" s="4">
        <f t="shared" si="12"/>
        <v>41.83</v>
      </c>
      <c r="D80" s="2">
        <v>13.5</v>
      </c>
      <c r="E80" s="2">
        <v>50.26548245743669</v>
      </c>
      <c r="F80" s="11">
        <f t="shared" si="0"/>
        <v>2.6857396646757339</v>
      </c>
      <c r="G80" s="2">
        <f t="shared" si="1"/>
        <v>112.34449017338595</v>
      </c>
      <c r="H80" s="2">
        <f t="shared" si="2"/>
        <v>2.208628121085511</v>
      </c>
      <c r="I80" s="2">
        <f t="shared" si="3"/>
        <v>92.386914305006925</v>
      </c>
      <c r="J80" s="2">
        <f t="shared" si="4"/>
        <v>19.957575868379024</v>
      </c>
      <c r="K80" s="15">
        <f t="shared" si="17"/>
        <v>0.45865384615384613</v>
      </c>
      <c r="L80" s="2">
        <f t="shared" si="14"/>
        <v>75</v>
      </c>
      <c r="M80" s="2">
        <f t="shared" si="15"/>
        <v>41.58</v>
      </c>
      <c r="N80" s="2">
        <v>13.5</v>
      </c>
      <c r="O80" s="2">
        <v>50.26548245743669</v>
      </c>
      <c r="P80" s="11">
        <f t="shared" si="5"/>
        <v>2.6857396646757339</v>
      </c>
      <c r="Q80" s="2">
        <f t="shared" si="6"/>
        <v>111.67305525721702</v>
      </c>
      <c r="R80" s="2">
        <f t="shared" si="7"/>
        <v>2.4770892345362268</v>
      </c>
      <c r="S80" s="2">
        <f t="shared" si="8"/>
        <v>102.99737037201631</v>
      </c>
      <c r="T80" s="2">
        <f t="shared" si="9"/>
        <v>8.6756848852007096</v>
      </c>
    </row>
    <row r="81" spans="1:20" x14ac:dyDescent="0.25">
      <c r="A81" s="14">
        <f t="shared" si="16"/>
        <v>0.47964743589743591</v>
      </c>
      <c r="B81" s="2">
        <f t="shared" si="11"/>
        <v>76</v>
      </c>
      <c r="C81" s="4">
        <f t="shared" si="12"/>
        <v>42.33</v>
      </c>
      <c r="D81" s="2">
        <v>12.5</v>
      </c>
      <c r="E81" s="2">
        <v>50.26548245743669</v>
      </c>
      <c r="F81" s="11">
        <f t="shared" si="0"/>
        <v>2.4867959858108648</v>
      </c>
      <c r="G81" s="2">
        <f t="shared" si="1"/>
        <v>105.26607407937391</v>
      </c>
      <c r="H81" s="2">
        <f t="shared" si="2"/>
        <v>2.208628121085511</v>
      </c>
      <c r="I81" s="2">
        <f t="shared" si="3"/>
        <v>93.491228365549674</v>
      </c>
      <c r="J81" s="2">
        <f t="shared" si="4"/>
        <v>11.774845713824234</v>
      </c>
      <c r="K81" s="15">
        <f t="shared" si="17"/>
        <v>0.45877849002849003</v>
      </c>
      <c r="L81" s="2">
        <f t="shared" si="14"/>
        <v>76</v>
      </c>
      <c r="M81" s="2">
        <f t="shared" si="15"/>
        <v>42.08</v>
      </c>
      <c r="N81" s="2">
        <v>13</v>
      </c>
      <c r="O81" s="2">
        <v>50.26548245743669</v>
      </c>
      <c r="P81" s="11">
        <f t="shared" si="5"/>
        <v>2.5862678252432989</v>
      </c>
      <c r="Q81" s="2">
        <f t="shared" si="6"/>
        <v>108.83015008623801</v>
      </c>
      <c r="R81" s="2">
        <f t="shared" si="7"/>
        <v>2.4770892345362268</v>
      </c>
      <c r="S81" s="2">
        <f t="shared" si="8"/>
        <v>104.23591498928442</v>
      </c>
      <c r="T81" s="2">
        <f t="shared" si="9"/>
        <v>4.5942350969535823</v>
      </c>
    </row>
    <row r="82" spans="1:20" x14ac:dyDescent="0.25">
      <c r="A82" s="14">
        <f t="shared" si="16"/>
        <v>0.47975427350427352</v>
      </c>
      <c r="B82" s="2">
        <f t="shared" si="11"/>
        <v>77</v>
      </c>
      <c r="C82" s="4">
        <f t="shared" si="12"/>
        <v>42.83</v>
      </c>
      <c r="D82" s="2">
        <v>12</v>
      </c>
      <c r="E82" s="2">
        <v>50.26548245743669</v>
      </c>
      <c r="F82" s="11">
        <f t="shared" si="0"/>
        <v>2.3873241463784298</v>
      </c>
      <c r="G82" s="2">
        <f t="shared" si="1"/>
        <v>102.24909318938815</v>
      </c>
      <c r="H82" s="2">
        <f t="shared" si="2"/>
        <v>2.208628121085511</v>
      </c>
      <c r="I82" s="2">
        <f t="shared" si="3"/>
        <v>94.595542426092436</v>
      </c>
      <c r="J82" s="2">
        <f t="shared" si="4"/>
        <v>7.653550763295712</v>
      </c>
      <c r="K82" s="15">
        <f t="shared" si="17"/>
        <v>0.45890313390313386</v>
      </c>
      <c r="L82" s="2">
        <f t="shared" si="14"/>
        <v>77</v>
      </c>
      <c r="M82" s="2">
        <f t="shared" si="15"/>
        <v>42.58</v>
      </c>
      <c r="N82" s="2">
        <v>13</v>
      </c>
      <c r="O82" s="2">
        <v>50.26548245743669</v>
      </c>
      <c r="P82" s="11">
        <f t="shared" si="5"/>
        <v>2.5862678252432989</v>
      </c>
      <c r="Q82" s="2">
        <f t="shared" si="6"/>
        <v>110.12328399885966</v>
      </c>
      <c r="R82" s="2">
        <f t="shared" si="7"/>
        <v>2.4770892345362268</v>
      </c>
      <c r="S82" s="2">
        <f t="shared" si="8"/>
        <v>105.47445960655253</v>
      </c>
      <c r="T82" s="2">
        <f t="shared" si="9"/>
        <v>4.6488243923071337</v>
      </c>
    </row>
    <row r="83" spans="1:20" x14ac:dyDescent="0.25">
      <c r="A83" s="10">
        <v>0.47986111111111113</v>
      </c>
      <c r="B83" s="2">
        <f t="shared" si="11"/>
        <v>78</v>
      </c>
      <c r="C83" s="4">
        <f t="shared" si="12"/>
        <v>43.33</v>
      </c>
      <c r="D83" s="2">
        <v>12.5</v>
      </c>
      <c r="E83" s="2">
        <v>50.26548245743669</v>
      </c>
      <c r="F83" s="11">
        <f t="shared" si="0"/>
        <v>2.4867959858108648</v>
      </c>
      <c r="G83" s="2">
        <f t="shared" si="1"/>
        <v>107.75287006518477</v>
      </c>
      <c r="H83" s="2">
        <f t="shared" si="2"/>
        <v>2.208628121085511</v>
      </c>
      <c r="I83" s="2">
        <f t="shared" si="3"/>
        <v>95.699856486635184</v>
      </c>
      <c r="J83" s="2">
        <f t="shared" si="4"/>
        <v>12.053013578549582</v>
      </c>
      <c r="K83" s="12">
        <v>0.45902777777777776</v>
      </c>
      <c r="L83" s="2">
        <f t="shared" si="14"/>
        <v>78</v>
      </c>
      <c r="M83" s="2">
        <f t="shared" si="15"/>
        <v>43.08</v>
      </c>
      <c r="N83" s="2">
        <v>13.5</v>
      </c>
      <c r="O83" s="2">
        <v>50.26548245743669</v>
      </c>
      <c r="P83" s="11">
        <f t="shared" si="5"/>
        <v>2.6857396646757339</v>
      </c>
      <c r="Q83" s="2">
        <f t="shared" si="6"/>
        <v>115.70166475423061</v>
      </c>
      <c r="R83" s="2">
        <f t="shared" si="7"/>
        <v>2.4770892345362268</v>
      </c>
      <c r="S83" s="2">
        <f t="shared" si="8"/>
        <v>106.71300422382065</v>
      </c>
      <c r="T83" s="2">
        <f t="shared" si="9"/>
        <v>8.9886605304099589</v>
      </c>
    </row>
    <row r="84" spans="1:20" x14ac:dyDescent="0.25">
      <c r="A84" s="14">
        <f t="shared" ref="A84:A121" si="18">IF(AND($A$83&lt;&gt;"",$A$122&lt;&gt;""), $A$83 + (B84 - $B$83) * (($A$122 - $A$83) / ($B$122 - $B$83)), "")</f>
        <v>0.47998575498575502</v>
      </c>
      <c r="B84" s="2">
        <f t="shared" si="11"/>
        <v>79</v>
      </c>
      <c r="C84" s="4">
        <f t="shared" si="12"/>
        <v>43.83</v>
      </c>
      <c r="D84" s="2">
        <v>12.5</v>
      </c>
      <c r="E84" s="2">
        <v>50.26548245743669</v>
      </c>
      <c r="F84" s="11">
        <f t="shared" si="0"/>
        <v>2.4867959858108648</v>
      </c>
      <c r="G84" s="2">
        <f t="shared" si="1"/>
        <v>108.99626805809019</v>
      </c>
      <c r="H84" s="2">
        <f t="shared" si="2"/>
        <v>2.208628121085511</v>
      </c>
      <c r="I84" s="2">
        <f t="shared" si="3"/>
        <v>96.804170547177947</v>
      </c>
      <c r="J84" s="2">
        <f t="shared" si="4"/>
        <v>12.192097510912248</v>
      </c>
      <c r="K84" s="15">
        <f t="shared" ref="K84:K121" si="19">IF(AND($K$83&lt;&gt;"",$K$122&lt;&gt;""), $K$83 + (L84 - $L$83) * (($K$122 - $K$83) / ($L$122 - $L$83)), "")</f>
        <v>0.45913461538461536</v>
      </c>
      <c r="L84" s="2">
        <f t="shared" si="14"/>
        <v>79</v>
      </c>
      <c r="M84" s="2">
        <f t="shared" si="15"/>
        <v>43.58</v>
      </c>
      <c r="N84" s="2">
        <v>13</v>
      </c>
      <c r="O84" s="2">
        <v>50.26548245743669</v>
      </c>
      <c r="P84" s="11">
        <f t="shared" si="5"/>
        <v>2.5862678252432989</v>
      </c>
      <c r="Q84" s="2">
        <f t="shared" si="6"/>
        <v>112.70955182410296</v>
      </c>
      <c r="R84" s="2">
        <f t="shared" si="7"/>
        <v>2.4770892345362268</v>
      </c>
      <c r="S84" s="2">
        <f t="shared" si="8"/>
        <v>107.95154884108875</v>
      </c>
      <c r="T84" s="2">
        <f t="shared" si="9"/>
        <v>4.7580029830142081</v>
      </c>
    </row>
    <row r="85" spans="1:20" x14ac:dyDescent="0.25">
      <c r="A85" s="14">
        <f t="shared" si="18"/>
        <v>0.48011039886039886</v>
      </c>
      <c r="B85" s="2">
        <f t="shared" si="11"/>
        <v>80</v>
      </c>
      <c r="C85" s="4">
        <f t="shared" si="12"/>
        <v>44.33</v>
      </c>
      <c r="D85" s="2">
        <v>12.5</v>
      </c>
      <c r="E85" s="2">
        <v>50.26548245743669</v>
      </c>
      <c r="F85" s="11">
        <f t="shared" si="0"/>
        <v>2.4867959858108648</v>
      </c>
      <c r="G85" s="2">
        <f t="shared" si="1"/>
        <v>110.23966605099564</v>
      </c>
      <c r="H85" s="2">
        <f t="shared" si="2"/>
        <v>2.208628121085511</v>
      </c>
      <c r="I85" s="2">
        <f t="shared" si="3"/>
        <v>97.908484607720695</v>
      </c>
      <c r="J85" s="2">
        <f t="shared" si="4"/>
        <v>12.331181443274943</v>
      </c>
      <c r="K85" s="15">
        <f t="shared" si="19"/>
        <v>0.45924145299145297</v>
      </c>
      <c r="L85" s="2">
        <f t="shared" si="14"/>
        <v>80</v>
      </c>
      <c r="M85" s="2">
        <f t="shared" si="15"/>
        <v>44.08</v>
      </c>
      <c r="N85" s="2">
        <v>16</v>
      </c>
      <c r="O85" s="2">
        <v>50.26548245743669</v>
      </c>
      <c r="P85" s="11">
        <f t="shared" si="5"/>
        <v>3.183098861837907</v>
      </c>
      <c r="Q85" s="2">
        <f t="shared" si="6"/>
        <v>140.31099782981494</v>
      </c>
      <c r="R85" s="2">
        <f t="shared" si="7"/>
        <v>2.4770892345362268</v>
      </c>
      <c r="S85" s="2">
        <f t="shared" si="8"/>
        <v>109.19009345835687</v>
      </c>
      <c r="T85" s="2">
        <f t="shared" si="9"/>
        <v>31.120904371458067</v>
      </c>
    </row>
    <row r="86" spans="1:20" x14ac:dyDescent="0.25">
      <c r="A86" s="14">
        <f t="shared" si="18"/>
        <v>0.48023504273504275</v>
      </c>
      <c r="B86" s="2">
        <f t="shared" si="11"/>
        <v>81</v>
      </c>
      <c r="C86" s="4">
        <f t="shared" si="12"/>
        <v>44.83</v>
      </c>
      <c r="D86" s="2">
        <v>12</v>
      </c>
      <c r="E86" s="2">
        <v>50.26548245743669</v>
      </c>
      <c r="F86" s="11">
        <f t="shared" si="0"/>
        <v>2.3873241463784298</v>
      </c>
      <c r="G86" s="2">
        <f t="shared" si="1"/>
        <v>107.023741482145</v>
      </c>
      <c r="H86" s="2">
        <f t="shared" si="2"/>
        <v>2.208628121085511</v>
      </c>
      <c r="I86" s="2">
        <f t="shared" si="3"/>
        <v>99.012798668263457</v>
      </c>
      <c r="J86" s="2">
        <f t="shared" si="4"/>
        <v>8.0109428138815417</v>
      </c>
      <c r="K86" s="15">
        <f t="shared" si="19"/>
        <v>0.45934829059829058</v>
      </c>
      <c r="L86" s="2">
        <f t="shared" si="14"/>
        <v>81</v>
      </c>
      <c r="M86" s="2">
        <f t="shared" si="15"/>
        <v>44.58</v>
      </c>
      <c r="N86" s="2">
        <v>13.5</v>
      </c>
      <c r="O86" s="2">
        <v>50.26548245743669</v>
      </c>
      <c r="P86" s="11">
        <f t="shared" si="5"/>
        <v>2.6857396646757339</v>
      </c>
      <c r="Q86" s="2">
        <f t="shared" si="6"/>
        <v>119.73027425124421</v>
      </c>
      <c r="R86" s="2">
        <f t="shared" si="7"/>
        <v>2.4770892345362268</v>
      </c>
      <c r="S86" s="2">
        <f t="shared" si="8"/>
        <v>110.42863807562499</v>
      </c>
      <c r="T86" s="2">
        <f t="shared" si="9"/>
        <v>9.3016361756192225</v>
      </c>
    </row>
    <row r="87" spans="1:20" x14ac:dyDescent="0.25">
      <c r="A87" s="14">
        <f t="shared" si="18"/>
        <v>0.48035968660968664</v>
      </c>
      <c r="B87" s="2">
        <f t="shared" si="11"/>
        <v>82</v>
      </c>
      <c r="C87" s="4">
        <f t="shared" si="12"/>
        <v>45.33</v>
      </c>
      <c r="D87" s="2">
        <v>12.5</v>
      </c>
      <c r="E87" s="2">
        <v>50.26548245743669</v>
      </c>
      <c r="F87" s="11">
        <f t="shared" si="0"/>
        <v>2.4867959858108648</v>
      </c>
      <c r="G87" s="2">
        <f t="shared" si="1"/>
        <v>112.7264620368065</v>
      </c>
      <c r="H87" s="2">
        <f t="shared" si="2"/>
        <v>2.208628121085511</v>
      </c>
      <c r="I87" s="2">
        <f t="shared" si="3"/>
        <v>100.11711272880621</v>
      </c>
      <c r="J87" s="2">
        <f t="shared" si="4"/>
        <v>12.60934930800029</v>
      </c>
      <c r="K87" s="15">
        <f t="shared" si="19"/>
        <v>0.45945512820512818</v>
      </c>
      <c r="L87" s="2">
        <f t="shared" si="14"/>
        <v>82</v>
      </c>
      <c r="M87" s="2">
        <f t="shared" si="15"/>
        <v>45.08</v>
      </c>
      <c r="N87" s="2">
        <v>12</v>
      </c>
      <c r="O87" s="2">
        <v>50.26548245743669</v>
      </c>
      <c r="P87" s="11">
        <f t="shared" si="5"/>
        <v>2.3873241463784298</v>
      </c>
      <c r="Q87" s="2">
        <f t="shared" si="6"/>
        <v>107.62057251873961</v>
      </c>
      <c r="R87" s="2">
        <f t="shared" si="7"/>
        <v>2.4770892345362268</v>
      </c>
      <c r="S87" s="2">
        <f t="shared" si="8"/>
        <v>111.66718269289309</v>
      </c>
      <c r="T87" s="2">
        <f t="shared" si="9"/>
        <v>4.0466101741534857</v>
      </c>
    </row>
    <row r="88" spans="1:20" x14ac:dyDescent="0.25">
      <c r="A88" s="14">
        <f t="shared" si="18"/>
        <v>0.48048433048433048</v>
      </c>
      <c r="B88" s="2">
        <f t="shared" si="11"/>
        <v>83</v>
      </c>
      <c r="C88" s="4">
        <f t="shared" si="12"/>
        <v>45.83</v>
      </c>
      <c r="D88" s="2">
        <v>11</v>
      </c>
      <c r="E88" s="2">
        <v>50.26548245743669</v>
      </c>
      <c r="F88" s="11">
        <f t="shared" si="0"/>
        <v>2.1883804675135607</v>
      </c>
      <c r="G88" s="2">
        <f t="shared" si="1"/>
        <v>100.29347682614649</v>
      </c>
      <c r="H88" s="2">
        <f t="shared" si="2"/>
        <v>2.208628121085511</v>
      </c>
      <c r="I88" s="2">
        <f t="shared" si="3"/>
        <v>101.22142678934897</v>
      </c>
      <c r="J88" s="2">
        <f t="shared" si="4"/>
        <v>0.92794996320247947</v>
      </c>
      <c r="K88" s="15">
        <f t="shared" si="19"/>
        <v>0.45956196581196579</v>
      </c>
      <c r="L88" s="2">
        <f t="shared" si="14"/>
        <v>83</v>
      </c>
      <c r="M88" s="2">
        <f t="shared" si="15"/>
        <v>45.58</v>
      </c>
      <c r="N88" s="2">
        <v>12.5</v>
      </c>
      <c r="O88" s="2">
        <v>50.26548245743669</v>
      </c>
      <c r="P88" s="11">
        <f t="shared" si="5"/>
        <v>2.4867959858108648</v>
      </c>
      <c r="Q88" s="2">
        <f t="shared" si="6"/>
        <v>113.34816103325922</v>
      </c>
      <c r="R88" s="2">
        <f t="shared" si="7"/>
        <v>2.4770892345362268</v>
      </c>
      <c r="S88" s="2">
        <f t="shared" si="8"/>
        <v>112.90572731016121</v>
      </c>
      <c r="T88" s="2">
        <f t="shared" si="9"/>
        <v>0.44243372309800577</v>
      </c>
    </row>
    <row r="89" spans="1:20" x14ac:dyDescent="0.25">
      <c r="A89" s="14">
        <f t="shared" si="18"/>
        <v>0.48060897435897437</v>
      </c>
      <c r="B89" s="2">
        <f t="shared" si="11"/>
        <v>84</v>
      </c>
      <c r="C89" s="4">
        <f t="shared" si="12"/>
        <v>46.33</v>
      </c>
      <c r="D89" s="2">
        <v>14</v>
      </c>
      <c r="E89" s="2">
        <v>50.26548245743669</v>
      </c>
      <c r="F89" s="11">
        <f t="shared" si="0"/>
        <v>2.7852115041081689</v>
      </c>
      <c r="G89" s="2">
        <f t="shared" si="1"/>
        <v>129.03884898533147</v>
      </c>
      <c r="H89" s="2">
        <f t="shared" si="2"/>
        <v>2.208628121085511</v>
      </c>
      <c r="I89" s="2">
        <f t="shared" si="3"/>
        <v>102.32574084989172</v>
      </c>
      <c r="J89" s="2">
        <f t="shared" si="4"/>
        <v>26.713108135439754</v>
      </c>
      <c r="K89" s="15">
        <f t="shared" si="19"/>
        <v>0.4596688034188034</v>
      </c>
      <c r="L89" s="2">
        <f t="shared" si="14"/>
        <v>84</v>
      </c>
      <c r="M89" s="2">
        <f t="shared" si="15"/>
        <v>46.08</v>
      </c>
      <c r="N89" s="2">
        <v>13</v>
      </c>
      <c r="O89" s="2">
        <v>50.26548245743669</v>
      </c>
      <c r="P89" s="11">
        <f t="shared" si="5"/>
        <v>2.5862678252432989</v>
      </c>
      <c r="Q89" s="2">
        <f t="shared" si="6"/>
        <v>119.17522138721121</v>
      </c>
      <c r="R89" s="2">
        <f t="shared" si="7"/>
        <v>2.4770892345362268</v>
      </c>
      <c r="S89" s="2">
        <f t="shared" si="8"/>
        <v>114.14427192742933</v>
      </c>
      <c r="T89" s="2">
        <f t="shared" si="9"/>
        <v>5.0309494597818798</v>
      </c>
    </row>
    <row r="90" spans="1:20" x14ac:dyDescent="0.25">
      <c r="A90" s="14">
        <f t="shared" si="18"/>
        <v>0.48073361823361827</v>
      </c>
      <c r="B90" s="2">
        <f t="shared" si="11"/>
        <v>85</v>
      </c>
      <c r="C90" s="4">
        <f t="shared" si="12"/>
        <v>46.83</v>
      </c>
      <c r="D90" s="2">
        <v>11.5</v>
      </c>
      <c r="E90" s="2">
        <v>50.26548245743669</v>
      </c>
      <c r="F90" s="11">
        <f t="shared" si="0"/>
        <v>2.2878523069459957</v>
      </c>
      <c r="G90" s="2">
        <f t="shared" si="1"/>
        <v>107.14012353428097</v>
      </c>
      <c r="H90" s="2">
        <f t="shared" si="2"/>
        <v>2.208628121085511</v>
      </c>
      <c r="I90" s="2">
        <f t="shared" si="3"/>
        <v>103.43005491043448</v>
      </c>
      <c r="J90" s="2">
        <f t="shared" si="4"/>
        <v>3.7100686238464959</v>
      </c>
      <c r="K90" s="15">
        <f t="shared" si="19"/>
        <v>0.459775641025641</v>
      </c>
      <c r="L90" s="2">
        <f t="shared" si="14"/>
        <v>85</v>
      </c>
      <c r="M90" s="2">
        <f t="shared" si="15"/>
        <v>46.58</v>
      </c>
      <c r="N90" s="2">
        <v>13</v>
      </c>
      <c r="O90" s="2">
        <v>50.26548245743669</v>
      </c>
      <c r="P90" s="11">
        <f t="shared" si="5"/>
        <v>2.5862678252432989</v>
      </c>
      <c r="Q90" s="2">
        <f t="shared" si="6"/>
        <v>120.46835529983287</v>
      </c>
      <c r="R90" s="2">
        <f t="shared" si="7"/>
        <v>2.4770892345362268</v>
      </c>
      <c r="S90" s="2">
        <f t="shared" si="8"/>
        <v>115.38281654469743</v>
      </c>
      <c r="T90" s="2">
        <f t="shared" si="9"/>
        <v>5.0855387551354312</v>
      </c>
    </row>
    <row r="91" spans="1:20" x14ac:dyDescent="0.25">
      <c r="A91" s="14">
        <f t="shared" si="18"/>
        <v>0.4808582621082621</v>
      </c>
      <c r="B91" s="2">
        <f t="shared" si="11"/>
        <v>86</v>
      </c>
      <c r="C91" s="4">
        <f t="shared" si="12"/>
        <v>47.33</v>
      </c>
      <c r="D91" s="2">
        <v>12.5</v>
      </c>
      <c r="E91" s="2">
        <v>50.26548245743669</v>
      </c>
      <c r="F91" s="11">
        <f t="shared" si="0"/>
        <v>2.4867959858108648</v>
      </c>
      <c r="G91" s="2">
        <f t="shared" si="1"/>
        <v>117.70005400842822</v>
      </c>
      <c r="H91" s="2">
        <f t="shared" si="2"/>
        <v>2.208628121085511</v>
      </c>
      <c r="I91" s="2">
        <f t="shared" si="3"/>
        <v>104.53436897097723</v>
      </c>
      <c r="J91" s="2">
        <f t="shared" si="4"/>
        <v>13.165685037450999</v>
      </c>
      <c r="K91" s="15">
        <f t="shared" si="19"/>
        <v>0.45988247863247861</v>
      </c>
      <c r="L91" s="2">
        <f t="shared" si="14"/>
        <v>86</v>
      </c>
      <c r="M91" s="2">
        <f t="shared" si="15"/>
        <v>47.08</v>
      </c>
      <c r="N91" s="2">
        <v>13</v>
      </c>
      <c r="O91" s="2">
        <v>50.26548245743669</v>
      </c>
      <c r="P91" s="11">
        <f t="shared" si="5"/>
        <v>2.5862678252432989</v>
      </c>
      <c r="Q91" s="2">
        <f t="shared" si="6"/>
        <v>121.76148921245451</v>
      </c>
      <c r="R91" s="2">
        <f t="shared" si="7"/>
        <v>2.4770892345362268</v>
      </c>
      <c r="S91" s="2">
        <f t="shared" si="8"/>
        <v>116.62136116196555</v>
      </c>
      <c r="T91" s="2">
        <f t="shared" si="9"/>
        <v>5.1401280504889542</v>
      </c>
    </row>
    <row r="92" spans="1:20" x14ac:dyDescent="0.25">
      <c r="A92" s="14">
        <f t="shared" si="18"/>
        <v>0.48098290598290599</v>
      </c>
      <c r="B92" s="2">
        <f t="shared" si="11"/>
        <v>87</v>
      </c>
      <c r="C92" s="4">
        <f t="shared" si="12"/>
        <v>47.83</v>
      </c>
      <c r="D92" s="2">
        <v>11</v>
      </c>
      <c r="E92" s="2">
        <v>50.26548245743669</v>
      </c>
      <c r="F92" s="11">
        <f t="shared" si="0"/>
        <v>2.1883804675135607</v>
      </c>
      <c r="G92" s="2">
        <f t="shared" si="1"/>
        <v>104.67023776117361</v>
      </c>
      <c r="H92" s="2">
        <f t="shared" si="2"/>
        <v>2.208628121085511</v>
      </c>
      <c r="I92" s="2">
        <f t="shared" si="3"/>
        <v>105.63868303151999</v>
      </c>
      <c r="J92" s="2">
        <f t="shared" si="4"/>
        <v>0.96844527034637906</v>
      </c>
      <c r="K92" s="15">
        <f t="shared" si="19"/>
        <v>0.45998931623931621</v>
      </c>
      <c r="L92" s="2">
        <f t="shared" si="14"/>
        <v>87</v>
      </c>
      <c r="M92" s="2">
        <f t="shared" si="15"/>
        <v>47.58</v>
      </c>
      <c r="N92" s="2">
        <v>12.5</v>
      </c>
      <c r="O92" s="2">
        <v>50.26548245743669</v>
      </c>
      <c r="P92" s="11">
        <f t="shared" si="5"/>
        <v>2.4867959858108648</v>
      </c>
      <c r="Q92" s="2">
        <f t="shared" si="6"/>
        <v>118.32175300488095</v>
      </c>
      <c r="R92" s="2">
        <f t="shared" si="7"/>
        <v>2.4770892345362268</v>
      </c>
      <c r="S92" s="2">
        <f t="shared" si="8"/>
        <v>117.85990577923367</v>
      </c>
      <c r="T92" s="2">
        <f t="shared" si="9"/>
        <v>0.46184722564727565</v>
      </c>
    </row>
    <row r="93" spans="1:20" x14ac:dyDescent="0.25">
      <c r="A93" s="14">
        <f t="shared" si="18"/>
        <v>0.48110754985754989</v>
      </c>
      <c r="B93" s="2">
        <f t="shared" si="11"/>
        <v>88</v>
      </c>
      <c r="C93" s="4">
        <f t="shared" si="12"/>
        <v>48.33</v>
      </c>
      <c r="D93" s="2">
        <v>10</v>
      </c>
      <c r="E93" s="2">
        <v>50.26548245743669</v>
      </c>
      <c r="F93" s="11">
        <f t="shared" si="0"/>
        <v>1.9894367886486919</v>
      </c>
      <c r="G93" s="2">
        <f t="shared" si="1"/>
        <v>96.149479995391275</v>
      </c>
      <c r="H93" s="2">
        <f t="shared" si="2"/>
        <v>2.208628121085511</v>
      </c>
      <c r="I93" s="2">
        <f t="shared" si="3"/>
        <v>106.74299709206274</v>
      </c>
      <c r="J93" s="2">
        <f t="shared" si="4"/>
        <v>10.593517096671462</v>
      </c>
      <c r="K93" s="15">
        <f t="shared" si="19"/>
        <v>0.46009615384615382</v>
      </c>
      <c r="L93" s="2">
        <f t="shared" si="14"/>
        <v>88</v>
      </c>
      <c r="M93" s="2">
        <f t="shared" si="15"/>
        <v>48.08</v>
      </c>
      <c r="N93" s="2">
        <v>12.5</v>
      </c>
      <c r="O93" s="2">
        <v>50.26548245743669</v>
      </c>
      <c r="P93" s="11">
        <f t="shared" si="5"/>
        <v>2.4867959858108648</v>
      </c>
      <c r="Q93" s="2">
        <f t="shared" si="6"/>
        <v>119.56515099778638</v>
      </c>
      <c r="R93" s="2">
        <f t="shared" si="7"/>
        <v>2.4770892345362268</v>
      </c>
      <c r="S93" s="2">
        <f t="shared" si="8"/>
        <v>119.09845039650178</v>
      </c>
      <c r="T93" s="2">
        <f t="shared" si="9"/>
        <v>0.46670060128460022</v>
      </c>
    </row>
    <row r="94" spans="1:20" x14ac:dyDescent="0.25">
      <c r="A94" s="14">
        <f t="shared" si="18"/>
        <v>0.48123219373219372</v>
      </c>
      <c r="B94" s="2">
        <f t="shared" si="11"/>
        <v>89</v>
      </c>
      <c r="C94" s="4">
        <f t="shared" si="12"/>
        <v>48.83</v>
      </c>
      <c r="D94" s="2">
        <v>11</v>
      </c>
      <c r="E94" s="2">
        <v>50.26548245743669</v>
      </c>
      <c r="F94" s="11">
        <f t="shared" si="0"/>
        <v>2.1883804675135607</v>
      </c>
      <c r="G94" s="2">
        <f t="shared" si="1"/>
        <v>106.85861822868716</v>
      </c>
      <c r="H94" s="2">
        <f t="shared" si="2"/>
        <v>2.208628121085511</v>
      </c>
      <c r="I94" s="2">
        <f t="shared" si="3"/>
        <v>107.8473111526055</v>
      </c>
      <c r="J94" s="2">
        <f t="shared" si="4"/>
        <v>0.98869292391833596</v>
      </c>
      <c r="K94" s="15">
        <f t="shared" si="19"/>
        <v>0.46020299145299143</v>
      </c>
      <c r="L94" s="2">
        <f t="shared" si="14"/>
        <v>89</v>
      </c>
      <c r="M94" s="2">
        <f t="shared" si="15"/>
        <v>48.58</v>
      </c>
      <c r="N94" s="2">
        <v>13</v>
      </c>
      <c r="O94" s="2">
        <v>50.26548245743669</v>
      </c>
      <c r="P94" s="11">
        <f t="shared" si="5"/>
        <v>2.5862678252432989</v>
      </c>
      <c r="Q94" s="2">
        <f t="shared" si="6"/>
        <v>125.64089095031946</v>
      </c>
      <c r="R94" s="2">
        <f t="shared" si="7"/>
        <v>2.4770892345362268</v>
      </c>
      <c r="S94" s="2">
        <f t="shared" si="8"/>
        <v>120.33699501376989</v>
      </c>
      <c r="T94" s="2">
        <f t="shared" si="9"/>
        <v>5.3038959365495657</v>
      </c>
    </row>
    <row r="95" spans="1:20" x14ac:dyDescent="0.25">
      <c r="A95" s="14">
        <f t="shared" si="18"/>
        <v>0.48135683760683762</v>
      </c>
      <c r="B95" s="2">
        <f t="shared" si="11"/>
        <v>90</v>
      </c>
      <c r="C95" s="4">
        <f t="shared" si="12"/>
        <v>49.33</v>
      </c>
      <c r="D95" s="2">
        <v>11.5</v>
      </c>
      <c r="E95" s="2">
        <v>50.26548245743669</v>
      </c>
      <c r="F95" s="11">
        <f t="shared" si="0"/>
        <v>2.2878523069459957</v>
      </c>
      <c r="G95" s="2">
        <f t="shared" si="1"/>
        <v>112.85975430164596</v>
      </c>
      <c r="H95" s="2">
        <f t="shared" si="2"/>
        <v>2.208628121085511</v>
      </c>
      <c r="I95" s="2">
        <f t="shared" si="3"/>
        <v>108.95162521314825</v>
      </c>
      <c r="J95" s="2">
        <f t="shared" si="4"/>
        <v>3.9081290884977165</v>
      </c>
      <c r="K95" s="15">
        <f t="shared" si="19"/>
        <v>0.46030982905982903</v>
      </c>
      <c r="L95" s="2">
        <f t="shared" si="14"/>
        <v>90</v>
      </c>
      <c r="M95" s="2">
        <f t="shared" si="15"/>
        <v>49.08</v>
      </c>
      <c r="N95" s="2">
        <v>12.5</v>
      </c>
      <c r="O95" s="2">
        <v>50.26548245743669</v>
      </c>
      <c r="P95" s="11">
        <f t="shared" si="5"/>
        <v>2.4867959858108648</v>
      </c>
      <c r="Q95" s="2">
        <f t="shared" si="6"/>
        <v>122.05194698359725</v>
      </c>
      <c r="R95" s="2">
        <f t="shared" si="7"/>
        <v>2.4770892345362268</v>
      </c>
      <c r="S95" s="2">
        <f t="shared" si="8"/>
        <v>121.57553963103801</v>
      </c>
      <c r="T95" s="2">
        <f t="shared" si="9"/>
        <v>0.47640735255923516</v>
      </c>
    </row>
    <row r="96" spans="1:20" x14ac:dyDescent="0.25">
      <c r="A96" s="14">
        <f t="shared" si="18"/>
        <v>0.48148148148148151</v>
      </c>
      <c r="B96" s="2">
        <f t="shared" si="11"/>
        <v>91</v>
      </c>
      <c r="C96" s="4">
        <f t="shared" si="12"/>
        <v>49.83</v>
      </c>
      <c r="D96" s="2">
        <v>12</v>
      </c>
      <c r="E96" s="2">
        <v>50.26548245743669</v>
      </c>
      <c r="F96" s="11">
        <f t="shared" si="0"/>
        <v>2.3873241463784298</v>
      </c>
      <c r="G96" s="2">
        <f t="shared" si="1"/>
        <v>118.96036221403715</v>
      </c>
      <c r="H96" s="2">
        <f t="shared" si="2"/>
        <v>2.208628121085511</v>
      </c>
      <c r="I96" s="2">
        <f t="shared" si="3"/>
        <v>110.05593927369101</v>
      </c>
      <c r="J96" s="2">
        <f t="shared" si="4"/>
        <v>8.9044229403461372</v>
      </c>
      <c r="K96" s="15">
        <f t="shared" si="19"/>
        <v>0.46041666666666664</v>
      </c>
      <c r="L96" s="2">
        <f t="shared" si="14"/>
        <v>91</v>
      </c>
      <c r="M96" s="2">
        <f t="shared" si="15"/>
        <v>49.58</v>
      </c>
      <c r="N96" s="2">
        <v>13.5</v>
      </c>
      <c r="O96" s="2">
        <v>50.26548245743669</v>
      </c>
      <c r="P96" s="11">
        <f t="shared" si="5"/>
        <v>2.6857396646757339</v>
      </c>
      <c r="Q96" s="2">
        <f t="shared" si="6"/>
        <v>133.15897257462288</v>
      </c>
      <c r="R96" s="2">
        <f t="shared" si="7"/>
        <v>2.4770892345362268</v>
      </c>
      <c r="S96" s="2">
        <f t="shared" si="8"/>
        <v>122.81408424830612</v>
      </c>
      <c r="T96" s="2">
        <f t="shared" si="9"/>
        <v>10.344888326316763</v>
      </c>
    </row>
    <row r="97" spans="1:20" x14ac:dyDescent="0.25">
      <c r="A97" s="14">
        <f t="shared" si="18"/>
        <v>0.48160612535612535</v>
      </c>
      <c r="B97" s="2">
        <f t="shared" si="11"/>
        <v>92</v>
      </c>
      <c r="C97" s="4">
        <f t="shared" si="12"/>
        <v>50.33</v>
      </c>
      <c r="D97" s="2">
        <v>12</v>
      </c>
      <c r="E97" s="2">
        <v>50.26548245743669</v>
      </c>
      <c r="F97" s="11">
        <f t="shared" si="0"/>
        <v>2.3873241463784298</v>
      </c>
      <c r="G97" s="2">
        <f t="shared" si="1"/>
        <v>120.15402428722636</v>
      </c>
      <c r="H97" s="2">
        <f t="shared" si="2"/>
        <v>2.208628121085511</v>
      </c>
      <c r="I97" s="2">
        <f t="shared" si="3"/>
        <v>111.16025333423376</v>
      </c>
      <c r="J97" s="2">
        <f t="shared" si="4"/>
        <v>8.9937709529926053</v>
      </c>
      <c r="K97" s="15">
        <f t="shared" si="19"/>
        <v>0.46052350427350425</v>
      </c>
      <c r="L97" s="2">
        <f t="shared" si="14"/>
        <v>92</v>
      </c>
      <c r="M97" s="2">
        <f t="shared" si="15"/>
        <v>50.08</v>
      </c>
      <c r="N97" s="2">
        <v>12</v>
      </c>
      <c r="O97" s="2">
        <v>50.26548245743669</v>
      </c>
      <c r="P97" s="11">
        <f t="shared" si="5"/>
        <v>2.3873241463784298</v>
      </c>
      <c r="Q97" s="2">
        <f t="shared" si="6"/>
        <v>119.55719325063176</v>
      </c>
      <c r="R97" s="2">
        <f t="shared" si="7"/>
        <v>2.4770892345362268</v>
      </c>
      <c r="S97" s="2">
        <f t="shared" si="8"/>
        <v>124.05262886557423</v>
      </c>
      <c r="T97" s="2">
        <f t="shared" si="9"/>
        <v>4.4954356149424797</v>
      </c>
    </row>
    <row r="98" spans="1:20" x14ac:dyDescent="0.25">
      <c r="A98" s="14">
        <f t="shared" si="18"/>
        <v>0.48173076923076924</v>
      </c>
      <c r="B98" s="2">
        <f t="shared" si="11"/>
        <v>93</v>
      </c>
      <c r="C98" s="4">
        <f t="shared" si="12"/>
        <v>50.83</v>
      </c>
      <c r="D98" s="2">
        <v>11.5</v>
      </c>
      <c r="E98" s="2">
        <v>50.26548245743669</v>
      </c>
      <c r="F98" s="11">
        <f t="shared" si="0"/>
        <v>2.2878523069459957</v>
      </c>
      <c r="G98" s="2">
        <f t="shared" si="1"/>
        <v>116.29153276206496</v>
      </c>
      <c r="H98" s="2">
        <f t="shared" si="2"/>
        <v>2.208628121085511</v>
      </c>
      <c r="I98" s="2">
        <f t="shared" si="3"/>
        <v>112.26456739477652</v>
      </c>
      <c r="J98" s="2">
        <f t="shared" si="4"/>
        <v>4.0269653672884402</v>
      </c>
      <c r="K98" s="15">
        <f t="shared" si="19"/>
        <v>0.46063034188034185</v>
      </c>
      <c r="L98" s="2">
        <f t="shared" si="14"/>
        <v>93</v>
      </c>
      <c r="M98" s="2">
        <f t="shared" si="15"/>
        <v>50.58</v>
      </c>
      <c r="N98" s="2">
        <v>14</v>
      </c>
      <c r="O98" s="2">
        <v>50.26548245743669</v>
      </c>
      <c r="P98" s="11">
        <f t="shared" si="5"/>
        <v>2.7852115041081689</v>
      </c>
      <c r="Q98" s="2">
        <f t="shared" si="6"/>
        <v>140.87599787779118</v>
      </c>
      <c r="R98" s="2">
        <f t="shared" si="7"/>
        <v>2.4770892345362268</v>
      </c>
      <c r="S98" s="2">
        <f t="shared" si="8"/>
        <v>125.29117348284234</v>
      </c>
      <c r="T98" s="2">
        <f t="shared" si="9"/>
        <v>15.584824394948839</v>
      </c>
    </row>
    <row r="99" spans="1:20" x14ac:dyDescent="0.25">
      <c r="A99" s="14">
        <f t="shared" si="18"/>
        <v>0.48185541310541313</v>
      </c>
      <c r="B99" s="2">
        <f t="shared" si="11"/>
        <v>94</v>
      </c>
      <c r="C99" s="4">
        <f t="shared" si="12"/>
        <v>51.33</v>
      </c>
      <c r="D99" s="2">
        <v>11</v>
      </c>
      <c r="E99" s="2">
        <v>50.26548245743669</v>
      </c>
      <c r="F99" s="11">
        <f t="shared" si="0"/>
        <v>2.1883804675135607</v>
      </c>
      <c r="G99" s="2">
        <f t="shared" si="1"/>
        <v>112.32956939747108</v>
      </c>
      <c r="H99" s="2">
        <f t="shared" si="2"/>
        <v>2.208628121085511</v>
      </c>
      <c r="I99" s="2">
        <f t="shared" si="3"/>
        <v>113.36888145531927</v>
      </c>
      <c r="J99" s="2">
        <f t="shared" si="4"/>
        <v>1.0393120578481927</v>
      </c>
      <c r="K99" s="15">
        <f t="shared" si="19"/>
        <v>0.46073717948717946</v>
      </c>
      <c r="L99" s="2">
        <f t="shared" si="14"/>
        <v>94</v>
      </c>
      <c r="M99" s="2">
        <f t="shared" si="15"/>
        <v>51.08</v>
      </c>
      <c r="N99" s="2">
        <v>13</v>
      </c>
      <c r="O99" s="2">
        <v>50.26548245743669</v>
      </c>
      <c r="P99" s="11">
        <f t="shared" si="5"/>
        <v>2.5862678252432989</v>
      </c>
      <c r="Q99" s="2">
        <f t="shared" si="6"/>
        <v>132.1065605134277</v>
      </c>
      <c r="R99" s="2">
        <f t="shared" si="7"/>
        <v>2.4770892345362268</v>
      </c>
      <c r="S99" s="2">
        <f t="shared" si="8"/>
        <v>126.52971810011046</v>
      </c>
      <c r="T99" s="2">
        <f t="shared" si="9"/>
        <v>5.5768424133172374</v>
      </c>
    </row>
    <row r="100" spans="1:20" x14ac:dyDescent="0.25">
      <c r="A100" s="14">
        <f t="shared" si="18"/>
        <v>0.48198005698005697</v>
      </c>
      <c r="B100" s="2">
        <f t="shared" si="11"/>
        <v>95</v>
      </c>
      <c r="C100" s="4">
        <f t="shared" si="12"/>
        <v>51.83</v>
      </c>
      <c r="D100" s="2">
        <v>12.5</v>
      </c>
      <c r="E100" s="2">
        <v>50.26548245743669</v>
      </c>
      <c r="F100" s="11">
        <f t="shared" si="0"/>
        <v>2.4867959858108648</v>
      </c>
      <c r="G100" s="2">
        <f t="shared" si="1"/>
        <v>128.89063594457713</v>
      </c>
      <c r="H100" s="2">
        <f t="shared" si="2"/>
        <v>2.208628121085511</v>
      </c>
      <c r="I100" s="2">
        <f t="shared" si="3"/>
        <v>114.47319551586203</v>
      </c>
      <c r="J100" s="2">
        <f t="shared" si="4"/>
        <v>14.417440428715096</v>
      </c>
      <c r="K100" s="15">
        <f t="shared" si="19"/>
        <v>0.46084401709401707</v>
      </c>
      <c r="L100" s="2">
        <f t="shared" si="14"/>
        <v>95</v>
      </c>
      <c r="M100" s="2">
        <f t="shared" si="15"/>
        <v>51.58</v>
      </c>
      <c r="N100" s="2">
        <v>13</v>
      </c>
      <c r="O100" s="2">
        <v>50.26548245743669</v>
      </c>
      <c r="P100" s="11">
        <f t="shared" si="5"/>
        <v>2.5862678252432989</v>
      </c>
      <c r="Q100" s="2">
        <f t="shared" si="6"/>
        <v>133.39969442604936</v>
      </c>
      <c r="R100" s="2">
        <f t="shared" si="7"/>
        <v>2.4770892345362268</v>
      </c>
      <c r="S100" s="2">
        <f t="shared" si="8"/>
        <v>127.76826271737858</v>
      </c>
      <c r="T100" s="2">
        <f t="shared" si="9"/>
        <v>5.6314317086707888</v>
      </c>
    </row>
    <row r="101" spans="1:20" x14ac:dyDescent="0.25">
      <c r="A101" s="14">
        <f t="shared" si="18"/>
        <v>0.48210470085470086</v>
      </c>
      <c r="B101" s="2">
        <f t="shared" si="11"/>
        <v>96</v>
      </c>
      <c r="C101" s="4">
        <f t="shared" si="12"/>
        <v>52.33</v>
      </c>
      <c r="D101" s="2">
        <v>10.5</v>
      </c>
      <c r="E101" s="2">
        <v>50.26548245743669</v>
      </c>
      <c r="F101" s="11">
        <f t="shared" si="0"/>
        <v>2.0889086280811267</v>
      </c>
      <c r="G101" s="2">
        <f t="shared" si="1"/>
        <v>109.31258850748536</v>
      </c>
      <c r="H101" s="2">
        <f t="shared" si="2"/>
        <v>2.208628121085511</v>
      </c>
      <c r="I101" s="2">
        <f t="shared" si="3"/>
        <v>115.57750957640479</v>
      </c>
      <c r="J101" s="2">
        <f t="shared" si="4"/>
        <v>6.2649210689194348</v>
      </c>
      <c r="K101" s="15">
        <f t="shared" si="19"/>
        <v>0.46095085470085467</v>
      </c>
      <c r="L101" s="2">
        <f t="shared" si="14"/>
        <v>96</v>
      </c>
      <c r="M101" s="2">
        <f t="shared" si="15"/>
        <v>52.08</v>
      </c>
      <c r="N101" s="2">
        <v>11.5</v>
      </c>
      <c r="O101" s="2">
        <v>50.26548245743669</v>
      </c>
      <c r="P101" s="11">
        <f t="shared" si="5"/>
        <v>2.2878523069459957</v>
      </c>
      <c r="Q101" s="2">
        <f t="shared" si="6"/>
        <v>119.15134814574745</v>
      </c>
      <c r="R101" s="2">
        <f t="shared" si="7"/>
        <v>2.4770892345362268</v>
      </c>
      <c r="S101" s="2">
        <f t="shared" si="8"/>
        <v>129.00680733464668</v>
      </c>
      <c r="T101" s="2">
        <f t="shared" si="9"/>
        <v>9.855459188899232</v>
      </c>
    </row>
    <row r="102" spans="1:20" x14ac:dyDescent="0.25">
      <c r="A102" s="14">
        <f t="shared" si="18"/>
        <v>0.48222934472934476</v>
      </c>
      <c r="B102" s="2">
        <f t="shared" si="11"/>
        <v>97</v>
      </c>
      <c r="C102" s="4">
        <f t="shared" si="12"/>
        <v>52.83</v>
      </c>
      <c r="D102" s="2">
        <v>12</v>
      </c>
      <c r="E102" s="2">
        <v>50.26548245743669</v>
      </c>
      <c r="F102" s="11">
        <f t="shared" si="0"/>
        <v>2.3873241463784298</v>
      </c>
      <c r="G102" s="2">
        <f t="shared" si="1"/>
        <v>126.12233465317244</v>
      </c>
      <c r="H102" s="2">
        <f t="shared" si="2"/>
        <v>2.208628121085511</v>
      </c>
      <c r="I102" s="2">
        <f t="shared" si="3"/>
        <v>116.68182363694754</v>
      </c>
      <c r="J102" s="2">
        <f t="shared" si="4"/>
        <v>9.4405110162249031</v>
      </c>
      <c r="K102" s="15">
        <f t="shared" si="19"/>
        <v>0.46105769230769228</v>
      </c>
      <c r="L102" s="2">
        <f t="shared" si="14"/>
        <v>97</v>
      </c>
      <c r="M102" s="2">
        <f t="shared" si="15"/>
        <v>52.58</v>
      </c>
      <c r="N102" s="2">
        <v>15</v>
      </c>
      <c r="O102" s="2">
        <v>50.26548245743669</v>
      </c>
      <c r="P102" s="11">
        <f t="shared" si="5"/>
        <v>2.9841551829730379</v>
      </c>
      <c r="Q102" s="2">
        <f t="shared" si="6"/>
        <v>156.90687952072233</v>
      </c>
      <c r="R102" s="2">
        <f t="shared" si="7"/>
        <v>2.4770892345362268</v>
      </c>
      <c r="S102" s="2">
        <f t="shared" si="8"/>
        <v>130.24535195191478</v>
      </c>
      <c r="T102" s="2">
        <f t="shared" si="9"/>
        <v>26.661527568807543</v>
      </c>
    </row>
    <row r="103" spans="1:20" x14ac:dyDescent="0.25">
      <c r="A103" s="14">
        <f t="shared" si="18"/>
        <v>0.48235398860398859</v>
      </c>
      <c r="B103" s="2">
        <f t="shared" si="11"/>
        <v>98</v>
      </c>
      <c r="C103" s="4">
        <f t="shared" si="12"/>
        <v>53.33</v>
      </c>
      <c r="D103" s="2">
        <v>10.5</v>
      </c>
      <c r="E103" s="2">
        <v>50.26548245743669</v>
      </c>
      <c r="F103" s="11">
        <f t="shared" si="0"/>
        <v>2.0889086280811267</v>
      </c>
      <c r="G103" s="2">
        <f t="shared" si="1"/>
        <v>111.40149713556649</v>
      </c>
      <c r="H103" s="2">
        <f t="shared" si="2"/>
        <v>2.208628121085511</v>
      </c>
      <c r="I103" s="2">
        <f t="shared" si="3"/>
        <v>117.7861376974903</v>
      </c>
      <c r="J103" s="2">
        <f t="shared" si="4"/>
        <v>6.3846405619238169</v>
      </c>
      <c r="K103" s="15">
        <f t="shared" si="19"/>
        <v>0.46116452991452994</v>
      </c>
      <c r="L103" s="2">
        <f t="shared" si="14"/>
        <v>98</v>
      </c>
      <c r="M103" s="2">
        <f t="shared" si="15"/>
        <v>53.08</v>
      </c>
      <c r="N103" s="2">
        <v>12</v>
      </c>
      <c r="O103" s="2">
        <v>50.26548245743669</v>
      </c>
      <c r="P103" s="11">
        <f t="shared" si="5"/>
        <v>2.3873241463784298</v>
      </c>
      <c r="Q103" s="2">
        <f t="shared" si="6"/>
        <v>126.71916568976705</v>
      </c>
      <c r="R103" s="2">
        <f t="shared" si="7"/>
        <v>2.4770892345362268</v>
      </c>
      <c r="S103" s="2">
        <f t="shared" si="8"/>
        <v>131.48389656918292</v>
      </c>
      <c r="T103" s="2">
        <f t="shared" si="9"/>
        <v>4.7647308794158647</v>
      </c>
    </row>
    <row r="104" spans="1:20" x14ac:dyDescent="0.25">
      <c r="A104" s="14">
        <f t="shared" si="18"/>
        <v>0.48247863247863249</v>
      </c>
      <c r="B104" s="2">
        <f t="shared" si="11"/>
        <v>99</v>
      </c>
      <c r="C104" s="4">
        <f t="shared" si="12"/>
        <v>53.83</v>
      </c>
      <c r="D104" s="2">
        <v>10.5</v>
      </c>
      <c r="E104" s="2">
        <v>50.26548245743669</v>
      </c>
      <c r="F104" s="11">
        <f t="shared" si="0"/>
        <v>2.0889086280811267</v>
      </c>
      <c r="G104" s="2">
        <f t="shared" si="1"/>
        <v>112.44595144960705</v>
      </c>
      <c r="H104" s="2">
        <f t="shared" si="2"/>
        <v>2.208628121085511</v>
      </c>
      <c r="I104" s="2">
        <f t="shared" si="3"/>
        <v>118.89045175803305</v>
      </c>
      <c r="J104" s="2">
        <f t="shared" si="4"/>
        <v>6.4445003084260009</v>
      </c>
      <c r="K104" s="15">
        <f t="shared" si="19"/>
        <v>0.46127136752136755</v>
      </c>
      <c r="L104" s="2">
        <f t="shared" si="14"/>
        <v>99</v>
      </c>
      <c r="M104" s="2">
        <f t="shared" si="15"/>
        <v>53.58</v>
      </c>
      <c r="N104" s="2">
        <v>10.5</v>
      </c>
      <c r="O104" s="2">
        <v>50.26548245743669</v>
      </c>
      <c r="P104" s="11">
        <f t="shared" si="5"/>
        <v>2.0889086280811267</v>
      </c>
      <c r="Q104" s="2">
        <f t="shared" si="6"/>
        <v>111.92372429258677</v>
      </c>
      <c r="R104" s="2">
        <f t="shared" si="7"/>
        <v>2.4770892345362268</v>
      </c>
      <c r="S104" s="2">
        <f t="shared" si="8"/>
        <v>132.72244118645102</v>
      </c>
      <c r="T104" s="2">
        <f t="shared" si="9"/>
        <v>20.798716893864253</v>
      </c>
    </row>
    <row r="105" spans="1:20" x14ac:dyDescent="0.25">
      <c r="A105" s="14">
        <f t="shared" si="18"/>
        <v>0.48260327635327638</v>
      </c>
      <c r="B105" s="2">
        <f t="shared" si="11"/>
        <v>100</v>
      </c>
      <c r="C105" s="4">
        <f t="shared" si="12"/>
        <v>54.33</v>
      </c>
      <c r="D105" s="2">
        <v>9.5</v>
      </c>
      <c r="E105" s="2">
        <v>50.26548245743669</v>
      </c>
      <c r="F105" s="11">
        <f t="shared" si="0"/>
        <v>1.8899649492162571</v>
      </c>
      <c r="G105" s="2">
        <f t="shared" si="1"/>
        <v>102.68179569091924</v>
      </c>
      <c r="H105" s="2">
        <f t="shared" si="2"/>
        <v>2.208628121085511</v>
      </c>
      <c r="I105" s="2">
        <f t="shared" si="3"/>
        <v>119.99476581857581</v>
      </c>
      <c r="J105" s="2">
        <f t="shared" si="4"/>
        <v>17.31297012765657</v>
      </c>
      <c r="K105" s="15">
        <f t="shared" si="19"/>
        <v>0.46137820512820515</v>
      </c>
      <c r="L105" s="2">
        <f t="shared" si="14"/>
        <v>100</v>
      </c>
      <c r="M105" s="2">
        <f t="shared" si="15"/>
        <v>54.08</v>
      </c>
      <c r="N105" s="2">
        <v>10.5</v>
      </c>
      <c r="O105" s="2">
        <v>50.26548245743669</v>
      </c>
      <c r="P105" s="11">
        <f t="shared" si="5"/>
        <v>2.0889086280811267</v>
      </c>
      <c r="Q105" s="2">
        <f t="shared" si="6"/>
        <v>112.96817860662732</v>
      </c>
      <c r="R105" s="2">
        <f t="shared" si="7"/>
        <v>2.4770892345362268</v>
      </c>
      <c r="S105" s="2">
        <f t="shared" si="8"/>
        <v>133.96098580371913</v>
      </c>
      <c r="T105" s="2">
        <f t="shared" si="9"/>
        <v>20.992807197091807</v>
      </c>
    </row>
    <row r="106" spans="1:20" x14ac:dyDescent="0.25">
      <c r="A106" s="14">
        <f t="shared" si="18"/>
        <v>0.48272792022792022</v>
      </c>
      <c r="B106" s="2">
        <f t="shared" si="11"/>
        <v>101</v>
      </c>
      <c r="C106" s="4">
        <f t="shared" si="12"/>
        <v>54.83</v>
      </c>
      <c r="D106" s="2">
        <v>8</v>
      </c>
      <c r="E106" s="2">
        <v>50.26548245743669</v>
      </c>
      <c r="F106" s="11">
        <f t="shared" si="0"/>
        <v>1.5915494309189535</v>
      </c>
      <c r="G106" s="2">
        <f t="shared" si="1"/>
        <v>87.264655297286225</v>
      </c>
      <c r="H106" s="2">
        <f t="shared" si="2"/>
        <v>2.208628121085511</v>
      </c>
      <c r="I106" s="2">
        <f t="shared" si="3"/>
        <v>121.09907987911856</v>
      </c>
      <c r="J106" s="2">
        <f t="shared" si="4"/>
        <v>33.834424581832337</v>
      </c>
      <c r="K106" s="15">
        <f t="shared" si="19"/>
        <v>0.46148504273504276</v>
      </c>
      <c r="L106" s="2">
        <f t="shared" si="14"/>
        <v>101</v>
      </c>
      <c r="M106" s="2">
        <f t="shared" si="15"/>
        <v>54.58</v>
      </c>
      <c r="N106" s="2">
        <v>13</v>
      </c>
      <c r="O106" s="2">
        <v>50.26548245743669</v>
      </c>
      <c r="P106" s="11">
        <f t="shared" si="5"/>
        <v>2.5862678252432989</v>
      </c>
      <c r="Q106" s="2">
        <f t="shared" si="6"/>
        <v>141.15849790177924</v>
      </c>
      <c r="R106" s="2">
        <f t="shared" si="7"/>
        <v>2.4770892345362268</v>
      </c>
      <c r="S106" s="2">
        <f t="shared" si="8"/>
        <v>135.19953042098726</v>
      </c>
      <c r="T106" s="2">
        <f t="shared" si="9"/>
        <v>5.9589674807919835</v>
      </c>
    </row>
    <row r="107" spans="1:20" x14ac:dyDescent="0.25">
      <c r="A107" s="14">
        <f t="shared" si="18"/>
        <v>0.48285256410256411</v>
      </c>
      <c r="B107" s="2">
        <f t="shared" si="11"/>
        <v>102</v>
      </c>
      <c r="C107" s="4">
        <f t="shared" si="12"/>
        <v>55.33</v>
      </c>
      <c r="D107" s="2">
        <v>8.5</v>
      </c>
      <c r="E107" s="2">
        <v>50.26548245743669</v>
      </c>
      <c r="F107" s="11">
        <f t="shared" si="0"/>
        <v>1.6910212703513881</v>
      </c>
      <c r="G107" s="2">
        <f t="shared" si="1"/>
        <v>93.564206888542301</v>
      </c>
      <c r="H107" s="2">
        <f t="shared" si="2"/>
        <v>2.208628121085511</v>
      </c>
      <c r="I107" s="2">
        <f t="shared" si="3"/>
        <v>122.20339393966132</v>
      </c>
      <c r="J107" s="2">
        <f t="shared" si="4"/>
        <v>28.639187051119023</v>
      </c>
      <c r="K107" s="15">
        <f t="shared" si="19"/>
        <v>0.46159188034188037</v>
      </c>
      <c r="L107" s="2">
        <f t="shared" si="14"/>
        <v>102</v>
      </c>
      <c r="M107" s="2">
        <f t="shared" si="15"/>
        <v>55.08</v>
      </c>
      <c r="N107" s="2">
        <v>9.5</v>
      </c>
      <c r="O107" s="2">
        <v>50.26548245743669</v>
      </c>
      <c r="P107" s="11">
        <f t="shared" si="5"/>
        <v>1.8899649492162571</v>
      </c>
      <c r="Q107" s="2">
        <f t="shared" si="6"/>
        <v>104.09926940283144</v>
      </c>
      <c r="R107" s="2">
        <f t="shared" si="7"/>
        <v>2.4770892345362268</v>
      </c>
      <c r="S107" s="2">
        <f t="shared" si="8"/>
        <v>136.43807503825536</v>
      </c>
      <c r="T107" s="2">
        <f t="shared" si="9"/>
        <v>32.338805635423924</v>
      </c>
    </row>
    <row r="108" spans="1:20" x14ac:dyDescent="0.25">
      <c r="A108" s="14">
        <f t="shared" si="18"/>
        <v>0.482977207977208</v>
      </c>
      <c r="B108" s="2">
        <f t="shared" si="11"/>
        <v>103</v>
      </c>
      <c r="C108" s="4">
        <f t="shared" si="12"/>
        <v>55.83</v>
      </c>
      <c r="D108" s="2">
        <v>7.5</v>
      </c>
      <c r="E108" s="2">
        <v>50.26548245743669</v>
      </c>
      <c r="F108" s="11">
        <f t="shared" si="0"/>
        <v>1.492077591486519</v>
      </c>
      <c r="G108" s="2">
        <f t="shared" si="1"/>
        <v>83.302691932692355</v>
      </c>
      <c r="H108" s="2">
        <f t="shared" si="2"/>
        <v>2.208628121085511</v>
      </c>
      <c r="I108" s="2">
        <f t="shared" si="3"/>
        <v>123.30770800020407</v>
      </c>
      <c r="J108" s="2">
        <f t="shared" si="4"/>
        <v>40.005016067511718</v>
      </c>
      <c r="K108" s="15">
        <f t="shared" si="19"/>
        <v>0.46169871794871797</v>
      </c>
      <c r="L108" s="2">
        <f t="shared" si="14"/>
        <v>103</v>
      </c>
      <c r="M108" s="2">
        <f t="shared" si="15"/>
        <v>55.58</v>
      </c>
      <c r="N108" s="2">
        <v>9.5</v>
      </c>
      <c r="O108" s="2">
        <v>50.26548245743669</v>
      </c>
      <c r="P108" s="11">
        <f t="shared" si="5"/>
        <v>1.8899649492162571</v>
      </c>
      <c r="Q108" s="2">
        <f t="shared" si="6"/>
        <v>105.04425187743956</v>
      </c>
      <c r="R108" s="2">
        <f t="shared" si="7"/>
        <v>2.4770892345362268</v>
      </c>
      <c r="S108" s="2">
        <f t="shared" si="8"/>
        <v>137.67661965552347</v>
      </c>
      <c r="T108" s="2">
        <f t="shared" si="9"/>
        <v>32.632367778083903</v>
      </c>
    </row>
    <row r="109" spans="1:20" x14ac:dyDescent="0.25">
      <c r="A109" s="14">
        <f t="shared" si="18"/>
        <v>0.48310185185185184</v>
      </c>
      <c r="B109" s="21">
        <f t="shared" si="11"/>
        <v>104</v>
      </c>
      <c r="C109" s="22">
        <f t="shared" si="12"/>
        <v>56.33</v>
      </c>
      <c r="D109" s="21">
        <v>8</v>
      </c>
      <c r="E109" s="2">
        <v>50.26548245743669</v>
      </c>
      <c r="F109" s="11">
        <f t="shared" si="0"/>
        <v>1.5915494309189535</v>
      </c>
      <c r="G109" s="2">
        <f t="shared" si="1"/>
        <v>89.651979443664644</v>
      </c>
      <c r="H109" s="2">
        <f t="shared" si="2"/>
        <v>2.208628121085511</v>
      </c>
      <c r="I109" s="2">
        <f t="shared" si="3"/>
        <v>124.41202206074684</v>
      </c>
      <c r="J109" s="2">
        <f t="shared" si="4"/>
        <v>34.760042617082192</v>
      </c>
      <c r="K109" s="15">
        <f t="shared" si="19"/>
        <v>0.46180555555555558</v>
      </c>
      <c r="L109" s="21">
        <f t="shared" si="14"/>
        <v>104</v>
      </c>
      <c r="M109" s="21">
        <f t="shared" si="15"/>
        <v>56.08</v>
      </c>
      <c r="N109" s="21">
        <v>9</v>
      </c>
      <c r="O109" s="2">
        <v>50.26548245743669</v>
      </c>
      <c r="P109" s="11">
        <f t="shared" si="5"/>
        <v>1.7904931097838226</v>
      </c>
      <c r="Q109" s="2">
        <f t="shared" si="6"/>
        <v>100.41085359667677</v>
      </c>
      <c r="R109" s="2">
        <f t="shared" si="7"/>
        <v>2.4770892345362268</v>
      </c>
      <c r="S109" s="2">
        <f t="shared" si="8"/>
        <v>138.9151642727916</v>
      </c>
      <c r="T109" s="2">
        <f t="shared" si="9"/>
        <v>38.504310676114827</v>
      </c>
    </row>
    <row r="110" spans="1:20" x14ac:dyDescent="0.25">
      <c r="A110" s="14">
        <f t="shared" si="18"/>
        <v>0.48322649572649573</v>
      </c>
      <c r="B110" s="21">
        <f t="shared" si="11"/>
        <v>105</v>
      </c>
      <c r="C110" s="22">
        <f>C109+1.5</f>
        <v>57.83</v>
      </c>
      <c r="D110" s="21">
        <v>7.5</v>
      </c>
      <c r="E110" s="2">
        <v>50.26548245743669</v>
      </c>
      <c r="F110" s="11">
        <f t="shared" si="0"/>
        <v>1.492077591486519</v>
      </c>
      <c r="G110" s="2">
        <f t="shared" si="1"/>
        <v>86.286847115665395</v>
      </c>
      <c r="H110" s="2">
        <f t="shared" si="2"/>
        <v>2.208628121085511</v>
      </c>
      <c r="I110" s="2">
        <f t="shared" si="3"/>
        <v>127.72496424237509</v>
      </c>
      <c r="J110" s="2">
        <f t="shared" si="4"/>
        <v>41.438117126709699</v>
      </c>
      <c r="K110" s="15">
        <f t="shared" si="19"/>
        <v>0.46191239316239319</v>
      </c>
      <c r="L110" s="21">
        <f t="shared" si="14"/>
        <v>105</v>
      </c>
      <c r="M110" s="21">
        <f>M109+1.5</f>
        <v>57.58</v>
      </c>
      <c r="N110" s="21">
        <v>9.5</v>
      </c>
      <c r="O110" s="2">
        <v>50.26548245743669</v>
      </c>
      <c r="P110" s="11">
        <f t="shared" si="5"/>
        <v>1.8899649492162571</v>
      </c>
      <c r="Q110" s="2">
        <f t="shared" si="6"/>
        <v>108.82418177587208</v>
      </c>
      <c r="R110" s="2">
        <f t="shared" si="7"/>
        <v>2.4770892345362268</v>
      </c>
      <c r="S110" s="2">
        <f t="shared" si="8"/>
        <v>142.63079812459594</v>
      </c>
      <c r="T110" s="2">
        <f t="shared" si="9"/>
        <v>33.806616348723864</v>
      </c>
    </row>
    <row r="111" spans="1:20" x14ac:dyDescent="0.25">
      <c r="A111" s="14">
        <f t="shared" si="18"/>
        <v>0.48335113960113962</v>
      </c>
      <c r="B111" s="21">
        <f t="shared" si="11"/>
        <v>106</v>
      </c>
      <c r="C111" s="22">
        <f t="shared" ref="C111:C162" si="20">C110+0.5</f>
        <v>58.33</v>
      </c>
      <c r="D111" s="21">
        <v>9</v>
      </c>
      <c r="E111" s="2">
        <v>50.26548245743669</v>
      </c>
      <c r="F111" s="11">
        <f t="shared" si="0"/>
        <v>1.7904931097838226</v>
      </c>
      <c r="G111" s="2">
        <f t="shared" si="1"/>
        <v>104.43946309369036</v>
      </c>
      <c r="H111" s="2">
        <f t="shared" si="2"/>
        <v>2.208628121085511</v>
      </c>
      <c r="I111" s="2">
        <f t="shared" si="3"/>
        <v>128.82927830291786</v>
      </c>
      <c r="J111" s="2">
        <f t="shared" si="4"/>
        <v>24.389815209227493</v>
      </c>
      <c r="K111" s="15">
        <f t="shared" si="19"/>
        <v>0.46201923076923079</v>
      </c>
      <c r="L111" s="21">
        <f t="shared" si="14"/>
        <v>106</v>
      </c>
      <c r="M111" s="21">
        <f t="shared" ref="M111:M162" si="21">M110+0.5</f>
        <v>58.08</v>
      </c>
      <c r="N111" s="21">
        <v>9.5</v>
      </c>
      <c r="O111" s="2">
        <v>50.26548245743669</v>
      </c>
      <c r="P111" s="11">
        <f t="shared" si="5"/>
        <v>1.8899649492162571</v>
      </c>
      <c r="Q111" s="2">
        <f t="shared" si="6"/>
        <v>109.76916425048022</v>
      </c>
      <c r="R111" s="2">
        <f t="shared" si="7"/>
        <v>2.4770892345362268</v>
      </c>
      <c r="S111" s="2">
        <f t="shared" si="8"/>
        <v>143.86934274186405</v>
      </c>
      <c r="T111" s="2">
        <f t="shared" si="9"/>
        <v>34.100178491383829</v>
      </c>
    </row>
    <row r="112" spans="1:20" x14ac:dyDescent="0.25">
      <c r="A112" s="14">
        <f t="shared" si="18"/>
        <v>0.48347578347578346</v>
      </c>
      <c r="B112" s="2">
        <f t="shared" si="11"/>
        <v>107</v>
      </c>
      <c r="C112" s="4">
        <f t="shared" si="20"/>
        <v>58.83</v>
      </c>
      <c r="D112" s="2">
        <v>9.5</v>
      </c>
      <c r="E112" s="2">
        <v>50.26548245743669</v>
      </c>
      <c r="F112" s="11">
        <f t="shared" si="0"/>
        <v>1.8899649492162571</v>
      </c>
      <c r="G112" s="2">
        <f t="shared" si="1"/>
        <v>111.18663796239241</v>
      </c>
      <c r="H112" s="2">
        <f t="shared" si="2"/>
        <v>2.208628121085511</v>
      </c>
      <c r="I112" s="2">
        <f t="shared" si="3"/>
        <v>129.9335923634606</v>
      </c>
      <c r="J112" s="2">
        <f t="shared" si="4"/>
        <v>18.746954401068194</v>
      </c>
      <c r="K112" s="15">
        <f t="shared" si="19"/>
        <v>0.4621260683760684</v>
      </c>
      <c r="L112" s="2">
        <f t="shared" si="14"/>
        <v>107</v>
      </c>
      <c r="M112" s="2">
        <f t="shared" si="21"/>
        <v>58.58</v>
      </c>
      <c r="N112" s="2">
        <v>10.5</v>
      </c>
      <c r="O112" s="2">
        <v>50.26548245743669</v>
      </c>
      <c r="P112" s="11">
        <f t="shared" si="5"/>
        <v>2.0889086280811267</v>
      </c>
      <c r="Q112" s="2">
        <f t="shared" si="6"/>
        <v>122.3682674329924</v>
      </c>
      <c r="R112" s="2">
        <f t="shared" si="7"/>
        <v>2.4770892345362268</v>
      </c>
      <c r="S112" s="2">
        <f t="shared" si="8"/>
        <v>145.10788735913215</v>
      </c>
      <c r="T112" s="2">
        <f t="shared" si="9"/>
        <v>22.739619926139753</v>
      </c>
    </row>
    <row r="113" spans="1:20" x14ac:dyDescent="0.25">
      <c r="A113" s="14">
        <f t="shared" si="18"/>
        <v>0.48360042735042735</v>
      </c>
      <c r="B113" s="2">
        <f t="shared" si="11"/>
        <v>108</v>
      </c>
      <c r="C113" s="4">
        <f t="shared" si="20"/>
        <v>59.33</v>
      </c>
      <c r="D113" s="2">
        <v>9</v>
      </c>
      <c r="E113" s="2">
        <v>50.26548245743669</v>
      </c>
      <c r="F113" s="11">
        <f t="shared" si="0"/>
        <v>1.7904931097838226</v>
      </c>
      <c r="G113" s="2">
        <f t="shared" si="1"/>
        <v>106.22995620347419</v>
      </c>
      <c r="H113" s="2">
        <f t="shared" si="2"/>
        <v>2.208628121085511</v>
      </c>
      <c r="I113" s="2">
        <f t="shared" si="3"/>
        <v>131.03790642400335</v>
      </c>
      <c r="J113" s="2">
        <f t="shared" si="4"/>
        <v>24.807950220529165</v>
      </c>
      <c r="K113" s="15">
        <f t="shared" si="19"/>
        <v>0.46223290598290601</v>
      </c>
      <c r="L113" s="2">
        <f t="shared" si="14"/>
        <v>108</v>
      </c>
      <c r="M113" s="2">
        <f t="shared" si="21"/>
        <v>59.08</v>
      </c>
      <c r="N113" s="2">
        <v>10.5</v>
      </c>
      <c r="O113" s="2">
        <v>50.26548245743669</v>
      </c>
      <c r="P113" s="11">
        <f t="shared" si="5"/>
        <v>2.0889086280811267</v>
      </c>
      <c r="Q113" s="2">
        <f t="shared" si="6"/>
        <v>123.41272174703296</v>
      </c>
      <c r="R113" s="2">
        <f t="shared" si="7"/>
        <v>2.4770892345362268</v>
      </c>
      <c r="S113" s="2">
        <f t="shared" si="8"/>
        <v>146.34643197640028</v>
      </c>
      <c r="T113" s="2">
        <f t="shared" si="9"/>
        <v>22.933710229367321</v>
      </c>
    </row>
    <row r="114" spans="1:20" x14ac:dyDescent="0.25">
      <c r="A114" s="14">
        <f t="shared" si="18"/>
        <v>0.48372507122507125</v>
      </c>
      <c r="B114" s="2">
        <f t="shared" si="11"/>
        <v>109</v>
      </c>
      <c r="C114" s="4">
        <f t="shared" si="20"/>
        <v>59.83</v>
      </c>
      <c r="D114" s="2">
        <v>8</v>
      </c>
      <c r="E114" s="2">
        <v>50.26548245743669</v>
      </c>
      <c r="F114" s="11">
        <f t="shared" si="0"/>
        <v>1.5915494309189535</v>
      </c>
      <c r="G114" s="2">
        <f t="shared" si="1"/>
        <v>95.222402451880981</v>
      </c>
      <c r="H114" s="2">
        <f t="shared" si="2"/>
        <v>2.208628121085511</v>
      </c>
      <c r="I114" s="2">
        <f t="shared" si="3"/>
        <v>132.14222048454613</v>
      </c>
      <c r="J114" s="2">
        <f t="shared" si="4"/>
        <v>36.919818032665148</v>
      </c>
      <c r="K114" s="15">
        <f t="shared" si="19"/>
        <v>0.46233974358974361</v>
      </c>
      <c r="L114" s="2">
        <f t="shared" si="14"/>
        <v>109</v>
      </c>
      <c r="M114" s="2">
        <f t="shared" si="21"/>
        <v>59.58</v>
      </c>
      <c r="N114" s="2">
        <v>10</v>
      </c>
      <c r="O114" s="2">
        <v>50.26548245743669</v>
      </c>
      <c r="P114" s="11">
        <f t="shared" si="5"/>
        <v>1.9894367886486919</v>
      </c>
      <c r="Q114" s="2">
        <f t="shared" si="6"/>
        <v>118.53064386768907</v>
      </c>
      <c r="R114" s="2">
        <f t="shared" si="7"/>
        <v>2.4770892345362268</v>
      </c>
      <c r="S114" s="2">
        <f t="shared" si="8"/>
        <v>147.58497659366839</v>
      </c>
      <c r="T114" s="2">
        <f t="shared" si="9"/>
        <v>29.054332725979322</v>
      </c>
    </row>
    <row r="115" spans="1:20" x14ac:dyDescent="0.25">
      <c r="A115" s="14">
        <f t="shared" si="18"/>
        <v>0.48384971509971508</v>
      </c>
      <c r="B115" s="2">
        <f t="shared" si="11"/>
        <v>110</v>
      </c>
      <c r="C115" s="4">
        <f t="shared" si="20"/>
        <v>60.33</v>
      </c>
      <c r="D115" s="2">
        <v>8.5</v>
      </c>
      <c r="E115" s="2">
        <v>50.26548245743669</v>
      </c>
      <c r="F115" s="11">
        <f t="shared" si="0"/>
        <v>1.6910212703513881</v>
      </c>
      <c r="G115" s="2">
        <f t="shared" si="1"/>
        <v>102.01931324029924</v>
      </c>
      <c r="H115" s="2">
        <f t="shared" si="2"/>
        <v>2.208628121085511</v>
      </c>
      <c r="I115" s="2">
        <f t="shared" si="3"/>
        <v>133.24653454508888</v>
      </c>
      <c r="J115" s="2">
        <f t="shared" si="4"/>
        <v>31.227221304789637</v>
      </c>
      <c r="K115" s="15">
        <f t="shared" si="19"/>
        <v>0.46244658119658122</v>
      </c>
      <c r="L115" s="2">
        <f t="shared" si="14"/>
        <v>110</v>
      </c>
      <c r="M115" s="2">
        <f t="shared" si="21"/>
        <v>60.08</v>
      </c>
      <c r="N115" s="2">
        <v>9</v>
      </c>
      <c r="O115" s="2">
        <v>50.26548245743669</v>
      </c>
      <c r="P115" s="11">
        <f t="shared" si="5"/>
        <v>1.7904931097838226</v>
      </c>
      <c r="Q115" s="2">
        <f t="shared" si="6"/>
        <v>107.57282603581206</v>
      </c>
      <c r="R115" s="2">
        <f t="shared" si="7"/>
        <v>2.4770892345362268</v>
      </c>
      <c r="S115" s="2">
        <f t="shared" si="8"/>
        <v>148.82352121093649</v>
      </c>
      <c r="T115" s="2">
        <f t="shared" si="9"/>
        <v>41.250695175124434</v>
      </c>
    </row>
    <row r="116" spans="1:20" x14ac:dyDescent="0.25">
      <c r="A116" s="14">
        <f t="shared" si="18"/>
        <v>0.48397435897435898</v>
      </c>
      <c r="B116" s="2">
        <f t="shared" si="11"/>
        <v>111</v>
      </c>
      <c r="C116" s="4">
        <f t="shared" si="20"/>
        <v>60.83</v>
      </c>
      <c r="D116" s="2">
        <v>10</v>
      </c>
      <c r="E116" s="2">
        <v>50.26548245743669</v>
      </c>
      <c r="F116" s="11">
        <f t="shared" si="0"/>
        <v>1.9894367886486919</v>
      </c>
      <c r="G116" s="2">
        <f t="shared" si="1"/>
        <v>121.01743985349992</v>
      </c>
      <c r="H116" s="2">
        <f t="shared" si="2"/>
        <v>2.208628121085511</v>
      </c>
      <c r="I116" s="2">
        <f t="shared" si="3"/>
        <v>134.35084860563163</v>
      </c>
      <c r="J116" s="2">
        <f t="shared" si="4"/>
        <v>13.333408752131703</v>
      </c>
      <c r="K116" s="15">
        <f t="shared" si="19"/>
        <v>0.46255341880341883</v>
      </c>
      <c r="L116" s="2">
        <f t="shared" si="14"/>
        <v>111</v>
      </c>
      <c r="M116" s="2">
        <f t="shared" si="21"/>
        <v>60.58</v>
      </c>
      <c r="N116" s="2">
        <v>11</v>
      </c>
      <c r="O116" s="2">
        <v>50.26548245743669</v>
      </c>
      <c r="P116" s="11">
        <f t="shared" si="5"/>
        <v>2.1883804675135607</v>
      </c>
      <c r="Q116" s="2">
        <f t="shared" si="6"/>
        <v>132.57208872197151</v>
      </c>
      <c r="R116" s="2">
        <f t="shared" si="7"/>
        <v>2.4770892345362268</v>
      </c>
      <c r="S116" s="2">
        <f t="shared" si="8"/>
        <v>150.06206582820462</v>
      </c>
      <c r="T116" s="2">
        <f t="shared" si="9"/>
        <v>17.489977106233113</v>
      </c>
    </row>
    <row r="117" spans="1:20" x14ac:dyDescent="0.25">
      <c r="A117" s="14">
        <f t="shared" si="18"/>
        <v>0.48409900284900287</v>
      </c>
      <c r="B117" s="2">
        <f t="shared" si="11"/>
        <v>112</v>
      </c>
      <c r="C117" s="4">
        <f t="shared" si="20"/>
        <v>61.33</v>
      </c>
      <c r="D117" s="2">
        <v>9</v>
      </c>
      <c r="E117" s="2">
        <v>50.26548245743669</v>
      </c>
      <c r="F117" s="11">
        <f t="shared" si="0"/>
        <v>1.7904931097838226</v>
      </c>
      <c r="G117" s="2">
        <f t="shared" si="1"/>
        <v>109.81094242304184</v>
      </c>
      <c r="H117" s="2">
        <f t="shared" si="2"/>
        <v>2.208628121085511</v>
      </c>
      <c r="I117" s="2">
        <f t="shared" si="3"/>
        <v>135.45516266617437</v>
      </c>
      <c r="J117" s="2">
        <f t="shared" si="4"/>
        <v>25.644220243132537</v>
      </c>
      <c r="K117" s="15">
        <f t="shared" si="19"/>
        <v>0.46266025641025643</v>
      </c>
      <c r="L117" s="2">
        <f t="shared" si="14"/>
        <v>112</v>
      </c>
      <c r="M117" s="2">
        <f t="shared" si="21"/>
        <v>61.08</v>
      </c>
      <c r="N117" s="2">
        <v>14</v>
      </c>
      <c r="O117" s="2">
        <v>50.26548245743669</v>
      </c>
      <c r="P117" s="11">
        <f t="shared" si="5"/>
        <v>2.7852115041081689</v>
      </c>
      <c r="Q117" s="2">
        <f t="shared" si="6"/>
        <v>170.12071867092695</v>
      </c>
      <c r="R117" s="2">
        <f t="shared" si="7"/>
        <v>2.4770892345362268</v>
      </c>
      <c r="S117" s="2">
        <f t="shared" si="8"/>
        <v>151.30061044547273</v>
      </c>
      <c r="T117" s="2">
        <f t="shared" si="9"/>
        <v>18.82010822545422</v>
      </c>
    </row>
    <row r="118" spans="1:20" x14ac:dyDescent="0.25">
      <c r="A118" s="14">
        <f t="shared" si="18"/>
        <v>0.48422364672364671</v>
      </c>
      <c r="B118" s="2">
        <f t="shared" si="11"/>
        <v>113</v>
      </c>
      <c r="C118" s="4">
        <f t="shared" si="20"/>
        <v>61.83</v>
      </c>
      <c r="D118" s="2">
        <v>9.5</v>
      </c>
      <c r="E118" s="2">
        <v>50.26548245743669</v>
      </c>
      <c r="F118" s="11">
        <f t="shared" si="0"/>
        <v>1.8899649492162571</v>
      </c>
      <c r="G118" s="2">
        <f t="shared" si="1"/>
        <v>116.85653281004117</v>
      </c>
      <c r="H118" s="2">
        <f t="shared" si="2"/>
        <v>2.208628121085511</v>
      </c>
      <c r="I118" s="2">
        <f t="shared" si="3"/>
        <v>136.55947672671715</v>
      </c>
      <c r="J118" s="2">
        <f t="shared" si="4"/>
        <v>19.702943916675977</v>
      </c>
      <c r="K118" s="15">
        <f t="shared" si="19"/>
        <v>0.46276709401709404</v>
      </c>
      <c r="L118" s="2">
        <f t="shared" si="14"/>
        <v>113</v>
      </c>
      <c r="M118" s="2">
        <f t="shared" si="21"/>
        <v>61.58</v>
      </c>
      <c r="N118" s="2">
        <v>10.5</v>
      </c>
      <c r="O118" s="2">
        <v>50.26548245743669</v>
      </c>
      <c r="P118" s="11">
        <f t="shared" si="5"/>
        <v>2.0889086280811267</v>
      </c>
      <c r="Q118" s="2">
        <f t="shared" si="6"/>
        <v>128.63499331723577</v>
      </c>
      <c r="R118" s="2">
        <f t="shared" si="7"/>
        <v>2.4770892345362268</v>
      </c>
      <c r="S118" s="2">
        <f t="shared" si="8"/>
        <v>152.53915506274083</v>
      </c>
      <c r="T118" s="2">
        <f t="shared" si="9"/>
        <v>23.904161745505064</v>
      </c>
    </row>
    <row r="119" spans="1:20" x14ac:dyDescent="0.25">
      <c r="A119" s="14">
        <f t="shared" si="18"/>
        <v>0.4843482905982906</v>
      </c>
      <c r="B119" s="2">
        <f t="shared" si="11"/>
        <v>114</v>
      </c>
      <c r="C119" s="4">
        <f t="shared" si="20"/>
        <v>62.33</v>
      </c>
      <c r="D119" s="2">
        <v>9</v>
      </c>
      <c r="E119" s="2">
        <v>50.26548245743669</v>
      </c>
      <c r="F119" s="11">
        <f t="shared" si="0"/>
        <v>1.7904931097838226</v>
      </c>
      <c r="G119" s="2">
        <f t="shared" si="1"/>
        <v>111.60143553282566</v>
      </c>
      <c r="H119" s="2">
        <f t="shared" si="2"/>
        <v>2.208628121085511</v>
      </c>
      <c r="I119" s="2">
        <f t="shared" si="3"/>
        <v>137.6637907872599</v>
      </c>
      <c r="J119" s="2">
        <f t="shared" si="4"/>
        <v>26.062355254434237</v>
      </c>
      <c r="K119" s="15">
        <f t="shared" si="19"/>
        <v>0.46287393162393164</v>
      </c>
      <c r="L119" s="2">
        <f t="shared" si="14"/>
        <v>114</v>
      </c>
      <c r="M119" s="2">
        <f t="shared" si="21"/>
        <v>62.08</v>
      </c>
      <c r="N119" s="2">
        <v>10</v>
      </c>
      <c r="O119" s="2">
        <v>50.26548245743669</v>
      </c>
      <c r="P119" s="11">
        <f t="shared" si="5"/>
        <v>1.9894367886486919</v>
      </c>
      <c r="Q119" s="2">
        <f t="shared" si="6"/>
        <v>123.50423583931079</v>
      </c>
      <c r="R119" s="2">
        <f t="shared" si="7"/>
        <v>2.4770892345362268</v>
      </c>
      <c r="S119" s="2">
        <f t="shared" si="8"/>
        <v>153.77769968000896</v>
      </c>
      <c r="T119" s="2">
        <f t="shared" si="9"/>
        <v>30.27346384069817</v>
      </c>
    </row>
    <row r="120" spans="1:20" x14ac:dyDescent="0.25">
      <c r="A120" s="14">
        <f t="shared" si="18"/>
        <v>0.48447293447293449</v>
      </c>
      <c r="B120" s="2">
        <f t="shared" si="11"/>
        <v>115</v>
      </c>
      <c r="C120" s="4">
        <f t="shared" si="20"/>
        <v>62.83</v>
      </c>
      <c r="D120" s="2">
        <v>10.5</v>
      </c>
      <c r="E120" s="2">
        <v>50.26548245743669</v>
      </c>
      <c r="F120" s="11">
        <f t="shared" si="0"/>
        <v>2.0889086280811267</v>
      </c>
      <c r="G120" s="2">
        <f t="shared" si="1"/>
        <v>131.24612910233719</v>
      </c>
      <c r="H120" s="2">
        <f t="shared" si="2"/>
        <v>2.208628121085511</v>
      </c>
      <c r="I120" s="2">
        <f t="shared" si="3"/>
        <v>138.76810484780265</v>
      </c>
      <c r="J120" s="2">
        <f t="shared" si="4"/>
        <v>7.5219757454654541</v>
      </c>
      <c r="K120" s="15">
        <f t="shared" si="19"/>
        <v>0.46298076923076925</v>
      </c>
      <c r="L120" s="2">
        <f t="shared" si="14"/>
        <v>115</v>
      </c>
      <c r="M120" s="2">
        <f t="shared" si="21"/>
        <v>62.58</v>
      </c>
      <c r="N120" s="2">
        <v>11.5</v>
      </c>
      <c r="O120" s="2">
        <v>50.26548245743669</v>
      </c>
      <c r="P120" s="11">
        <f t="shared" si="5"/>
        <v>2.2878523069459957</v>
      </c>
      <c r="Q120" s="2">
        <f t="shared" si="6"/>
        <v>143.1737973686804</v>
      </c>
      <c r="R120" s="2">
        <f t="shared" si="7"/>
        <v>2.4770892345362268</v>
      </c>
      <c r="S120" s="2">
        <f t="shared" si="8"/>
        <v>155.01624429727707</v>
      </c>
      <c r="T120" s="2">
        <f t="shared" si="9"/>
        <v>11.842446928596672</v>
      </c>
    </row>
    <row r="121" spans="1:20" x14ac:dyDescent="0.25">
      <c r="A121" s="14">
        <f t="shared" si="18"/>
        <v>0.48459757834757833</v>
      </c>
      <c r="B121" s="2">
        <f t="shared" si="11"/>
        <v>116</v>
      </c>
      <c r="C121" s="4">
        <f t="shared" si="20"/>
        <v>63.33</v>
      </c>
      <c r="D121" s="2">
        <v>11</v>
      </c>
      <c r="E121" s="2">
        <v>50.26548245743669</v>
      </c>
      <c r="F121" s="11">
        <f t="shared" si="0"/>
        <v>2.1883804675135607</v>
      </c>
      <c r="G121" s="2">
        <f t="shared" si="1"/>
        <v>138.59013500763379</v>
      </c>
      <c r="H121" s="2">
        <f t="shared" si="2"/>
        <v>2.208628121085511</v>
      </c>
      <c r="I121" s="2">
        <f t="shared" si="3"/>
        <v>139.8724189083454</v>
      </c>
      <c r="J121" s="2">
        <f t="shared" si="4"/>
        <v>1.2822839007116045</v>
      </c>
      <c r="K121" s="15">
        <f t="shared" si="19"/>
        <v>0.46308760683760686</v>
      </c>
      <c r="L121" s="2">
        <f t="shared" si="14"/>
        <v>116</v>
      </c>
      <c r="M121" s="2">
        <f t="shared" si="21"/>
        <v>63.08</v>
      </c>
      <c r="N121" s="2">
        <v>12</v>
      </c>
      <c r="O121" s="2">
        <v>50.26548245743669</v>
      </c>
      <c r="P121" s="11">
        <f t="shared" si="5"/>
        <v>2.3873241463784298</v>
      </c>
      <c r="Q121" s="2">
        <f t="shared" si="6"/>
        <v>150.59240715355136</v>
      </c>
      <c r="R121" s="2">
        <f t="shared" si="7"/>
        <v>2.4770892345362268</v>
      </c>
      <c r="S121" s="2">
        <f t="shared" si="8"/>
        <v>156.25478891454517</v>
      </c>
      <c r="T121" s="2">
        <f t="shared" si="9"/>
        <v>5.6623817609938101</v>
      </c>
    </row>
    <row r="122" spans="1:20" x14ac:dyDescent="0.25">
      <c r="A122" s="10">
        <v>0.48472222222222222</v>
      </c>
      <c r="B122" s="2">
        <f t="shared" si="11"/>
        <v>117</v>
      </c>
      <c r="C122" s="4">
        <f t="shared" si="20"/>
        <v>63.83</v>
      </c>
      <c r="D122" s="2">
        <v>12</v>
      </c>
      <c r="E122" s="2">
        <v>50.26548245743669</v>
      </c>
      <c r="F122" s="11">
        <f t="shared" si="0"/>
        <v>2.3873241463784298</v>
      </c>
      <c r="G122" s="2">
        <f t="shared" si="1"/>
        <v>152.38290026333516</v>
      </c>
      <c r="H122" s="2">
        <f t="shared" si="2"/>
        <v>2.208628121085511</v>
      </c>
      <c r="I122" s="2">
        <f t="shared" si="3"/>
        <v>140.97673296888817</v>
      </c>
      <c r="J122" s="2">
        <f t="shared" si="4"/>
        <v>11.406167294446988</v>
      </c>
      <c r="K122" s="12">
        <v>0.46319444444444446</v>
      </c>
      <c r="L122" s="2">
        <f t="shared" si="14"/>
        <v>117</v>
      </c>
      <c r="M122" s="2">
        <f t="shared" si="21"/>
        <v>63.58</v>
      </c>
      <c r="N122" s="2">
        <v>13.5</v>
      </c>
      <c r="O122" s="2">
        <v>50.26548245743669</v>
      </c>
      <c r="P122" s="11">
        <f t="shared" si="5"/>
        <v>2.6857396646757339</v>
      </c>
      <c r="Q122" s="2">
        <f t="shared" si="6"/>
        <v>170.75932788008316</v>
      </c>
      <c r="R122" s="2">
        <f t="shared" si="7"/>
        <v>2.4770892345362268</v>
      </c>
      <c r="S122" s="2">
        <f t="shared" si="8"/>
        <v>157.49333353181331</v>
      </c>
      <c r="T122" s="2">
        <f t="shared" si="9"/>
        <v>13.265994348269857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0.48486467236467234</v>
      </c>
      <c r="B123" s="2">
        <f t="shared" si="11"/>
        <v>118</v>
      </c>
      <c r="C123" s="4">
        <f t="shared" si="20"/>
        <v>64.33</v>
      </c>
      <c r="D123" s="2">
        <v>12</v>
      </c>
      <c r="E123" s="2">
        <v>50.26548245743669</v>
      </c>
      <c r="F123" s="11">
        <f t="shared" si="0"/>
        <v>2.3873241463784298</v>
      </c>
      <c r="G123" s="2">
        <f t="shared" si="1"/>
        <v>153.57656233652438</v>
      </c>
      <c r="H123" s="2">
        <f t="shared" si="2"/>
        <v>2.208628121085511</v>
      </c>
      <c r="I123" s="2">
        <f t="shared" si="3"/>
        <v>142.08104702943092</v>
      </c>
      <c r="J123" s="2">
        <f t="shared" si="4"/>
        <v>11.495515307093456</v>
      </c>
      <c r="K123" s="15">
        <f t="shared" ref="K123:K160" si="23">IF(AND($K$122&lt;&gt;"",$K$161&lt;&gt;""), $K$122 + (L123 - $L$122) * (($K$161 - $K$122) / ($L$161 - $L$122)), "")</f>
        <v>0.46333689458689459</v>
      </c>
      <c r="L123" s="2">
        <f t="shared" si="14"/>
        <v>118</v>
      </c>
      <c r="M123" s="2">
        <f t="shared" si="21"/>
        <v>64.08</v>
      </c>
      <c r="N123" s="2">
        <v>13.5</v>
      </c>
      <c r="O123" s="2">
        <v>50.26548245743669</v>
      </c>
      <c r="P123" s="11">
        <f t="shared" si="5"/>
        <v>2.6857396646757339</v>
      </c>
      <c r="Q123" s="2">
        <f t="shared" si="6"/>
        <v>172.10219771242103</v>
      </c>
      <c r="R123" s="2">
        <f t="shared" si="7"/>
        <v>2.4770892345362268</v>
      </c>
      <c r="S123" s="2">
        <f t="shared" si="8"/>
        <v>158.73187814908141</v>
      </c>
      <c r="T123" s="2">
        <f t="shared" si="9"/>
        <v>13.370319563339621</v>
      </c>
    </row>
    <row r="124" spans="1:20" x14ac:dyDescent="0.25">
      <c r="A124" s="14">
        <f t="shared" si="22"/>
        <v>0.48500712250712252</v>
      </c>
      <c r="B124" s="2">
        <f t="shared" si="11"/>
        <v>119</v>
      </c>
      <c r="C124" s="4">
        <f t="shared" si="20"/>
        <v>64.83</v>
      </c>
      <c r="D124" s="2">
        <v>12</v>
      </c>
      <c r="E124" s="2">
        <v>50.26548245743669</v>
      </c>
      <c r="F124" s="11">
        <f t="shared" si="0"/>
        <v>2.3873241463784298</v>
      </c>
      <c r="G124" s="2">
        <f t="shared" si="1"/>
        <v>154.77022440971359</v>
      </c>
      <c r="H124" s="2">
        <f t="shared" si="2"/>
        <v>2.208628121085511</v>
      </c>
      <c r="I124" s="2">
        <f t="shared" si="3"/>
        <v>143.18536108997367</v>
      </c>
      <c r="J124" s="2">
        <f t="shared" si="4"/>
        <v>11.584863319739924</v>
      </c>
      <c r="K124" s="15">
        <f t="shared" si="23"/>
        <v>0.46347934472934477</v>
      </c>
      <c r="L124" s="2">
        <f t="shared" si="14"/>
        <v>119</v>
      </c>
      <c r="M124" s="2">
        <f t="shared" si="21"/>
        <v>64.58</v>
      </c>
      <c r="N124" s="2">
        <v>13.5</v>
      </c>
      <c r="O124" s="2">
        <v>50.26548245743669</v>
      </c>
      <c r="P124" s="11">
        <f t="shared" si="5"/>
        <v>2.6857396646757339</v>
      </c>
      <c r="Q124" s="2">
        <f t="shared" si="6"/>
        <v>173.4450675447589</v>
      </c>
      <c r="R124" s="2">
        <f t="shared" si="7"/>
        <v>2.4770892345362268</v>
      </c>
      <c r="S124" s="2">
        <f t="shared" si="8"/>
        <v>159.97042276634951</v>
      </c>
      <c r="T124" s="2">
        <f t="shared" si="9"/>
        <v>13.474644778409385</v>
      </c>
    </row>
    <row r="125" spans="1:20" x14ac:dyDescent="0.25">
      <c r="A125" s="14">
        <f t="shared" si="22"/>
        <v>0.48514957264957265</v>
      </c>
      <c r="B125" s="2">
        <f t="shared" si="11"/>
        <v>120</v>
      </c>
      <c r="C125" s="4">
        <f t="shared" si="20"/>
        <v>65.33</v>
      </c>
      <c r="D125" s="2">
        <v>14</v>
      </c>
      <c r="E125" s="2">
        <v>50.26548245743669</v>
      </c>
      <c r="F125" s="11">
        <f t="shared" si="0"/>
        <v>2.7852115041081689</v>
      </c>
      <c r="G125" s="2">
        <f t="shared" si="1"/>
        <v>181.95786756338666</v>
      </c>
      <c r="H125" s="2">
        <f t="shared" si="2"/>
        <v>2.208628121085511</v>
      </c>
      <c r="I125" s="2">
        <f t="shared" si="3"/>
        <v>144.28967515051642</v>
      </c>
      <c r="J125" s="2">
        <f t="shared" si="4"/>
        <v>37.668192412870241</v>
      </c>
      <c r="K125" s="15">
        <f t="shared" si="23"/>
        <v>0.46362179487179489</v>
      </c>
      <c r="L125" s="2">
        <f t="shared" si="14"/>
        <v>120</v>
      </c>
      <c r="M125" s="2">
        <f t="shared" si="21"/>
        <v>65.08</v>
      </c>
      <c r="N125" s="2">
        <v>13.5</v>
      </c>
      <c r="O125" s="2">
        <v>50.26548245743669</v>
      </c>
      <c r="P125" s="11">
        <f t="shared" si="5"/>
        <v>2.6857396646757339</v>
      </c>
      <c r="Q125" s="2">
        <f t="shared" si="6"/>
        <v>174.78793737709677</v>
      </c>
      <c r="R125" s="2">
        <f t="shared" si="7"/>
        <v>2.4770892345362268</v>
      </c>
      <c r="S125" s="2">
        <f t="shared" si="8"/>
        <v>161.20896738361765</v>
      </c>
      <c r="T125" s="2">
        <f t="shared" si="9"/>
        <v>13.57896999347912</v>
      </c>
    </row>
    <row r="126" spans="1:20" x14ac:dyDescent="0.25">
      <c r="A126" s="14">
        <f t="shared" si="22"/>
        <v>0.48529202279202277</v>
      </c>
      <c r="B126" s="2">
        <f t="shared" si="11"/>
        <v>121</v>
      </c>
      <c r="C126" s="4">
        <f t="shared" si="20"/>
        <v>65.83</v>
      </c>
      <c r="D126" s="2">
        <v>12</v>
      </c>
      <c r="E126" s="2">
        <v>50.26548245743669</v>
      </c>
      <c r="F126" s="11">
        <f t="shared" si="0"/>
        <v>2.3873241463784298</v>
      </c>
      <c r="G126" s="2">
        <f t="shared" si="1"/>
        <v>157.15754855609202</v>
      </c>
      <c r="H126" s="2">
        <f t="shared" si="2"/>
        <v>2.208628121085511</v>
      </c>
      <c r="I126" s="2">
        <f t="shared" si="3"/>
        <v>145.39398921105919</v>
      </c>
      <c r="J126" s="2">
        <f t="shared" si="4"/>
        <v>11.763559345032832</v>
      </c>
      <c r="K126" s="15">
        <f t="shared" si="23"/>
        <v>0.46376424501424501</v>
      </c>
      <c r="L126" s="2">
        <f t="shared" si="14"/>
        <v>121</v>
      </c>
      <c r="M126" s="2">
        <f t="shared" si="21"/>
        <v>65.58</v>
      </c>
      <c r="N126" s="2">
        <v>14.5</v>
      </c>
      <c r="O126" s="2">
        <v>50.26548245743669</v>
      </c>
      <c r="P126" s="11">
        <f t="shared" si="5"/>
        <v>2.8846833435406034</v>
      </c>
      <c r="Q126" s="2">
        <f t="shared" si="6"/>
        <v>189.17753366939277</v>
      </c>
      <c r="R126" s="2">
        <f t="shared" si="7"/>
        <v>2.4770892345362268</v>
      </c>
      <c r="S126" s="2">
        <f t="shared" si="8"/>
        <v>162.44751200088575</v>
      </c>
      <c r="T126" s="2">
        <f t="shared" si="9"/>
        <v>26.730021668507021</v>
      </c>
    </row>
    <row r="127" spans="1:20" x14ac:dyDescent="0.25">
      <c r="A127" s="14">
        <f t="shared" si="22"/>
        <v>0.48543447293447295</v>
      </c>
      <c r="B127" s="2">
        <f t="shared" si="11"/>
        <v>122</v>
      </c>
      <c r="C127" s="4">
        <f t="shared" si="20"/>
        <v>66.33</v>
      </c>
      <c r="D127" s="2">
        <v>13</v>
      </c>
      <c r="E127" s="2">
        <v>50.26548245743669</v>
      </c>
      <c r="F127" s="11">
        <f t="shared" si="0"/>
        <v>2.5862678252432989</v>
      </c>
      <c r="G127" s="2">
        <f t="shared" si="1"/>
        <v>171.547144848388</v>
      </c>
      <c r="H127" s="2">
        <f t="shared" si="2"/>
        <v>2.208628121085511</v>
      </c>
      <c r="I127" s="2">
        <f t="shared" si="3"/>
        <v>146.49830327160194</v>
      </c>
      <c r="J127" s="2">
        <f t="shared" si="4"/>
        <v>25.04884157678606</v>
      </c>
      <c r="K127" s="15">
        <f t="shared" si="23"/>
        <v>0.46390669515669519</v>
      </c>
      <c r="L127" s="2">
        <f t="shared" si="14"/>
        <v>122</v>
      </c>
      <c r="M127" s="2">
        <f t="shared" si="21"/>
        <v>66.08</v>
      </c>
      <c r="N127" s="2">
        <v>14</v>
      </c>
      <c r="O127" s="2">
        <v>50.26548245743669</v>
      </c>
      <c r="P127" s="11">
        <f t="shared" si="5"/>
        <v>2.7852115041081689</v>
      </c>
      <c r="Q127" s="2">
        <f t="shared" si="6"/>
        <v>184.04677619146779</v>
      </c>
      <c r="R127" s="2">
        <f t="shared" si="7"/>
        <v>2.4770892345362268</v>
      </c>
      <c r="S127" s="2">
        <f t="shared" si="8"/>
        <v>163.68605661815386</v>
      </c>
      <c r="T127" s="2">
        <f t="shared" si="9"/>
        <v>20.360719573313929</v>
      </c>
    </row>
    <row r="128" spans="1:20" x14ac:dyDescent="0.25">
      <c r="A128" s="14">
        <f t="shared" si="22"/>
        <v>0.48557692307692307</v>
      </c>
      <c r="B128" s="2">
        <f t="shared" si="11"/>
        <v>123</v>
      </c>
      <c r="C128" s="4">
        <f t="shared" si="20"/>
        <v>66.83</v>
      </c>
      <c r="D128" s="2">
        <v>12</v>
      </c>
      <c r="E128" s="2">
        <v>50.26548245743669</v>
      </c>
      <c r="F128" s="11">
        <f t="shared" si="0"/>
        <v>2.3873241463784298</v>
      </c>
      <c r="G128" s="2">
        <f t="shared" si="1"/>
        <v>159.54487270247046</v>
      </c>
      <c r="H128" s="2">
        <f t="shared" si="2"/>
        <v>2.208628121085511</v>
      </c>
      <c r="I128" s="2">
        <f t="shared" si="3"/>
        <v>147.60261733214469</v>
      </c>
      <c r="J128" s="2">
        <f t="shared" si="4"/>
        <v>11.942255370325768</v>
      </c>
      <c r="K128" s="15">
        <f t="shared" si="23"/>
        <v>0.46404914529914532</v>
      </c>
      <c r="L128" s="2">
        <f t="shared" si="14"/>
        <v>123</v>
      </c>
      <c r="M128" s="2">
        <f t="shared" si="21"/>
        <v>66.58</v>
      </c>
      <c r="N128" s="2">
        <v>13.5</v>
      </c>
      <c r="O128" s="2">
        <v>50.26548245743669</v>
      </c>
      <c r="P128" s="11">
        <f t="shared" si="5"/>
        <v>2.6857396646757339</v>
      </c>
      <c r="Q128" s="2">
        <f t="shared" si="6"/>
        <v>178.81654687411034</v>
      </c>
      <c r="R128" s="2">
        <f t="shared" si="7"/>
        <v>2.4770892345362268</v>
      </c>
      <c r="S128" s="2">
        <f t="shared" si="8"/>
        <v>164.92460123542196</v>
      </c>
      <c r="T128" s="2">
        <f t="shared" si="9"/>
        <v>13.891945638688384</v>
      </c>
    </row>
    <row r="129" spans="1:20" x14ac:dyDescent="0.25">
      <c r="A129" s="14">
        <f t="shared" si="22"/>
        <v>0.4857193732193732</v>
      </c>
      <c r="B129" s="2">
        <f t="shared" si="11"/>
        <v>124</v>
      </c>
      <c r="C129" s="4">
        <f t="shared" si="20"/>
        <v>67.33</v>
      </c>
      <c r="D129" s="2">
        <v>13.5</v>
      </c>
      <c r="E129" s="2">
        <v>50.26548245743669</v>
      </c>
      <c r="F129" s="11">
        <f t="shared" si="0"/>
        <v>2.6857396646757339</v>
      </c>
      <c r="G129" s="2">
        <f t="shared" si="1"/>
        <v>180.83085162261716</v>
      </c>
      <c r="H129" s="2">
        <f t="shared" si="2"/>
        <v>2.208628121085511</v>
      </c>
      <c r="I129" s="2">
        <f t="shared" si="3"/>
        <v>148.70693139268744</v>
      </c>
      <c r="J129" s="2">
        <f t="shared" si="4"/>
        <v>32.123920229929723</v>
      </c>
      <c r="K129" s="15">
        <f t="shared" si="23"/>
        <v>0.46419159544159544</v>
      </c>
      <c r="L129" s="2">
        <f t="shared" si="14"/>
        <v>124</v>
      </c>
      <c r="M129" s="2">
        <f t="shared" si="21"/>
        <v>67.08</v>
      </c>
      <c r="N129" s="2">
        <v>13</v>
      </c>
      <c r="O129" s="2">
        <v>50.26548245743669</v>
      </c>
      <c r="P129" s="11">
        <f t="shared" si="5"/>
        <v>2.5862678252432989</v>
      </c>
      <c r="Q129" s="2">
        <f t="shared" si="6"/>
        <v>173.48684571732048</v>
      </c>
      <c r="R129" s="2">
        <f t="shared" si="7"/>
        <v>2.4770892345362268</v>
      </c>
      <c r="S129" s="2">
        <f t="shared" si="8"/>
        <v>166.16314585269009</v>
      </c>
      <c r="T129" s="2">
        <f t="shared" si="9"/>
        <v>7.3236998646303846</v>
      </c>
    </row>
    <row r="130" spans="1:20" x14ac:dyDescent="0.25">
      <c r="A130" s="14">
        <f t="shared" si="22"/>
        <v>0.48586182336182338</v>
      </c>
      <c r="B130" s="2">
        <f t="shared" si="11"/>
        <v>125</v>
      </c>
      <c r="C130" s="4">
        <f t="shared" si="20"/>
        <v>67.83</v>
      </c>
      <c r="D130" s="2">
        <v>12.5</v>
      </c>
      <c r="E130" s="2">
        <v>50.26548245743669</v>
      </c>
      <c r="F130" s="11">
        <f t="shared" si="0"/>
        <v>2.4867959858108648</v>
      </c>
      <c r="G130" s="2">
        <f t="shared" si="1"/>
        <v>168.67937171755096</v>
      </c>
      <c r="H130" s="2">
        <f t="shared" si="2"/>
        <v>2.208628121085511</v>
      </c>
      <c r="I130" s="2">
        <f t="shared" si="3"/>
        <v>149.81124545323021</v>
      </c>
      <c r="J130" s="2">
        <f t="shared" si="4"/>
        <v>18.86812626432075</v>
      </c>
      <c r="K130" s="15">
        <f t="shared" si="23"/>
        <v>0.46433404558404562</v>
      </c>
      <c r="L130" s="2">
        <f t="shared" si="14"/>
        <v>125</v>
      </c>
      <c r="M130" s="2">
        <f t="shared" si="21"/>
        <v>67.58</v>
      </c>
      <c r="N130" s="2">
        <v>13.5</v>
      </c>
      <c r="O130" s="2">
        <v>50.26548245743669</v>
      </c>
      <c r="P130" s="11">
        <f t="shared" si="5"/>
        <v>2.6857396646757339</v>
      </c>
      <c r="Q130" s="2">
        <f t="shared" si="6"/>
        <v>181.50228653878608</v>
      </c>
      <c r="R130" s="2">
        <f t="shared" si="7"/>
        <v>2.4770892345362268</v>
      </c>
      <c r="S130" s="2">
        <f t="shared" si="8"/>
        <v>167.4016904699582</v>
      </c>
      <c r="T130" s="2">
        <f t="shared" si="9"/>
        <v>14.100596068827883</v>
      </c>
    </row>
    <row r="131" spans="1:20" x14ac:dyDescent="0.25">
      <c r="A131" s="14">
        <f t="shared" si="22"/>
        <v>0.4860042735042735</v>
      </c>
      <c r="B131" s="2">
        <f t="shared" si="11"/>
        <v>126</v>
      </c>
      <c r="C131" s="4">
        <f t="shared" si="20"/>
        <v>68.33</v>
      </c>
      <c r="D131" s="2">
        <v>12</v>
      </c>
      <c r="E131" s="2">
        <v>50.26548245743669</v>
      </c>
      <c r="F131" s="11">
        <f t="shared" si="0"/>
        <v>2.3873241463784298</v>
      </c>
      <c r="G131" s="2">
        <f t="shared" si="1"/>
        <v>163.12585892203811</v>
      </c>
      <c r="H131" s="2">
        <f t="shared" si="2"/>
        <v>2.208628121085511</v>
      </c>
      <c r="I131" s="2">
        <f t="shared" si="3"/>
        <v>150.91555951377296</v>
      </c>
      <c r="J131" s="2">
        <f t="shared" si="4"/>
        <v>12.210299408265143</v>
      </c>
      <c r="K131" s="15">
        <f t="shared" si="23"/>
        <v>0.46447649572649574</v>
      </c>
      <c r="L131" s="2">
        <f t="shared" si="14"/>
        <v>126</v>
      </c>
      <c r="M131" s="2">
        <f t="shared" si="21"/>
        <v>68.08</v>
      </c>
      <c r="N131" s="2">
        <v>14</v>
      </c>
      <c r="O131" s="2">
        <v>50.26548245743669</v>
      </c>
      <c r="P131" s="11">
        <f t="shared" si="5"/>
        <v>2.7852115041081689</v>
      </c>
      <c r="Q131" s="2">
        <f t="shared" si="6"/>
        <v>189.61719919968414</v>
      </c>
      <c r="R131" s="2">
        <f t="shared" si="7"/>
        <v>2.4770892345362268</v>
      </c>
      <c r="S131" s="2">
        <f t="shared" si="8"/>
        <v>168.6402350872263</v>
      </c>
      <c r="T131" s="2">
        <f t="shared" si="9"/>
        <v>20.976964112457836</v>
      </c>
    </row>
    <row r="132" spans="1:20" x14ac:dyDescent="0.25">
      <c r="A132" s="14">
        <f t="shared" si="22"/>
        <v>0.48614672364672362</v>
      </c>
      <c r="B132" s="2">
        <f t="shared" si="11"/>
        <v>127</v>
      </c>
      <c r="C132" s="4">
        <f t="shared" si="20"/>
        <v>68.83</v>
      </c>
      <c r="D132" s="2">
        <v>12</v>
      </c>
      <c r="E132" s="2">
        <v>50.26548245743669</v>
      </c>
      <c r="F132" s="11">
        <f t="shared" si="0"/>
        <v>2.3873241463784298</v>
      </c>
      <c r="G132" s="2">
        <f t="shared" si="1"/>
        <v>164.31952099522732</v>
      </c>
      <c r="H132" s="2">
        <f t="shared" si="2"/>
        <v>2.208628121085511</v>
      </c>
      <c r="I132" s="2">
        <f t="shared" si="3"/>
        <v>152.01987357431571</v>
      </c>
      <c r="J132" s="2">
        <f t="shared" si="4"/>
        <v>12.299647420911612</v>
      </c>
      <c r="K132" s="15">
        <f t="shared" si="23"/>
        <v>0.46461894586894587</v>
      </c>
      <c r="L132" s="2">
        <f t="shared" si="14"/>
        <v>127</v>
      </c>
      <c r="M132" s="2">
        <f t="shared" si="21"/>
        <v>68.58</v>
      </c>
      <c r="N132" s="2">
        <v>14</v>
      </c>
      <c r="O132" s="2">
        <v>50.26548245743669</v>
      </c>
      <c r="P132" s="11">
        <f t="shared" si="5"/>
        <v>2.7852115041081689</v>
      </c>
      <c r="Q132" s="2">
        <f t="shared" si="6"/>
        <v>191.0098049517382</v>
      </c>
      <c r="R132" s="2">
        <f t="shared" si="7"/>
        <v>2.4770892345362268</v>
      </c>
      <c r="S132" s="2">
        <f t="shared" si="8"/>
        <v>169.87877970449443</v>
      </c>
      <c r="T132" s="2">
        <f t="shared" si="9"/>
        <v>21.13102524724377</v>
      </c>
    </row>
    <row r="133" spans="1:20" x14ac:dyDescent="0.25">
      <c r="A133" s="14">
        <f t="shared" si="22"/>
        <v>0.4862891737891738</v>
      </c>
      <c r="B133" s="2">
        <f t="shared" si="11"/>
        <v>128</v>
      </c>
      <c r="C133" s="4">
        <f t="shared" si="20"/>
        <v>69.33</v>
      </c>
      <c r="D133" s="2">
        <v>12.5</v>
      </c>
      <c r="E133" s="2">
        <v>50.26548245743669</v>
      </c>
      <c r="F133" s="11">
        <f t="shared" si="0"/>
        <v>2.4867959858108648</v>
      </c>
      <c r="G133" s="2">
        <f t="shared" si="1"/>
        <v>172.40956569626726</v>
      </c>
      <c r="H133" s="2">
        <f t="shared" si="2"/>
        <v>2.208628121085511</v>
      </c>
      <c r="I133" s="2">
        <f t="shared" si="3"/>
        <v>153.12418763485849</v>
      </c>
      <c r="J133" s="2">
        <f t="shared" si="4"/>
        <v>19.285378061408778</v>
      </c>
      <c r="K133" s="15">
        <f t="shared" si="23"/>
        <v>0.46476139601139604</v>
      </c>
      <c r="L133" s="2">
        <f t="shared" si="14"/>
        <v>128</v>
      </c>
      <c r="M133" s="2">
        <f t="shared" si="21"/>
        <v>69.08</v>
      </c>
      <c r="N133" s="2">
        <v>13.5</v>
      </c>
      <c r="O133" s="2">
        <v>50.26548245743669</v>
      </c>
      <c r="P133" s="11">
        <f t="shared" si="5"/>
        <v>2.6857396646757339</v>
      </c>
      <c r="Q133" s="2">
        <f t="shared" si="6"/>
        <v>185.53089603579969</v>
      </c>
      <c r="R133" s="2">
        <f t="shared" si="7"/>
        <v>2.4770892345362268</v>
      </c>
      <c r="S133" s="2">
        <f t="shared" si="8"/>
        <v>171.11732432176254</v>
      </c>
      <c r="T133" s="2">
        <f t="shared" si="9"/>
        <v>14.413571714037147</v>
      </c>
    </row>
    <row r="134" spans="1:20" x14ac:dyDescent="0.25">
      <c r="A134" s="14">
        <f t="shared" si="22"/>
        <v>0.48643162393162392</v>
      </c>
      <c r="B134" s="2">
        <f t="shared" si="11"/>
        <v>129</v>
      </c>
      <c r="C134" s="4">
        <f t="shared" si="20"/>
        <v>69.83</v>
      </c>
      <c r="D134" s="2">
        <v>11.5</v>
      </c>
      <c r="E134" s="2">
        <v>50.26548245743669</v>
      </c>
      <c r="F134" s="11">
        <f t="shared" si="0"/>
        <v>2.2878523069459957</v>
      </c>
      <c r="G134" s="2">
        <f t="shared" si="1"/>
        <v>159.76072659403889</v>
      </c>
      <c r="H134" s="2">
        <f t="shared" si="2"/>
        <v>2.208628121085511</v>
      </c>
      <c r="I134" s="2">
        <f t="shared" si="3"/>
        <v>154.22850169540123</v>
      </c>
      <c r="J134" s="2">
        <f t="shared" si="4"/>
        <v>5.5322248986376508</v>
      </c>
      <c r="K134" s="15">
        <f t="shared" si="23"/>
        <v>0.46490384615384617</v>
      </c>
      <c r="L134" s="2">
        <f t="shared" si="14"/>
        <v>129</v>
      </c>
      <c r="M134" s="2">
        <f t="shared" si="21"/>
        <v>69.58</v>
      </c>
      <c r="N134" s="2">
        <v>14</v>
      </c>
      <c r="O134" s="2">
        <v>50.26548245743669</v>
      </c>
      <c r="P134" s="11">
        <f t="shared" si="5"/>
        <v>2.7852115041081689</v>
      </c>
      <c r="Q134" s="2">
        <f t="shared" si="6"/>
        <v>193.79501645584639</v>
      </c>
      <c r="R134" s="2">
        <f t="shared" si="7"/>
        <v>2.4770892345362268</v>
      </c>
      <c r="S134" s="2">
        <f t="shared" si="8"/>
        <v>172.35586893903064</v>
      </c>
      <c r="T134" s="2">
        <f t="shared" si="9"/>
        <v>21.439147516815751</v>
      </c>
    </row>
    <row r="135" spans="1:20" x14ac:dyDescent="0.25">
      <c r="A135" s="14">
        <f t="shared" si="22"/>
        <v>0.48657407407407405</v>
      </c>
      <c r="B135" s="2">
        <f t="shared" si="11"/>
        <v>130</v>
      </c>
      <c r="C135" s="4">
        <f t="shared" si="20"/>
        <v>70.33</v>
      </c>
      <c r="D135" s="2">
        <v>12</v>
      </c>
      <c r="E135" s="2">
        <v>50.26548245743669</v>
      </c>
      <c r="F135" s="11">
        <f t="shared" si="0"/>
        <v>2.3873241463784298</v>
      </c>
      <c r="G135" s="2">
        <f t="shared" si="1"/>
        <v>167.90050721479497</v>
      </c>
      <c r="H135" s="2">
        <f t="shared" si="2"/>
        <v>2.208628121085511</v>
      </c>
      <c r="I135" s="2">
        <f t="shared" si="3"/>
        <v>155.33281575594398</v>
      </c>
      <c r="J135" s="2">
        <f t="shared" si="4"/>
        <v>12.567691458850987</v>
      </c>
      <c r="K135" s="15">
        <f t="shared" si="23"/>
        <v>0.46504629629629629</v>
      </c>
      <c r="L135" s="2">
        <f t="shared" si="14"/>
        <v>130</v>
      </c>
      <c r="M135" s="2">
        <f t="shared" si="21"/>
        <v>70.08</v>
      </c>
      <c r="N135" s="2">
        <v>13.5</v>
      </c>
      <c r="O135" s="2">
        <v>50.26548245743669</v>
      </c>
      <c r="P135" s="11">
        <f t="shared" si="5"/>
        <v>2.6857396646757339</v>
      </c>
      <c r="Q135" s="2">
        <f t="shared" si="6"/>
        <v>188.21663570047542</v>
      </c>
      <c r="R135" s="2">
        <f t="shared" si="7"/>
        <v>2.4770892345362268</v>
      </c>
      <c r="S135" s="2">
        <f t="shared" si="8"/>
        <v>173.59441355629878</v>
      </c>
      <c r="T135" s="2">
        <f t="shared" si="9"/>
        <v>14.622222144176646</v>
      </c>
    </row>
    <row r="136" spans="1:20" x14ac:dyDescent="0.25">
      <c r="A136" s="14">
        <f t="shared" si="22"/>
        <v>0.48671652421652423</v>
      </c>
      <c r="B136" s="2">
        <f t="shared" si="11"/>
        <v>131</v>
      </c>
      <c r="C136" s="4">
        <f t="shared" si="20"/>
        <v>70.83</v>
      </c>
      <c r="D136" s="2">
        <v>11</v>
      </c>
      <c r="E136" s="2">
        <v>50.26548245743669</v>
      </c>
      <c r="F136" s="11">
        <f t="shared" si="0"/>
        <v>2.1883804675135607</v>
      </c>
      <c r="G136" s="2">
        <f t="shared" si="1"/>
        <v>155.00298851398551</v>
      </c>
      <c r="H136" s="2">
        <f t="shared" si="2"/>
        <v>2.208628121085511</v>
      </c>
      <c r="I136" s="2">
        <f t="shared" si="3"/>
        <v>156.43712981648673</v>
      </c>
      <c r="J136" s="2">
        <f t="shared" si="4"/>
        <v>1.4341413025012173</v>
      </c>
      <c r="K136" s="15">
        <f t="shared" si="23"/>
        <v>0.46518874643874647</v>
      </c>
      <c r="L136" s="2">
        <f t="shared" si="14"/>
        <v>131</v>
      </c>
      <c r="M136" s="2">
        <f t="shared" si="21"/>
        <v>70.58</v>
      </c>
      <c r="N136" s="2">
        <v>12.5</v>
      </c>
      <c r="O136" s="2">
        <v>50.26548245743669</v>
      </c>
      <c r="P136" s="11">
        <f t="shared" si="5"/>
        <v>2.4867959858108648</v>
      </c>
      <c r="Q136" s="2">
        <f t="shared" si="6"/>
        <v>175.51806067853084</v>
      </c>
      <c r="R136" s="2">
        <f t="shared" si="7"/>
        <v>2.4770892345362268</v>
      </c>
      <c r="S136" s="2">
        <f t="shared" si="8"/>
        <v>174.83295817356688</v>
      </c>
      <c r="T136" s="2">
        <f t="shared" si="9"/>
        <v>0.68510250496396452</v>
      </c>
    </row>
    <row r="137" spans="1:20" x14ac:dyDescent="0.25">
      <c r="A137" s="14">
        <f t="shared" si="22"/>
        <v>0.48685897435897435</v>
      </c>
      <c r="B137" s="2">
        <f t="shared" si="11"/>
        <v>132</v>
      </c>
      <c r="C137" s="4">
        <f t="shared" si="20"/>
        <v>71.33</v>
      </c>
      <c r="D137" s="2">
        <v>12</v>
      </c>
      <c r="E137" s="2">
        <v>50.26548245743669</v>
      </c>
      <c r="F137" s="11">
        <f t="shared" si="0"/>
        <v>2.3873241463784298</v>
      </c>
      <c r="G137" s="2">
        <f t="shared" si="1"/>
        <v>170.2878313611734</v>
      </c>
      <c r="H137" s="2">
        <f t="shared" si="2"/>
        <v>2.208628121085511</v>
      </c>
      <c r="I137" s="2">
        <f t="shared" si="3"/>
        <v>157.54144387702951</v>
      </c>
      <c r="J137" s="2">
        <f t="shared" si="4"/>
        <v>12.746387484143895</v>
      </c>
      <c r="K137" s="15">
        <f t="shared" si="23"/>
        <v>0.46533119658119659</v>
      </c>
      <c r="L137" s="2">
        <f t="shared" si="14"/>
        <v>132</v>
      </c>
      <c r="M137" s="2">
        <f t="shared" si="21"/>
        <v>71.08</v>
      </c>
      <c r="N137" s="2">
        <v>13.5</v>
      </c>
      <c r="O137" s="2">
        <v>50.26548245743669</v>
      </c>
      <c r="P137" s="11">
        <f t="shared" si="5"/>
        <v>2.6857396646757339</v>
      </c>
      <c r="Q137" s="2">
        <f t="shared" si="6"/>
        <v>190.90237536515116</v>
      </c>
      <c r="R137" s="2">
        <f t="shared" si="7"/>
        <v>2.4770892345362268</v>
      </c>
      <c r="S137" s="2">
        <f t="shared" si="8"/>
        <v>176.07150279083498</v>
      </c>
      <c r="T137" s="2">
        <f t="shared" si="9"/>
        <v>14.830872574316174</v>
      </c>
    </row>
    <row r="138" spans="1:20" x14ac:dyDescent="0.25">
      <c r="A138" s="14">
        <f t="shared" si="22"/>
        <v>0.48700142450142447</v>
      </c>
      <c r="B138" s="2">
        <f t="shared" si="11"/>
        <v>133</v>
      </c>
      <c r="C138" s="4">
        <f t="shared" si="20"/>
        <v>71.83</v>
      </c>
      <c r="D138" s="2">
        <v>13</v>
      </c>
      <c r="E138" s="2">
        <v>50.26548245743669</v>
      </c>
      <c r="F138" s="11">
        <f t="shared" si="0"/>
        <v>2.5862678252432989</v>
      </c>
      <c r="G138" s="2">
        <f t="shared" si="1"/>
        <v>185.77161788722614</v>
      </c>
      <c r="H138" s="2">
        <f t="shared" si="2"/>
        <v>2.208628121085511</v>
      </c>
      <c r="I138" s="2">
        <f t="shared" si="3"/>
        <v>158.64575793757226</v>
      </c>
      <c r="J138" s="2">
        <f t="shared" si="4"/>
        <v>27.125859949653886</v>
      </c>
      <c r="K138" s="15">
        <f t="shared" si="23"/>
        <v>0.46547364672364672</v>
      </c>
      <c r="L138" s="2">
        <f t="shared" si="14"/>
        <v>133</v>
      </c>
      <c r="M138" s="2">
        <f t="shared" si="21"/>
        <v>71.58</v>
      </c>
      <c r="N138" s="2">
        <v>14</v>
      </c>
      <c r="O138" s="2">
        <v>50.26548245743669</v>
      </c>
      <c r="P138" s="11">
        <f t="shared" si="5"/>
        <v>2.7852115041081689</v>
      </c>
      <c r="Q138" s="2">
        <f t="shared" si="6"/>
        <v>199.36543946406272</v>
      </c>
      <c r="R138" s="2">
        <f t="shared" si="7"/>
        <v>2.4770892345362268</v>
      </c>
      <c r="S138" s="2">
        <f t="shared" si="8"/>
        <v>177.31004740810312</v>
      </c>
      <c r="T138" s="2">
        <f t="shared" si="9"/>
        <v>22.055392055959601</v>
      </c>
    </row>
    <row r="139" spans="1:20" x14ac:dyDescent="0.25">
      <c r="A139" s="14">
        <f t="shared" si="22"/>
        <v>0.48714387464387465</v>
      </c>
      <c r="B139" s="2">
        <f t="shared" si="11"/>
        <v>134</v>
      </c>
      <c r="C139" s="4">
        <f t="shared" si="20"/>
        <v>72.33</v>
      </c>
      <c r="D139" s="2">
        <v>11.5</v>
      </c>
      <c r="E139" s="2">
        <v>50.26548245743669</v>
      </c>
      <c r="F139" s="11">
        <f t="shared" si="0"/>
        <v>2.2878523069459957</v>
      </c>
      <c r="G139" s="2">
        <f t="shared" si="1"/>
        <v>165.48035736140386</v>
      </c>
      <c r="H139" s="2">
        <f t="shared" si="2"/>
        <v>2.208628121085511</v>
      </c>
      <c r="I139" s="2">
        <f t="shared" si="3"/>
        <v>159.750071998115</v>
      </c>
      <c r="J139" s="2">
        <f t="shared" si="4"/>
        <v>5.7302853632888571</v>
      </c>
      <c r="K139" s="15">
        <f t="shared" si="23"/>
        <v>0.4656160968660969</v>
      </c>
      <c r="L139" s="2">
        <f t="shared" si="14"/>
        <v>134</v>
      </c>
      <c r="M139" s="2">
        <f t="shared" si="21"/>
        <v>72.08</v>
      </c>
      <c r="N139" s="2">
        <v>13.5</v>
      </c>
      <c r="O139" s="2">
        <v>50.26548245743669</v>
      </c>
      <c r="P139" s="11">
        <f t="shared" si="5"/>
        <v>2.6857396646757339</v>
      </c>
      <c r="Q139" s="2">
        <f t="shared" si="6"/>
        <v>193.58811502982689</v>
      </c>
      <c r="R139" s="2">
        <f t="shared" si="7"/>
        <v>2.4770892345362268</v>
      </c>
      <c r="S139" s="2">
        <f t="shared" si="8"/>
        <v>178.54859202537122</v>
      </c>
      <c r="T139" s="2">
        <f t="shared" si="9"/>
        <v>15.039523004455674</v>
      </c>
    </row>
    <row r="140" spans="1:20" x14ac:dyDescent="0.25">
      <c r="A140" s="14">
        <f t="shared" si="22"/>
        <v>0.48728632478632478</v>
      </c>
      <c r="B140" s="2">
        <f t="shared" si="11"/>
        <v>135</v>
      </c>
      <c r="C140" s="4">
        <f t="shared" si="20"/>
        <v>72.83</v>
      </c>
      <c r="D140" s="2">
        <v>10.5</v>
      </c>
      <c r="E140" s="2">
        <v>50.26548245743669</v>
      </c>
      <c r="F140" s="11">
        <f t="shared" si="0"/>
        <v>2.0889086280811267</v>
      </c>
      <c r="G140" s="2">
        <f t="shared" si="1"/>
        <v>152.13521538314845</v>
      </c>
      <c r="H140" s="2">
        <f t="shared" si="2"/>
        <v>2.208628121085511</v>
      </c>
      <c r="I140" s="2">
        <f t="shared" si="3"/>
        <v>160.85438605865775</v>
      </c>
      <c r="J140" s="2">
        <f t="shared" si="4"/>
        <v>8.7191706755093037</v>
      </c>
      <c r="K140" s="15">
        <f t="shared" si="23"/>
        <v>0.46575854700854702</v>
      </c>
      <c r="L140" s="2">
        <f t="shared" si="14"/>
        <v>135</v>
      </c>
      <c r="M140" s="2">
        <f t="shared" si="21"/>
        <v>72.58</v>
      </c>
      <c r="N140" s="2">
        <v>12</v>
      </c>
      <c r="O140" s="2">
        <v>50.26548245743669</v>
      </c>
      <c r="P140" s="11">
        <f t="shared" si="5"/>
        <v>2.3873241463784298</v>
      </c>
      <c r="Q140" s="2">
        <f t="shared" si="6"/>
        <v>173.27198654414644</v>
      </c>
      <c r="R140" s="2">
        <f t="shared" si="7"/>
        <v>2.4770892345362268</v>
      </c>
      <c r="S140" s="2">
        <f t="shared" si="8"/>
        <v>179.78713664263933</v>
      </c>
      <c r="T140" s="2">
        <f t="shared" si="9"/>
        <v>6.5151500984928816</v>
      </c>
    </row>
    <row r="141" spans="1:20" x14ac:dyDescent="0.25">
      <c r="A141" s="14">
        <f t="shared" si="22"/>
        <v>0.4874287749287749</v>
      </c>
      <c r="B141" s="2">
        <f t="shared" si="11"/>
        <v>136</v>
      </c>
      <c r="C141" s="4">
        <f t="shared" si="20"/>
        <v>73.33</v>
      </c>
      <c r="D141" s="2">
        <v>11</v>
      </c>
      <c r="E141" s="2">
        <v>50.26548245743669</v>
      </c>
      <c r="F141" s="11">
        <f t="shared" si="0"/>
        <v>2.1883804675135607</v>
      </c>
      <c r="G141" s="2">
        <f t="shared" si="1"/>
        <v>160.47393968276941</v>
      </c>
      <c r="H141" s="2">
        <f t="shared" si="2"/>
        <v>2.208628121085511</v>
      </c>
      <c r="I141" s="2">
        <f t="shared" si="3"/>
        <v>161.95870011920053</v>
      </c>
      <c r="J141" s="2">
        <f t="shared" si="4"/>
        <v>1.4847604364311167</v>
      </c>
      <c r="K141" s="15">
        <f t="shared" si="23"/>
        <v>0.46590099715099714</v>
      </c>
      <c r="L141" s="2">
        <f t="shared" si="14"/>
        <v>136</v>
      </c>
      <c r="M141" s="2">
        <f t="shared" si="21"/>
        <v>73.08</v>
      </c>
      <c r="N141" s="2">
        <v>13.5</v>
      </c>
      <c r="O141" s="2">
        <v>50.26548245743669</v>
      </c>
      <c r="P141" s="11">
        <f t="shared" si="5"/>
        <v>2.6857396646757339</v>
      </c>
      <c r="Q141" s="2">
        <f t="shared" si="6"/>
        <v>196.27385469450263</v>
      </c>
      <c r="R141" s="2">
        <f t="shared" si="7"/>
        <v>2.4770892345362268</v>
      </c>
      <c r="S141" s="2">
        <f t="shared" si="8"/>
        <v>181.02568125990746</v>
      </c>
      <c r="T141" s="2">
        <f t="shared" si="9"/>
        <v>15.248173434595174</v>
      </c>
    </row>
    <row r="142" spans="1:20" x14ac:dyDescent="0.25">
      <c r="A142" s="14">
        <f t="shared" si="22"/>
        <v>0.48757122507122508</v>
      </c>
      <c r="B142" s="2">
        <f t="shared" si="11"/>
        <v>137</v>
      </c>
      <c r="C142" s="4">
        <f t="shared" si="20"/>
        <v>73.83</v>
      </c>
      <c r="D142" s="2">
        <v>12</v>
      </c>
      <c r="E142" s="2">
        <v>50.26548245743669</v>
      </c>
      <c r="F142" s="11">
        <f t="shared" si="0"/>
        <v>2.3873241463784298</v>
      </c>
      <c r="G142" s="2">
        <f t="shared" si="1"/>
        <v>176.25614172711946</v>
      </c>
      <c r="H142" s="2">
        <f t="shared" si="2"/>
        <v>2.208628121085511</v>
      </c>
      <c r="I142" s="2">
        <f t="shared" si="3"/>
        <v>163.06301417974328</v>
      </c>
      <c r="J142" s="2">
        <f t="shared" si="4"/>
        <v>13.193127547376179</v>
      </c>
      <c r="K142" s="15">
        <f t="shared" si="23"/>
        <v>0.46604344729344732</v>
      </c>
      <c r="L142" s="2">
        <f t="shared" si="14"/>
        <v>137</v>
      </c>
      <c r="M142" s="2">
        <f t="shared" si="21"/>
        <v>73.58</v>
      </c>
      <c r="N142" s="2">
        <v>12.5</v>
      </c>
      <c r="O142" s="2">
        <v>50.26548245743669</v>
      </c>
      <c r="P142" s="11">
        <f t="shared" si="5"/>
        <v>2.4867959858108648</v>
      </c>
      <c r="Q142" s="2">
        <f t="shared" si="6"/>
        <v>182.97844863596342</v>
      </c>
      <c r="R142" s="2">
        <f t="shared" si="7"/>
        <v>2.4770892345362268</v>
      </c>
      <c r="S142" s="2">
        <f t="shared" si="8"/>
        <v>182.26422587717556</v>
      </c>
      <c r="T142" s="2">
        <f t="shared" si="9"/>
        <v>0.71422275878785513</v>
      </c>
    </row>
    <row r="143" spans="1:20" x14ac:dyDescent="0.25">
      <c r="A143" s="14">
        <f t="shared" si="22"/>
        <v>0.4877136752136752</v>
      </c>
      <c r="B143" s="2">
        <f t="shared" si="11"/>
        <v>138</v>
      </c>
      <c r="C143" s="4">
        <f t="shared" si="20"/>
        <v>74.33</v>
      </c>
      <c r="D143" s="2">
        <v>10.5</v>
      </c>
      <c r="E143" s="2">
        <v>50.26548245743669</v>
      </c>
      <c r="F143" s="11">
        <f t="shared" si="0"/>
        <v>2.0889086280811267</v>
      </c>
      <c r="G143" s="2">
        <f t="shared" si="1"/>
        <v>155.26857832527014</v>
      </c>
      <c r="H143" s="2">
        <f t="shared" si="2"/>
        <v>2.208628121085511</v>
      </c>
      <c r="I143" s="2">
        <f t="shared" si="3"/>
        <v>164.16732824028603</v>
      </c>
      <c r="J143" s="2">
        <f t="shared" si="4"/>
        <v>8.898749915015884</v>
      </c>
      <c r="K143" s="15">
        <f t="shared" si="23"/>
        <v>0.46618589743589745</v>
      </c>
      <c r="L143" s="2">
        <f t="shared" si="14"/>
        <v>138</v>
      </c>
      <c r="M143" s="2">
        <f t="shared" si="21"/>
        <v>74.08</v>
      </c>
      <c r="N143" s="2">
        <v>12.5</v>
      </c>
      <c r="O143" s="2">
        <v>50.26548245743669</v>
      </c>
      <c r="P143" s="11">
        <f t="shared" si="5"/>
        <v>2.4867959858108648</v>
      </c>
      <c r="Q143" s="2">
        <f t="shared" si="6"/>
        <v>184.22184662886886</v>
      </c>
      <c r="R143" s="2">
        <f t="shared" si="7"/>
        <v>2.4770892345362268</v>
      </c>
      <c r="S143" s="2">
        <f t="shared" si="8"/>
        <v>183.50277049444367</v>
      </c>
      <c r="T143" s="2">
        <f t="shared" si="9"/>
        <v>0.71907613442519391</v>
      </c>
    </row>
    <row r="144" spans="1:20" x14ac:dyDescent="0.25">
      <c r="A144" s="14">
        <f t="shared" si="22"/>
        <v>0.48785612535612533</v>
      </c>
      <c r="B144" s="2">
        <f t="shared" si="11"/>
        <v>139</v>
      </c>
      <c r="C144" s="4">
        <f t="shared" si="20"/>
        <v>74.83</v>
      </c>
      <c r="D144" s="2">
        <v>11</v>
      </c>
      <c r="E144" s="2">
        <v>50.26548245743669</v>
      </c>
      <c r="F144" s="11">
        <f t="shared" si="0"/>
        <v>2.1883804675135607</v>
      </c>
      <c r="G144" s="2">
        <f t="shared" si="1"/>
        <v>163.75651038403976</v>
      </c>
      <c r="H144" s="2">
        <f t="shared" si="2"/>
        <v>2.208628121085511</v>
      </c>
      <c r="I144" s="2">
        <f t="shared" si="3"/>
        <v>165.27164230082877</v>
      </c>
      <c r="J144" s="2">
        <f t="shared" si="4"/>
        <v>1.5151319167890165</v>
      </c>
      <c r="K144" s="15">
        <f t="shared" si="23"/>
        <v>0.46632834757834757</v>
      </c>
      <c r="L144" s="2">
        <f t="shared" si="14"/>
        <v>139</v>
      </c>
      <c r="M144" s="2">
        <f t="shared" si="21"/>
        <v>74.58</v>
      </c>
      <c r="N144" s="2">
        <v>12</v>
      </c>
      <c r="O144" s="2">
        <v>50.26548245743669</v>
      </c>
      <c r="P144" s="11">
        <f t="shared" si="5"/>
        <v>2.3873241463784298</v>
      </c>
      <c r="Q144" s="2">
        <f t="shared" si="6"/>
        <v>178.04663483690328</v>
      </c>
      <c r="R144" s="2">
        <f t="shared" si="7"/>
        <v>2.4770892345362268</v>
      </c>
      <c r="S144" s="2">
        <f t="shared" si="8"/>
        <v>184.7413151117118</v>
      </c>
      <c r="T144" s="2">
        <f t="shared" si="9"/>
        <v>6.694680274808519</v>
      </c>
    </row>
    <row r="145" spans="1:20" x14ac:dyDescent="0.25">
      <c r="A145" s="14">
        <f t="shared" si="22"/>
        <v>0.4879985754985755</v>
      </c>
      <c r="B145" s="2">
        <f t="shared" si="11"/>
        <v>140</v>
      </c>
      <c r="C145" s="4">
        <f t="shared" si="20"/>
        <v>75.33</v>
      </c>
      <c r="D145" s="2">
        <v>10</v>
      </c>
      <c r="E145" s="2">
        <v>50.26548245743669</v>
      </c>
      <c r="F145" s="11">
        <f t="shared" si="0"/>
        <v>1.9894367886486919</v>
      </c>
      <c r="G145" s="2">
        <f t="shared" si="1"/>
        <v>149.86427328890596</v>
      </c>
      <c r="H145" s="2">
        <f t="shared" si="2"/>
        <v>2.208628121085511</v>
      </c>
      <c r="I145" s="2">
        <f t="shared" si="3"/>
        <v>166.37595636137155</v>
      </c>
      <c r="J145" s="2">
        <f t="shared" si="4"/>
        <v>16.511683072465587</v>
      </c>
      <c r="K145" s="15">
        <f t="shared" si="23"/>
        <v>0.46647079772079775</v>
      </c>
      <c r="L145" s="2">
        <f t="shared" si="14"/>
        <v>140</v>
      </c>
      <c r="M145" s="2">
        <f t="shared" si="21"/>
        <v>75.08</v>
      </c>
      <c r="N145" s="2">
        <v>11.5</v>
      </c>
      <c r="O145" s="2">
        <v>50.26548245743669</v>
      </c>
      <c r="P145" s="11">
        <f t="shared" si="5"/>
        <v>2.2878523069459957</v>
      </c>
      <c r="Q145" s="2">
        <f t="shared" si="6"/>
        <v>171.77195120550536</v>
      </c>
      <c r="R145" s="2">
        <f t="shared" si="7"/>
        <v>2.4770892345362268</v>
      </c>
      <c r="S145" s="2">
        <f t="shared" si="8"/>
        <v>185.9798597289799</v>
      </c>
      <c r="T145" s="2">
        <f t="shared" si="9"/>
        <v>14.207908523474543</v>
      </c>
    </row>
    <row r="146" spans="1:20" x14ac:dyDescent="0.25">
      <c r="A146" s="14">
        <f t="shared" si="22"/>
        <v>0.48814102564102563</v>
      </c>
      <c r="B146" s="2">
        <f t="shared" si="11"/>
        <v>141</v>
      </c>
      <c r="C146" s="4">
        <f t="shared" si="20"/>
        <v>75.83</v>
      </c>
      <c r="D146" s="2">
        <v>10</v>
      </c>
      <c r="E146" s="2">
        <v>50.26548245743669</v>
      </c>
      <c r="F146" s="11">
        <f t="shared" si="0"/>
        <v>1.9894367886486919</v>
      </c>
      <c r="G146" s="2">
        <f t="shared" si="1"/>
        <v>150.8589916832303</v>
      </c>
      <c r="H146" s="2">
        <f t="shared" si="2"/>
        <v>2.208628121085511</v>
      </c>
      <c r="I146" s="2">
        <f t="shared" si="3"/>
        <v>167.4802704219143</v>
      </c>
      <c r="J146" s="2">
        <f t="shared" si="4"/>
        <v>16.621278738683998</v>
      </c>
      <c r="K146" s="15">
        <f t="shared" si="23"/>
        <v>0.46661324786324787</v>
      </c>
      <c r="L146" s="2">
        <f t="shared" si="14"/>
        <v>141</v>
      </c>
      <c r="M146" s="2">
        <f t="shared" si="21"/>
        <v>75.58</v>
      </c>
      <c r="N146" s="2">
        <v>10.5</v>
      </c>
      <c r="O146" s="2">
        <v>50.26548245743669</v>
      </c>
      <c r="P146" s="11">
        <f t="shared" si="5"/>
        <v>2.0889086280811267</v>
      </c>
      <c r="Q146" s="2">
        <f t="shared" si="6"/>
        <v>157.87971411037154</v>
      </c>
      <c r="R146" s="2">
        <f t="shared" si="7"/>
        <v>2.4770892345362268</v>
      </c>
      <c r="S146" s="2">
        <f t="shared" si="8"/>
        <v>187.21840434624801</v>
      </c>
      <c r="T146" s="2">
        <f t="shared" si="9"/>
        <v>29.33869023587647</v>
      </c>
    </row>
    <row r="147" spans="1:20" x14ac:dyDescent="0.25">
      <c r="A147" s="14">
        <f t="shared" si="22"/>
        <v>0.48828347578347575</v>
      </c>
      <c r="B147" s="2">
        <f t="shared" si="11"/>
        <v>142</v>
      </c>
      <c r="C147" s="4">
        <f t="shared" si="20"/>
        <v>76.33</v>
      </c>
      <c r="D147" s="2">
        <v>9</v>
      </c>
      <c r="E147" s="2">
        <v>50.26548245743669</v>
      </c>
      <c r="F147" s="11">
        <f t="shared" si="0"/>
        <v>1.7904931097838226</v>
      </c>
      <c r="G147" s="2">
        <f t="shared" si="1"/>
        <v>136.66833906979917</v>
      </c>
      <c r="H147" s="2">
        <f t="shared" si="2"/>
        <v>2.208628121085511</v>
      </c>
      <c r="I147" s="2">
        <f t="shared" si="3"/>
        <v>168.58458448245705</v>
      </c>
      <c r="J147" s="2">
        <f t="shared" si="4"/>
        <v>31.916245412657872</v>
      </c>
      <c r="K147" s="15">
        <f t="shared" si="23"/>
        <v>0.46675569800569799</v>
      </c>
      <c r="L147" s="2">
        <f t="shared" si="14"/>
        <v>142</v>
      </c>
      <c r="M147" s="2">
        <f t="shared" si="21"/>
        <v>76.08</v>
      </c>
      <c r="N147" s="2">
        <v>10.5</v>
      </c>
      <c r="O147" s="2">
        <v>50.26548245743669</v>
      </c>
      <c r="P147" s="11">
        <f t="shared" si="5"/>
        <v>2.0889086280811267</v>
      </c>
      <c r="Q147" s="2">
        <f t="shared" si="6"/>
        <v>158.9241684244121</v>
      </c>
      <c r="R147" s="2">
        <f t="shared" si="7"/>
        <v>2.4770892345362268</v>
      </c>
      <c r="S147" s="2">
        <f t="shared" si="8"/>
        <v>188.45694896351614</v>
      </c>
      <c r="T147" s="2">
        <f t="shared" si="9"/>
        <v>29.532780539104039</v>
      </c>
    </row>
    <row r="148" spans="1:20" x14ac:dyDescent="0.25">
      <c r="A148" s="14">
        <f t="shared" si="22"/>
        <v>0.48842592592592593</v>
      </c>
      <c r="B148" s="2">
        <f t="shared" si="11"/>
        <v>143</v>
      </c>
      <c r="C148" s="4">
        <f t="shared" si="20"/>
        <v>76.83</v>
      </c>
      <c r="D148" s="2">
        <v>10</v>
      </c>
      <c r="E148" s="2">
        <v>50.26548245743669</v>
      </c>
      <c r="F148" s="11">
        <f t="shared" si="0"/>
        <v>1.9894367886486919</v>
      </c>
      <c r="G148" s="2">
        <f t="shared" si="1"/>
        <v>152.848428471879</v>
      </c>
      <c r="H148" s="2">
        <f t="shared" si="2"/>
        <v>2.208628121085511</v>
      </c>
      <c r="I148" s="2">
        <f t="shared" si="3"/>
        <v>169.68889854299979</v>
      </c>
      <c r="J148" s="2">
        <f t="shared" si="4"/>
        <v>16.840470071120791</v>
      </c>
      <c r="K148" s="15">
        <f t="shared" si="23"/>
        <v>0.46689814814814817</v>
      </c>
      <c r="L148" s="2">
        <f t="shared" si="14"/>
        <v>143</v>
      </c>
      <c r="M148" s="2">
        <f t="shared" si="21"/>
        <v>76.58</v>
      </c>
      <c r="N148" s="2">
        <v>10.5</v>
      </c>
      <c r="O148" s="2">
        <v>50.26548245743669</v>
      </c>
      <c r="P148" s="11">
        <f t="shared" si="5"/>
        <v>2.0889086280811267</v>
      </c>
      <c r="Q148" s="2">
        <f t="shared" si="6"/>
        <v>159.96862273845267</v>
      </c>
      <c r="R148" s="2">
        <f t="shared" si="7"/>
        <v>2.4770892345362268</v>
      </c>
      <c r="S148" s="2">
        <f t="shared" si="8"/>
        <v>189.69549358078424</v>
      </c>
      <c r="T148" s="2">
        <f t="shared" si="9"/>
        <v>29.726870842331579</v>
      </c>
    </row>
    <row r="149" spans="1:20" x14ac:dyDescent="0.25">
      <c r="A149" s="14">
        <f t="shared" si="22"/>
        <v>0.48856837606837605</v>
      </c>
      <c r="B149" s="2">
        <f t="shared" si="11"/>
        <v>144</v>
      </c>
      <c r="C149" s="4">
        <f t="shared" si="20"/>
        <v>77.33</v>
      </c>
      <c r="D149" s="2">
        <v>8.5</v>
      </c>
      <c r="E149" s="2">
        <v>50.26548245743669</v>
      </c>
      <c r="F149" s="11">
        <f t="shared" si="0"/>
        <v>1.6910212703513881</v>
      </c>
      <c r="G149" s="2">
        <f t="shared" si="1"/>
        <v>130.76667483627284</v>
      </c>
      <c r="H149" s="2">
        <f t="shared" si="2"/>
        <v>2.208628121085511</v>
      </c>
      <c r="I149" s="2">
        <f t="shared" si="3"/>
        <v>170.79321260354257</v>
      </c>
      <c r="J149" s="2">
        <f t="shared" si="4"/>
        <v>40.02653776726973</v>
      </c>
      <c r="K149" s="15">
        <f t="shared" si="23"/>
        <v>0.4670405982905983</v>
      </c>
      <c r="L149" s="2">
        <f t="shared" si="14"/>
        <v>144</v>
      </c>
      <c r="M149" s="2">
        <f t="shared" si="21"/>
        <v>77.08</v>
      </c>
      <c r="N149" s="2">
        <v>10</v>
      </c>
      <c r="O149" s="2">
        <v>50.26548245743669</v>
      </c>
      <c r="P149" s="11">
        <f t="shared" si="5"/>
        <v>1.9894367886486919</v>
      </c>
      <c r="Q149" s="2">
        <f t="shared" si="6"/>
        <v>153.34578766904116</v>
      </c>
      <c r="R149" s="2">
        <f t="shared" si="7"/>
        <v>2.4770892345362268</v>
      </c>
      <c r="S149" s="2">
        <f t="shared" si="8"/>
        <v>190.93403819805235</v>
      </c>
      <c r="T149" s="2">
        <f t="shared" si="9"/>
        <v>37.588250529011191</v>
      </c>
    </row>
    <row r="150" spans="1:20" x14ac:dyDescent="0.25">
      <c r="A150" s="14">
        <f t="shared" si="22"/>
        <v>0.48871082621082618</v>
      </c>
      <c r="B150" s="2">
        <f t="shared" si="11"/>
        <v>145</v>
      </c>
      <c r="C150" s="4">
        <f t="shared" si="20"/>
        <v>77.83</v>
      </c>
      <c r="D150" s="2">
        <v>8.5</v>
      </c>
      <c r="E150" s="2">
        <v>50.26548245743669</v>
      </c>
      <c r="F150" s="11">
        <f t="shared" si="0"/>
        <v>1.6910212703513881</v>
      </c>
      <c r="G150" s="2">
        <f t="shared" si="1"/>
        <v>131.61218547144853</v>
      </c>
      <c r="H150" s="2">
        <f t="shared" si="2"/>
        <v>2.208628121085511</v>
      </c>
      <c r="I150" s="2">
        <f t="shared" si="3"/>
        <v>171.89752666408532</v>
      </c>
      <c r="J150" s="2">
        <f t="shared" si="4"/>
        <v>40.285341192636793</v>
      </c>
      <c r="K150" s="15">
        <f t="shared" si="23"/>
        <v>0.46718304843304842</v>
      </c>
      <c r="L150" s="2">
        <f t="shared" si="14"/>
        <v>145</v>
      </c>
      <c r="M150" s="2">
        <f t="shared" si="21"/>
        <v>77.58</v>
      </c>
      <c r="N150" s="2">
        <v>10.5</v>
      </c>
      <c r="O150" s="2">
        <v>50.26548245743669</v>
      </c>
      <c r="P150" s="11">
        <f t="shared" si="5"/>
        <v>2.0889086280811267</v>
      </c>
      <c r="Q150" s="2">
        <f t="shared" si="6"/>
        <v>162.05753136653379</v>
      </c>
      <c r="R150" s="2">
        <f t="shared" si="7"/>
        <v>2.4770892345362268</v>
      </c>
      <c r="S150" s="2">
        <f t="shared" si="8"/>
        <v>192.17258281532048</v>
      </c>
      <c r="T150" s="2">
        <f t="shared" si="9"/>
        <v>30.115051448786687</v>
      </c>
    </row>
    <row r="151" spans="1:20" x14ac:dyDescent="0.25">
      <c r="A151" s="14">
        <f t="shared" si="22"/>
        <v>0.48885327635327636</v>
      </c>
      <c r="B151" s="2">
        <f t="shared" si="11"/>
        <v>146</v>
      </c>
      <c r="C151" s="4">
        <f t="shared" si="20"/>
        <v>78.33</v>
      </c>
      <c r="D151" s="2">
        <v>9</v>
      </c>
      <c r="E151" s="2">
        <v>50.26548245743669</v>
      </c>
      <c r="F151" s="11">
        <f t="shared" si="0"/>
        <v>1.7904931097838226</v>
      </c>
      <c r="G151" s="2">
        <f t="shared" si="1"/>
        <v>140.24932528936682</v>
      </c>
      <c r="H151" s="2">
        <f t="shared" si="2"/>
        <v>2.208628121085511</v>
      </c>
      <c r="I151" s="2">
        <f t="shared" si="3"/>
        <v>173.00184072462807</v>
      </c>
      <c r="J151" s="2">
        <f t="shared" si="4"/>
        <v>32.752515435261245</v>
      </c>
      <c r="K151" s="15">
        <f t="shared" si="23"/>
        <v>0.4673254985754986</v>
      </c>
      <c r="L151" s="2">
        <f t="shared" si="14"/>
        <v>146</v>
      </c>
      <c r="M151" s="2">
        <f t="shared" si="21"/>
        <v>78.08</v>
      </c>
      <c r="N151" s="2">
        <v>10.5</v>
      </c>
      <c r="O151" s="2">
        <v>50.26548245743669</v>
      </c>
      <c r="P151" s="11">
        <f t="shared" si="5"/>
        <v>2.0889086280811267</v>
      </c>
      <c r="Q151" s="2">
        <f t="shared" si="6"/>
        <v>163.10198568057436</v>
      </c>
      <c r="R151" s="2">
        <f t="shared" si="7"/>
        <v>2.4770892345362268</v>
      </c>
      <c r="S151" s="2">
        <f t="shared" si="8"/>
        <v>193.41112743258859</v>
      </c>
      <c r="T151" s="2">
        <f t="shared" si="9"/>
        <v>30.309141752014227</v>
      </c>
    </row>
    <row r="152" spans="1:20" x14ac:dyDescent="0.25">
      <c r="A152" s="14">
        <f t="shared" si="22"/>
        <v>0.48899572649572648</v>
      </c>
      <c r="B152" s="2">
        <f t="shared" si="11"/>
        <v>147</v>
      </c>
      <c r="C152" s="4">
        <f t="shared" si="20"/>
        <v>78.83</v>
      </c>
      <c r="D152" s="2">
        <v>9</v>
      </c>
      <c r="E152" s="2">
        <v>50.26548245743669</v>
      </c>
      <c r="F152" s="11">
        <f t="shared" si="0"/>
        <v>1.7904931097838226</v>
      </c>
      <c r="G152" s="2">
        <f t="shared" si="1"/>
        <v>141.14457184425873</v>
      </c>
      <c r="H152" s="2">
        <f t="shared" si="2"/>
        <v>2.208628121085511</v>
      </c>
      <c r="I152" s="2">
        <f t="shared" si="3"/>
        <v>174.10615478517082</v>
      </c>
      <c r="J152" s="2">
        <f t="shared" si="4"/>
        <v>32.961582940912081</v>
      </c>
      <c r="K152" s="15">
        <f t="shared" si="23"/>
        <v>0.46746794871794872</v>
      </c>
      <c r="L152" s="2">
        <f t="shared" si="14"/>
        <v>147</v>
      </c>
      <c r="M152" s="2">
        <f t="shared" si="21"/>
        <v>78.58</v>
      </c>
      <c r="N152" s="2">
        <v>10.5</v>
      </c>
      <c r="O152" s="2">
        <v>50.26548245743669</v>
      </c>
      <c r="P152" s="11">
        <f t="shared" si="5"/>
        <v>2.0889086280811267</v>
      </c>
      <c r="Q152" s="2">
        <f t="shared" si="6"/>
        <v>164.14643999461492</v>
      </c>
      <c r="R152" s="2">
        <f t="shared" si="7"/>
        <v>2.4770892345362268</v>
      </c>
      <c r="S152" s="2">
        <f t="shared" si="8"/>
        <v>194.64967204985669</v>
      </c>
      <c r="T152" s="2">
        <f t="shared" si="9"/>
        <v>30.503232055241767</v>
      </c>
    </row>
    <row r="153" spans="1:20" x14ac:dyDescent="0.25">
      <c r="A153" s="14">
        <f t="shared" si="22"/>
        <v>0.4891381766381766</v>
      </c>
      <c r="B153" s="2">
        <f t="shared" si="11"/>
        <v>148</v>
      </c>
      <c r="C153" s="4">
        <f t="shared" si="20"/>
        <v>79.33</v>
      </c>
      <c r="D153" s="2">
        <v>9</v>
      </c>
      <c r="E153" s="2">
        <v>50.26548245743669</v>
      </c>
      <c r="F153" s="11">
        <f t="shared" si="0"/>
        <v>1.7904931097838226</v>
      </c>
      <c r="G153" s="2">
        <f t="shared" si="1"/>
        <v>142.03981839915065</v>
      </c>
      <c r="H153" s="2">
        <f t="shared" si="2"/>
        <v>2.208628121085511</v>
      </c>
      <c r="I153" s="2">
        <f t="shared" si="3"/>
        <v>175.21046884571359</v>
      </c>
      <c r="J153" s="2">
        <f t="shared" si="4"/>
        <v>33.170650446562945</v>
      </c>
      <c r="K153" s="15">
        <f t="shared" si="23"/>
        <v>0.46761039886039885</v>
      </c>
      <c r="L153" s="2">
        <f t="shared" si="14"/>
        <v>148</v>
      </c>
      <c r="M153" s="2">
        <f t="shared" si="21"/>
        <v>79.08</v>
      </c>
      <c r="N153" s="2">
        <v>11</v>
      </c>
      <c r="O153" s="2">
        <v>50.26548245743669</v>
      </c>
      <c r="P153" s="11">
        <f t="shared" si="5"/>
        <v>2.1883804675135607</v>
      </c>
      <c r="Q153" s="2">
        <f t="shared" si="6"/>
        <v>173.05712737097238</v>
      </c>
      <c r="R153" s="2">
        <f t="shared" si="7"/>
        <v>2.4770892345362268</v>
      </c>
      <c r="S153" s="2">
        <f t="shared" si="8"/>
        <v>195.88821666712479</v>
      </c>
      <c r="T153" s="2">
        <f t="shared" si="9"/>
        <v>22.831089296152413</v>
      </c>
    </row>
    <row r="154" spans="1:20" x14ac:dyDescent="0.25">
      <c r="A154" s="14">
        <f t="shared" si="22"/>
        <v>0.48928062678062678</v>
      </c>
      <c r="B154" s="2">
        <f t="shared" si="11"/>
        <v>149</v>
      </c>
      <c r="C154" s="4">
        <f t="shared" si="20"/>
        <v>79.83</v>
      </c>
      <c r="D154" s="2">
        <v>10</v>
      </c>
      <c r="E154" s="2">
        <v>50.26548245743669</v>
      </c>
      <c r="F154" s="11">
        <f t="shared" si="0"/>
        <v>1.9894367886486919</v>
      </c>
      <c r="G154" s="2">
        <f t="shared" si="1"/>
        <v>158.81673883782506</v>
      </c>
      <c r="H154" s="2">
        <f t="shared" si="2"/>
        <v>2.208628121085511</v>
      </c>
      <c r="I154" s="2">
        <f t="shared" si="3"/>
        <v>176.31478290625634</v>
      </c>
      <c r="J154" s="2">
        <f t="shared" si="4"/>
        <v>17.498044068431284</v>
      </c>
      <c r="K154" s="15">
        <f t="shared" si="23"/>
        <v>0.46775284900284902</v>
      </c>
      <c r="L154" s="2">
        <f t="shared" si="14"/>
        <v>149</v>
      </c>
      <c r="M154" s="2">
        <f t="shared" si="21"/>
        <v>79.58</v>
      </c>
      <c r="N154" s="2">
        <v>9.5</v>
      </c>
      <c r="O154" s="2">
        <v>50.26548245743669</v>
      </c>
      <c r="P154" s="11">
        <f t="shared" si="5"/>
        <v>1.8899649492162571</v>
      </c>
      <c r="Q154" s="2">
        <f t="shared" si="6"/>
        <v>150.40341065862975</v>
      </c>
      <c r="R154" s="2">
        <f t="shared" si="7"/>
        <v>2.4770892345362268</v>
      </c>
      <c r="S154" s="2">
        <f t="shared" si="8"/>
        <v>197.12676128439293</v>
      </c>
      <c r="T154" s="2">
        <f t="shared" si="9"/>
        <v>46.723350625763175</v>
      </c>
    </row>
    <row r="155" spans="1:20" x14ac:dyDescent="0.25">
      <c r="A155" s="14">
        <f t="shared" si="22"/>
        <v>0.48942307692307691</v>
      </c>
      <c r="B155" s="2">
        <f t="shared" si="11"/>
        <v>150</v>
      </c>
      <c r="C155" s="4">
        <f t="shared" si="20"/>
        <v>80.33</v>
      </c>
      <c r="D155" s="2">
        <v>9</v>
      </c>
      <c r="E155" s="2">
        <v>50.26548245743669</v>
      </c>
      <c r="F155" s="11">
        <f t="shared" si="0"/>
        <v>1.7904931097838226</v>
      </c>
      <c r="G155" s="2">
        <f t="shared" si="1"/>
        <v>143.83031150893447</v>
      </c>
      <c r="H155" s="2">
        <f t="shared" si="2"/>
        <v>2.208628121085511</v>
      </c>
      <c r="I155" s="2">
        <f t="shared" si="3"/>
        <v>177.41909696679909</v>
      </c>
      <c r="J155" s="2">
        <f t="shared" si="4"/>
        <v>33.588785457864617</v>
      </c>
      <c r="K155" s="15">
        <f t="shared" si="23"/>
        <v>0.46789529914529915</v>
      </c>
      <c r="L155" s="2">
        <f t="shared" si="14"/>
        <v>150</v>
      </c>
      <c r="M155" s="2">
        <f t="shared" si="21"/>
        <v>80.08</v>
      </c>
      <c r="N155" s="2">
        <v>11.5</v>
      </c>
      <c r="O155" s="2">
        <v>50.26548245743669</v>
      </c>
      <c r="P155" s="11">
        <f t="shared" si="5"/>
        <v>2.2878523069459957</v>
      </c>
      <c r="Q155" s="2">
        <f t="shared" si="6"/>
        <v>183.21121274023534</v>
      </c>
      <c r="R155" s="2">
        <f t="shared" si="7"/>
        <v>2.4770892345362268</v>
      </c>
      <c r="S155" s="2">
        <f t="shared" si="8"/>
        <v>198.36530590166103</v>
      </c>
      <c r="T155" s="2">
        <f t="shared" si="9"/>
        <v>15.154093161425692</v>
      </c>
    </row>
    <row r="156" spans="1:20" x14ac:dyDescent="0.25">
      <c r="A156" s="14">
        <f t="shared" si="22"/>
        <v>0.48956552706552703</v>
      </c>
      <c r="B156" s="2">
        <f t="shared" si="11"/>
        <v>151</v>
      </c>
      <c r="C156" s="4">
        <f t="shared" si="20"/>
        <v>80.83</v>
      </c>
      <c r="D156" s="2">
        <v>10</v>
      </c>
      <c r="E156" s="2">
        <v>50.26548245743669</v>
      </c>
      <c r="F156" s="11">
        <f t="shared" si="0"/>
        <v>1.9894367886486919</v>
      </c>
      <c r="G156" s="2">
        <f t="shared" si="1"/>
        <v>160.80617562647376</v>
      </c>
      <c r="H156" s="2">
        <f t="shared" si="2"/>
        <v>2.208628121085511</v>
      </c>
      <c r="I156" s="2">
        <f t="shared" si="3"/>
        <v>178.52341102734184</v>
      </c>
      <c r="J156" s="2">
        <f t="shared" si="4"/>
        <v>17.717235400868077</v>
      </c>
      <c r="K156" s="15">
        <f t="shared" si="23"/>
        <v>0.46803774928774927</v>
      </c>
      <c r="L156" s="2">
        <f t="shared" si="14"/>
        <v>151</v>
      </c>
      <c r="M156" s="2">
        <f t="shared" si="21"/>
        <v>80.58</v>
      </c>
      <c r="N156" s="2">
        <v>12</v>
      </c>
      <c r="O156" s="2">
        <v>50.26548245743669</v>
      </c>
      <c r="P156" s="11">
        <f t="shared" si="5"/>
        <v>2.3873241463784298</v>
      </c>
      <c r="Q156" s="2">
        <f t="shared" si="6"/>
        <v>192.37057971517388</v>
      </c>
      <c r="R156" s="2">
        <f t="shared" si="7"/>
        <v>2.4770892345362268</v>
      </c>
      <c r="S156" s="2">
        <f t="shared" si="8"/>
        <v>199.60385051892914</v>
      </c>
      <c r="T156" s="2">
        <f t="shared" si="9"/>
        <v>7.2332708037552607</v>
      </c>
    </row>
    <row r="157" spans="1:20" x14ac:dyDescent="0.25">
      <c r="A157" s="14">
        <f t="shared" si="22"/>
        <v>0.48970797720797721</v>
      </c>
      <c r="B157" s="2">
        <f t="shared" si="11"/>
        <v>152</v>
      </c>
      <c r="C157" s="4">
        <f t="shared" si="20"/>
        <v>81.33</v>
      </c>
      <c r="D157" s="2">
        <v>11</v>
      </c>
      <c r="E157" s="2">
        <v>50.26548245743669</v>
      </c>
      <c r="F157" s="11">
        <f t="shared" si="0"/>
        <v>2.1883804675135607</v>
      </c>
      <c r="G157" s="2">
        <f t="shared" si="1"/>
        <v>177.9809834228779</v>
      </c>
      <c r="H157" s="2">
        <f t="shared" si="2"/>
        <v>2.208628121085511</v>
      </c>
      <c r="I157" s="2">
        <f t="shared" si="3"/>
        <v>179.62772508788461</v>
      </c>
      <c r="J157" s="2">
        <f t="shared" si="4"/>
        <v>1.646741665006715</v>
      </c>
      <c r="K157" s="15">
        <f t="shared" si="23"/>
        <v>0.46818019943019945</v>
      </c>
      <c r="L157" s="2">
        <f t="shared" si="14"/>
        <v>152</v>
      </c>
      <c r="M157" s="2">
        <f t="shared" si="21"/>
        <v>81.08</v>
      </c>
      <c r="N157" s="2">
        <v>11.5</v>
      </c>
      <c r="O157" s="2">
        <v>50.26548245743669</v>
      </c>
      <c r="P157" s="11">
        <f t="shared" si="5"/>
        <v>2.2878523069459957</v>
      </c>
      <c r="Q157" s="2">
        <f t="shared" si="6"/>
        <v>185.49906504718132</v>
      </c>
      <c r="R157" s="2">
        <f t="shared" si="7"/>
        <v>2.4770892345362268</v>
      </c>
      <c r="S157" s="2">
        <f t="shared" si="8"/>
        <v>200.84239513619727</v>
      </c>
      <c r="T157" s="2">
        <f t="shared" si="9"/>
        <v>15.34333008901595</v>
      </c>
    </row>
    <row r="158" spans="1:20" x14ac:dyDescent="0.25">
      <c r="A158" s="14">
        <f t="shared" si="22"/>
        <v>0.48985042735042733</v>
      </c>
      <c r="B158" s="2">
        <f t="shared" si="11"/>
        <v>153</v>
      </c>
      <c r="C158" s="4">
        <f t="shared" si="20"/>
        <v>81.83</v>
      </c>
      <c r="D158" s="2">
        <v>9.5</v>
      </c>
      <c r="E158" s="2">
        <v>50.26548245743669</v>
      </c>
      <c r="F158" s="11">
        <f t="shared" si="0"/>
        <v>1.8899649492162571</v>
      </c>
      <c r="G158" s="2">
        <f t="shared" si="1"/>
        <v>154.65583179436632</v>
      </c>
      <c r="H158" s="2">
        <f t="shared" si="2"/>
        <v>2.208628121085511</v>
      </c>
      <c r="I158" s="2">
        <f t="shared" si="3"/>
        <v>180.73203914842736</v>
      </c>
      <c r="J158" s="2">
        <f t="shared" si="4"/>
        <v>26.07620735406104</v>
      </c>
      <c r="K158" s="15">
        <f t="shared" si="23"/>
        <v>0.46832264957264957</v>
      </c>
      <c r="L158" s="2">
        <f t="shared" si="14"/>
        <v>153</v>
      </c>
      <c r="M158" s="2">
        <f t="shared" si="21"/>
        <v>81.58</v>
      </c>
      <c r="N158" s="2">
        <v>12.5</v>
      </c>
      <c r="O158" s="2">
        <v>50.26548245743669</v>
      </c>
      <c r="P158" s="11">
        <f t="shared" si="5"/>
        <v>2.4867959858108648</v>
      </c>
      <c r="Q158" s="2">
        <f t="shared" si="6"/>
        <v>202.87281652245034</v>
      </c>
      <c r="R158" s="2">
        <f t="shared" si="7"/>
        <v>2.4770892345362268</v>
      </c>
      <c r="S158" s="2">
        <f t="shared" si="8"/>
        <v>202.08093975346537</v>
      </c>
      <c r="T158" s="2">
        <f t="shared" si="9"/>
        <v>0.79187676898496306</v>
      </c>
    </row>
    <row r="159" spans="1:20" x14ac:dyDescent="0.25">
      <c r="A159" s="14">
        <f t="shared" si="22"/>
        <v>0.48999287749287745</v>
      </c>
      <c r="B159" s="2">
        <f t="shared" si="11"/>
        <v>154</v>
      </c>
      <c r="C159" s="4">
        <f t="shared" si="20"/>
        <v>82.33</v>
      </c>
      <c r="D159" s="2">
        <v>10</v>
      </c>
      <c r="E159" s="2">
        <v>50.26548245743669</v>
      </c>
      <c r="F159" s="11">
        <f t="shared" si="0"/>
        <v>1.9894367886486919</v>
      </c>
      <c r="G159" s="2">
        <f t="shared" si="1"/>
        <v>163.7903308094468</v>
      </c>
      <c r="H159" s="2">
        <f t="shared" si="2"/>
        <v>2.208628121085511</v>
      </c>
      <c r="I159" s="2">
        <f t="shared" si="3"/>
        <v>181.83635320897011</v>
      </c>
      <c r="J159" s="2">
        <f t="shared" si="4"/>
        <v>18.046022399523309</v>
      </c>
      <c r="K159" s="15">
        <f t="shared" si="23"/>
        <v>0.4684650997150997</v>
      </c>
      <c r="L159" s="2">
        <f t="shared" si="14"/>
        <v>154</v>
      </c>
      <c r="M159" s="2">
        <f t="shared" si="21"/>
        <v>82.08</v>
      </c>
      <c r="N159" s="2">
        <v>10.5</v>
      </c>
      <c r="O159" s="2">
        <v>50.26548245743669</v>
      </c>
      <c r="P159" s="11">
        <f t="shared" si="5"/>
        <v>2.0889086280811267</v>
      </c>
      <c r="Q159" s="2">
        <f t="shared" si="6"/>
        <v>171.45762019289887</v>
      </c>
      <c r="R159" s="2">
        <f t="shared" si="7"/>
        <v>2.4770892345362268</v>
      </c>
      <c r="S159" s="2">
        <f t="shared" si="8"/>
        <v>203.31948437073348</v>
      </c>
      <c r="T159" s="2">
        <f t="shared" si="9"/>
        <v>31.861864177834605</v>
      </c>
    </row>
    <row r="160" spans="1:20" x14ac:dyDescent="0.25">
      <c r="A160" s="14">
        <f t="shared" si="22"/>
        <v>0.49013532763532763</v>
      </c>
      <c r="B160" s="2">
        <f t="shared" si="11"/>
        <v>155</v>
      </c>
      <c r="C160" s="4">
        <f t="shared" si="20"/>
        <v>82.83</v>
      </c>
      <c r="D160" s="2">
        <v>9.5</v>
      </c>
      <c r="E160" s="2">
        <v>50.26548245743669</v>
      </c>
      <c r="F160" s="11">
        <f t="shared" si="0"/>
        <v>1.8899649492162571</v>
      </c>
      <c r="G160" s="2">
        <f t="shared" si="1"/>
        <v>156.54579674358257</v>
      </c>
      <c r="H160" s="2">
        <f t="shared" si="2"/>
        <v>2.208628121085511</v>
      </c>
      <c r="I160" s="2">
        <f t="shared" si="3"/>
        <v>182.94066726951286</v>
      </c>
      <c r="J160" s="2">
        <f t="shared" si="4"/>
        <v>26.394870525930287</v>
      </c>
      <c r="K160" s="15">
        <f t="shared" si="23"/>
        <v>0.46860754985754988</v>
      </c>
      <c r="L160" s="2">
        <f t="shared" si="14"/>
        <v>155</v>
      </c>
      <c r="M160" s="2">
        <f t="shared" si="21"/>
        <v>82.58</v>
      </c>
      <c r="N160" s="2">
        <v>11</v>
      </c>
      <c r="O160" s="2">
        <v>50.26548245743669</v>
      </c>
      <c r="P160" s="11">
        <f t="shared" si="5"/>
        <v>2.1883804675135607</v>
      </c>
      <c r="Q160" s="2">
        <f t="shared" si="6"/>
        <v>180.71645900726983</v>
      </c>
      <c r="R160" s="2">
        <f t="shared" si="7"/>
        <v>2.4770892345362268</v>
      </c>
      <c r="S160" s="2">
        <f t="shared" si="8"/>
        <v>204.55802898800161</v>
      </c>
      <c r="T160" s="2">
        <f t="shared" si="9"/>
        <v>23.841569980731776</v>
      </c>
    </row>
    <row r="161" spans="1:20" x14ac:dyDescent="0.25">
      <c r="A161" s="10">
        <v>0.49027777777777776</v>
      </c>
      <c r="B161" s="2">
        <f t="shared" si="11"/>
        <v>156</v>
      </c>
      <c r="C161" s="4">
        <f t="shared" si="20"/>
        <v>83.33</v>
      </c>
      <c r="D161" s="2">
        <v>9</v>
      </c>
      <c r="E161" s="2">
        <v>50.26548245743669</v>
      </c>
      <c r="F161" s="11">
        <f t="shared" si="0"/>
        <v>1.7904931097838226</v>
      </c>
      <c r="G161" s="2">
        <f t="shared" si="1"/>
        <v>149.20179083828594</v>
      </c>
      <c r="H161" s="2">
        <f t="shared" si="2"/>
        <v>2.208628121085511</v>
      </c>
      <c r="I161" s="2">
        <f t="shared" si="3"/>
        <v>184.04498133005563</v>
      </c>
      <c r="J161" s="2">
        <f t="shared" si="4"/>
        <v>34.84319049176969</v>
      </c>
      <c r="K161" s="12">
        <v>0.46875</v>
      </c>
      <c r="L161" s="2">
        <f t="shared" si="14"/>
        <v>156</v>
      </c>
      <c r="M161" s="2">
        <f t="shared" si="21"/>
        <v>83.08</v>
      </c>
      <c r="N161" s="2">
        <v>9.5</v>
      </c>
      <c r="O161" s="2">
        <v>50.26548245743669</v>
      </c>
      <c r="P161" s="11">
        <f t="shared" si="5"/>
        <v>1.8899649492162571</v>
      </c>
      <c r="Q161" s="2">
        <f t="shared" si="6"/>
        <v>157.01828798088664</v>
      </c>
      <c r="R161" s="2">
        <f t="shared" si="7"/>
        <v>2.4770892345362268</v>
      </c>
      <c r="S161" s="2">
        <f t="shared" si="8"/>
        <v>205.79657360526971</v>
      </c>
      <c r="T161" s="2">
        <f t="shared" si="9"/>
        <v>48.778285624383074</v>
      </c>
    </row>
    <row r="162" spans="1:20" x14ac:dyDescent="0.25">
      <c r="A162" s="10">
        <v>0.49027777777777776</v>
      </c>
      <c r="B162" s="2">
        <f t="shared" si="11"/>
        <v>157</v>
      </c>
      <c r="C162" s="4">
        <f t="shared" si="20"/>
        <v>83.83</v>
      </c>
      <c r="D162" s="2">
        <v>9.5</v>
      </c>
      <c r="E162" s="2">
        <v>50.26548245743669</v>
      </c>
      <c r="F162" s="11">
        <f t="shared" si="0"/>
        <v>1.8899649492162571</v>
      </c>
      <c r="G162" s="2">
        <f t="shared" si="1"/>
        <v>158.43576169279882</v>
      </c>
      <c r="H162" s="2">
        <f t="shared" si="2"/>
        <v>2.208628121085511</v>
      </c>
      <c r="I162" s="2">
        <f t="shared" si="3"/>
        <v>185.14929539059838</v>
      </c>
      <c r="J162" s="2">
        <f t="shared" si="4"/>
        <v>26.713533697799562</v>
      </c>
      <c r="K162" s="12">
        <v>0.46875</v>
      </c>
      <c r="L162" s="2">
        <f t="shared" si="14"/>
        <v>157</v>
      </c>
      <c r="M162" s="2">
        <f t="shared" si="21"/>
        <v>83.58</v>
      </c>
      <c r="N162" s="2">
        <v>10.5</v>
      </c>
      <c r="O162" s="2">
        <v>50.26548245743669</v>
      </c>
      <c r="P162" s="11">
        <f t="shared" si="5"/>
        <v>2.0889086280811267</v>
      </c>
      <c r="Q162" s="2">
        <f t="shared" si="6"/>
        <v>174.59098313502056</v>
      </c>
      <c r="R162" s="2">
        <f t="shared" si="7"/>
        <v>2.4770892345362268</v>
      </c>
      <c r="S162" s="2">
        <f t="shared" si="8"/>
        <v>207.03511822253782</v>
      </c>
      <c r="T162" s="2">
        <f t="shared" si="9"/>
        <v>32.444135087517253</v>
      </c>
    </row>
    <row r="163" spans="1:20" x14ac:dyDescent="0.25">
      <c r="A163" s="10"/>
      <c r="C163" s="4"/>
      <c r="F163" s="11"/>
      <c r="K163" s="12"/>
      <c r="P163" s="11"/>
    </row>
    <row r="164" spans="1:20" x14ac:dyDescent="0.25">
      <c r="A164" s="10"/>
      <c r="C164" s="4"/>
      <c r="F164" s="11"/>
      <c r="K164" s="12"/>
      <c r="P164" s="11"/>
    </row>
    <row r="165" spans="1:20" x14ac:dyDescent="0.25">
      <c r="C165" s="4"/>
      <c r="F165" s="11"/>
      <c r="K165" s="12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  <row r="177" spans="4:4" x14ac:dyDescent="0.25">
      <c r="D177" s="23"/>
    </row>
    <row r="202" spans="4:4" x14ac:dyDescent="0.25">
      <c r="D202" s="23"/>
    </row>
    <row r="274" spans="4:4" x14ac:dyDescent="0.25">
      <c r="D274" s="21"/>
    </row>
    <row r="275" spans="4:4" x14ac:dyDescent="0.25">
      <c r="D275" s="21"/>
    </row>
    <row r="276" spans="4:4" x14ac:dyDescent="0.25">
      <c r="D276" s="21"/>
    </row>
  </sheetData>
  <mergeCells count="29">
    <mergeCell ref="V23:X23"/>
    <mergeCell ref="V24:X24"/>
    <mergeCell ref="V25:X25"/>
    <mergeCell ref="V26:X26"/>
    <mergeCell ref="V11:W11"/>
    <mergeCell ref="V12:W12"/>
    <mergeCell ref="V13:W13"/>
    <mergeCell ref="V14:W14"/>
    <mergeCell ref="V15:W15"/>
    <mergeCell ref="V16:W16"/>
    <mergeCell ref="V17:W17"/>
    <mergeCell ref="V10:W10"/>
    <mergeCell ref="V18:W18"/>
    <mergeCell ref="V19:X19"/>
    <mergeCell ref="W20:X20"/>
    <mergeCell ref="V21:W21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E4:F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X174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16665.073307698192</v>
      </c>
      <c r="G2" s="4">
        <f>SUM(C6:C174)</f>
        <v>6934.3099999999931</v>
      </c>
      <c r="H2" s="2">
        <f>F2/G2</f>
        <v>2.4032778038043019</v>
      </c>
      <c r="I2" s="2">
        <f>SUM(J6:J174)</f>
        <v>2984.755186898954</v>
      </c>
      <c r="J2" s="2">
        <f>(1-(I2/(F2)))*100</f>
        <v>82.089756631792383</v>
      </c>
      <c r="K2" s="1"/>
      <c r="L2" s="1"/>
      <c r="M2" s="1"/>
      <c r="N2" s="1"/>
      <c r="O2" s="1"/>
      <c r="P2" s="2">
        <f>SUM(Q6:Q174)</f>
        <v>15004.988774128693</v>
      </c>
      <c r="Q2" s="2">
        <f>SUM(M6:M174)</f>
        <v>6895.0599999999931</v>
      </c>
      <c r="R2" s="2">
        <f>P2/Q2</f>
        <v>2.1761940830288218</v>
      </c>
      <c r="S2" s="2">
        <f>SUM(T6:T174)</f>
        <v>2698.4390077030334</v>
      </c>
      <c r="T2" s="2">
        <f>(1-(S2/(P2)))*100</f>
        <v>82.016387693967303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48" t="s">
        <v>89</v>
      </c>
      <c r="F4" s="32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48" t="s">
        <v>89</v>
      </c>
      <c r="P4" s="32"/>
      <c r="V4" s="34" t="s">
        <v>12</v>
      </c>
      <c r="W4" s="36"/>
      <c r="X4" s="6" t="s">
        <v>89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45796</v>
      </c>
    </row>
    <row r="6" spans="1:24" x14ac:dyDescent="0.25">
      <c r="A6" s="10">
        <v>0.48055555555555557</v>
      </c>
      <c r="B6" s="2">
        <v>1</v>
      </c>
      <c r="C6" s="4">
        <v>4.83</v>
      </c>
      <c r="D6" s="2">
        <v>8</v>
      </c>
      <c r="E6" s="2">
        <v>50.26548245743669</v>
      </c>
      <c r="F6" s="11">
        <f t="shared" ref="F6:F162" si="0">(D6/E6)*10</f>
        <v>1.5915494309189535</v>
      </c>
      <c r="G6" s="2">
        <f t="shared" ref="G6:G162" si="1">F6*C6</f>
        <v>7.6871837513385453</v>
      </c>
      <c r="H6" s="2">
        <f t="shared" ref="H6:H162" si="2">$H$2</f>
        <v>2.4032778038043019</v>
      </c>
      <c r="I6" s="2">
        <f t="shared" ref="I6:I162" si="3">H6*C6</f>
        <v>11.607831792374778</v>
      </c>
      <c r="J6" s="2">
        <f t="shared" ref="J6:J162" si="4">ABS(G6-I6)</f>
        <v>3.920648041036233</v>
      </c>
      <c r="K6" s="12">
        <v>0.46250000000000002</v>
      </c>
      <c r="L6" s="2">
        <v>1</v>
      </c>
      <c r="M6" s="2">
        <v>4.58</v>
      </c>
      <c r="N6" s="2">
        <v>7</v>
      </c>
      <c r="O6" s="2">
        <v>50.26548245743669</v>
      </c>
      <c r="P6" s="11">
        <f t="shared" ref="P6:P162" si="5">(N6/O6)*10</f>
        <v>1.3926057520540844</v>
      </c>
      <c r="Q6" s="2">
        <f t="shared" ref="Q6:Q162" si="6">P6*M6</f>
        <v>6.378134344407707</v>
      </c>
      <c r="R6" s="2">
        <f t="shared" ref="R6:R162" si="7">$R$2</f>
        <v>2.1761940830288218</v>
      </c>
      <c r="S6" s="2">
        <f t="shared" ref="S6:S162" si="8">R6*M6</f>
        <v>9.9669689002720041</v>
      </c>
      <c r="T6" s="2">
        <f t="shared" ref="T6:T162" si="9">ABS(Q6-S6)</f>
        <v>3.5888345558642971</v>
      </c>
      <c r="V6" s="37" t="s">
        <v>23</v>
      </c>
      <c r="W6" s="36"/>
      <c r="X6" s="13" t="s">
        <v>90</v>
      </c>
    </row>
    <row r="7" spans="1:24" x14ac:dyDescent="0.25">
      <c r="A7" s="30">
        <f t="shared" ref="A7:A43" si="10">IF(AND($A$6&lt;&gt;"",$A$44&lt;&gt;""), $A$6 + (B7 - $B$6) * (($A$44 - $A$6) / ($B$44 - $B$6)), "")</f>
        <v>0.4806652046783626</v>
      </c>
      <c r="B7" s="2">
        <f t="shared" ref="B7:B162" si="11">B6+1</f>
        <v>2</v>
      </c>
      <c r="C7" s="4">
        <f t="shared" ref="C7:C109" si="12">C6+0.5</f>
        <v>5.33</v>
      </c>
      <c r="D7" s="2">
        <v>11.5</v>
      </c>
      <c r="E7" s="2">
        <v>50.26548245743669</v>
      </c>
      <c r="F7" s="11">
        <f t="shared" si="0"/>
        <v>2.2878523069459957</v>
      </c>
      <c r="G7" s="2">
        <f t="shared" si="1"/>
        <v>12.194252796022157</v>
      </c>
      <c r="H7" s="2">
        <f t="shared" si="2"/>
        <v>2.4032778038043019</v>
      </c>
      <c r="I7" s="2">
        <f t="shared" si="3"/>
        <v>12.809470694276929</v>
      </c>
      <c r="J7" s="2">
        <f t="shared" si="4"/>
        <v>0.61521789825477136</v>
      </c>
      <c r="K7" s="15">
        <f t="shared" ref="K7:K43" si="13">IF(AND($K$6&lt;&gt;"",$K$44&lt;&gt;""), $K$6 + (L7 - $L$6) * (($K$44 - $K$6) / ($L$44 - $L$6)), "")</f>
        <v>0.46259137426900587</v>
      </c>
      <c r="L7" s="2">
        <f t="shared" ref="L7:L162" si="14">L6+1</f>
        <v>2</v>
      </c>
      <c r="M7" s="2">
        <f t="shared" ref="M7:M109" si="15">M6+0.5</f>
        <v>5.08</v>
      </c>
      <c r="N7" s="2">
        <v>9</v>
      </c>
      <c r="O7" s="2">
        <v>50.26548245743669</v>
      </c>
      <c r="P7" s="11">
        <f t="shared" si="5"/>
        <v>1.7904931097838226</v>
      </c>
      <c r="Q7" s="2">
        <f t="shared" si="6"/>
        <v>9.0957049977018194</v>
      </c>
      <c r="R7" s="2">
        <f t="shared" si="7"/>
        <v>2.1761940830288218</v>
      </c>
      <c r="S7" s="2">
        <f t="shared" si="8"/>
        <v>11.055065941786415</v>
      </c>
      <c r="T7" s="2">
        <f t="shared" si="9"/>
        <v>1.9593609440845956</v>
      </c>
      <c r="V7" s="37" t="s">
        <v>24</v>
      </c>
      <c r="W7" s="36"/>
      <c r="X7" s="6" t="s">
        <v>91</v>
      </c>
    </row>
    <row r="8" spans="1:24" x14ac:dyDescent="0.25">
      <c r="A8" s="30">
        <f t="shared" si="10"/>
        <v>0.48077485380116958</v>
      </c>
      <c r="B8" s="2">
        <f t="shared" si="11"/>
        <v>3</v>
      </c>
      <c r="C8" s="4">
        <f t="shared" si="12"/>
        <v>5.83</v>
      </c>
      <c r="D8" s="2">
        <v>14.5</v>
      </c>
      <c r="E8" s="2">
        <v>50.26548245743669</v>
      </c>
      <c r="F8" s="11">
        <f t="shared" si="0"/>
        <v>2.8846833435406034</v>
      </c>
      <c r="G8" s="2">
        <f t="shared" si="1"/>
        <v>16.817703892841717</v>
      </c>
      <c r="H8" s="2">
        <f t="shared" si="2"/>
        <v>2.4032778038043019</v>
      </c>
      <c r="I8" s="2">
        <f t="shared" si="3"/>
        <v>14.011109596179081</v>
      </c>
      <c r="J8" s="2">
        <f t="shared" si="4"/>
        <v>2.8065942966626363</v>
      </c>
      <c r="K8" s="15">
        <f t="shared" si="13"/>
        <v>0.46268274853801172</v>
      </c>
      <c r="L8" s="2">
        <f t="shared" si="14"/>
        <v>3</v>
      </c>
      <c r="M8" s="2">
        <f t="shared" si="15"/>
        <v>5.58</v>
      </c>
      <c r="N8" s="2">
        <v>11</v>
      </c>
      <c r="O8" s="2">
        <v>50.26548245743669</v>
      </c>
      <c r="P8" s="11">
        <f t="shared" si="5"/>
        <v>2.1883804675135607</v>
      </c>
      <c r="Q8" s="2">
        <f t="shared" si="6"/>
        <v>12.21116300872567</v>
      </c>
      <c r="R8" s="2">
        <f t="shared" si="7"/>
        <v>2.1761940830288218</v>
      </c>
      <c r="S8" s="2">
        <f t="shared" si="8"/>
        <v>12.143162983300826</v>
      </c>
      <c r="T8" s="2">
        <f t="shared" si="9"/>
        <v>6.8000025424844068E-2</v>
      </c>
      <c r="V8" s="34" t="s">
        <v>25</v>
      </c>
      <c r="W8" s="35"/>
      <c r="X8" s="36"/>
    </row>
    <row r="9" spans="1:24" x14ac:dyDescent="0.25">
      <c r="A9" s="30">
        <f t="shared" si="10"/>
        <v>0.48088450292397661</v>
      </c>
      <c r="B9" s="2">
        <f t="shared" si="11"/>
        <v>4</v>
      </c>
      <c r="C9" s="4">
        <f t="shared" si="12"/>
        <v>6.33</v>
      </c>
      <c r="D9" s="2">
        <v>16.5</v>
      </c>
      <c r="E9" s="2">
        <v>50.26548245743669</v>
      </c>
      <c r="F9" s="11">
        <f t="shared" si="0"/>
        <v>3.2825707012703416</v>
      </c>
      <c r="G9" s="2">
        <f t="shared" si="1"/>
        <v>20.778672539041263</v>
      </c>
      <c r="H9" s="2">
        <f t="shared" si="2"/>
        <v>2.4032778038043019</v>
      </c>
      <c r="I9" s="2">
        <f t="shared" si="3"/>
        <v>15.212748498081231</v>
      </c>
      <c r="J9" s="2">
        <f t="shared" si="4"/>
        <v>5.5659240409600326</v>
      </c>
      <c r="K9" s="15">
        <f t="shared" si="13"/>
        <v>0.46277412280701757</v>
      </c>
      <c r="L9" s="2">
        <f t="shared" si="14"/>
        <v>4</v>
      </c>
      <c r="M9" s="2">
        <f t="shared" si="15"/>
        <v>6.08</v>
      </c>
      <c r="N9" s="2">
        <v>15</v>
      </c>
      <c r="O9" s="2">
        <v>50.26548245743669</v>
      </c>
      <c r="P9" s="11">
        <f t="shared" si="5"/>
        <v>2.9841551829730379</v>
      </c>
      <c r="Q9" s="2">
        <f t="shared" si="6"/>
        <v>18.143663512476071</v>
      </c>
      <c r="R9" s="2">
        <f t="shared" si="7"/>
        <v>2.1761940830288218</v>
      </c>
      <c r="S9" s="2">
        <f t="shared" si="8"/>
        <v>13.231260024815237</v>
      </c>
      <c r="T9" s="2">
        <f t="shared" si="9"/>
        <v>4.9124034876608338</v>
      </c>
      <c r="V9" s="34" t="s">
        <v>26</v>
      </c>
      <c r="W9" s="36"/>
      <c r="X9" s="16">
        <v>0.41388888888888886</v>
      </c>
    </row>
    <row r="10" spans="1:24" x14ac:dyDescent="0.25">
      <c r="A10" s="30">
        <f t="shared" si="10"/>
        <v>0.48099415204678364</v>
      </c>
      <c r="B10" s="2">
        <f t="shared" si="11"/>
        <v>5</v>
      </c>
      <c r="C10" s="4">
        <f t="shared" si="12"/>
        <v>6.83</v>
      </c>
      <c r="D10" s="2">
        <v>20</v>
      </c>
      <c r="E10" s="2">
        <v>50.26548245743669</v>
      </c>
      <c r="F10" s="11">
        <f t="shared" si="0"/>
        <v>3.9788735772973838</v>
      </c>
      <c r="G10" s="2">
        <f t="shared" si="1"/>
        <v>27.175706532941131</v>
      </c>
      <c r="H10" s="2">
        <f t="shared" si="2"/>
        <v>2.4032778038043019</v>
      </c>
      <c r="I10" s="2">
        <f t="shared" si="3"/>
        <v>16.414387399983383</v>
      </c>
      <c r="J10" s="2">
        <f t="shared" si="4"/>
        <v>10.761319132957748</v>
      </c>
      <c r="K10" s="15">
        <f t="shared" si="13"/>
        <v>0.46286549707602342</v>
      </c>
      <c r="L10" s="2">
        <f t="shared" si="14"/>
        <v>5</v>
      </c>
      <c r="M10" s="2">
        <f t="shared" si="15"/>
        <v>6.58</v>
      </c>
      <c r="N10" s="2">
        <v>15.5</v>
      </c>
      <c r="O10" s="2">
        <v>50.26548245743669</v>
      </c>
      <c r="P10" s="11">
        <f t="shared" si="5"/>
        <v>3.0836270224054725</v>
      </c>
      <c r="Q10" s="2">
        <f t="shared" si="6"/>
        <v>20.29026580742801</v>
      </c>
      <c r="R10" s="2">
        <f t="shared" si="7"/>
        <v>2.1761940830288218</v>
      </c>
      <c r="S10" s="2">
        <f t="shared" si="8"/>
        <v>14.319357066329648</v>
      </c>
      <c r="T10" s="2">
        <f t="shared" si="9"/>
        <v>5.9709087410983628</v>
      </c>
      <c r="V10" s="34" t="s">
        <v>27</v>
      </c>
      <c r="W10" s="36"/>
      <c r="X10" s="6">
        <v>50</v>
      </c>
    </row>
    <row r="11" spans="1:24" x14ac:dyDescent="0.25">
      <c r="A11" s="30">
        <f t="shared" si="10"/>
        <v>0.48110380116959067</v>
      </c>
      <c r="B11" s="2">
        <f t="shared" si="11"/>
        <v>6</v>
      </c>
      <c r="C11" s="4">
        <f t="shared" si="12"/>
        <v>7.33</v>
      </c>
      <c r="D11" s="2">
        <v>25.5</v>
      </c>
      <c r="E11" s="2">
        <v>50.26548245743669</v>
      </c>
      <c r="F11" s="11">
        <f t="shared" si="0"/>
        <v>5.0730638110541637</v>
      </c>
      <c r="G11" s="2">
        <f t="shared" si="1"/>
        <v>37.185557735027018</v>
      </c>
      <c r="H11" s="2">
        <f t="shared" si="2"/>
        <v>2.4032778038043019</v>
      </c>
      <c r="I11" s="2">
        <f t="shared" si="3"/>
        <v>17.616026301885533</v>
      </c>
      <c r="J11" s="2">
        <f t="shared" si="4"/>
        <v>19.569531433141485</v>
      </c>
      <c r="K11" s="15">
        <f t="shared" si="13"/>
        <v>0.46295687134502927</v>
      </c>
      <c r="L11" s="2">
        <f t="shared" si="14"/>
        <v>6</v>
      </c>
      <c r="M11" s="2">
        <f t="shared" si="15"/>
        <v>7.08</v>
      </c>
      <c r="N11" s="2">
        <v>17.5</v>
      </c>
      <c r="O11" s="2">
        <v>50.26548245743669</v>
      </c>
      <c r="P11" s="11">
        <f t="shared" si="5"/>
        <v>3.4815143801352106</v>
      </c>
      <c r="Q11" s="2">
        <f t="shared" si="6"/>
        <v>24.64912181135729</v>
      </c>
      <c r="R11" s="2">
        <f t="shared" si="7"/>
        <v>2.1761940830288218</v>
      </c>
      <c r="S11" s="2">
        <f t="shared" si="8"/>
        <v>15.407454107844059</v>
      </c>
      <c r="T11" s="2">
        <f t="shared" si="9"/>
        <v>9.2416677035132313</v>
      </c>
      <c r="V11" s="34" t="s">
        <v>28</v>
      </c>
      <c r="W11" s="36"/>
      <c r="X11" s="6">
        <v>50</v>
      </c>
    </row>
    <row r="12" spans="1:24" x14ac:dyDescent="0.25">
      <c r="A12" s="30">
        <f t="shared" si="10"/>
        <v>0.48121345029239765</v>
      </c>
      <c r="B12" s="2">
        <f t="shared" si="11"/>
        <v>7</v>
      </c>
      <c r="C12" s="4">
        <f t="shared" si="12"/>
        <v>7.83</v>
      </c>
      <c r="D12" s="23">
        <v>21</v>
      </c>
      <c r="E12" s="2">
        <v>50.26548245743669</v>
      </c>
      <c r="F12" s="11">
        <f t="shared" si="0"/>
        <v>4.1778172561622533</v>
      </c>
      <c r="G12" s="2">
        <f t="shared" si="1"/>
        <v>32.712309115750443</v>
      </c>
      <c r="H12" s="2">
        <f t="shared" si="2"/>
        <v>2.4032778038043019</v>
      </c>
      <c r="I12" s="2">
        <f t="shared" si="3"/>
        <v>18.817665203787683</v>
      </c>
      <c r="J12" s="2">
        <f t="shared" si="4"/>
        <v>13.89464391196276</v>
      </c>
      <c r="K12" s="15">
        <f t="shared" si="13"/>
        <v>0.46304824561403513</v>
      </c>
      <c r="L12" s="2">
        <f t="shared" si="14"/>
        <v>7</v>
      </c>
      <c r="M12" s="2">
        <f t="shared" si="15"/>
        <v>7.58</v>
      </c>
      <c r="N12" s="23">
        <v>36.5</v>
      </c>
      <c r="O12" s="2">
        <v>50.26548245743669</v>
      </c>
      <c r="P12" s="11">
        <f t="shared" si="5"/>
        <v>7.2614442785677245</v>
      </c>
      <c r="Q12" s="2">
        <f t="shared" si="6"/>
        <v>55.041747631543352</v>
      </c>
      <c r="R12" s="2">
        <f t="shared" si="7"/>
        <v>2.1761940830288218</v>
      </c>
      <c r="S12" s="2">
        <f t="shared" si="8"/>
        <v>16.495551149358469</v>
      </c>
      <c r="T12" s="2">
        <f t="shared" si="9"/>
        <v>38.546196482184882</v>
      </c>
      <c r="V12" s="34" t="s">
        <v>29</v>
      </c>
      <c r="W12" s="36"/>
      <c r="X12" s="6">
        <v>50</v>
      </c>
    </row>
    <row r="13" spans="1:24" x14ac:dyDescent="0.25">
      <c r="A13" s="30">
        <f t="shared" si="10"/>
        <v>0.48132309941520468</v>
      </c>
      <c r="B13" s="2">
        <f t="shared" si="11"/>
        <v>8</v>
      </c>
      <c r="C13" s="4">
        <f t="shared" si="12"/>
        <v>8.33</v>
      </c>
      <c r="D13" s="2">
        <v>21</v>
      </c>
      <c r="E13" s="2">
        <v>50.26548245743669</v>
      </c>
      <c r="F13" s="11">
        <f t="shared" si="0"/>
        <v>4.1778172561622533</v>
      </c>
      <c r="G13" s="2">
        <f t="shared" si="1"/>
        <v>34.801217743831572</v>
      </c>
      <c r="H13" s="2">
        <f t="shared" si="2"/>
        <v>2.4032778038043019</v>
      </c>
      <c r="I13" s="2">
        <f t="shared" si="3"/>
        <v>20.019304105689834</v>
      </c>
      <c r="J13" s="2">
        <f t="shared" si="4"/>
        <v>14.781913638141738</v>
      </c>
      <c r="K13" s="15">
        <f t="shared" si="13"/>
        <v>0.46313961988304098</v>
      </c>
      <c r="L13" s="2">
        <f t="shared" si="14"/>
        <v>8</v>
      </c>
      <c r="M13" s="2">
        <f t="shared" si="15"/>
        <v>8.08</v>
      </c>
      <c r="N13" s="2">
        <v>22.5</v>
      </c>
      <c r="O13" s="2">
        <v>50.26548245743669</v>
      </c>
      <c r="P13" s="11">
        <f t="shared" si="5"/>
        <v>4.4762327744595565</v>
      </c>
      <c r="Q13" s="2">
        <f t="shared" si="6"/>
        <v>36.167960817633215</v>
      </c>
      <c r="R13" s="2">
        <f t="shared" si="7"/>
        <v>2.1761940830288218</v>
      </c>
      <c r="S13" s="2">
        <f t="shared" si="8"/>
        <v>17.583648190872879</v>
      </c>
      <c r="T13" s="2">
        <f t="shared" si="9"/>
        <v>18.584312626760337</v>
      </c>
      <c r="V13" s="34" t="s">
        <v>30</v>
      </c>
      <c r="W13" s="36"/>
      <c r="X13" s="16">
        <v>0.49930555555555556</v>
      </c>
    </row>
    <row r="14" spans="1:24" x14ac:dyDescent="0.25">
      <c r="A14" s="30">
        <f t="shared" si="10"/>
        <v>0.48143274853801171</v>
      </c>
      <c r="B14" s="2">
        <f t="shared" si="11"/>
        <v>9</v>
      </c>
      <c r="C14" s="4">
        <f t="shared" si="12"/>
        <v>8.83</v>
      </c>
      <c r="D14" s="2">
        <v>19.5</v>
      </c>
      <c r="E14" s="2">
        <v>50.26548245743669</v>
      </c>
      <c r="F14" s="11">
        <f t="shared" si="0"/>
        <v>3.8794017378649488</v>
      </c>
      <c r="G14" s="2">
        <f t="shared" si="1"/>
        <v>34.2551173453475</v>
      </c>
      <c r="H14" s="2">
        <f t="shared" si="2"/>
        <v>2.4032778038043019</v>
      </c>
      <c r="I14" s="2">
        <f t="shared" si="3"/>
        <v>21.220943007591988</v>
      </c>
      <c r="J14" s="2">
        <f t="shared" si="4"/>
        <v>13.034174337755513</v>
      </c>
      <c r="K14" s="15">
        <f t="shared" si="13"/>
        <v>0.46323099415204683</v>
      </c>
      <c r="L14" s="2">
        <f t="shared" si="14"/>
        <v>9</v>
      </c>
      <c r="M14" s="2">
        <f t="shared" si="15"/>
        <v>8.58</v>
      </c>
      <c r="N14" s="2">
        <v>22.5</v>
      </c>
      <c r="O14" s="2">
        <v>50.26548245743669</v>
      </c>
      <c r="P14" s="11">
        <f t="shared" si="5"/>
        <v>4.4762327744595565</v>
      </c>
      <c r="Q14" s="2">
        <f t="shared" si="6"/>
        <v>38.406077204862996</v>
      </c>
      <c r="R14" s="2">
        <f t="shared" si="7"/>
        <v>2.1761940830288218</v>
      </c>
      <c r="S14" s="2">
        <f t="shared" si="8"/>
        <v>18.671745232387291</v>
      </c>
      <c r="T14" s="2">
        <f t="shared" si="9"/>
        <v>19.734331972475704</v>
      </c>
      <c r="V14" s="34" t="s">
        <v>31</v>
      </c>
      <c r="W14" s="36"/>
      <c r="X14" s="6">
        <v>46</v>
      </c>
    </row>
    <row r="15" spans="1:24" x14ac:dyDescent="0.25">
      <c r="A15" s="30">
        <f t="shared" si="10"/>
        <v>0.48154239766081874</v>
      </c>
      <c r="B15" s="2">
        <f t="shared" si="11"/>
        <v>10</v>
      </c>
      <c r="C15" s="4">
        <f t="shared" si="12"/>
        <v>9.33</v>
      </c>
      <c r="D15" s="2">
        <v>20.5</v>
      </c>
      <c r="E15" s="2">
        <v>50.26548245743669</v>
      </c>
      <c r="F15" s="11">
        <f t="shared" si="0"/>
        <v>4.0783454167298183</v>
      </c>
      <c r="G15" s="2">
        <f t="shared" si="1"/>
        <v>38.050962738089204</v>
      </c>
      <c r="H15" s="2">
        <f t="shared" si="2"/>
        <v>2.4032778038043019</v>
      </c>
      <c r="I15" s="2">
        <f t="shared" si="3"/>
        <v>22.422581909494138</v>
      </c>
      <c r="J15" s="2">
        <f t="shared" si="4"/>
        <v>15.628380828595066</v>
      </c>
      <c r="K15" s="15">
        <f t="shared" si="13"/>
        <v>0.46332236842105268</v>
      </c>
      <c r="L15" s="2">
        <f t="shared" si="14"/>
        <v>10</v>
      </c>
      <c r="M15" s="2">
        <f t="shared" si="15"/>
        <v>9.08</v>
      </c>
      <c r="N15" s="2">
        <v>20.5</v>
      </c>
      <c r="O15" s="2">
        <v>50.26548245743669</v>
      </c>
      <c r="P15" s="11">
        <f t="shared" si="5"/>
        <v>4.0783454167298183</v>
      </c>
      <c r="Q15" s="2">
        <f t="shared" si="6"/>
        <v>37.031376383906753</v>
      </c>
      <c r="R15" s="2">
        <f t="shared" si="7"/>
        <v>2.1761940830288218</v>
      </c>
      <c r="S15" s="2">
        <f t="shared" si="8"/>
        <v>19.7598422739017</v>
      </c>
      <c r="T15" s="2">
        <f t="shared" si="9"/>
        <v>17.271534110005053</v>
      </c>
      <c r="V15" s="34" t="s">
        <v>32</v>
      </c>
      <c r="W15" s="36"/>
      <c r="X15" s="6">
        <v>47</v>
      </c>
    </row>
    <row r="16" spans="1:24" x14ac:dyDescent="0.25">
      <c r="A16" s="30">
        <f t="shared" si="10"/>
        <v>0.48165204678362572</v>
      </c>
      <c r="B16" s="2">
        <f t="shared" si="11"/>
        <v>11</v>
      </c>
      <c r="C16" s="4">
        <f t="shared" si="12"/>
        <v>9.83</v>
      </c>
      <c r="D16" s="2">
        <v>21</v>
      </c>
      <c r="E16" s="2">
        <v>50.26548245743669</v>
      </c>
      <c r="F16" s="11">
        <f t="shared" si="0"/>
        <v>4.1778172561622533</v>
      </c>
      <c r="G16" s="2">
        <f t="shared" si="1"/>
        <v>41.06794362807495</v>
      </c>
      <c r="H16" s="2">
        <f t="shared" si="2"/>
        <v>2.4032778038043019</v>
      </c>
      <c r="I16" s="2">
        <f t="shared" si="3"/>
        <v>23.624220811396288</v>
      </c>
      <c r="J16" s="2">
        <f t="shared" si="4"/>
        <v>17.443722816678662</v>
      </c>
      <c r="K16" s="15">
        <f t="shared" si="13"/>
        <v>0.46341374269005847</v>
      </c>
      <c r="L16" s="2">
        <f t="shared" si="14"/>
        <v>11</v>
      </c>
      <c r="M16" s="2">
        <f t="shared" si="15"/>
        <v>9.58</v>
      </c>
      <c r="N16" s="2">
        <v>22</v>
      </c>
      <c r="O16" s="2">
        <v>50.26548245743669</v>
      </c>
      <c r="P16" s="11">
        <f t="shared" si="5"/>
        <v>4.3767609350271215</v>
      </c>
      <c r="Q16" s="2">
        <f t="shared" si="6"/>
        <v>41.929369757559826</v>
      </c>
      <c r="R16" s="2">
        <f t="shared" si="7"/>
        <v>2.1761940830288218</v>
      </c>
      <c r="S16" s="2">
        <f t="shared" si="8"/>
        <v>20.847939315416113</v>
      </c>
      <c r="T16" s="2">
        <f t="shared" si="9"/>
        <v>21.081430442143713</v>
      </c>
      <c r="V16" s="34" t="s">
        <v>33</v>
      </c>
      <c r="W16" s="36"/>
      <c r="X16" s="6">
        <v>47</v>
      </c>
    </row>
    <row r="17" spans="1:24" x14ac:dyDescent="0.25">
      <c r="A17" s="30">
        <f t="shared" si="10"/>
        <v>0.48176169590643275</v>
      </c>
      <c r="B17" s="2">
        <f t="shared" si="11"/>
        <v>12</v>
      </c>
      <c r="C17" s="4">
        <f t="shared" si="12"/>
        <v>10.33</v>
      </c>
      <c r="D17" s="2">
        <v>8.5</v>
      </c>
      <c r="E17" s="2">
        <v>50.26548245743669</v>
      </c>
      <c r="F17" s="11">
        <f t="shared" si="0"/>
        <v>1.6910212703513881</v>
      </c>
      <c r="G17" s="2">
        <f t="shared" si="1"/>
        <v>17.468249722729837</v>
      </c>
      <c r="H17" s="2">
        <f t="shared" si="2"/>
        <v>2.4032778038043019</v>
      </c>
      <c r="I17" s="2">
        <f t="shared" si="3"/>
        <v>24.825859713298438</v>
      </c>
      <c r="J17" s="2">
        <f t="shared" si="4"/>
        <v>7.3576099905686014</v>
      </c>
      <c r="K17" s="15">
        <f t="shared" si="13"/>
        <v>0.46350511695906432</v>
      </c>
      <c r="L17" s="2">
        <f t="shared" si="14"/>
        <v>12</v>
      </c>
      <c r="M17" s="2">
        <f t="shared" si="15"/>
        <v>10.08</v>
      </c>
      <c r="N17" s="2">
        <v>21</v>
      </c>
      <c r="O17" s="2">
        <v>50.26548245743669</v>
      </c>
      <c r="P17" s="11">
        <f t="shared" si="5"/>
        <v>4.1778172561622533</v>
      </c>
      <c r="Q17" s="2">
        <f t="shared" si="6"/>
        <v>42.112397942115514</v>
      </c>
      <c r="R17" s="2">
        <f t="shared" si="7"/>
        <v>2.1761940830288218</v>
      </c>
      <c r="S17" s="2">
        <f t="shared" si="8"/>
        <v>21.936036356930522</v>
      </c>
      <c r="T17" s="2">
        <f t="shared" si="9"/>
        <v>20.176361585184992</v>
      </c>
      <c r="V17" s="38" t="s">
        <v>34</v>
      </c>
      <c r="W17" s="36"/>
      <c r="X17" s="17">
        <f>((X10-X14)+(X11-X15)+(X12-X16))/3</f>
        <v>3.3333333333333335</v>
      </c>
    </row>
    <row r="18" spans="1:24" x14ac:dyDescent="0.25">
      <c r="A18" s="30">
        <f t="shared" si="10"/>
        <v>0.48187134502923978</v>
      </c>
      <c r="B18" s="2">
        <f t="shared" si="11"/>
        <v>13</v>
      </c>
      <c r="C18" s="4">
        <f t="shared" si="12"/>
        <v>10.83</v>
      </c>
      <c r="D18" s="2">
        <v>16.5</v>
      </c>
      <c r="E18" s="2">
        <v>50.26548245743669</v>
      </c>
      <c r="F18" s="11">
        <f t="shared" si="0"/>
        <v>3.2825707012703416</v>
      </c>
      <c r="G18" s="2">
        <f t="shared" si="1"/>
        <v>35.550240694757797</v>
      </c>
      <c r="H18" s="2">
        <f t="shared" si="2"/>
        <v>2.4032778038043019</v>
      </c>
      <c r="I18" s="2">
        <f t="shared" si="3"/>
        <v>26.027498615200589</v>
      </c>
      <c r="J18" s="2">
        <f t="shared" si="4"/>
        <v>9.522742079557208</v>
      </c>
      <c r="K18" s="15">
        <f t="shared" si="13"/>
        <v>0.46359649122807017</v>
      </c>
      <c r="L18" s="2">
        <f t="shared" si="14"/>
        <v>13</v>
      </c>
      <c r="M18" s="2">
        <f t="shared" si="15"/>
        <v>10.58</v>
      </c>
      <c r="N18" s="2">
        <v>18</v>
      </c>
      <c r="O18" s="2">
        <v>50.26548245743669</v>
      </c>
      <c r="P18" s="11">
        <f t="shared" si="5"/>
        <v>3.5809862195676452</v>
      </c>
      <c r="Q18" s="2">
        <f t="shared" si="6"/>
        <v>37.886834203025685</v>
      </c>
      <c r="R18" s="2">
        <f t="shared" si="7"/>
        <v>2.1761940830288218</v>
      </c>
      <c r="S18" s="2">
        <f t="shared" si="8"/>
        <v>23.024133398444935</v>
      </c>
      <c r="T18" s="2">
        <f t="shared" si="9"/>
        <v>14.862700804580751</v>
      </c>
      <c r="V18" s="38" t="s">
        <v>35</v>
      </c>
      <c r="W18" s="36"/>
      <c r="X18" s="18" t="s">
        <v>41</v>
      </c>
    </row>
    <row r="19" spans="1:24" x14ac:dyDescent="0.25">
      <c r="A19" s="30">
        <f t="shared" si="10"/>
        <v>0.48198099415204682</v>
      </c>
      <c r="B19" s="2">
        <f t="shared" si="11"/>
        <v>14</v>
      </c>
      <c r="C19" s="4">
        <f t="shared" si="12"/>
        <v>11.33</v>
      </c>
      <c r="D19" s="2">
        <v>16</v>
      </c>
      <c r="E19" s="2">
        <v>50.26548245743669</v>
      </c>
      <c r="F19" s="11">
        <f t="shared" si="0"/>
        <v>3.183098861837907</v>
      </c>
      <c r="G19" s="2">
        <f t="shared" si="1"/>
        <v>36.064510104623487</v>
      </c>
      <c r="H19" s="2">
        <f t="shared" si="2"/>
        <v>2.4032778038043019</v>
      </c>
      <c r="I19" s="2">
        <f t="shared" si="3"/>
        <v>27.229137517102739</v>
      </c>
      <c r="J19" s="2">
        <f t="shared" si="4"/>
        <v>8.8353725875207481</v>
      </c>
      <c r="K19" s="15">
        <f t="shared" si="13"/>
        <v>0.46368786549707602</v>
      </c>
      <c r="L19" s="2">
        <f t="shared" si="14"/>
        <v>14</v>
      </c>
      <c r="M19" s="2">
        <f t="shared" si="15"/>
        <v>11.08</v>
      </c>
      <c r="N19" s="2">
        <v>17</v>
      </c>
      <c r="O19" s="2">
        <v>50.26548245743669</v>
      </c>
      <c r="P19" s="11">
        <f t="shared" si="5"/>
        <v>3.3820425407027761</v>
      </c>
      <c r="Q19" s="2">
        <f t="shared" si="6"/>
        <v>37.473031350986759</v>
      </c>
      <c r="R19" s="2">
        <f t="shared" si="7"/>
        <v>2.1761940830288218</v>
      </c>
      <c r="S19" s="2">
        <f t="shared" si="8"/>
        <v>24.112230439959344</v>
      </c>
      <c r="T19" s="2">
        <f t="shared" si="9"/>
        <v>13.360800911027415</v>
      </c>
      <c r="V19" s="39" t="s">
        <v>37</v>
      </c>
      <c r="W19" s="35"/>
      <c r="X19" s="36"/>
    </row>
    <row r="20" spans="1:24" x14ac:dyDescent="0.25">
      <c r="A20" s="30">
        <f t="shared" si="10"/>
        <v>0.48209064327485379</v>
      </c>
      <c r="B20" s="2">
        <f t="shared" si="11"/>
        <v>15</v>
      </c>
      <c r="C20" s="4">
        <f t="shared" si="12"/>
        <v>11.83</v>
      </c>
      <c r="D20" s="2">
        <v>18</v>
      </c>
      <c r="E20" s="2">
        <v>50.26548245743669</v>
      </c>
      <c r="F20" s="11">
        <f t="shared" si="0"/>
        <v>3.5809862195676452</v>
      </c>
      <c r="G20" s="2">
        <f t="shared" si="1"/>
        <v>42.363066977485239</v>
      </c>
      <c r="H20" s="2">
        <f t="shared" si="2"/>
        <v>2.4032778038043019</v>
      </c>
      <c r="I20" s="2">
        <f t="shared" si="3"/>
        <v>28.430776419004893</v>
      </c>
      <c r="J20" s="2">
        <f t="shared" si="4"/>
        <v>13.932290558480346</v>
      </c>
      <c r="K20" s="15">
        <f t="shared" si="13"/>
        <v>0.46377923976608187</v>
      </c>
      <c r="L20" s="2">
        <f t="shared" si="14"/>
        <v>15</v>
      </c>
      <c r="M20" s="2">
        <f t="shared" si="15"/>
        <v>11.58</v>
      </c>
      <c r="N20" s="2">
        <v>17</v>
      </c>
      <c r="O20" s="2">
        <v>50.26548245743669</v>
      </c>
      <c r="P20" s="11">
        <f t="shared" si="5"/>
        <v>3.3820425407027761</v>
      </c>
      <c r="Q20" s="2">
        <f t="shared" si="6"/>
        <v>39.164052621338151</v>
      </c>
      <c r="R20" s="2">
        <f t="shared" si="7"/>
        <v>2.1761940830288218</v>
      </c>
      <c r="S20" s="2">
        <f t="shared" si="8"/>
        <v>25.200327481473757</v>
      </c>
      <c r="T20" s="2">
        <f t="shared" si="9"/>
        <v>13.963725139864394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30">
        <f t="shared" si="10"/>
        <v>0.48220029239766082</v>
      </c>
      <c r="B21" s="2">
        <f t="shared" si="11"/>
        <v>16</v>
      </c>
      <c r="C21" s="4">
        <f t="shared" si="12"/>
        <v>12.33</v>
      </c>
      <c r="D21" s="2">
        <v>15</v>
      </c>
      <c r="E21" s="2">
        <v>50.26548245743669</v>
      </c>
      <c r="F21" s="11">
        <f t="shared" si="0"/>
        <v>2.9841551829730379</v>
      </c>
      <c r="G21" s="2">
        <f t="shared" si="1"/>
        <v>36.794633406057557</v>
      </c>
      <c r="H21" s="2">
        <f t="shared" si="2"/>
        <v>2.4032778038043019</v>
      </c>
      <c r="I21" s="2">
        <f t="shared" si="3"/>
        <v>29.632415320907043</v>
      </c>
      <c r="J21" s="2">
        <f t="shared" si="4"/>
        <v>7.1622180851505135</v>
      </c>
      <c r="K21" s="15">
        <f t="shared" si="13"/>
        <v>0.46387061403508772</v>
      </c>
      <c r="L21" s="2">
        <f t="shared" si="14"/>
        <v>16</v>
      </c>
      <c r="M21" s="2">
        <f t="shared" si="15"/>
        <v>12.08</v>
      </c>
      <c r="N21" s="2">
        <v>16.5</v>
      </c>
      <c r="O21" s="2">
        <v>50.26548245743669</v>
      </c>
      <c r="P21" s="11">
        <f t="shared" si="5"/>
        <v>3.2825707012703416</v>
      </c>
      <c r="Q21" s="2">
        <f t="shared" si="6"/>
        <v>39.653454071345728</v>
      </c>
      <c r="R21" s="2">
        <f t="shared" si="7"/>
        <v>2.1761940830288218</v>
      </c>
      <c r="S21" s="2">
        <f t="shared" si="8"/>
        <v>26.288424522988166</v>
      </c>
      <c r="T21" s="2">
        <f t="shared" si="9"/>
        <v>13.365029548357562</v>
      </c>
      <c r="V21" s="39" t="s">
        <v>39</v>
      </c>
      <c r="W21" s="36"/>
      <c r="X21" s="20">
        <f>(J2+T2)/2</f>
        <v>82.053072162879843</v>
      </c>
    </row>
    <row r="22" spans="1:24" x14ac:dyDescent="0.25">
      <c r="A22" s="30">
        <f t="shared" si="10"/>
        <v>0.48230994152046786</v>
      </c>
      <c r="B22" s="2">
        <f t="shared" si="11"/>
        <v>17</v>
      </c>
      <c r="C22" s="4">
        <f t="shared" si="12"/>
        <v>12.83</v>
      </c>
      <c r="D22" s="2">
        <v>14</v>
      </c>
      <c r="E22" s="2">
        <v>50.26548245743669</v>
      </c>
      <c r="F22" s="11">
        <f t="shared" si="0"/>
        <v>2.7852115041081689</v>
      </c>
      <c r="G22" s="2">
        <f t="shared" si="1"/>
        <v>35.734263597707809</v>
      </c>
      <c r="H22" s="2">
        <f t="shared" si="2"/>
        <v>2.4032778038043019</v>
      </c>
      <c r="I22" s="2">
        <f t="shared" si="3"/>
        <v>30.834054222809193</v>
      </c>
      <c r="J22" s="2">
        <f t="shared" si="4"/>
        <v>4.9002093748986155</v>
      </c>
      <c r="K22" s="15">
        <f t="shared" si="13"/>
        <v>0.46396198830409358</v>
      </c>
      <c r="L22" s="2">
        <f t="shared" si="14"/>
        <v>17</v>
      </c>
      <c r="M22" s="2">
        <f t="shared" si="15"/>
        <v>12.58</v>
      </c>
      <c r="N22" s="2">
        <v>15.5</v>
      </c>
      <c r="O22" s="2">
        <v>50.26548245743669</v>
      </c>
      <c r="P22" s="11">
        <f t="shared" si="5"/>
        <v>3.0836270224054725</v>
      </c>
      <c r="Q22" s="2">
        <f t="shared" si="6"/>
        <v>38.792027941860844</v>
      </c>
      <c r="R22" s="2">
        <f t="shared" si="7"/>
        <v>2.1761940830288218</v>
      </c>
      <c r="S22" s="2">
        <f t="shared" si="8"/>
        <v>27.376521564502578</v>
      </c>
      <c r="T22" s="2">
        <f t="shared" si="9"/>
        <v>11.415506377358266</v>
      </c>
      <c r="V22" s="27"/>
      <c r="W22" s="27"/>
      <c r="X22" s="28"/>
    </row>
    <row r="23" spans="1:24" x14ac:dyDescent="0.25">
      <c r="A23" s="30">
        <f t="shared" si="10"/>
        <v>0.48241959064327489</v>
      </c>
      <c r="B23" s="2">
        <f t="shared" si="11"/>
        <v>18</v>
      </c>
      <c r="C23" s="4">
        <f t="shared" si="12"/>
        <v>13.33</v>
      </c>
      <c r="D23" s="2">
        <v>13</v>
      </c>
      <c r="E23" s="2">
        <v>50.26548245743669</v>
      </c>
      <c r="F23" s="11">
        <f t="shared" si="0"/>
        <v>2.5862678252432989</v>
      </c>
      <c r="G23" s="2">
        <f t="shared" si="1"/>
        <v>34.474950110493175</v>
      </c>
      <c r="H23" s="2">
        <f t="shared" si="2"/>
        <v>2.4032778038043019</v>
      </c>
      <c r="I23" s="2">
        <f t="shared" si="3"/>
        <v>32.035693124711344</v>
      </c>
      <c r="J23" s="2">
        <f t="shared" si="4"/>
        <v>2.4392569857818316</v>
      </c>
      <c r="K23" s="15">
        <f t="shared" si="13"/>
        <v>0.46405336257309943</v>
      </c>
      <c r="L23" s="2">
        <f t="shared" si="14"/>
        <v>18</v>
      </c>
      <c r="M23" s="2">
        <f t="shared" si="15"/>
        <v>13.08</v>
      </c>
      <c r="N23" s="2">
        <v>15</v>
      </c>
      <c r="O23" s="2">
        <v>50.26548245743669</v>
      </c>
      <c r="P23" s="11">
        <f t="shared" si="5"/>
        <v>2.9841551829730379</v>
      </c>
      <c r="Q23" s="2">
        <f t="shared" si="6"/>
        <v>39.032749793287337</v>
      </c>
      <c r="R23" s="2">
        <f t="shared" si="7"/>
        <v>2.1761940830288218</v>
      </c>
      <c r="S23" s="2">
        <f t="shared" si="8"/>
        <v>28.464618606016987</v>
      </c>
      <c r="T23" s="2">
        <f t="shared" si="9"/>
        <v>10.56813118727035</v>
      </c>
      <c r="V23" s="34" t="s">
        <v>45</v>
      </c>
      <c r="W23" s="35"/>
      <c r="X23" s="36"/>
    </row>
    <row r="24" spans="1:24" x14ac:dyDescent="0.25">
      <c r="A24" s="30">
        <f t="shared" si="10"/>
        <v>0.48252923976608186</v>
      </c>
      <c r="B24" s="2">
        <f t="shared" si="11"/>
        <v>19</v>
      </c>
      <c r="C24" s="4">
        <f t="shared" si="12"/>
        <v>13.83</v>
      </c>
      <c r="D24" s="2">
        <v>13.5</v>
      </c>
      <c r="E24" s="2">
        <v>50.26548245743669</v>
      </c>
      <c r="F24" s="11">
        <f t="shared" si="0"/>
        <v>2.6857396646757339</v>
      </c>
      <c r="G24" s="2">
        <f t="shared" si="1"/>
        <v>37.143779562465397</v>
      </c>
      <c r="H24" s="2">
        <f t="shared" si="2"/>
        <v>2.4032778038043019</v>
      </c>
      <c r="I24" s="2">
        <f t="shared" si="3"/>
        <v>33.237332026613494</v>
      </c>
      <c r="J24" s="2">
        <f t="shared" si="4"/>
        <v>3.9064475358519033</v>
      </c>
      <c r="K24" s="15">
        <f t="shared" si="13"/>
        <v>0.46414473684210528</v>
      </c>
      <c r="L24" s="2">
        <f t="shared" si="14"/>
        <v>19</v>
      </c>
      <c r="M24" s="2">
        <f t="shared" si="15"/>
        <v>13.58</v>
      </c>
      <c r="N24" s="2">
        <v>14</v>
      </c>
      <c r="O24" s="2">
        <v>50.26548245743669</v>
      </c>
      <c r="P24" s="11">
        <f t="shared" si="5"/>
        <v>2.7852115041081689</v>
      </c>
      <c r="Q24" s="2">
        <f t="shared" si="6"/>
        <v>37.82317222578893</v>
      </c>
      <c r="R24" s="2">
        <f t="shared" si="7"/>
        <v>2.1761940830288218</v>
      </c>
      <c r="S24" s="2">
        <f t="shared" si="8"/>
        <v>29.5527156475314</v>
      </c>
      <c r="T24" s="2">
        <f t="shared" si="9"/>
        <v>8.2704565782575301</v>
      </c>
      <c r="V24" s="49" t="s">
        <v>46</v>
      </c>
      <c r="W24" s="35"/>
      <c r="X24" s="36"/>
    </row>
    <row r="25" spans="1:24" x14ac:dyDescent="0.25">
      <c r="A25" s="30">
        <f t="shared" si="10"/>
        <v>0.4826388888888889</v>
      </c>
      <c r="B25" s="2">
        <f t="shared" si="11"/>
        <v>20</v>
      </c>
      <c r="C25" s="4">
        <f t="shared" si="12"/>
        <v>14.33</v>
      </c>
      <c r="D25" s="2">
        <v>12.5</v>
      </c>
      <c r="E25" s="2">
        <v>50.26548245743669</v>
      </c>
      <c r="F25" s="11">
        <f t="shared" si="0"/>
        <v>2.4867959858108648</v>
      </c>
      <c r="G25" s="2">
        <f t="shared" si="1"/>
        <v>35.635786476669693</v>
      </c>
      <c r="H25" s="2">
        <f t="shared" si="2"/>
        <v>2.4032778038043019</v>
      </c>
      <c r="I25" s="2">
        <f t="shared" si="3"/>
        <v>34.438970928515644</v>
      </c>
      <c r="J25" s="2">
        <f t="shared" si="4"/>
        <v>1.1968155481540492</v>
      </c>
      <c r="K25" s="15">
        <f t="shared" si="13"/>
        <v>0.46423611111111113</v>
      </c>
      <c r="L25" s="2">
        <f t="shared" si="14"/>
        <v>20</v>
      </c>
      <c r="M25" s="2">
        <f t="shared" si="15"/>
        <v>14.08</v>
      </c>
      <c r="N25" s="2">
        <v>15</v>
      </c>
      <c r="O25" s="2">
        <v>50.26548245743669</v>
      </c>
      <c r="P25" s="11">
        <f t="shared" si="5"/>
        <v>2.9841551829730379</v>
      </c>
      <c r="Q25" s="2">
        <f t="shared" si="6"/>
        <v>42.016904976260378</v>
      </c>
      <c r="R25" s="2">
        <f t="shared" si="7"/>
        <v>2.1761940830288218</v>
      </c>
      <c r="S25" s="2">
        <f t="shared" si="8"/>
        <v>30.640812689045809</v>
      </c>
      <c r="T25" s="2">
        <f t="shared" si="9"/>
        <v>11.376092287214568</v>
      </c>
      <c r="V25" s="34" t="s">
        <v>47</v>
      </c>
      <c r="W25" s="35"/>
      <c r="X25" s="36"/>
    </row>
    <row r="26" spans="1:24" x14ac:dyDescent="0.25">
      <c r="A26" s="30">
        <f t="shared" si="10"/>
        <v>0.48274853801169593</v>
      </c>
      <c r="B26" s="2">
        <f t="shared" si="11"/>
        <v>21</v>
      </c>
      <c r="C26" s="4">
        <f t="shared" si="12"/>
        <v>14.83</v>
      </c>
      <c r="D26" s="2">
        <v>10.5</v>
      </c>
      <c r="E26" s="2">
        <v>50.26548245743669</v>
      </c>
      <c r="F26" s="11">
        <f t="shared" si="0"/>
        <v>2.0889086280811267</v>
      </c>
      <c r="G26" s="2">
        <f t="shared" si="1"/>
        <v>30.97851495444311</v>
      </c>
      <c r="H26" s="2">
        <f t="shared" si="2"/>
        <v>2.4032778038043019</v>
      </c>
      <c r="I26" s="2">
        <f t="shared" si="3"/>
        <v>35.640609830417795</v>
      </c>
      <c r="J26" s="2">
        <f t="shared" si="4"/>
        <v>4.6620948759746845</v>
      </c>
      <c r="K26" s="15">
        <f t="shared" si="13"/>
        <v>0.46432748538011698</v>
      </c>
      <c r="L26" s="2">
        <f t="shared" si="14"/>
        <v>21</v>
      </c>
      <c r="M26" s="2">
        <f t="shared" si="15"/>
        <v>14.58</v>
      </c>
      <c r="N26" s="2">
        <v>13</v>
      </c>
      <c r="O26" s="2">
        <v>50.26548245743669</v>
      </c>
      <c r="P26" s="11">
        <f t="shared" si="5"/>
        <v>2.5862678252432989</v>
      </c>
      <c r="Q26" s="2">
        <f t="shared" si="6"/>
        <v>37.7077848920473</v>
      </c>
      <c r="R26" s="2">
        <f t="shared" si="7"/>
        <v>2.1761940830288218</v>
      </c>
      <c r="S26" s="2">
        <f t="shared" si="8"/>
        <v>31.728909730560222</v>
      </c>
      <c r="T26" s="2">
        <f t="shared" si="9"/>
        <v>5.9788751614870783</v>
      </c>
      <c r="V26" s="49" t="s">
        <v>48</v>
      </c>
      <c r="W26" s="35"/>
      <c r="X26" s="36"/>
    </row>
    <row r="27" spans="1:24" x14ac:dyDescent="0.25">
      <c r="A27" s="30">
        <f t="shared" si="10"/>
        <v>0.4828581871345029</v>
      </c>
      <c r="B27" s="2">
        <f t="shared" si="11"/>
        <v>22</v>
      </c>
      <c r="C27" s="4">
        <f t="shared" si="12"/>
        <v>15.33</v>
      </c>
      <c r="D27" s="2">
        <v>13</v>
      </c>
      <c r="E27" s="2">
        <v>50.26548245743669</v>
      </c>
      <c r="F27" s="11">
        <f t="shared" si="0"/>
        <v>2.5862678252432989</v>
      </c>
      <c r="G27" s="2">
        <f t="shared" si="1"/>
        <v>39.64748576097977</v>
      </c>
      <c r="H27" s="2">
        <f t="shared" si="2"/>
        <v>2.4032778038043019</v>
      </c>
      <c r="I27" s="2">
        <f t="shared" si="3"/>
        <v>36.842248732319945</v>
      </c>
      <c r="J27" s="2">
        <f t="shared" si="4"/>
        <v>2.8052370286598247</v>
      </c>
      <c r="K27" s="15">
        <f t="shared" si="13"/>
        <v>0.46441885964912283</v>
      </c>
      <c r="L27" s="2">
        <f t="shared" si="14"/>
        <v>22</v>
      </c>
      <c r="M27" s="2">
        <f t="shared" si="15"/>
        <v>15.08</v>
      </c>
      <c r="N27" s="2">
        <v>13</v>
      </c>
      <c r="O27" s="2">
        <v>50.26548245743669</v>
      </c>
      <c r="P27" s="11">
        <f t="shared" si="5"/>
        <v>2.5862678252432989</v>
      </c>
      <c r="Q27" s="2">
        <f t="shared" si="6"/>
        <v>39.000918804668949</v>
      </c>
      <c r="R27" s="2">
        <f t="shared" si="7"/>
        <v>2.1761940830288218</v>
      </c>
      <c r="S27" s="2">
        <f t="shared" si="8"/>
        <v>32.817006772074635</v>
      </c>
      <c r="T27" s="2">
        <f t="shared" si="9"/>
        <v>6.1839120325943142</v>
      </c>
      <c r="V27" s="29"/>
      <c r="W27" s="29"/>
      <c r="X27" s="29"/>
    </row>
    <row r="28" spans="1:24" x14ac:dyDescent="0.25">
      <c r="A28" s="30">
        <f t="shared" si="10"/>
        <v>0.48296783625730993</v>
      </c>
      <c r="B28" s="2">
        <f t="shared" si="11"/>
        <v>23</v>
      </c>
      <c r="C28" s="4">
        <f t="shared" si="12"/>
        <v>15.83</v>
      </c>
      <c r="D28" s="2">
        <v>13</v>
      </c>
      <c r="E28" s="2">
        <v>50.26548245743669</v>
      </c>
      <c r="F28" s="11">
        <f t="shared" si="0"/>
        <v>2.5862678252432989</v>
      </c>
      <c r="G28" s="2">
        <f t="shared" si="1"/>
        <v>40.940619673601425</v>
      </c>
      <c r="H28" s="2">
        <f t="shared" si="2"/>
        <v>2.4032778038043019</v>
      </c>
      <c r="I28" s="2">
        <f t="shared" si="3"/>
        <v>38.043887634222102</v>
      </c>
      <c r="J28" s="2">
        <f t="shared" si="4"/>
        <v>2.896732039379323</v>
      </c>
      <c r="K28" s="15">
        <f t="shared" si="13"/>
        <v>0.46451023391812868</v>
      </c>
      <c r="L28" s="2">
        <f t="shared" si="14"/>
        <v>23</v>
      </c>
      <c r="M28" s="2">
        <f t="shared" si="15"/>
        <v>15.58</v>
      </c>
      <c r="N28" s="2">
        <v>13</v>
      </c>
      <c r="O28" s="2">
        <v>50.26548245743669</v>
      </c>
      <c r="P28" s="11">
        <f t="shared" si="5"/>
        <v>2.5862678252432989</v>
      </c>
      <c r="Q28" s="2">
        <f t="shared" si="6"/>
        <v>40.294052717290597</v>
      </c>
      <c r="R28" s="2">
        <f t="shared" si="7"/>
        <v>2.1761940830288218</v>
      </c>
      <c r="S28" s="2">
        <f t="shared" si="8"/>
        <v>33.905103813589044</v>
      </c>
      <c r="T28" s="2">
        <f t="shared" si="9"/>
        <v>6.3889489037015537</v>
      </c>
      <c r="V28" s="24" t="s">
        <v>49</v>
      </c>
      <c r="W28" s="24" t="s">
        <v>50</v>
      </c>
      <c r="X28" s="29"/>
    </row>
    <row r="29" spans="1:24" x14ac:dyDescent="0.25">
      <c r="A29" s="30">
        <f t="shared" si="10"/>
        <v>0.48307748538011697</v>
      </c>
      <c r="B29" s="2">
        <f t="shared" si="11"/>
        <v>24</v>
      </c>
      <c r="C29" s="4">
        <f t="shared" si="12"/>
        <v>16.329999999999998</v>
      </c>
      <c r="D29" s="2">
        <v>13.5</v>
      </c>
      <c r="E29" s="2">
        <v>50.26548245743669</v>
      </c>
      <c r="F29" s="11">
        <f t="shared" si="0"/>
        <v>2.6857396646757339</v>
      </c>
      <c r="G29" s="2">
        <f t="shared" si="1"/>
        <v>43.858128724154732</v>
      </c>
      <c r="H29" s="2">
        <f t="shared" si="2"/>
        <v>2.4032778038043019</v>
      </c>
      <c r="I29" s="2">
        <f t="shared" si="3"/>
        <v>39.245526536124245</v>
      </c>
      <c r="J29" s="2">
        <f t="shared" si="4"/>
        <v>4.6126021880304862</v>
      </c>
      <c r="K29" s="15">
        <f t="shared" si="13"/>
        <v>0.46460160818713453</v>
      </c>
      <c r="L29" s="2">
        <f t="shared" si="14"/>
        <v>24</v>
      </c>
      <c r="M29" s="2">
        <f t="shared" si="15"/>
        <v>16.079999999999998</v>
      </c>
      <c r="N29" s="2">
        <v>13.5</v>
      </c>
      <c r="O29" s="2">
        <v>50.26548245743669</v>
      </c>
      <c r="P29" s="11">
        <f t="shared" si="5"/>
        <v>2.6857396646757339</v>
      </c>
      <c r="Q29" s="2">
        <f t="shared" si="6"/>
        <v>43.186693807985797</v>
      </c>
      <c r="R29" s="2">
        <f t="shared" si="7"/>
        <v>2.1761940830288218</v>
      </c>
      <c r="S29" s="2">
        <f t="shared" si="8"/>
        <v>34.993200855103453</v>
      </c>
      <c r="T29" s="2">
        <f t="shared" si="9"/>
        <v>8.1934929528823446</v>
      </c>
      <c r="V29" s="24">
        <f>MAX(D4:D160)</f>
        <v>25.5</v>
      </c>
      <c r="W29" s="24">
        <f>MAX(N4:N160)</f>
        <v>36.5</v>
      </c>
      <c r="X29" s="29"/>
    </row>
    <row r="30" spans="1:24" x14ac:dyDescent="0.25">
      <c r="A30" s="30">
        <f t="shared" si="10"/>
        <v>0.483187134502924</v>
      </c>
      <c r="B30" s="2">
        <f t="shared" si="11"/>
        <v>25</v>
      </c>
      <c r="C30" s="4">
        <f t="shared" si="12"/>
        <v>16.829999999999998</v>
      </c>
      <c r="D30" s="2">
        <v>13.5</v>
      </c>
      <c r="E30" s="2">
        <v>50.26548245743669</v>
      </c>
      <c r="F30" s="11">
        <f t="shared" si="0"/>
        <v>2.6857396646757339</v>
      </c>
      <c r="G30" s="2">
        <f t="shared" si="1"/>
        <v>45.2009985564926</v>
      </c>
      <c r="H30" s="2">
        <f t="shared" si="2"/>
        <v>2.4032778038043019</v>
      </c>
      <c r="I30" s="2">
        <f t="shared" si="3"/>
        <v>40.447165438026396</v>
      </c>
      <c r="J30" s="2">
        <f t="shared" si="4"/>
        <v>4.7538331184662042</v>
      </c>
      <c r="K30" s="15">
        <f t="shared" si="13"/>
        <v>0.46469298245614038</v>
      </c>
      <c r="L30" s="2">
        <f t="shared" si="14"/>
        <v>25</v>
      </c>
      <c r="M30" s="2">
        <f t="shared" si="15"/>
        <v>16.579999999999998</v>
      </c>
      <c r="N30" s="2">
        <v>13</v>
      </c>
      <c r="O30" s="2">
        <v>50.26548245743669</v>
      </c>
      <c r="P30" s="11">
        <f t="shared" si="5"/>
        <v>2.5862678252432989</v>
      </c>
      <c r="Q30" s="2">
        <f t="shared" si="6"/>
        <v>42.880320542533894</v>
      </c>
      <c r="R30" s="2">
        <f t="shared" si="7"/>
        <v>2.1761940830288218</v>
      </c>
      <c r="S30" s="2">
        <f t="shared" si="8"/>
        <v>36.081297896617862</v>
      </c>
      <c r="T30" s="2">
        <f t="shared" si="9"/>
        <v>6.7990226459160326</v>
      </c>
      <c r="V30" s="24" t="s">
        <v>14</v>
      </c>
      <c r="W30" s="24" t="s">
        <v>14</v>
      </c>
      <c r="X30" s="29"/>
    </row>
    <row r="31" spans="1:24" x14ac:dyDescent="0.25">
      <c r="A31" s="30">
        <f t="shared" si="10"/>
        <v>0.48329678362573097</v>
      </c>
      <c r="B31" s="2">
        <f t="shared" si="11"/>
        <v>26</v>
      </c>
      <c r="C31" s="4">
        <f t="shared" si="12"/>
        <v>17.329999999999998</v>
      </c>
      <c r="D31" s="2">
        <v>12</v>
      </c>
      <c r="E31" s="2">
        <v>50.26548245743669</v>
      </c>
      <c r="F31" s="11">
        <f t="shared" si="0"/>
        <v>2.3873241463784298</v>
      </c>
      <c r="G31" s="2">
        <f t="shared" si="1"/>
        <v>41.372327456738184</v>
      </c>
      <c r="H31" s="2">
        <f t="shared" si="2"/>
        <v>2.4032778038043019</v>
      </c>
      <c r="I31" s="2">
        <f t="shared" si="3"/>
        <v>41.648804339928546</v>
      </c>
      <c r="J31" s="2">
        <f t="shared" si="4"/>
        <v>0.27647688319036234</v>
      </c>
      <c r="K31" s="15">
        <f t="shared" si="13"/>
        <v>0.46478435672514623</v>
      </c>
      <c r="L31" s="2">
        <f t="shared" si="14"/>
        <v>26</v>
      </c>
      <c r="M31" s="2">
        <f t="shared" si="15"/>
        <v>17.079999999999998</v>
      </c>
      <c r="N31" s="2">
        <v>13.5</v>
      </c>
      <c r="O31" s="2">
        <v>50.26548245743669</v>
      </c>
      <c r="P31" s="11">
        <f t="shared" si="5"/>
        <v>2.6857396646757339</v>
      </c>
      <c r="Q31" s="2">
        <f t="shared" si="6"/>
        <v>45.872433472661527</v>
      </c>
      <c r="R31" s="2">
        <f t="shared" si="7"/>
        <v>2.1761940830288218</v>
      </c>
      <c r="S31" s="2">
        <f t="shared" si="8"/>
        <v>37.169394938132271</v>
      </c>
      <c r="T31" s="2">
        <f t="shared" si="9"/>
        <v>8.7030385345292558</v>
      </c>
      <c r="V31" s="24">
        <f t="array" ref="V31">INDEX(B4:B160, MATCH(MAX(D4:D160), D4:D160, 0))</f>
        <v>6</v>
      </c>
      <c r="W31" s="24">
        <f t="array" ref="W31">INDEX(L4:L160, MATCH(MAX(N4:N160), N4:N160, 0))</f>
        <v>7</v>
      </c>
      <c r="X31" s="29"/>
    </row>
    <row r="32" spans="1:24" x14ac:dyDescent="0.25">
      <c r="A32" s="30">
        <f t="shared" si="10"/>
        <v>0.48340643274853801</v>
      </c>
      <c r="B32" s="2">
        <f t="shared" si="11"/>
        <v>27</v>
      </c>
      <c r="C32" s="4">
        <f t="shared" si="12"/>
        <v>17.829999999999998</v>
      </c>
      <c r="D32" s="2">
        <v>14</v>
      </c>
      <c r="E32" s="2">
        <v>50.26548245743669</v>
      </c>
      <c r="F32" s="11">
        <f t="shared" si="0"/>
        <v>2.7852115041081689</v>
      </c>
      <c r="G32" s="2">
        <f t="shared" si="1"/>
        <v>49.660321118248646</v>
      </c>
      <c r="H32" s="2">
        <f t="shared" si="2"/>
        <v>2.4032778038043019</v>
      </c>
      <c r="I32" s="2">
        <f t="shared" si="3"/>
        <v>42.850443241830696</v>
      </c>
      <c r="J32" s="2">
        <f t="shared" si="4"/>
        <v>6.8098778764179499</v>
      </c>
      <c r="K32" s="15">
        <f t="shared" si="13"/>
        <v>0.46487573099415208</v>
      </c>
      <c r="L32" s="2">
        <f t="shared" si="14"/>
        <v>27</v>
      </c>
      <c r="M32" s="2">
        <f t="shared" si="15"/>
        <v>17.579999999999998</v>
      </c>
      <c r="N32" s="2">
        <v>12.5</v>
      </c>
      <c r="O32" s="2">
        <v>50.26548245743669</v>
      </c>
      <c r="P32" s="11">
        <f t="shared" si="5"/>
        <v>2.4867959858108648</v>
      </c>
      <c r="Q32" s="2">
        <f t="shared" si="6"/>
        <v>43.717873430555002</v>
      </c>
      <c r="R32" s="2">
        <f t="shared" si="7"/>
        <v>2.1761940830288218</v>
      </c>
      <c r="S32" s="2">
        <f t="shared" si="8"/>
        <v>38.25749197964668</v>
      </c>
      <c r="T32" s="2">
        <f t="shared" si="9"/>
        <v>5.4603814509083222</v>
      </c>
    </row>
    <row r="33" spans="1:20" x14ac:dyDescent="0.25">
      <c r="A33" s="30">
        <f t="shared" si="10"/>
        <v>0.48351608187134504</v>
      </c>
      <c r="B33" s="2">
        <f t="shared" si="11"/>
        <v>28</v>
      </c>
      <c r="C33" s="4">
        <f t="shared" si="12"/>
        <v>18.329999999999998</v>
      </c>
      <c r="D33" s="2">
        <v>12.5</v>
      </c>
      <c r="E33" s="2">
        <v>50.26548245743669</v>
      </c>
      <c r="F33" s="11">
        <f t="shared" si="0"/>
        <v>2.4867959858108648</v>
      </c>
      <c r="G33" s="2">
        <f t="shared" si="1"/>
        <v>45.582970419913146</v>
      </c>
      <c r="H33" s="2">
        <f t="shared" si="2"/>
        <v>2.4032778038043019</v>
      </c>
      <c r="I33" s="2">
        <f t="shared" si="3"/>
        <v>44.052082143732846</v>
      </c>
      <c r="J33" s="2">
        <f t="shared" si="4"/>
        <v>1.5308882761802991</v>
      </c>
      <c r="K33" s="15">
        <f t="shared" si="13"/>
        <v>0.46496710526315793</v>
      </c>
      <c r="L33" s="2">
        <f t="shared" si="14"/>
        <v>28</v>
      </c>
      <c r="M33" s="2">
        <f t="shared" si="15"/>
        <v>18.079999999999998</v>
      </c>
      <c r="N33" s="2">
        <v>13</v>
      </c>
      <c r="O33" s="2">
        <v>50.26548245743669</v>
      </c>
      <c r="P33" s="11">
        <f t="shared" si="5"/>
        <v>2.5862678252432989</v>
      </c>
      <c r="Q33" s="2">
        <f t="shared" si="6"/>
        <v>46.75972228039884</v>
      </c>
      <c r="R33" s="2">
        <f t="shared" si="7"/>
        <v>2.1761940830288218</v>
      </c>
      <c r="S33" s="2">
        <f t="shared" si="8"/>
        <v>39.345589021161096</v>
      </c>
      <c r="T33" s="2">
        <f t="shared" si="9"/>
        <v>7.4141332592377438</v>
      </c>
    </row>
    <row r="34" spans="1:20" x14ac:dyDescent="0.25">
      <c r="A34" s="30">
        <f t="shared" si="10"/>
        <v>0.48362573099415207</v>
      </c>
      <c r="B34" s="2">
        <f t="shared" si="11"/>
        <v>29</v>
      </c>
      <c r="C34" s="4">
        <f t="shared" si="12"/>
        <v>18.829999999999998</v>
      </c>
      <c r="D34" s="2">
        <v>12</v>
      </c>
      <c r="E34" s="2">
        <v>50.26548245743669</v>
      </c>
      <c r="F34" s="11">
        <f t="shared" si="0"/>
        <v>2.3873241463784298</v>
      </c>
      <c r="G34" s="2">
        <f t="shared" si="1"/>
        <v>44.953313676305832</v>
      </c>
      <c r="H34" s="2">
        <f t="shared" si="2"/>
        <v>2.4032778038043019</v>
      </c>
      <c r="I34" s="2">
        <f t="shared" si="3"/>
        <v>45.253721045635004</v>
      </c>
      <c r="J34" s="2">
        <f t="shared" si="4"/>
        <v>0.30040736932917156</v>
      </c>
      <c r="K34" s="15">
        <f t="shared" si="13"/>
        <v>0.46505847953216378</v>
      </c>
      <c r="L34" s="2">
        <f t="shared" si="14"/>
        <v>29</v>
      </c>
      <c r="M34" s="2">
        <f t="shared" si="15"/>
        <v>18.579999999999998</v>
      </c>
      <c r="N34" s="2">
        <v>14</v>
      </c>
      <c r="O34" s="2">
        <v>50.26548245743669</v>
      </c>
      <c r="P34" s="11">
        <f t="shared" si="5"/>
        <v>2.7852115041081689</v>
      </c>
      <c r="Q34" s="2">
        <f t="shared" si="6"/>
        <v>51.749229746329775</v>
      </c>
      <c r="R34" s="2">
        <f t="shared" si="7"/>
        <v>2.1761940830288218</v>
      </c>
      <c r="S34" s="2">
        <f t="shared" si="8"/>
        <v>40.433686062675505</v>
      </c>
      <c r="T34" s="2">
        <f t="shared" si="9"/>
        <v>11.315543683654269</v>
      </c>
    </row>
    <row r="35" spans="1:20" x14ac:dyDescent="0.25">
      <c r="A35" s="30">
        <f t="shared" si="10"/>
        <v>0.48373538011695905</v>
      </c>
      <c r="B35" s="2">
        <f t="shared" si="11"/>
        <v>30</v>
      </c>
      <c r="C35" s="4">
        <f t="shared" si="12"/>
        <v>19.329999999999998</v>
      </c>
      <c r="D35" s="2">
        <v>12.5</v>
      </c>
      <c r="E35" s="2">
        <v>50.26548245743669</v>
      </c>
      <c r="F35" s="11">
        <f t="shared" si="0"/>
        <v>2.4867959858108648</v>
      </c>
      <c r="G35" s="2">
        <f t="shared" si="1"/>
        <v>48.06976640572401</v>
      </c>
      <c r="H35" s="2">
        <f t="shared" si="2"/>
        <v>2.4032778038043019</v>
      </c>
      <c r="I35" s="2">
        <f t="shared" si="3"/>
        <v>46.455359947537154</v>
      </c>
      <c r="J35" s="2">
        <f t="shared" si="4"/>
        <v>1.6144064581868562</v>
      </c>
      <c r="K35" s="15">
        <f t="shared" si="13"/>
        <v>0.46514985380116958</v>
      </c>
      <c r="L35" s="2">
        <f t="shared" si="14"/>
        <v>30</v>
      </c>
      <c r="M35" s="2">
        <f t="shared" si="15"/>
        <v>19.079999999999998</v>
      </c>
      <c r="N35" s="2">
        <v>12.5</v>
      </c>
      <c r="O35" s="2">
        <v>50.26548245743669</v>
      </c>
      <c r="P35" s="11">
        <f t="shared" si="5"/>
        <v>2.4867959858108648</v>
      </c>
      <c r="Q35" s="2">
        <f t="shared" si="6"/>
        <v>47.448067409271296</v>
      </c>
      <c r="R35" s="2">
        <f t="shared" si="7"/>
        <v>2.1761940830288218</v>
      </c>
      <c r="S35" s="2">
        <f t="shared" si="8"/>
        <v>41.521783104189915</v>
      </c>
      <c r="T35" s="2">
        <f t="shared" si="9"/>
        <v>5.9262843050813814</v>
      </c>
    </row>
    <row r="36" spans="1:20" x14ac:dyDescent="0.25">
      <c r="A36" s="30">
        <f t="shared" si="10"/>
        <v>0.48384502923976608</v>
      </c>
      <c r="B36" s="2">
        <f t="shared" si="11"/>
        <v>31</v>
      </c>
      <c r="C36" s="4">
        <f t="shared" si="12"/>
        <v>19.829999999999998</v>
      </c>
      <c r="D36" s="2">
        <v>12.5</v>
      </c>
      <c r="E36" s="2">
        <v>50.26548245743669</v>
      </c>
      <c r="F36" s="11">
        <f t="shared" si="0"/>
        <v>2.4867959858108648</v>
      </c>
      <c r="G36" s="2">
        <f t="shared" si="1"/>
        <v>49.313164398629446</v>
      </c>
      <c r="H36" s="2">
        <f t="shared" si="2"/>
        <v>2.4032778038043019</v>
      </c>
      <c r="I36" s="2">
        <f t="shared" si="3"/>
        <v>47.656998849439304</v>
      </c>
      <c r="J36" s="2">
        <f t="shared" si="4"/>
        <v>1.6561655491901419</v>
      </c>
      <c r="K36" s="15">
        <f t="shared" si="13"/>
        <v>0.46524122807017543</v>
      </c>
      <c r="L36" s="2">
        <f t="shared" si="14"/>
        <v>31</v>
      </c>
      <c r="M36" s="2">
        <f t="shared" si="15"/>
        <v>19.579999999999998</v>
      </c>
      <c r="N36" s="2">
        <v>13</v>
      </c>
      <c r="O36" s="2">
        <v>50.26548245743669</v>
      </c>
      <c r="P36" s="11">
        <f t="shared" si="5"/>
        <v>2.5862678252432989</v>
      </c>
      <c r="Q36" s="2">
        <f t="shared" si="6"/>
        <v>50.639124018263786</v>
      </c>
      <c r="R36" s="2">
        <f t="shared" si="7"/>
        <v>2.1761940830288218</v>
      </c>
      <c r="S36" s="2">
        <f t="shared" si="8"/>
        <v>42.609880145704324</v>
      </c>
      <c r="T36" s="2">
        <f t="shared" si="9"/>
        <v>8.0292438725594621</v>
      </c>
    </row>
    <row r="37" spans="1:20" x14ac:dyDescent="0.25">
      <c r="A37" s="30">
        <f t="shared" si="10"/>
        <v>0.48395467836257311</v>
      </c>
      <c r="B37" s="2">
        <f t="shared" si="11"/>
        <v>32</v>
      </c>
      <c r="C37" s="4">
        <f t="shared" si="12"/>
        <v>20.329999999999998</v>
      </c>
      <c r="D37" s="23">
        <v>13.5</v>
      </c>
      <c r="E37" s="2">
        <v>50.26548245743669</v>
      </c>
      <c r="F37" s="11">
        <f t="shared" si="0"/>
        <v>2.6857396646757339</v>
      </c>
      <c r="G37" s="2">
        <f t="shared" si="1"/>
        <v>54.601087382857663</v>
      </c>
      <c r="H37" s="2">
        <f t="shared" si="2"/>
        <v>2.4032778038043019</v>
      </c>
      <c r="I37" s="2">
        <f t="shared" si="3"/>
        <v>48.858637751341455</v>
      </c>
      <c r="J37" s="2">
        <f t="shared" si="4"/>
        <v>5.7424496315162088</v>
      </c>
      <c r="K37" s="15">
        <f t="shared" si="13"/>
        <v>0.46533260233918128</v>
      </c>
      <c r="L37" s="23">
        <f t="shared" si="14"/>
        <v>32</v>
      </c>
      <c r="M37" s="23">
        <f t="shared" si="15"/>
        <v>20.079999999999998</v>
      </c>
      <c r="N37" s="23">
        <v>13</v>
      </c>
      <c r="O37" s="2">
        <v>50.26548245743669</v>
      </c>
      <c r="P37" s="11">
        <f t="shared" si="5"/>
        <v>2.5862678252432989</v>
      </c>
      <c r="Q37" s="2">
        <f t="shared" si="6"/>
        <v>51.932257930885434</v>
      </c>
      <c r="R37" s="2">
        <f t="shared" si="7"/>
        <v>2.1761940830288218</v>
      </c>
      <c r="S37" s="2">
        <f t="shared" si="8"/>
        <v>43.69797718721874</v>
      </c>
      <c r="T37" s="2">
        <f t="shared" si="9"/>
        <v>8.2342807436666945</v>
      </c>
    </row>
    <row r="38" spans="1:20" x14ac:dyDescent="0.25">
      <c r="A38" s="30">
        <f t="shared" si="10"/>
        <v>0.48406432748538014</v>
      </c>
      <c r="B38" s="2">
        <f t="shared" si="11"/>
        <v>33</v>
      </c>
      <c r="C38" s="4">
        <f t="shared" si="12"/>
        <v>20.83</v>
      </c>
      <c r="D38" s="2">
        <v>11</v>
      </c>
      <c r="E38" s="2">
        <v>50.26548245743669</v>
      </c>
      <c r="F38" s="11">
        <f t="shared" si="0"/>
        <v>2.1883804675135607</v>
      </c>
      <c r="G38" s="2">
        <f t="shared" si="1"/>
        <v>45.58396513830747</v>
      </c>
      <c r="H38" s="2">
        <f t="shared" si="2"/>
        <v>2.4032778038043019</v>
      </c>
      <c r="I38" s="2">
        <f t="shared" si="3"/>
        <v>50.060276653243605</v>
      </c>
      <c r="J38" s="2">
        <f t="shared" si="4"/>
        <v>4.4763115149361354</v>
      </c>
      <c r="K38" s="15">
        <f t="shared" si="13"/>
        <v>0.46542397660818713</v>
      </c>
      <c r="L38" s="2">
        <f t="shared" si="14"/>
        <v>33</v>
      </c>
      <c r="M38" s="2">
        <f t="shared" si="15"/>
        <v>20.58</v>
      </c>
      <c r="N38" s="2">
        <v>14</v>
      </c>
      <c r="O38" s="2">
        <v>50.26548245743669</v>
      </c>
      <c r="P38" s="11">
        <f t="shared" si="5"/>
        <v>2.7852115041081689</v>
      </c>
      <c r="Q38" s="2">
        <f t="shared" si="6"/>
        <v>57.319652754546112</v>
      </c>
      <c r="R38" s="2">
        <f t="shared" si="7"/>
        <v>2.1761940830288218</v>
      </c>
      <c r="S38" s="2">
        <f t="shared" si="8"/>
        <v>44.786074228733149</v>
      </c>
      <c r="T38" s="2">
        <f t="shared" si="9"/>
        <v>12.533578525812963</v>
      </c>
    </row>
    <row r="39" spans="1:20" x14ac:dyDescent="0.25">
      <c r="A39" s="30">
        <f t="shared" si="10"/>
        <v>0.48417397660818712</v>
      </c>
      <c r="B39" s="2">
        <f t="shared" si="11"/>
        <v>34</v>
      </c>
      <c r="C39" s="4">
        <f t="shared" si="12"/>
        <v>21.33</v>
      </c>
      <c r="D39" s="2">
        <v>11</v>
      </c>
      <c r="E39" s="2">
        <v>50.26548245743669</v>
      </c>
      <c r="F39" s="11">
        <f t="shared" si="0"/>
        <v>2.1883804675135607</v>
      </c>
      <c r="G39" s="2">
        <f t="shared" si="1"/>
        <v>46.678155372064246</v>
      </c>
      <c r="H39" s="2">
        <f t="shared" si="2"/>
        <v>2.4032778038043019</v>
      </c>
      <c r="I39" s="2">
        <f t="shared" si="3"/>
        <v>51.261915555145755</v>
      </c>
      <c r="J39" s="2">
        <f t="shared" si="4"/>
        <v>4.5837601830815089</v>
      </c>
      <c r="K39" s="15">
        <f t="shared" si="13"/>
        <v>0.46551535087719298</v>
      </c>
      <c r="L39" s="2">
        <f t="shared" si="14"/>
        <v>34</v>
      </c>
      <c r="M39" s="2">
        <f t="shared" si="15"/>
        <v>21.08</v>
      </c>
      <c r="N39" s="2">
        <v>12</v>
      </c>
      <c r="O39" s="2">
        <v>50.26548245743669</v>
      </c>
      <c r="P39" s="11">
        <f t="shared" si="5"/>
        <v>2.3873241463784298</v>
      </c>
      <c r="Q39" s="2">
        <f t="shared" si="6"/>
        <v>50.324793005657298</v>
      </c>
      <c r="R39" s="2">
        <f t="shared" si="7"/>
        <v>2.1761940830288218</v>
      </c>
      <c r="S39" s="2">
        <f t="shared" si="8"/>
        <v>45.874171270247558</v>
      </c>
      <c r="T39" s="2">
        <f t="shared" si="9"/>
        <v>4.4506217354097402</v>
      </c>
    </row>
    <row r="40" spans="1:20" x14ac:dyDescent="0.25">
      <c r="A40" s="30">
        <f t="shared" si="10"/>
        <v>0.48428362573099415</v>
      </c>
      <c r="B40" s="2">
        <f t="shared" si="11"/>
        <v>35</v>
      </c>
      <c r="C40" s="4">
        <f t="shared" si="12"/>
        <v>21.83</v>
      </c>
      <c r="D40" s="2">
        <v>11.5</v>
      </c>
      <c r="E40" s="2">
        <v>50.26548245743669</v>
      </c>
      <c r="F40" s="11">
        <f t="shared" si="0"/>
        <v>2.2878523069459957</v>
      </c>
      <c r="G40" s="2">
        <f t="shared" si="1"/>
        <v>49.943815860631084</v>
      </c>
      <c r="H40" s="2">
        <f t="shared" si="2"/>
        <v>2.4032778038043019</v>
      </c>
      <c r="I40" s="2">
        <f t="shared" si="3"/>
        <v>52.463554457047906</v>
      </c>
      <c r="J40" s="2">
        <f t="shared" si="4"/>
        <v>2.519738596416822</v>
      </c>
      <c r="K40" s="15">
        <f t="shared" si="13"/>
        <v>0.46560672514619883</v>
      </c>
      <c r="L40" s="2">
        <f t="shared" si="14"/>
        <v>35</v>
      </c>
      <c r="M40" s="2">
        <f t="shared" si="15"/>
        <v>21.58</v>
      </c>
      <c r="N40" s="2">
        <v>13</v>
      </c>
      <c r="O40" s="2">
        <v>50.26548245743669</v>
      </c>
      <c r="P40" s="11">
        <f t="shared" si="5"/>
        <v>2.5862678252432989</v>
      </c>
      <c r="Q40" s="2">
        <f t="shared" si="6"/>
        <v>55.811659668750387</v>
      </c>
      <c r="R40" s="2">
        <f t="shared" si="7"/>
        <v>2.1761940830288218</v>
      </c>
      <c r="S40" s="2">
        <f t="shared" si="8"/>
        <v>46.962268311761967</v>
      </c>
      <c r="T40" s="2">
        <f t="shared" si="9"/>
        <v>8.8493913569884199</v>
      </c>
    </row>
    <row r="41" spans="1:20" x14ac:dyDescent="0.25">
      <c r="A41" s="30">
        <f t="shared" si="10"/>
        <v>0.48439327485380118</v>
      </c>
      <c r="B41" s="2">
        <f t="shared" si="11"/>
        <v>36</v>
      </c>
      <c r="C41" s="4">
        <f t="shared" si="12"/>
        <v>22.33</v>
      </c>
      <c r="D41" s="2">
        <v>13.5</v>
      </c>
      <c r="E41" s="2">
        <v>50.26548245743669</v>
      </c>
      <c r="F41" s="11">
        <f t="shared" si="0"/>
        <v>2.6857396646757339</v>
      </c>
      <c r="G41" s="2">
        <f t="shared" si="1"/>
        <v>59.972566712209137</v>
      </c>
      <c r="H41" s="2">
        <f t="shared" si="2"/>
        <v>2.4032778038043019</v>
      </c>
      <c r="I41" s="2">
        <f t="shared" si="3"/>
        <v>53.665193358950056</v>
      </c>
      <c r="J41" s="2">
        <f t="shared" si="4"/>
        <v>6.3073733532590808</v>
      </c>
      <c r="K41" s="15">
        <f t="shared" si="13"/>
        <v>0.46569809941520468</v>
      </c>
      <c r="L41" s="2">
        <f t="shared" si="14"/>
        <v>36</v>
      </c>
      <c r="M41" s="2">
        <f t="shared" si="15"/>
        <v>22.08</v>
      </c>
      <c r="N41" s="2">
        <v>13</v>
      </c>
      <c r="O41" s="2">
        <v>50.26548245743669</v>
      </c>
      <c r="P41" s="11">
        <f t="shared" si="5"/>
        <v>2.5862678252432989</v>
      </c>
      <c r="Q41" s="2">
        <f t="shared" si="6"/>
        <v>57.104793581372036</v>
      </c>
      <c r="R41" s="2">
        <f t="shared" si="7"/>
        <v>2.1761940830288218</v>
      </c>
      <c r="S41" s="2">
        <f t="shared" si="8"/>
        <v>48.050365353276383</v>
      </c>
      <c r="T41" s="2">
        <f t="shared" si="9"/>
        <v>9.0544282280956523</v>
      </c>
    </row>
    <row r="42" spans="1:20" x14ac:dyDescent="0.25">
      <c r="A42" s="30">
        <f t="shared" si="10"/>
        <v>0.48450292397660821</v>
      </c>
      <c r="B42" s="2">
        <f t="shared" si="11"/>
        <v>37</v>
      </c>
      <c r="C42" s="4">
        <f t="shared" si="12"/>
        <v>22.83</v>
      </c>
      <c r="D42" s="2">
        <v>11.5</v>
      </c>
      <c r="E42" s="2">
        <v>50.26548245743669</v>
      </c>
      <c r="F42" s="11">
        <f t="shared" si="0"/>
        <v>2.2878523069459957</v>
      </c>
      <c r="G42" s="2">
        <f t="shared" si="1"/>
        <v>52.231668167577077</v>
      </c>
      <c r="H42" s="2">
        <f t="shared" si="2"/>
        <v>2.4032778038043019</v>
      </c>
      <c r="I42" s="2">
        <f t="shared" si="3"/>
        <v>54.866832260852206</v>
      </c>
      <c r="J42" s="2">
        <f t="shared" si="4"/>
        <v>2.6351640932751295</v>
      </c>
      <c r="K42" s="15">
        <f t="shared" si="13"/>
        <v>0.46578947368421053</v>
      </c>
      <c r="L42" s="2">
        <f t="shared" si="14"/>
        <v>37</v>
      </c>
      <c r="M42" s="2">
        <f t="shared" si="15"/>
        <v>22.58</v>
      </c>
      <c r="N42" s="2">
        <v>21</v>
      </c>
      <c r="O42" s="2">
        <v>50.26548245743669</v>
      </c>
      <c r="P42" s="11">
        <f t="shared" si="5"/>
        <v>4.1778172561622533</v>
      </c>
      <c r="Q42" s="2">
        <f t="shared" si="6"/>
        <v>94.335113644143675</v>
      </c>
      <c r="R42" s="2">
        <f t="shared" si="7"/>
        <v>2.1761940830288218</v>
      </c>
      <c r="S42" s="2">
        <f t="shared" si="8"/>
        <v>49.138462394790793</v>
      </c>
      <c r="T42" s="2">
        <f t="shared" si="9"/>
        <v>45.196651249352882</v>
      </c>
    </row>
    <row r="43" spans="1:20" x14ac:dyDescent="0.25">
      <c r="A43" s="30">
        <f t="shared" si="10"/>
        <v>0.48461257309941519</v>
      </c>
      <c r="B43" s="2">
        <f t="shared" si="11"/>
        <v>38</v>
      </c>
      <c r="C43" s="4">
        <f t="shared" si="12"/>
        <v>23.33</v>
      </c>
      <c r="D43" s="2">
        <v>12</v>
      </c>
      <c r="E43" s="2">
        <v>50.26548245743669</v>
      </c>
      <c r="F43" s="11">
        <f t="shared" si="0"/>
        <v>2.3873241463784298</v>
      </c>
      <c r="G43" s="2">
        <f t="shared" si="1"/>
        <v>55.696272335008764</v>
      </c>
      <c r="H43" s="2">
        <f t="shared" si="2"/>
        <v>2.4032778038043019</v>
      </c>
      <c r="I43" s="2">
        <f t="shared" si="3"/>
        <v>56.068471162754356</v>
      </c>
      <c r="J43" s="2">
        <f t="shared" si="4"/>
        <v>0.3721988277455921</v>
      </c>
      <c r="K43" s="15">
        <f t="shared" si="13"/>
        <v>0.46588084795321638</v>
      </c>
      <c r="L43" s="2">
        <f t="shared" si="14"/>
        <v>38</v>
      </c>
      <c r="M43" s="2">
        <f t="shared" si="15"/>
        <v>23.08</v>
      </c>
      <c r="N43" s="2">
        <v>13</v>
      </c>
      <c r="O43" s="2">
        <v>50.26548245743669</v>
      </c>
      <c r="P43" s="11">
        <f t="shared" si="5"/>
        <v>2.5862678252432989</v>
      </c>
      <c r="Q43" s="2">
        <f t="shared" si="6"/>
        <v>59.691061406615333</v>
      </c>
      <c r="R43" s="2">
        <f t="shared" si="7"/>
        <v>2.1761940830288218</v>
      </c>
      <c r="S43" s="2">
        <f t="shared" si="8"/>
        <v>50.226559436305202</v>
      </c>
      <c r="T43" s="2">
        <f t="shared" si="9"/>
        <v>9.4645019703101312</v>
      </c>
    </row>
    <row r="44" spans="1:20" x14ac:dyDescent="0.25">
      <c r="A44" s="10">
        <v>0.48472222222222222</v>
      </c>
      <c r="B44" s="2">
        <f t="shared" si="11"/>
        <v>39</v>
      </c>
      <c r="C44" s="4">
        <f t="shared" si="12"/>
        <v>23.83</v>
      </c>
      <c r="D44" s="2">
        <v>12</v>
      </c>
      <c r="E44" s="2">
        <v>50.26548245743669</v>
      </c>
      <c r="F44" s="11">
        <f t="shared" si="0"/>
        <v>2.3873241463784298</v>
      </c>
      <c r="G44" s="2">
        <f t="shared" si="1"/>
        <v>56.889934408197981</v>
      </c>
      <c r="H44" s="2">
        <f t="shared" si="2"/>
        <v>2.4032778038043019</v>
      </c>
      <c r="I44" s="2">
        <f t="shared" si="3"/>
        <v>57.270110064656507</v>
      </c>
      <c r="J44" s="2">
        <f t="shared" si="4"/>
        <v>0.38017565645852613</v>
      </c>
      <c r="K44" s="12">
        <v>0.46597222222222223</v>
      </c>
      <c r="L44" s="2">
        <f t="shared" si="14"/>
        <v>39</v>
      </c>
      <c r="M44" s="2">
        <f t="shared" si="15"/>
        <v>23.58</v>
      </c>
      <c r="N44" s="2">
        <v>13.5</v>
      </c>
      <c r="O44" s="2">
        <v>50.26548245743669</v>
      </c>
      <c r="P44" s="11">
        <f t="shared" si="5"/>
        <v>2.6857396646757339</v>
      </c>
      <c r="Q44" s="2">
        <f t="shared" si="6"/>
        <v>63.3297412930538</v>
      </c>
      <c r="R44" s="2">
        <f t="shared" si="7"/>
        <v>2.1761940830288218</v>
      </c>
      <c r="S44" s="2">
        <f t="shared" si="8"/>
        <v>51.314656477819611</v>
      </c>
      <c r="T44" s="2">
        <f t="shared" si="9"/>
        <v>12.015084815234189</v>
      </c>
    </row>
    <row r="45" spans="1:20" x14ac:dyDescent="0.25">
      <c r="A45" s="14">
        <f t="shared" ref="A45:A82" si="16">IF(AND($A$44&lt;&gt;"",$A$83&lt;&gt;""), $A$44 + (B45 - $B$44) * (($A$83 - $A$44) / ($B$83 - $B$44)), "")</f>
        <v>0.48482905982905983</v>
      </c>
      <c r="B45" s="2">
        <f t="shared" si="11"/>
        <v>40</v>
      </c>
      <c r="C45" s="4">
        <f t="shared" si="12"/>
        <v>24.33</v>
      </c>
      <c r="D45" s="2">
        <v>13</v>
      </c>
      <c r="E45" s="2">
        <v>50.26548245743669</v>
      </c>
      <c r="F45" s="11">
        <f t="shared" si="0"/>
        <v>2.5862678252432989</v>
      </c>
      <c r="G45" s="2">
        <f t="shared" si="1"/>
        <v>62.923896188169458</v>
      </c>
      <c r="H45" s="2">
        <f t="shared" si="2"/>
        <v>2.4032778038043019</v>
      </c>
      <c r="I45" s="2">
        <f t="shared" si="3"/>
        <v>58.471748966558664</v>
      </c>
      <c r="J45" s="2">
        <f t="shared" si="4"/>
        <v>4.4521472216107938</v>
      </c>
      <c r="K45" s="15">
        <f t="shared" ref="K45:K82" si="17">IF(AND($K$44&lt;&gt;"",$K$83&lt;&gt;""), $K$44 + (L45 - $L$44) * (($K$83 - $K$44) / ($L$83 - $L$44)), "")</f>
        <v>0.46606125356125355</v>
      </c>
      <c r="L45" s="2">
        <f t="shared" si="14"/>
        <v>40</v>
      </c>
      <c r="M45" s="2">
        <f t="shared" si="15"/>
        <v>24.08</v>
      </c>
      <c r="N45" s="2">
        <v>12.5</v>
      </c>
      <c r="O45" s="2">
        <v>50.26548245743669</v>
      </c>
      <c r="P45" s="11">
        <f t="shared" si="5"/>
        <v>2.4867959858108648</v>
      </c>
      <c r="Q45" s="2">
        <f t="shared" si="6"/>
        <v>59.88204733832562</v>
      </c>
      <c r="R45" s="2">
        <f t="shared" si="7"/>
        <v>2.1761940830288218</v>
      </c>
      <c r="S45" s="2">
        <f t="shared" si="8"/>
        <v>52.402753519334027</v>
      </c>
      <c r="T45" s="2">
        <f t="shared" si="9"/>
        <v>7.479293818991593</v>
      </c>
    </row>
    <row r="46" spans="1:20" x14ac:dyDescent="0.25">
      <c r="A46" s="14">
        <f t="shared" si="16"/>
        <v>0.48493589743589743</v>
      </c>
      <c r="B46" s="2">
        <f t="shared" si="11"/>
        <v>41</v>
      </c>
      <c r="C46" s="4">
        <f t="shared" si="12"/>
        <v>24.83</v>
      </c>
      <c r="D46" s="2">
        <v>12</v>
      </c>
      <c r="E46" s="2">
        <v>50.26548245743669</v>
      </c>
      <c r="F46" s="11">
        <f t="shared" si="0"/>
        <v>2.3873241463784298</v>
      </c>
      <c r="G46" s="2">
        <f t="shared" si="1"/>
        <v>59.277258554576406</v>
      </c>
      <c r="H46" s="2">
        <f t="shared" si="2"/>
        <v>2.4032778038043019</v>
      </c>
      <c r="I46" s="2">
        <f t="shared" si="3"/>
        <v>59.673387868460814</v>
      </c>
      <c r="J46" s="2">
        <f t="shared" si="4"/>
        <v>0.39612931388440842</v>
      </c>
      <c r="K46" s="15">
        <f t="shared" si="17"/>
        <v>0.46615028490028493</v>
      </c>
      <c r="L46" s="2">
        <f t="shared" si="14"/>
        <v>41</v>
      </c>
      <c r="M46" s="2">
        <f t="shared" si="15"/>
        <v>24.58</v>
      </c>
      <c r="N46" s="2">
        <v>14</v>
      </c>
      <c r="O46" s="2">
        <v>50.26548245743669</v>
      </c>
      <c r="P46" s="11">
        <f t="shared" si="5"/>
        <v>2.7852115041081689</v>
      </c>
      <c r="Q46" s="2">
        <f t="shared" si="6"/>
        <v>68.460498770978788</v>
      </c>
      <c r="R46" s="2">
        <f t="shared" si="7"/>
        <v>2.1761940830288218</v>
      </c>
      <c r="S46" s="2">
        <f t="shared" si="8"/>
        <v>53.490850560848436</v>
      </c>
      <c r="T46" s="2">
        <f t="shared" si="9"/>
        <v>14.969648210130352</v>
      </c>
    </row>
    <row r="47" spans="1:20" x14ac:dyDescent="0.25">
      <c r="A47" s="14">
        <f t="shared" si="16"/>
        <v>0.48504273504273504</v>
      </c>
      <c r="B47" s="2">
        <f t="shared" si="11"/>
        <v>42</v>
      </c>
      <c r="C47" s="4">
        <f t="shared" si="12"/>
        <v>25.33</v>
      </c>
      <c r="D47" s="2">
        <v>12.5</v>
      </c>
      <c r="E47" s="2">
        <v>50.26548245743669</v>
      </c>
      <c r="F47" s="11">
        <f t="shared" si="0"/>
        <v>2.4867959858108648</v>
      </c>
      <c r="G47" s="2">
        <f t="shared" si="1"/>
        <v>62.990542320589199</v>
      </c>
      <c r="H47" s="2">
        <f t="shared" si="2"/>
        <v>2.4032778038043019</v>
      </c>
      <c r="I47" s="2">
        <f t="shared" si="3"/>
        <v>60.875026770362965</v>
      </c>
      <c r="J47" s="2">
        <f t="shared" si="4"/>
        <v>2.1155155502262346</v>
      </c>
      <c r="K47" s="15">
        <f t="shared" si="17"/>
        <v>0.46623931623931625</v>
      </c>
      <c r="L47" s="2">
        <f t="shared" si="14"/>
        <v>42</v>
      </c>
      <c r="M47" s="2">
        <f t="shared" si="15"/>
        <v>25.08</v>
      </c>
      <c r="N47" s="2">
        <v>13.5</v>
      </c>
      <c r="O47" s="2">
        <v>50.26548245743669</v>
      </c>
      <c r="P47" s="11">
        <f t="shared" si="5"/>
        <v>2.6857396646757339</v>
      </c>
      <c r="Q47" s="2">
        <f t="shared" si="6"/>
        <v>67.358350790067405</v>
      </c>
      <c r="R47" s="2">
        <f t="shared" si="7"/>
        <v>2.1761940830288218</v>
      </c>
      <c r="S47" s="2">
        <f t="shared" si="8"/>
        <v>54.578947602362845</v>
      </c>
      <c r="T47" s="2">
        <f t="shared" si="9"/>
        <v>12.77940318770456</v>
      </c>
    </row>
    <row r="48" spans="1:20" x14ac:dyDescent="0.25">
      <c r="A48" s="14">
        <f t="shared" si="16"/>
        <v>0.48514957264957265</v>
      </c>
      <c r="B48" s="2">
        <f t="shared" si="11"/>
        <v>43</v>
      </c>
      <c r="C48" s="4">
        <f t="shared" si="12"/>
        <v>25.83</v>
      </c>
      <c r="D48" s="2">
        <v>13</v>
      </c>
      <c r="E48" s="2">
        <v>50.26548245743669</v>
      </c>
      <c r="F48" s="11">
        <f t="shared" si="0"/>
        <v>2.5862678252432989</v>
      </c>
      <c r="G48" s="2">
        <f t="shared" si="1"/>
        <v>66.803297926034404</v>
      </c>
      <c r="H48" s="2">
        <f t="shared" si="2"/>
        <v>2.4032778038043019</v>
      </c>
      <c r="I48" s="2">
        <f t="shared" si="3"/>
        <v>62.076665672265115</v>
      </c>
      <c r="J48" s="2">
        <f t="shared" si="4"/>
        <v>4.7266322537692886</v>
      </c>
      <c r="K48" s="15">
        <f t="shared" si="17"/>
        <v>0.46632834757834757</v>
      </c>
      <c r="L48" s="2">
        <f t="shared" si="14"/>
        <v>43</v>
      </c>
      <c r="M48" s="2">
        <f t="shared" si="15"/>
        <v>25.58</v>
      </c>
      <c r="N48" s="2">
        <v>14</v>
      </c>
      <c r="O48" s="2">
        <v>50.26548245743669</v>
      </c>
      <c r="P48" s="11">
        <f t="shared" si="5"/>
        <v>2.7852115041081689</v>
      </c>
      <c r="Q48" s="2">
        <f t="shared" si="6"/>
        <v>71.24571027508695</v>
      </c>
      <c r="R48" s="2">
        <f t="shared" si="7"/>
        <v>2.1761940830288218</v>
      </c>
      <c r="S48" s="2">
        <f t="shared" si="8"/>
        <v>55.667044643877254</v>
      </c>
      <c r="T48" s="2">
        <f t="shared" si="9"/>
        <v>15.578665631209695</v>
      </c>
    </row>
    <row r="49" spans="1:20" x14ac:dyDescent="0.25">
      <c r="A49" s="14">
        <f t="shared" si="16"/>
        <v>0.48525641025641025</v>
      </c>
      <c r="B49" s="2">
        <f t="shared" si="11"/>
        <v>44</v>
      </c>
      <c r="C49" s="4">
        <f t="shared" si="12"/>
        <v>26.33</v>
      </c>
      <c r="D49" s="2">
        <v>13</v>
      </c>
      <c r="E49" s="2">
        <v>50.26548245743669</v>
      </c>
      <c r="F49" s="11">
        <f t="shared" si="0"/>
        <v>2.5862678252432989</v>
      </c>
      <c r="G49" s="2">
        <f t="shared" si="1"/>
        <v>68.096431838656059</v>
      </c>
      <c r="H49" s="2">
        <f t="shared" si="2"/>
        <v>2.4032778038043019</v>
      </c>
      <c r="I49" s="2">
        <f t="shared" si="3"/>
        <v>63.278304574167265</v>
      </c>
      <c r="J49" s="2">
        <f t="shared" si="4"/>
        <v>4.818127264488794</v>
      </c>
      <c r="K49" s="15">
        <f t="shared" si="17"/>
        <v>0.46641737891737894</v>
      </c>
      <c r="L49" s="2">
        <f t="shared" si="14"/>
        <v>44</v>
      </c>
      <c r="M49" s="2">
        <f t="shared" si="15"/>
        <v>26.08</v>
      </c>
      <c r="N49" s="2">
        <v>14.5</v>
      </c>
      <c r="O49" s="2">
        <v>50.26548245743669</v>
      </c>
      <c r="P49" s="11">
        <f t="shared" si="5"/>
        <v>2.8846833435406034</v>
      </c>
      <c r="Q49" s="2">
        <f t="shared" si="6"/>
        <v>75.232541599538933</v>
      </c>
      <c r="R49" s="2">
        <f t="shared" si="7"/>
        <v>2.1761940830288218</v>
      </c>
      <c r="S49" s="2">
        <f t="shared" si="8"/>
        <v>56.755141685391671</v>
      </c>
      <c r="T49" s="2">
        <f t="shared" si="9"/>
        <v>18.477399914147263</v>
      </c>
    </row>
    <row r="50" spans="1:20" x14ac:dyDescent="0.25">
      <c r="A50" s="14">
        <f t="shared" si="16"/>
        <v>0.48536324786324786</v>
      </c>
      <c r="B50" s="2">
        <f t="shared" si="11"/>
        <v>45</v>
      </c>
      <c r="C50" s="4">
        <f t="shared" si="12"/>
        <v>26.83</v>
      </c>
      <c r="D50" s="2">
        <v>13.5</v>
      </c>
      <c r="E50" s="2">
        <v>50.26548245743669</v>
      </c>
      <c r="F50" s="11">
        <f t="shared" si="0"/>
        <v>2.6857396646757339</v>
      </c>
      <c r="G50" s="2">
        <f t="shared" si="1"/>
        <v>72.05839520324993</v>
      </c>
      <c r="H50" s="2">
        <f t="shared" si="2"/>
        <v>2.4032778038043019</v>
      </c>
      <c r="I50" s="2">
        <f t="shared" si="3"/>
        <v>64.479943476069423</v>
      </c>
      <c r="J50" s="2">
        <f t="shared" si="4"/>
        <v>7.5784517271805072</v>
      </c>
      <c r="K50" s="15">
        <f t="shared" si="17"/>
        <v>0.46650641025641026</v>
      </c>
      <c r="L50" s="2">
        <f t="shared" si="14"/>
        <v>45</v>
      </c>
      <c r="M50" s="2">
        <f t="shared" si="15"/>
        <v>26.58</v>
      </c>
      <c r="N50" s="2">
        <v>14</v>
      </c>
      <c r="O50" s="2">
        <v>50.26548245743669</v>
      </c>
      <c r="P50" s="11">
        <f t="shared" si="5"/>
        <v>2.7852115041081689</v>
      </c>
      <c r="Q50" s="2">
        <f t="shared" si="6"/>
        <v>74.030921779195126</v>
      </c>
      <c r="R50" s="2">
        <f t="shared" si="7"/>
        <v>2.1761940830288218</v>
      </c>
      <c r="S50" s="2">
        <f t="shared" si="8"/>
        <v>57.84323872690608</v>
      </c>
      <c r="T50" s="2">
        <f t="shared" si="9"/>
        <v>16.187683052289046</v>
      </c>
    </row>
    <row r="51" spans="1:20" x14ac:dyDescent="0.25">
      <c r="A51" s="14">
        <f t="shared" si="16"/>
        <v>0.48547008547008547</v>
      </c>
      <c r="B51" s="2">
        <f t="shared" si="11"/>
        <v>46</v>
      </c>
      <c r="C51" s="4">
        <f t="shared" si="12"/>
        <v>27.33</v>
      </c>
      <c r="D51" s="2">
        <v>14.5</v>
      </c>
      <c r="E51" s="2">
        <v>50.26548245743669</v>
      </c>
      <c r="F51" s="11">
        <f t="shared" si="0"/>
        <v>2.8846833435406034</v>
      </c>
      <c r="G51" s="2">
        <f t="shared" si="1"/>
        <v>78.838395778964681</v>
      </c>
      <c r="H51" s="2">
        <f t="shared" si="2"/>
        <v>2.4032778038043019</v>
      </c>
      <c r="I51" s="2">
        <f t="shared" si="3"/>
        <v>65.681582377971566</v>
      </c>
      <c r="J51" s="2">
        <f t="shared" si="4"/>
        <v>13.156813400993116</v>
      </c>
      <c r="K51" s="15">
        <f t="shared" si="17"/>
        <v>0.46659544159544158</v>
      </c>
      <c r="L51" s="2">
        <f t="shared" si="14"/>
        <v>46</v>
      </c>
      <c r="M51" s="2">
        <f t="shared" si="15"/>
        <v>27.08</v>
      </c>
      <c r="N51" s="2">
        <v>14.5</v>
      </c>
      <c r="O51" s="2">
        <v>50.26548245743669</v>
      </c>
      <c r="P51" s="11">
        <f t="shared" si="5"/>
        <v>2.8846833435406034</v>
      </c>
      <c r="Q51" s="2">
        <f t="shared" si="6"/>
        <v>78.117224943079535</v>
      </c>
      <c r="R51" s="2">
        <f t="shared" si="7"/>
        <v>2.1761940830288218</v>
      </c>
      <c r="S51" s="2">
        <f t="shared" si="8"/>
        <v>58.931335768420489</v>
      </c>
      <c r="T51" s="2">
        <f t="shared" si="9"/>
        <v>19.185889174659046</v>
      </c>
    </row>
    <row r="52" spans="1:20" x14ac:dyDescent="0.25">
      <c r="A52" s="14">
        <f t="shared" si="16"/>
        <v>0.48557692307692307</v>
      </c>
      <c r="B52" s="2">
        <f t="shared" si="11"/>
        <v>47</v>
      </c>
      <c r="C52" s="4">
        <f t="shared" si="12"/>
        <v>27.83</v>
      </c>
      <c r="D52" s="2">
        <v>12.5</v>
      </c>
      <c r="E52" s="2">
        <v>50.26548245743669</v>
      </c>
      <c r="F52" s="11">
        <f t="shared" si="0"/>
        <v>2.4867959858108648</v>
      </c>
      <c r="G52" s="2">
        <f t="shared" si="1"/>
        <v>69.207532285116358</v>
      </c>
      <c r="H52" s="2">
        <f t="shared" si="2"/>
        <v>2.4032778038043019</v>
      </c>
      <c r="I52" s="2">
        <f t="shared" si="3"/>
        <v>66.883221279873723</v>
      </c>
      <c r="J52" s="2">
        <f t="shared" si="4"/>
        <v>2.3243110052426346</v>
      </c>
      <c r="K52" s="15">
        <f t="shared" si="17"/>
        <v>0.46668447293447296</v>
      </c>
      <c r="L52" s="2">
        <f t="shared" si="14"/>
        <v>47</v>
      </c>
      <c r="M52" s="2">
        <f t="shared" si="15"/>
        <v>27.58</v>
      </c>
      <c r="N52" s="2">
        <v>13</v>
      </c>
      <c r="O52" s="2">
        <v>50.26548245743669</v>
      </c>
      <c r="P52" s="11">
        <f t="shared" si="5"/>
        <v>2.5862678252432989</v>
      </c>
      <c r="Q52" s="2">
        <f t="shared" si="6"/>
        <v>71.329266620210177</v>
      </c>
      <c r="R52" s="2">
        <f t="shared" si="7"/>
        <v>2.1761940830288218</v>
      </c>
      <c r="S52" s="2">
        <f t="shared" si="8"/>
        <v>60.019432809934898</v>
      </c>
      <c r="T52" s="2">
        <f t="shared" si="9"/>
        <v>11.309833810275279</v>
      </c>
    </row>
    <row r="53" spans="1:20" x14ac:dyDescent="0.25">
      <c r="A53" s="14">
        <f t="shared" si="16"/>
        <v>0.48568376068376068</v>
      </c>
      <c r="B53" s="2">
        <f t="shared" si="11"/>
        <v>48</v>
      </c>
      <c r="C53" s="4">
        <f t="shared" si="12"/>
        <v>28.33</v>
      </c>
      <c r="D53" s="2">
        <v>13</v>
      </c>
      <c r="E53" s="2">
        <v>50.26548245743669</v>
      </c>
      <c r="F53" s="11">
        <f t="shared" si="0"/>
        <v>2.5862678252432989</v>
      </c>
      <c r="G53" s="2">
        <f t="shared" si="1"/>
        <v>73.268967489142653</v>
      </c>
      <c r="H53" s="2">
        <f t="shared" si="2"/>
        <v>2.4032778038043019</v>
      </c>
      <c r="I53" s="2">
        <f t="shared" si="3"/>
        <v>68.084860181775866</v>
      </c>
      <c r="J53" s="2">
        <f t="shared" si="4"/>
        <v>5.1841073073667872</v>
      </c>
      <c r="K53" s="15">
        <f t="shared" si="17"/>
        <v>0.46677350427350428</v>
      </c>
      <c r="L53" s="2">
        <f t="shared" si="14"/>
        <v>48</v>
      </c>
      <c r="M53" s="2">
        <f t="shared" si="15"/>
        <v>28.08</v>
      </c>
      <c r="N53" s="2">
        <v>13</v>
      </c>
      <c r="O53" s="2">
        <v>50.26548245743669</v>
      </c>
      <c r="P53" s="11">
        <f t="shared" si="5"/>
        <v>2.5862678252432989</v>
      </c>
      <c r="Q53" s="2">
        <f t="shared" si="6"/>
        <v>72.622400532831833</v>
      </c>
      <c r="R53" s="2">
        <f t="shared" si="7"/>
        <v>2.1761940830288218</v>
      </c>
      <c r="S53" s="2">
        <f t="shared" si="8"/>
        <v>61.107529851449314</v>
      </c>
      <c r="T53" s="2">
        <f t="shared" si="9"/>
        <v>11.514870681382519</v>
      </c>
    </row>
    <row r="54" spans="1:20" x14ac:dyDescent="0.25">
      <c r="A54" s="14">
        <f t="shared" si="16"/>
        <v>0.48579059829059829</v>
      </c>
      <c r="B54" s="2">
        <f t="shared" si="11"/>
        <v>49</v>
      </c>
      <c r="C54" s="4">
        <f t="shared" si="12"/>
        <v>28.83</v>
      </c>
      <c r="D54" s="2">
        <v>14</v>
      </c>
      <c r="E54" s="2">
        <v>50.26548245743669</v>
      </c>
      <c r="F54" s="11">
        <f t="shared" si="0"/>
        <v>2.7852115041081689</v>
      </c>
      <c r="G54" s="2">
        <f t="shared" si="1"/>
        <v>80.297647663438511</v>
      </c>
      <c r="H54" s="2">
        <f t="shared" si="2"/>
        <v>2.4032778038043019</v>
      </c>
      <c r="I54" s="2">
        <f t="shared" si="3"/>
        <v>69.286499083678024</v>
      </c>
      <c r="J54" s="2">
        <f t="shared" si="4"/>
        <v>11.011148579760487</v>
      </c>
      <c r="K54" s="15">
        <f t="shared" si="17"/>
        <v>0.4668625356125356</v>
      </c>
      <c r="L54" s="2">
        <f t="shared" si="14"/>
        <v>49</v>
      </c>
      <c r="M54" s="2">
        <f t="shared" si="15"/>
        <v>28.58</v>
      </c>
      <c r="N54" s="2">
        <v>13</v>
      </c>
      <c r="O54" s="2">
        <v>50.26548245743669</v>
      </c>
      <c r="P54" s="11">
        <f t="shared" si="5"/>
        <v>2.5862678252432989</v>
      </c>
      <c r="Q54" s="2">
        <f t="shared" si="6"/>
        <v>73.915534445453474</v>
      </c>
      <c r="R54" s="2">
        <f t="shared" si="7"/>
        <v>2.1761940830288218</v>
      </c>
      <c r="S54" s="2">
        <f t="shared" si="8"/>
        <v>62.195626892963723</v>
      </c>
      <c r="T54" s="2">
        <f t="shared" si="9"/>
        <v>11.719907552489751</v>
      </c>
    </row>
    <row r="55" spans="1:20" x14ac:dyDescent="0.25">
      <c r="A55" s="14">
        <f t="shared" si="16"/>
        <v>0.48589743589743589</v>
      </c>
      <c r="B55" s="2">
        <f t="shared" si="11"/>
        <v>50</v>
      </c>
      <c r="C55" s="4">
        <f t="shared" si="12"/>
        <v>29.33</v>
      </c>
      <c r="D55" s="2">
        <v>13.5</v>
      </c>
      <c r="E55" s="2">
        <v>50.26548245743669</v>
      </c>
      <c r="F55" s="11">
        <f t="shared" si="0"/>
        <v>2.6857396646757339</v>
      </c>
      <c r="G55" s="2">
        <f t="shared" si="1"/>
        <v>78.772744364939271</v>
      </c>
      <c r="H55" s="2">
        <f t="shared" si="2"/>
        <v>2.4032778038043019</v>
      </c>
      <c r="I55" s="2">
        <f t="shared" si="3"/>
        <v>70.488137985580167</v>
      </c>
      <c r="J55" s="2">
        <f t="shared" si="4"/>
        <v>8.2846063793591043</v>
      </c>
      <c r="K55" s="15">
        <f t="shared" si="17"/>
        <v>0.46695156695156698</v>
      </c>
      <c r="L55" s="2">
        <f t="shared" si="14"/>
        <v>50</v>
      </c>
      <c r="M55" s="2">
        <f t="shared" si="15"/>
        <v>29.08</v>
      </c>
      <c r="N55" s="2">
        <v>13</v>
      </c>
      <c r="O55" s="2">
        <v>50.26548245743669</v>
      </c>
      <c r="P55" s="11">
        <f t="shared" si="5"/>
        <v>2.5862678252432989</v>
      </c>
      <c r="Q55" s="2">
        <f t="shared" si="6"/>
        <v>75.20866835807513</v>
      </c>
      <c r="R55" s="2">
        <f t="shared" si="7"/>
        <v>2.1761940830288218</v>
      </c>
      <c r="S55" s="2">
        <f t="shared" si="8"/>
        <v>63.283723934478132</v>
      </c>
      <c r="T55" s="2">
        <f t="shared" si="9"/>
        <v>11.924944423596997</v>
      </c>
    </row>
    <row r="56" spans="1:20" x14ac:dyDescent="0.25">
      <c r="A56" s="14">
        <f t="shared" si="16"/>
        <v>0.4860042735042735</v>
      </c>
      <c r="B56" s="2">
        <f t="shared" si="11"/>
        <v>51</v>
      </c>
      <c r="C56" s="4">
        <f t="shared" si="12"/>
        <v>29.83</v>
      </c>
      <c r="D56" s="2">
        <v>12.5</v>
      </c>
      <c r="E56" s="2">
        <v>50.26548245743669</v>
      </c>
      <c r="F56" s="11">
        <f t="shared" si="0"/>
        <v>2.4867959858108648</v>
      </c>
      <c r="G56" s="2">
        <f t="shared" si="1"/>
        <v>74.181124256738087</v>
      </c>
      <c r="H56" s="2">
        <f t="shared" si="2"/>
        <v>2.4032778038043019</v>
      </c>
      <c r="I56" s="2">
        <f t="shared" si="3"/>
        <v>71.689776887482324</v>
      </c>
      <c r="J56" s="2">
        <f t="shared" si="4"/>
        <v>2.4913473692557631</v>
      </c>
      <c r="K56" s="15">
        <f t="shared" si="17"/>
        <v>0.4670405982905983</v>
      </c>
      <c r="L56" s="2">
        <f t="shared" si="14"/>
        <v>51</v>
      </c>
      <c r="M56" s="2">
        <f t="shared" si="15"/>
        <v>29.58</v>
      </c>
      <c r="N56" s="2">
        <v>12.5</v>
      </c>
      <c r="O56" s="2">
        <v>50.26548245743669</v>
      </c>
      <c r="P56" s="11">
        <f t="shared" si="5"/>
        <v>2.4867959858108648</v>
      </c>
      <c r="Q56" s="2">
        <f t="shared" si="6"/>
        <v>73.55942526028538</v>
      </c>
      <c r="R56" s="2">
        <f t="shared" si="7"/>
        <v>2.1761940830288218</v>
      </c>
      <c r="S56" s="2">
        <f t="shared" si="8"/>
        <v>64.371820975992549</v>
      </c>
      <c r="T56" s="2">
        <f t="shared" si="9"/>
        <v>9.1876042842928314</v>
      </c>
    </row>
    <row r="57" spans="1:20" x14ac:dyDescent="0.25">
      <c r="A57" s="14">
        <f t="shared" si="16"/>
        <v>0.4861111111111111</v>
      </c>
      <c r="B57" s="2">
        <f t="shared" si="11"/>
        <v>52</v>
      </c>
      <c r="C57" s="4">
        <f t="shared" si="12"/>
        <v>30.33</v>
      </c>
      <c r="D57" s="2">
        <v>13.5</v>
      </c>
      <c r="E57" s="2">
        <v>50.26548245743669</v>
      </c>
      <c r="F57" s="11">
        <f t="shared" si="0"/>
        <v>2.6857396646757339</v>
      </c>
      <c r="G57" s="2">
        <f t="shared" si="1"/>
        <v>81.458484029615008</v>
      </c>
      <c r="H57" s="2">
        <f t="shared" si="2"/>
        <v>2.4032778038043019</v>
      </c>
      <c r="I57" s="2">
        <f t="shared" si="3"/>
        <v>72.891415789384467</v>
      </c>
      <c r="J57" s="2">
        <f t="shared" si="4"/>
        <v>8.5670682402305403</v>
      </c>
      <c r="K57" s="15">
        <f t="shared" si="17"/>
        <v>0.46712962962962962</v>
      </c>
      <c r="L57" s="2">
        <f t="shared" si="14"/>
        <v>52</v>
      </c>
      <c r="M57" s="2">
        <f t="shared" si="15"/>
        <v>30.08</v>
      </c>
      <c r="N57" s="2">
        <v>13</v>
      </c>
      <c r="O57" s="2">
        <v>50.26548245743669</v>
      </c>
      <c r="P57" s="11">
        <f t="shared" si="5"/>
        <v>2.5862678252432989</v>
      </c>
      <c r="Q57" s="2">
        <f t="shared" si="6"/>
        <v>77.794936183318427</v>
      </c>
      <c r="R57" s="2">
        <f t="shared" si="7"/>
        <v>2.1761940830288218</v>
      </c>
      <c r="S57" s="2">
        <f t="shared" si="8"/>
        <v>65.459918017506951</v>
      </c>
      <c r="T57" s="2">
        <f t="shared" si="9"/>
        <v>12.335018165811476</v>
      </c>
    </row>
    <row r="58" spans="1:20" x14ac:dyDescent="0.25">
      <c r="A58" s="14">
        <f t="shared" si="16"/>
        <v>0.48621794871794871</v>
      </c>
      <c r="B58" s="2">
        <f t="shared" si="11"/>
        <v>53</v>
      </c>
      <c r="C58" s="4">
        <f t="shared" si="12"/>
        <v>30.83</v>
      </c>
      <c r="D58" s="2">
        <v>15</v>
      </c>
      <c r="E58" s="2">
        <v>50.26548245743669</v>
      </c>
      <c r="F58" s="11">
        <f t="shared" si="0"/>
        <v>2.9841551829730379</v>
      </c>
      <c r="G58" s="2">
        <f t="shared" si="1"/>
        <v>92.001504291058751</v>
      </c>
      <c r="H58" s="2">
        <f t="shared" si="2"/>
        <v>2.4032778038043019</v>
      </c>
      <c r="I58" s="2">
        <f t="shared" si="3"/>
        <v>74.093054691286625</v>
      </c>
      <c r="J58" s="2">
        <f t="shared" si="4"/>
        <v>17.908449599772126</v>
      </c>
      <c r="K58" s="15">
        <f t="shared" si="17"/>
        <v>0.46721866096866099</v>
      </c>
      <c r="L58" s="2">
        <f t="shared" si="14"/>
        <v>53</v>
      </c>
      <c r="M58" s="2">
        <f t="shared" si="15"/>
        <v>30.58</v>
      </c>
      <c r="N58" s="2">
        <v>13.5</v>
      </c>
      <c r="O58" s="2">
        <v>50.26548245743669</v>
      </c>
      <c r="P58" s="11">
        <f t="shared" si="5"/>
        <v>2.6857396646757339</v>
      </c>
      <c r="Q58" s="2">
        <f t="shared" si="6"/>
        <v>82.129918945783942</v>
      </c>
      <c r="R58" s="2">
        <f t="shared" si="7"/>
        <v>2.1761940830288218</v>
      </c>
      <c r="S58" s="2">
        <f t="shared" si="8"/>
        <v>66.548015059021367</v>
      </c>
      <c r="T58" s="2">
        <f t="shared" si="9"/>
        <v>15.581903886762575</v>
      </c>
    </row>
    <row r="59" spans="1:20" x14ac:dyDescent="0.25">
      <c r="A59" s="14">
        <f t="shared" si="16"/>
        <v>0.48632478632478632</v>
      </c>
      <c r="B59" s="2">
        <f t="shared" si="11"/>
        <v>54</v>
      </c>
      <c r="C59" s="4">
        <f t="shared" si="12"/>
        <v>31.33</v>
      </c>
      <c r="D59" s="2">
        <v>13</v>
      </c>
      <c r="E59" s="2">
        <v>50.26548245743669</v>
      </c>
      <c r="F59" s="11">
        <f t="shared" si="0"/>
        <v>2.5862678252432989</v>
      </c>
      <c r="G59" s="2">
        <f t="shared" si="1"/>
        <v>81.027770964872545</v>
      </c>
      <c r="H59" s="2">
        <f t="shared" si="2"/>
        <v>2.4032778038043019</v>
      </c>
      <c r="I59" s="2">
        <f t="shared" si="3"/>
        <v>75.294693593188768</v>
      </c>
      <c r="J59" s="2">
        <f t="shared" si="4"/>
        <v>5.7330773716837768</v>
      </c>
      <c r="K59" s="15">
        <f t="shared" si="17"/>
        <v>0.46730769230769231</v>
      </c>
      <c r="L59" s="2">
        <f t="shared" si="14"/>
        <v>54</v>
      </c>
      <c r="M59" s="2">
        <f t="shared" si="15"/>
        <v>31.08</v>
      </c>
      <c r="N59" s="2">
        <v>13.5</v>
      </c>
      <c r="O59" s="2">
        <v>50.26548245743669</v>
      </c>
      <c r="P59" s="11">
        <f t="shared" si="5"/>
        <v>2.6857396646757339</v>
      </c>
      <c r="Q59" s="2">
        <f t="shared" si="6"/>
        <v>83.47278877812181</v>
      </c>
      <c r="R59" s="2">
        <f t="shared" si="7"/>
        <v>2.1761940830288218</v>
      </c>
      <c r="S59" s="2">
        <f t="shared" si="8"/>
        <v>67.636112100535783</v>
      </c>
      <c r="T59" s="2">
        <f t="shared" si="9"/>
        <v>15.836676677586027</v>
      </c>
    </row>
    <row r="60" spans="1:20" x14ac:dyDescent="0.25">
      <c r="A60" s="14">
        <f t="shared" si="16"/>
        <v>0.48643162393162392</v>
      </c>
      <c r="B60" s="2">
        <f t="shared" si="11"/>
        <v>55</v>
      </c>
      <c r="C60" s="4">
        <f t="shared" si="12"/>
        <v>31.83</v>
      </c>
      <c r="D60" s="2">
        <v>13.5</v>
      </c>
      <c r="E60" s="2">
        <v>50.26548245743669</v>
      </c>
      <c r="F60" s="11">
        <f t="shared" si="0"/>
        <v>2.6857396646757339</v>
      </c>
      <c r="G60" s="2">
        <f t="shared" si="1"/>
        <v>85.487093526628598</v>
      </c>
      <c r="H60" s="2">
        <f t="shared" si="2"/>
        <v>2.4032778038043019</v>
      </c>
      <c r="I60" s="2">
        <f t="shared" si="3"/>
        <v>76.496332495090925</v>
      </c>
      <c r="J60" s="2">
        <f t="shared" si="4"/>
        <v>8.9907610315376729</v>
      </c>
      <c r="K60" s="15">
        <f t="shared" si="17"/>
        <v>0.46739672364672363</v>
      </c>
      <c r="L60" s="2">
        <f t="shared" si="14"/>
        <v>55</v>
      </c>
      <c r="M60" s="2">
        <f t="shared" si="15"/>
        <v>31.58</v>
      </c>
      <c r="N60" s="2">
        <v>12</v>
      </c>
      <c r="O60" s="2">
        <v>50.26548245743669</v>
      </c>
      <c r="P60" s="11">
        <f t="shared" si="5"/>
        <v>2.3873241463784298</v>
      </c>
      <c r="Q60" s="2">
        <f t="shared" si="6"/>
        <v>75.391696542630811</v>
      </c>
      <c r="R60" s="2">
        <f t="shared" si="7"/>
        <v>2.1761940830288218</v>
      </c>
      <c r="S60" s="2">
        <f t="shared" si="8"/>
        <v>68.724209142050185</v>
      </c>
      <c r="T60" s="2">
        <f t="shared" si="9"/>
        <v>6.6674874005806259</v>
      </c>
    </row>
    <row r="61" spans="1:20" x14ac:dyDescent="0.25">
      <c r="A61" s="14">
        <f t="shared" si="16"/>
        <v>0.48653846153846153</v>
      </c>
      <c r="B61" s="2">
        <f t="shared" si="11"/>
        <v>56</v>
      </c>
      <c r="C61" s="4">
        <f t="shared" si="12"/>
        <v>32.33</v>
      </c>
      <c r="D61" s="2">
        <v>13</v>
      </c>
      <c r="E61" s="2">
        <v>50.26548245743669</v>
      </c>
      <c r="F61" s="11">
        <f t="shared" si="0"/>
        <v>2.5862678252432989</v>
      </c>
      <c r="G61" s="2">
        <f t="shared" si="1"/>
        <v>83.614038790115856</v>
      </c>
      <c r="H61" s="2">
        <f t="shared" si="2"/>
        <v>2.4032778038043019</v>
      </c>
      <c r="I61" s="2">
        <f t="shared" si="3"/>
        <v>77.697971396993083</v>
      </c>
      <c r="J61" s="2">
        <f t="shared" si="4"/>
        <v>5.9160673931227734</v>
      </c>
      <c r="K61" s="15">
        <f t="shared" si="17"/>
        <v>0.46748575498575501</v>
      </c>
      <c r="L61" s="2">
        <f t="shared" si="14"/>
        <v>56</v>
      </c>
      <c r="M61" s="2">
        <f t="shared" si="15"/>
        <v>32.08</v>
      </c>
      <c r="N61" s="2">
        <v>12</v>
      </c>
      <c r="O61" s="2">
        <v>50.26548245743669</v>
      </c>
      <c r="P61" s="11">
        <f t="shared" si="5"/>
        <v>2.3873241463784298</v>
      </c>
      <c r="Q61" s="2">
        <f t="shared" si="6"/>
        <v>76.585358615820027</v>
      </c>
      <c r="R61" s="2">
        <f t="shared" si="7"/>
        <v>2.1761940830288218</v>
      </c>
      <c r="S61" s="2">
        <f t="shared" si="8"/>
        <v>69.812306183564601</v>
      </c>
      <c r="T61" s="2">
        <f t="shared" si="9"/>
        <v>6.773052432255426</v>
      </c>
    </row>
    <row r="62" spans="1:20" x14ac:dyDescent="0.25">
      <c r="A62" s="14">
        <f t="shared" si="16"/>
        <v>0.48664529914529914</v>
      </c>
      <c r="B62" s="2">
        <f t="shared" si="11"/>
        <v>57</v>
      </c>
      <c r="C62" s="4">
        <f t="shared" si="12"/>
        <v>32.83</v>
      </c>
      <c r="D62" s="2">
        <v>15.5</v>
      </c>
      <c r="E62" s="2">
        <v>50.26548245743669</v>
      </c>
      <c r="F62" s="11">
        <f t="shared" si="0"/>
        <v>3.0836270224054725</v>
      </c>
      <c r="G62" s="2">
        <f t="shared" si="1"/>
        <v>101.23547514557166</v>
      </c>
      <c r="H62" s="2">
        <f t="shared" si="2"/>
        <v>2.4032778038043019</v>
      </c>
      <c r="I62" s="2">
        <f t="shared" si="3"/>
        <v>78.899610298895226</v>
      </c>
      <c r="J62" s="2">
        <f t="shared" si="4"/>
        <v>22.335864846676429</v>
      </c>
      <c r="K62" s="15">
        <f t="shared" si="17"/>
        <v>0.46757478632478633</v>
      </c>
      <c r="L62" s="2">
        <f t="shared" si="14"/>
        <v>57</v>
      </c>
      <c r="M62" s="2">
        <f t="shared" si="15"/>
        <v>32.58</v>
      </c>
      <c r="N62" s="2">
        <v>13.5</v>
      </c>
      <c r="O62" s="2">
        <v>50.26548245743669</v>
      </c>
      <c r="P62" s="11">
        <f t="shared" si="5"/>
        <v>2.6857396646757339</v>
      </c>
      <c r="Q62" s="2">
        <f t="shared" si="6"/>
        <v>87.501398275135401</v>
      </c>
      <c r="R62" s="2">
        <f t="shared" si="7"/>
        <v>2.1761940830288218</v>
      </c>
      <c r="S62" s="2">
        <f t="shared" si="8"/>
        <v>70.900403225079003</v>
      </c>
      <c r="T62" s="2">
        <f t="shared" si="9"/>
        <v>16.600995050056397</v>
      </c>
    </row>
    <row r="63" spans="1:20" x14ac:dyDescent="0.25">
      <c r="A63" s="14">
        <f t="shared" si="16"/>
        <v>0.48675213675213674</v>
      </c>
      <c r="B63" s="2">
        <f t="shared" si="11"/>
        <v>58</v>
      </c>
      <c r="C63" s="4">
        <f t="shared" si="12"/>
        <v>33.33</v>
      </c>
      <c r="D63" s="2">
        <v>14</v>
      </c>
      <c r="E63" s="2">
        <v>50.26548245743669</v>
      </c>
      <c r="F63" s="11">
        <f t="shared" si="0"/>
        <v>2.7852115041081689</v>
      </c>
      <c r="G63" s="2">
        <f t="shared" si="1"/>
        <v>92.831099431925267</v>
      </c>
      <c r="H63" s="2">
        <f t="shared" si="2"/>
        <v>2.4032778038043019</v>
      </c>
      <c r="I63" s="2">
        <f t="shared" si="3"/>
        <v>80.101249200797383</v>
      </c>
      <c r="J63" s="2">
        <f t="shared" si="4"/>
        <v>12.729850231127884</v>
      </c>
      <c r="K63" s="15">
        <f t="shared" si="17"/>
        <v>0.46766381766381765</v>
      </c>
      <c r="L63" s="2">
        <f t="shared" si="14"/>
        <v>58</v>
      </c>
      <c r="M63" s="2">
        <f t="shared" si="15"/>
        <v>33.08</v>
      </c>
      <c r="N63" s="2">
        <v>16</v>
      </c>
      <c r="O63" s="2">
        <v>50.26548245743669</v>
      </c>
      <c r="P63" s="11">
        <f t="shared" si="5"/>
        <v>3.183098861837907</v>
      </c>
      <c r="Q63" s="2">
        <f t="shared" si="6"/>
        <v>105.29691034959797</v>
      </c>
      <c r="R63" s="2">
        <f t="shared" si="7"/>
        <v>2.1761940830288218</v>
      </c>
      <c r="S63" s="2">
        <f t="shared" si="8"/>
        <v>71.988500266593419</v>
      </c>
      <c r="T63" s="2">
        <f t="shared" si="9"/>
        <v>33.308410083004546</v>
      </c>
    </row>
    <row r="64" spans="1:20" x14ac:dyDescent="0.25">
      <c r="A64" s="14">
        <f t="shared" si="16"/>
        <v>0.48685897435897435</v>
      </c>
      <c r="B64" s="2">
        <f t="shared" si="11"/>
        <v>59</v>
      </c>
      <c r="C64" s="4">
        <f t="shared" si="12"/>
        <v>33.83</v>
      </c>
      <c r="D64" s="2">
        <v>13</v>
      </c>
      <c r="E64" s="2">
        <v>50.26548245743669</v>
      </c>
      <c r="F64" s="11">
        <f t="shared" si="0"/>
        <v>2.5862678252432989</v>
      </c>
      <c r="G64" s="2">
        <f t="shared" si="1"/>
        <v>87.493440527980795</v>
      </c>
      <c r="H64" s="2">
        <f t="shared" si="2"/>
        <v>2.4032778038043019</v>
      </c>
      <c r="I64" s="2">
        <f t="shared" si="3"/>
        <v>81.302888102699526</v>
      </c>
      <c r="J64" s="2">
        <f t="shared" si="4"/>
        <v>6.1905524252812683</v>
      </c>
      <c r="K64" s="15">
        <f t="shared" si="17"/>
        <v>0.46775284900284902</v>
      </c>
      <c r="L64" s="2">
        <f t="shared" si="14"/>
        <v>59</v>
      </c>
      <c r="M64" s="2">
        <f t="shared" si="15"/>
        <v>33.58</v>
      </c>
      <c r="N64" s="2">
        <v>13</v>
      </c>
      <c r="O64" s="2">
        <v>50.26548245743669</v>
      </c>
      <c r="P64" s="11">
        <f t="shared" si="5"/>
        <v>2.5862678252432989</v>
      </c>
      <c r="Q64" s="2">
        <f t="shared" si="6"/>
        <v>86.846873571669974</v>
      </c>
      <c r="R64" s="2">
        <f t="shared" si="7"/>
        <v>2.1761940830288218</v>
      </c>
      <c r="S64" s="2">
        <f t="shared" si="8"/>
        <v>73.076597308107836</v>
      </c>
      <c r="T64" s="2">
        <f t="shared" si="9"/>
        <v>13.770276263562138</v>
      </c>
    </row>
    <row r="65" spans="1:20" x14ac:dyDescent="0.25">
      <c r="A65" s="14">
        <f t="shared" si="16"/>
        <v>0.48696581196581196</v>
      </c>
      <c r="B65" s="2">
        <f t="shared" si="11"/>
        <v>60</v>
      </c>
      <c r="C65" s="4">
        <f t="shared" si="12"/>
        <v>34.33</v>
      </c>
      <c r="D65" s="2">
        <v>13.5</v>
      </c>
      <c r="E65" s="2">
        <v>50.26548245743669</v>
      </c>
      <c r="F65" s="11">
        <f t="shared" si="0"/>
        <v>2.6857396646757339</v>
      </c>
      <c r="G65" s="2">
        <f t="shared" si="1"/>
        <v>92.20144268831794</v>
      </c>
      <c r="H65" s="2">
        <f t="shared" si="2"/>
        <v>2.4032778038043019</v>
      </c>
      <c r="I65" s="2">
        <f t="shared" si="3"/>
        <v>82.504527004601684</v>
      </c>
      <c r="J65" s="2">
        <f t="shared" si="4"/>
        <v>9.6969156837162558</v>
      </c>
      <c r="K65" s="15">
        <f t="shared" si="17"/>
        <v>0.46784188034188035</v>
      </c>
      <c r="L65" s="2">
        <f t="shared" si="14"/>
        <v>60</v>
      </c>
      <c r="M65" s="2">
        <f t="shared" si="15"/>
        <v>34.08</v>
      </c>
      <c r="N65" s="2">
        <v>12.5</v>
      </c>
      <c r="O65" s="2">
        <v>50.26548245743669</v>
      </c>
      <c r="P65" s="11">
        <f t="shared" si="5"/>
        <v>2.4867959858108648</v>
      </c>
      <c r="Q65" s="2">
        <f t="shared" si="6"/>
        <v>84.750007196434268</v>
      </c>
      <c r="R65" s="2">
        <f t="shared" si="7"/>
        <v>2.1761940830288218</v>
      </c>
      <c r="S65" s="2">
        <f t="shared" si="8"/>
        <v>74.164694349622238</v>
      </c>
      <c r="T65" s="2">
        <f t="shared" si="9"/>
        <v>10.58531284681203</v>
      </c>
    </row>
    <row r="66" spans="1:20" x14ac:dyDescent="0.25">
      <c r="A66" s="14">
        <f t="shared" si="16"/>
        <v>0.48707264957264956</v>
      </c>
      <c r="B66" s="2">
        <f t="shared" si="11"/>
        <v>61</v>
      </c>
      <c r="C66" s="4">
        <f t="shared" si="12"/>
        <v>34.83</v>
      </c>
      <c r="D66" s="2">
        <v>14</v>
      </c>
      <c r="E66" s="2">
        <v>50.26548245743669</v>
      </c>
      <c r="F66" s="11">
        <f t="shared" si="0"/>
        <v>2.7852115041081689</v>
      </c>
      <c r="G66" s="2">
        <f t="shared" si="1"/>
        <v>97.008916688087524</v>
      </c>
      <c r="H66" s="2">
        <f t="shared" si="2"/>
        <v>2.4032778038043019</v>
      </c>
      <c r="I66" s="2">
        <f t="shared" si="3"/>
        <v>83.706165906503827</v>
      </c>
      <c r="J66" s="2">
        <f t="shared" si="4"/>
        <v>13.302750781583697</v>
      </c>
      <c r="K66" s="15">
        <f t="shared" si="17"/>
        <v>0.46793091168091167</v>
      </c>
      <c r="L66" s="2">
        <f t="shared" si="14"/>
        <v>61</v>
      </c>
      <c r="M66" s="2">
        <f t="shared" si="15"/>
        <v>34.58</v>
      </c>
      <c r="N66" s="2">
        <v>12</v>
      </c>
      <c r="O66" s="2">
        <v>50.26548245743669</v>
      </c>
      <c r="P66" s="11">
        <f t="shared" si="5"/>
        <v>2.3873241463784298</v>
      </c>
      <c r="Q66" s="2">
        <f t="shared" si="6"/>
        <v>82.553668981766094</v>
      </c>
      <c r="R66" s="2">
        <f t="shared" si="7"/>
        <v>2.1761940830288218</v>
      </c>
      <c r="S66" s="2">
        <f t="shared" si="8"/>
        <v>75.252791391136654</v>
      </c>
      <c r="T66" s="2">
        <f t="shared" si="9"/>
        <v>7.3008775906294403</v>
      </c>
    </row>
    <row r="67" spans="1:20" x14ac:dyDescent="0.25">
      <c r="A67" s="14">
        <f t="shared" si="16"/>
        <v>0.48717948717948717</v>
      </c>
      <c r="B67" s="2">
        <f t="shared" si="11"/>
        <v>62</v>
      </c>
      <c r="C67" s="4">
        <f t="shared" si="12"/>
        <v>35.33</v>
      </c>
      <c r="D67" s="2">
        <v>13</v>
      </c>
      <c r="E67" s="2">
        <v>50.26548245743669</v>
      </c>
      <c r="F67" s="11">
        <f t="shared" si="0"/>
        <v>2.5862678252432989</v>
      </c>
      <c r="G67" s="2">
        <f t="shared" si="1"/>
        <v>91.372842265845748</v>
      </c>
      <c r="H67" s="2">
        <f t="shared" si="2"/>
        <v>2.4032778038043019</v>
      </c>
      <c r="I67" s="2">
        <f t="shared" si="3"/>
        <v>84.907804808405984</v>
      </c>
      <c r="J67" s="2">
        <f t="shared" si="4"/>
        <v>6.4650374574397631</v>
      </c>
      <c r="K67" s="15">
        <f t="shared" si="17"/>
        <v>0.46801994301994304</v>
      </c>
      <c r="L67" s="2">
        <f t="shared" si="14"/>
        <v>62</v>
      </c>
      <c r="M67" s="2">
        <f t="shared" si="15"/>
        <v>35.08</v>
      </c>
      <c r="N67" s="2">
        <v>14</v>
      </c>
      <c r="O67" s="2">
        <v>50.26548245743669</v>
      </c>
      <c r="P67" s="11">
        <f t="shared" si="5"/>
        <v>2.7852115041081689</v>
      </c>
      <c r="Q67" s="2">
        <f t="shared" si="6"/>
        <v>97.705219564114557</v>
      </c>
      <c r="R67" s="2">
        <f t="shared" si="7"/>
        <v>2.1761940830288218</v>
      </c>
      <c r="S67" s="2">
        <f t="shared" si="8"/>
        <v>76.34088843265107</v>
      </c>
      <c r="T67" s="2">
        <f t="shared" si="9"/>
        <v>21.364331131463487</v>
      </c>
    </row>
    <row r="68" spans="1:20" x14ac:dyDescent="0.25">
      <c r="A68" s="14">
        <f t="shared" si="16"/>
        <v>0.48728632478632478</v>
      </c>
      <c r="B68" s="2">
        <f t="shared" si="11"/>
        <v>63</v>
      </c>
      <c r="C68" s="4">
        <f t="shared" si="12"/>
        <v>35.83</v>
      </c>
      <c r="D68" s="2">
        <v>13.5</v>
      </c>
      <c r="E68" s="2">
        <v>50.26548245743669</v>
      </c>
      <c r="F68" s="11">
        <f t="shared" si="0"/>
        <v>2.6857396646757339</v>
      </c>
      <c r="G68" s="2">
        <f t="shared" si="1"/>
        <v>96.230052185331544</v>
      </c>
      <c r="H68" s="2">
        <f t="shared" si="2"/>
        <v>2.4032778038043019</v>
      </c>
      <c r="I68" s="2">
        <f t="shared" si="3"/>
        <v>86.109443710308128</v>
      </c>
      <c r="J68" s="2">
        <f t="shared" si="4"/>
        <v>10.120608475023417</v>
      </c>
      <c r="K68" s="15">
        <f t="shared" si="17"/>
        <v>0.46810897435897436</v>
      </c>
      <c r="L68" s="2">
        <f t="shared" si="14"/>
        <v>63</v>
      </c>
      <c r="M68" s="2">
        <f t="shared" si="15"/>
        <v>35.58</v>
      </c>
      <c r="N68" s="2">
        <v>13</v>
      </c>
      <c r="O68" s="2">
        <v>50.26548245743669</v>
      </c>
      <c r="P68" s="11">
        <f t="shared" si="5"/>
        <v>2.5862678252432989</v>
      </c>
      <c r="Q68" s="2">
        <f t="shared" si="6"/>
        <v>92.019409222156568</v>
      </c>
      <c r="R68" s="2">
        <f t="shared" si="7"/>
        <v>2.1761940830288218</v>
      </c>
      <c r="S68" s="2">
        <f t="shared" si="8"/>
        <v>77.428985474165472</v>
      </c>
      <c r="T68" s="2">
        <f t="shared" si="9"/>
        <v>14.590423747991096</v>
      </c>
    </row>
    <row r="69" spans="1:20" x14ac:dyDescent="0.25">
      <c r="A69" s="14">
        <f t="shared" si="16"/>
        <v>0.48739316239316238</v>
      </c>
      <c r="B69" s="2">
        <f t="shared" si="11"/>
        <v>64</v>
      </c>
      <c r="C69" s="4">
        <f t="shared" si="12"/>
        <v>36.33</v>
      </c>
      <c r="D69" s="2">
        <v>12</v>
      </c>
      <c r="E69" s="2">
        <v>50.26548245743669</v>
      </c>
      <c r="F69" s="11">
        <f t="shared" si="0"/>
        <v>2.3873241463784298</v>
      </c>
      <c r="G69" s="2">
        <f t="shared" si="1"/>
        <v>86.731486237928351</v>
      </c>
      <c r="H69" s="2">
        <f t="shared" si="2"/>
        <v>2.4032778038043019</v>
      </c>
      <c r="I69" s="2">
        <f t="shared" si="3"/>
        <v>87.311082612210285</v>
      </c>
      <c r="J69" s="2">
        <f t="shared" si="4"/>
        <v>0.57959637428193389</v>
      </c>
      <c r="K69" s="15">
        <f t="shared" si="17"/>
        <v>0.46819800569800568</v>
      </c>
      <c r="L69" s="2">
        <f t="shared" si="14"/>
        <v>64</v>
      </c>
      <c r="M69" s="2">
        <f t="shared" si="15"/>
        <v>36.08</v>
      </c>
      <c r="N69" s="2">
        <v>12</v>
      </c>
      <c r="O69" s="2">
        <v>50.26548245743669</v>
      </c>
      <c r="P69" s="11">
        <f t="shared" si="5"/>
        <v>2.3873241463784298</v>
      </c>
      <c r="Q69" s="2">
        <f t="shared" si="6"/>
        <v>86.134655201333743</v>
      </c>
      <c r="R69" s="2">
        <f t="shared" si="7"/>
        <v>2.1761940830288218</v>
      </c>
      <c r="S69" s="2">
        <f t="shared" si="8"/>
        <v>78.517082515679888</v>
      </c>
      <c r="T69" s="2">
        <f t="shared" si="9"/>
        <v>7.6175726856538546</v>
      </c>
    </row>
    <row r="70" spans="1:20" x14ac:dyDescent="0.25">
      <c r="A70" s="14">
        <f t="shared" si="16"/>
        <v>0.48749999999999999</v>
      </c>
      <c r="B70" s="2">
        <f t="shared" si="11"/>
        <v>65</v>
      </c>
      <c r="C70" s="4">
        <f t="shared" si="12"/>
        <v>36.83</v>
      </c>
      <c r="D70" s="2">
        <v>13</v>
      </c>
      <c r="E70" s="2">
        <v>50.26548245743669</v>
      </c>
      <c r="F70" s="11">
        <f t="shared" si="0"/>
        <v>2.5862678252432989</v>
      </c>
      <c r="G70" s="2">
        <f t="shared" si="1"/>
        <v>95.2522440037107</v>
      </c>
      <c r="H70" s="2">
        <f t="shared" si="2"/>
        <v>2.4032778038043019</v>
      </c>
      <c r="I70" s="2">
        <f t="shared" si="3"/>
        <v>88.512721514112428</v>
      </c>
      <c r="J70" s="2">
        <f t="shared" si="4"/>
        <v>6.7395224895982722</v>
      </c>
      <c r="K70" s="15">
        <f t="shared" si="17"/>
        <v>0.46828703703703706</v>
      </c>
      <c r="L70" s="2">
        <f t="shared" si="14"/>
        <v>65</v>
      </c>
      <c r="M70" s="2">
        <f t="shared" si="15"/>
        <v>36.58</v>
      </c>
      <c r="N70" s="2">
        <v>12</v>
      </c>
      <c r="O70" s="2">
        <v>50.26548245743669</v>
      </c>
      <c r="P70" s="11">
        <f t="shared" si="5"/>
        <v>2.3873241463784298</v>
      </c>
      <c r="Q70" s="2">
        <f t="shared" si="6"/>
        <v>87.328317274522959</v>
      </c>
      <c r="R70" s="2">
        <f t="shared" si="7"/>
        <v>2.1761940830288218</v>
      </c>
      <c r="S70" s="2">
        <f t="shared" si="8"/>
        <v>79.60517955719429</v>
      </c>
      <c r="T70" s="2">
        <f t="shared" si="9"/>
        <v>7.7231377173286688</v>
      </c>
    </row>
    <row r="71" spans="1:20" x14ac:dyDescent="0.25">
      <c r="A71" s="14">
        <f t="shared" si="16"/>
        <v>0.4876068376068376</v>
      </c>
      <c r="B71" s="2">
        <f t="shared" si="11"/>
        <v>66</v>
      </c>
      <c r="C71" s="4">
        <f t="shared" si="12"/>
        <v>37.33</v>
      </c>
      <c r="D71" s="2">
        <v>12.5</v>
      </c>
      <c r="E71" s="2">
        <v>50.26548245743669</v>
      </c>
      <c r="F71" s="11">
        <f t="shared" si="0"/>
        <v>2.4867959858108648</v>
      </c>
      <c r="G71" s="2">
        <f t="shared" si="1"/>
        <v>92.832094150319577</v>
      </c>
      <c r="H71" s="2">
        <f t="shared" si="2"/>
        <v>2.4032778038043019</v>
      </c>
      <c r="I71" s="2">
        <f t="shared" si="3"/>
        <v>89.714360416014586</v>
      </c>
      <c r="J71" s="2">
        <f t="shared" si="4"/>
        <v>3.1177337343049913</v>
      </c>
      <c r="K71" s="15">
        <f t="shared" si="17"/>
        <v>0.46837606837606838</v>
      </c>
      <c r="L71" s="2">
        <f t="shared" si="14"/>
        <v>66</v>
      </c>
      <c r="M71" s="2">
        <f t="shared" si="15"/>
        <v>37.08</v>
      </c>
      <c r="N71" s="2">
        <v>12</v>
      </c>
      <c r="O71" s="2">
        <v>50.26548245743669</v>
      </c>
      <c r="P71" s="11">
        <f t="shared" si="5"/>
        <v>2.3873241463784298</v>
      </c>
      <c r="Q71" s="2">
        <f t="shared" si="6"/>
        <v>88.521979347712175</v>
      </c>
      <c r="R71" s="2">
        <f t="shared" si="7"/>
        <v>2.1761940830288218</v>
      </c>
      <c r="S71" s="2">
        <f t="shared" si="8"/>
        <v>80.693276598708707</v>
      </c>
      <c r="T71" s="2">
        <f t="shared" si="9"/>
        <v>7.8287027490034689</v>
      </c>
    </row>
    <row r="72" spans="1:20" x14ac:dyDescent="0.25">
      <c r="A72" s="14">
        <f t="shared" si="16"/>
        <v>0.4877136752136752</v>
      </c>
      <c r="B72" s="2">
        <f t="shared" si="11"/>
        <v>67</v>
      </c>
      <c r="C72" s="4">
        <f t="shared" si="12"/>
        <v>37.83</v>
      </c>
      <c r="D72" s="2">
        <v>11.5</v>
      </c>
      <c r="E72" s="2">
        <v>50.26548245743669</v>
      </c>
      <c r="F72" s="11">
        <f t="shared" si="0"/>
        <v>2.2878523069459957</v>
      </c>
      <c r="G72" s="2">
        <f t="shared" si="1"/>
        <v>86.549452771767008</v>
      </c>
      <c r="H72" s="2">
        <f t="shared" si="2"/>
        <v>2.4032778038043019</v>
      </c>
      <c r="I72" s="2">
        <f t="shared" si="3"/>
        <v>90.915999317916743</v>
      </c>
      <c r="J72" s="2">
        <f t="shared" si="4"/>
        <v>4.3665465461497348</v>
      </c>
      <c r="K72" s="15">
        <f t="shared" si="17"/>
        <v>0.4684650997150997</v>
      </c>
      <c r="L72" s="2">
        <f t="shared" si="14"/>
        <v>67</v>
      </c>
      <c r="M72" s="2">
        <f t="shared" si="15"/>
        <v>37.58</v>
      </c>
      <c r="N72" s="2">
        <v>11.5</v>
      </c>
      <c r="O72" s="2">
        <v>50.26548245743669</v>
      </c>
      <c r="P72" s="11">
        <f t="shared" si="5"/>
        <v>2.2878523069459957</v>
      </c>
      <c r="Q72" s="2">
        <f t="shared" si="6"/>
        <v>85.977489695030513</v>
      </c>
      <c r="R72" s="2">
        <f t="shared" si="7"/>
        <v>2.1761940830288218</v>
      </c>
      <c r="S72" s="2">
        <f t="shared" si="8"/>
        <v>81.781373640223123</v>
      </c>
      <c r="T72" s="2">
        <f t="shared" si="9"/>
        <v>4.1961160548073906</v>
      </c>
    </row>
    <row r="73" spans="1:20" x14ac:dyDescent="0.25">
      <c r="A73" s="14">
        <f t="shared" si="16"/>
        <v>0.48782051282051281</v>
      </c>
      <c r="B73" s="2">
        <f t="shared" si="11"/>
        <v>68</v>
      </c>
      <c r="C73" s="4">
        <f t="shared" si="12"/>
        <v>38.33</v>
      </c>
      <c r="D73" s="2">
        <v>12.5</v>
      </c>
      <c r="E73" s="2">
        <v>50.26548245743669</v>
      </c>
      <c r="F73" s="11">
        <f t="shared" si="0"/>
        <v>2.4867959858108648</v>
      </c>
      <c r="G73" s="2">
        <f t="shared" si="1"/>
        <v>95.318890136130449</v>
      </c>
      <c r="H73" s="2">
        <f t="shared" si="2"/>
        <v>2.4032778038043019</v>
      </c>
      <c r="I73" s="2">
        <f t="shared" si="3"/>
        <v>92.117638219818886</v>
      </c>
      <c r="J73" s="2">
        <f t="shared" si="4"/>
        <v>3.2012519163115627</v>
      </c>
      <c r="K73" s="15">
        <f t="shared" si="17"/>
        <v>0.46855413105413107</v>
      </c>
      <c r="L73" s="2">
        <f t="shared" si="14"/>
        <v>68</v>
      </c>
      <c r="M73" s="2">
        <f t="shared" si="15"/>
        <v>38.08</v>
      </c>
      <c r="N73" s="2">
        <v>11.5</v>
      </c>
      <c r="O73" s="2">
        <v>50.26548245743669</v>
      </c>
      <c r="P73" s="11">
        <f t="shared" si="5"/>
        <v>2.2878523069459957</v>
      </c>
      <c r="Q73" s="2">
        <f t="shared" si="6"/>
        <v>87.121415848503517</v>
      </c>
      <c r="R73" s="2">
        <f t="shared" si="7"/>
        <v>2.1761940830288218</v>
      </c>
      <c r="S73" s="2">
        <f t="shared" si="8"/>
        <v>82.869470681737525</v>
      </c>
      <c r="T73" s="2">
        <f t="shared" si="9"/>
        <v>4.2519451667659922</v>
      </c>
    </row>
    <row r="74" spans="1:20" x14ac:dyDescent="0.25">
      <c r="A74" s="14">
        <f t="shared" si="16"/>
        <v>0.48792735042735041</v>
      </c>
      <c r="B74" s="2">
        <f t="shared" si="11"/>
        <v>69</v>
      </c>
      <c r="C74" s="4">
        <f t="shared" si="12"/>
        <v>38.83</v>
      </c>
      <c r="D74" s="2">
        <v>13</v>
      </c>
      <c r="E74" s="2">
        <v>50.26548245743669</v>
      </c>
      <c r="F74" s="11">
        <f t="shared" si="0"/>
        <v>2.5862678252432989</v>
      </c>
      <c r="G74" s="2">
        <f t="shared" si="1"/>
        <v>100.42477965419729</v>
      </c>
      <c r="H74" s="2">
        <f t="shared" si="2"/>
        <v>2.4032778038043019</v>
      </c>
      <c r="I74" s="2">
        <f t="shared" si="3"/>
        <v>93.319277121721043</v>
      </c>
      <c r="J74" s="2">
        <f t="shared" si="4"/>
        <v>7.1055025324762511</v>
      </c>
      <c r="K74" s="15">
        <f t="shared" si="17"/>
        <v>0.46864316239316239</v>
      </c>
      <c r="L74" s="2">
        <f t="shared" si="14"/>
        <v>69</v>
      </c>
      <c r="M74" s="2">
        <f t="shared" si="15"/>
        <v>38.58</v>
      </c>
      <c r="N74" s="2">
        <v>11</v>
      </c>
      <c r="O74" s="2">
        <v>50.26548245743669</v>
      </c>
      <c r="P74" s="11">
        <f t="shared" si="5"/>
        <v>2.1883804675135607</v>
      </c>
      <c r="Q74" s="2">
        <f t="shared" si="6"/>
        <v>84.427718436673175</v>
      </c>
      <c r="R74" s="2">
        <f t="shared" si="7"/>
        <v>2.1761940830288218</v>
      </c>
      <c r="S74" s="2">
        <f t="shared" si="8"/>
        <v>83.957567723251941</v>
      </c>
      <c r="T74" s="2">
        <f t="shared" si="9"/>
        <v>0.47015071342123349</v>
      </c>
    </row>
    <row r="75" spans="1:20" x14ac:dyDescent="0.25">
      <c r="A75" s="14">
        <f t="shared" si="16"/>
        <v>0.48803418803418802</v>
      </c>
      <c r="B75" s="2">
        <f t="shared" si="11"/>
        <v>70</v>
      </c>
      <c r="C75" s="4">
        <f t="shared" si="12"/>
        <v>39.33</v>
      </c>
      <c r="D75" s="2">
        <v>13.5</v>
      </c>
      <c r="E75" s="2">
        <v>50.26548245743669</v>
      </c>
      <c r="F75" s="11">
        <f t="shared" si="0"/>
        <v>2.6857396646757339</v>
      </c>
      <c r="G75" s="2">
        <f t="shared" si="1"/>
        <v>105.63014101169661</v>
      </c>
      <c r="H75" s="2">
        <f t="shared" si="2"/>
        <v>2.4032778038043019</v>
      </c>
      <c r="I75" s="2">
        <f t="shared" si="3"/>
        <v>94.520916023623187</v>
      </c>
      <c r="J75" s="2">
        <f t="shared" si="4"/>
        <v>11.109224988073422</v>
      </c>
      <c r="K75" s="15">
        <f t="shared" si="17"/>
        <v>0.46873219373219371</v>
      </c>
      <c r="L75" s="2">
        <f t="shared" si="14"/>
        <v>70</v>
      </c>
      <c r="M75" s="2">
        <f t="shared" si="15"/>
        <v>39.08</v>
      </c>
      <c r="N75" s="2">
        <v>11.5</v>
      </c>
      <c r="O75" s="2">
        <v>50.26548245743669</v>
      </c>
      <c r="P75" s="11">
        <f t="shared" si="5"/>
        <v>2.2878523069459957</v>
      </c>
      <c r="Q75" s="2">
        <f t="shared" si="6"/>
        <v>89.40926815544951</v>
      </c>
      <c r="R75" s="2">
        <f t="shared" si="7"/>
        <v>2.1761940830288218</v>
      </c>
      <c r="S75" s="2">
        <f t="shared" si="8"/>
        <v>85.045664764766357</v>
      </c>
      <c r="T75" s="2">
        <f t="shared" si="9"/>
        <v>4.3636033906831528</v>
      </c>
    </row>
    <row r="76" spans="1:20" x14ac:dyDescent="0.25">
      <c r="A76" s="14">
        <f t="shared" si="16"/>
        <v>0.48814102564102563</v>
      </c>
      <c r="B76" s="2">
        <f t="shared" si="11"/>
        <v>71</v>
      </c>
      <c r="C76" s="4">
        <f t="shared" si="12"/>
        <v>39.83</v>
      </c>
      <c r="D76" s="2">
        <v>12.5</v>
      </c>
      <c r="E76" s="2">
        <v>50.26548245743669</v>
      </c>
      <c r="F76" s="11">
        <f t="shared" si="0"/>
        <v>2.4867959858108648</v>
      </c>
      <c r="G76" s="2">
        <f t="shared" si="1"/>
        <v>99.049084114846735</v>
      </c>
      <c r="H76" s="2">
        <f t="shared" si="2"/>
        <v>2.4032778038043019</v>
      </c>
      <c r="I76" s="2">
        <f t="shared" si="3"/>
        <v>95.722554925525344</v>
      </c>
      <c r="J76" s="2">
        <f t="shared" si="4"/>
        <v>3.3265291893213913</v>
      </c>
      <c r="K76" s="15">
        <f t="shared" si="17"/>
        <v>0.46882122507122509</v>
      </c>
      <c r="L76" s="2">
        <f t="shared" si="14"/>
        <v>71</v>
      </c>
      <c r="M76" s="2">
        <f t="shared" si="15"/>
        <v>39.58</v>
      </c>
      <c r="N76" s="2">
        <v>15</v>
      </c>
      <c r="O76" s="2">
        <v>50.26548245743669</v>
      </c>
      <c r="P76" s="11">
        <f t="shared" si="5"/>
        <v>2.9841551829730379</v>
      </c>
      <c r="Q76" s="2">
        <f t="shared" si="6"/>
        <v>118.11286214207284</v>
      </c>
      <c r="R76" s="2">
        <f t="shared" si="7"/>
        <v>2.1761940830288218</v>
      </c>
      <c r="S76" s="2">
        <f t="shared" si="8"/>
        <v>86.133761806280759</v>
      </c>
      <c r="T76" s="2">
        <f t="shared" si="9"/>
        <v>31.979100335792083</v>
      </c>
    </row>
    <row r="77" spans="1:20" x14ac:dyDescent="0.25">
      <c r="A77" s="14">
        <f t="shared" si="16"/>
        <v>0.48824786324786323</v>
      </c>
      <c r="B77" s="2">
        <f t="shared" si="11"/>
        <v>72</v>
      </c>
      <c r="C77" s="4">
        <f t="shared" si="12"/>
        <v>40.33</v>
      </c>
      <c r="D77" s="2">
        <v>12</v>
      </c>
      <c r="E77" s="2">
        <v>50.26548245743669</v>
      </c>
      <c r="F77" s="11">
        <f t="shared" si="0"/>
        <v>2.3873241463784298</v>
      </c>
      <c r="G77" s="2">
        <f t="shared" si="1"/>
        <v>96.280782823442067</v>
      </c>
      <c r="H77" s="2">
        <f t="shared" si="2"/>
        <v>2.4032778038043019</v>
      </c>
      <c r="I77" s="2">
        <f t="shared" si="3"/>
        <v>96.924193827427487</v>
      </c>
      <c r="J77" s="2">
        <f t="shared" si="4"/>
        <v>0.64341100398542039</v>
      </c>
      <c r="K77" s="15">
        <f t="shared" si="17"/>
        <v>0.46891025641025641</v>
      </c>
      <c r="L77" s="2">
        <f t="shared" si="14"/>
        <v>72</v>
      </c>
      <c r="M77" s="2">
        <f t="shared" si="15"/>
        <v>40.08</v>
      </c>
      <c r="N77" s="2">
        <v>11</v>
      </c>
      <c r="O77" s="2">
        <v>50.26548245743669</v>
      </c>
      <c r="P77" s="11">
        <f t="shared" si="5"/>
        <v>2.1883804675135607</v>
      </c>
      <c r="Q77" s="2">
        <f t="shared" si="6"/>
        <v>87.710289137943505</v>
      </c>
      <c r="R77" s="2">
        <f t="shared" si="7"/>
        <v>2.1761940830288218</v>
      </c>
      <c r="S77" s="2">
        <f t="shared" si="8"/>
        <v>87.221858847795176</v>
      </c>
      <c r="T77" s="2">
        <f t="shared" si="9"/>
        <v>0.4884302901483295</v>
      </c>
    </row>
    <row r="78" spans="1:20" x14ac:dyDescent="0.25">
      <c r="A78" s="14">
        <f t="shared" si="16"/>
        <v>0.48835470085470084</v>
      </c>
      <c r="B78" s="2">
        <f t="shared" si="11"/>
        <v>73</v>
      </c>
      <c r="C78" s="4">
        <f t="shared" si="12"/>
        <v>40.83</v>
      </c>
      <c r="D78" s="2">
        <v>13.5</v>
      </c>
      <c r="E78" s="2">
        <v>50.26548245743669</v>
      </c>
      <c r="F78" s="11">
        <f t="shared" si="0"/>
        <v>2.6857396646757339</v>
      </c>
      <c r="G78" s="2">
        <f t="shared" si="1"/>
        <v>109.65875050871021</v>
      </c>
      <c r="H78" s="2">
        <f t="shared" si="2"/>
        <v>2.4032778038043019</v>
      </c>
      <c r="I78" s="2">
        <f t="shared" si="3"/>
        <v>98.125832729329645</v>
      </c>
      <c r="J78" s="2">
        <f t="shared" si="4"/>
        <v>11.532917779380568</v>
      </c>
      <c r="K78" s="15">
        <f t="shared" si="17"/>
        <v>0.46899928774928773</v>
      </c>
      <c r="L78" s="2">
        <f t="shared" si="14"/>
        <v>73</v>
      </c>
      <c r="M78" s="2">
        <f t="shared" si="15"/>
        <v>40.58</v>
      </c>
      <c r="N78" s="2">
        <v>12</v>
      </c>
      <c r="O78" s="2">
        <v>50.26548245743669</v>
      </c>
      <c r="P78" s="11">
        <f t="shared" si="5"/>
        <v>2.3873241463784298</v>
      </c>
      <c r="Q78" s="2">
        <f t="shared" si="6"/>
        <v>96.877613860036675</v>
      </c>
      <c r="R78" s="2">
        <f t="shared" si="7"/>
        <v>2.1761940830288218</v>
      </c>
      <c r="S78" s="2">
        <f t="shared" si="8"/>
        <v>88.309955889309578</v>
      </c>
      <c r="T78" s="2">
        <f t="shared" si="9"/>
        <v>8.5676579707270974</v>
      </c>
    </row>
    <row r="79" spans="1:20" x14ac:dyDescent="0.25">
      <c r="A79" s="14">
        <f t="shared" si="16"/>
        <v>0.48846153846153845</v>
      </c>
      <c r="B79" s="2">
        <f t="shared" si="11"/>
        <v>74</v>
      </c>
      <c r="C79" s="4">
        <f t="shared" si="12"/>
        <v>41.33</v>
      </c>
      <c r="D79" s="2">
        <v>17</v>
      </c>
      <c r="E79" s="2">
        <v>50.26548245743669</v>
      </c>
      <c r="F79" s="11">
        <f t="shared" si="0"/>
        <v>3.3820425407027761</v>
      </c>
      <c r="G79" s="2">
        <f t="shared" si="1"/>
        <v>139.77981820724574</v>
      </c>
      <c r="H79" s="2">
        <f t="shared" si="2"/>
        <v>2.4032778038043019</v>
      </c>
      <c r="I79" s="2">
        <f t="shared" si="3"/>
        <v>99.327471631231788</v>
      </c>
      <c r="J79" s="2">
        <f t="shared" si="4"/>
        <v>40.452346576013952</v>
      </c>
      <c r="K79" s="15">
        <f t="shared" si="17"/>
        <v>0.46908831908831911</v>
      </c>
      <c r="L79" s="2">
        <f t="shared" si="14"/>
        <v>74</v>
      </c>
      <c r="M79" s="2">
        <f t="shared" si="15"/>
        <v>41.08</v>
      </c>
      <c r="N79" s="2">
        <v>12</v>
      </c>
      <c r="O79" s="2">
        <v>50.26548245743669</v>
      </c>
      <c r="P79" s="11">
        <f t="shared" si="5"/>
        <v>2.3873241463784298</v>
      </c>
      <c r="Q79" s="2">
        <f t="shared" si="6"/>
        <v>98.071275933225891</v>
      </c>
      <c r="R79" s="2">
        <f t="shared" si="7"/>
        <v>2.1761940830288218</v>
      </c>
      <c r="S79" s="2">
        <f t="shared" si="8"/>
        <v>89.398052930823994</v>
      </c>
      <c r="T79" s="2">
        <f t="shared" si="9"/>
        <v>8.6732230024018975</v>
      </c>
    </row>
    <row r="80" spans="1:20" x14ac:dyDescent="0.25">
      <c r="A80" s="14">
        <f t="shared" si="16"/>
        <v>0.48856837606837605</v>
      </c>
      <c r="B80" s="2">
        <f t="shared" si="11"/>
        <v>75</v>
      </c>
      <c r="C80" s="4">
        <f t="shared" si="12"/>
        <v>41.83</v>
      </c>
      <c r="D80" s="2">
        <v>13.5</v>
      </c>
      <c r="E80" s="2">
        <v>50.26548245743669</v>
      </c>
      <c r="F80" s="11">
        <f t="shared" si="0"/>
        <v>2.6857396646757339</v>
      </c>
      <c r="G80" s="2">
        <f t="shared" si="1"/>
        <v>112.34449017338595</v>
      </c>
      <c r="H80" s="2">
        <f t="shared" si="2"/>
        <v>2.4032778038043019</v>
      </c>
      <c r="I80" s="2">
        <f t="shared" si="3"/>
        <v>100.52911053313395</v>
      </c>
      <c r="J80" s="2">
        <f t="shared" si="4"/>
        <v>11.815379640252004</v>
      </c>
      <c r="K80" s="15">
        <f t="shared" si="17"/>
        <v>0.46917735042735043</v>
      </c>
      <c r="L80" s="2">
        <f t="shared" si="14"/>
        <v>75</v>
      </c>
      <c r="M80" s="2">
        <f t="shared" si="15"/>
        <v>41.58</v>
      </c>
      <c r="N80" s="2">
        <v>12</v>
      </c>
      <c r="O80" s="2">
        <v>50.26548245743669</v>
      </c>
      <c r="P80" s="11">
        <f t="shared" si="5"/>
        <v>2.3873241463784298</v>
      </c>
      <c r="Q80" s="2">
        <f t="shared" si="6"/>
        <v>99.264938006415107</v>
      </c>
      <c r="R80" s="2">
        <f t="shared" si="7"/>
        <v>2.1761940830288218</v>
      </c>
      <c r="S80" s="2">
        <f t="shared" si="8"/>
        <v>90.48614997233841</v>
      </c>
      <c r="T80" s="2">
        <f t="shared" si="9"/>
        <v>8.7787880340766975</v>
      </c>
    </row>
    <row r="81" spans="1:20" x14ac:dyDescent="0.25">
      <c r="A81" s="14">
        <f t="shared" si="16"/>
        <v>0.48867521367521366</v>
      </c>
      <c r="B81" s="2">
        <f t="shared" si="11"/>
        <v>76</v>
      </c>
      <c r="C81" s="4">
        <f t="shared" si="12"/>
        <v>42.33</v>
      </c>
      <c r="D81" s="2">
        <v>13</v>
      </c>
      <c r="E81" s="2">
        <v>50.26548245743669</v>
      </c>
      <c r="F81" s="11">
        <f t="shared" si="0"/>
        <v>2.5862678252432989</v>
      </c>
      <c r="G81" s="2">
        <f t="shared" si="1"/>
        <v>109.47671704254884</v>
      </c>
      <c r="H81" s="2">
        <f t="shared" si="2"/>
        <v>2.4032778038043019</v>
      </c>
      <c r="I81" s="2">
        <f t="shared" si="3"/>
        <v>101.73074943503609</v>
      </c>
      <c r="J81" s="2">
        <f t="shared" si="4"/>
        <v>7.7459676075127533</v>
      </c>
      <c r="K81" s="15">
        <f t="shared" si="17"/>
        <v>0.46926638176638175</v>
      </c>
      <c r="L81" s="2">
        <f t="shared" si="14"/>
        <v>76</v>
      </c>
      <c r="M81" s="2">
        <f t="shared" si="15"/>
        <v>42.08</v>
      </c>
      <c r="N81" s="2">
        <v>12.5</v>
      </c>
      <c r="O81" s="2">
        <v>50.26548245743669</v>
      </c>
      <c r="P81" s="11">
        <f t="shared" si="5"/>
        <v>2.4867959858108648</v>
      </c>
      <c r="Q81" s="2">
        <f t="shared" si="6"/>
        <v>104.64437508292119</v>
      </c>
      <c r="R81" s="2">
        <f t="shared" si="7"/>
        <v>2.1761940830288218</v>
      </c>
      <c r="S81" s="2">
        <f t="shared" si="8"/>
        <v>91.574247013852812</v>
      </c>
      <c r="T81" s="2">
        <f t="shared" si="9"/>
        <v>13.070128069068375</v>
      </c>
    </row>
    <row r="82" spans="1:20" x14ac:dyDescent="0.25">
      <c r="A82" s="14">
        <f t="shared" si="16"/>
        <v>0.48878205128205127</v>
      </c>
      <c r="B82" s="2">
        <f t="shared" si="11"/>
        <v>77</v>
      </c>
      <c r="C82" s="4">
        <f t="shared" si="12"/>
        <v>42.83</v>
      </c>
      <c r="D82" s="2">
        <v>14</v>
      </c>
      <c r="E82" s="2">
        <v>50.26548245743669</v>
      </c>
      <c r="F82" s="11">
        <f t="shared" si="0"/>
        <v>2.7852115041081689</v>
      </c>
      <c r="G82" s="2">
        <f t="shared" si="1"/>
        <v>119.29060872095287</v>
      </c>
      <c r="H82" s="2">
        <f t="shared" si="2"/>
        <v>2.4032778038043019</v>
      </c>
      <c r="I82" s="2">
        <f t="shared" si="3"/>
        <v>102.93238833693825</v>
      </c>
      <c r="J82" s="2">
        <f t="shared" si="4"/>
        <v>16.358220384014629</v>
      </c>
      <c r="K82" s="15">
        <f t="shared" si="17"/>
        <v>0.46935541310541312</v>
      </c>
      <c r="L82" s="2">
        <f t="shared" si="14"/>
        <v>77</v>
      </c>
      <c r="M82" s="2">
        <f t="shared" si="15"/>
        <v>42.58</v>
      </c>
      <c r="N82" s="2">
        <v>12</v>
      </c>
      <c r="O82" s="2">
        <v>50.26548245743669</v>
      </c>
      <c r="P82" s="11">
        <f t="shared" si="5"/>
        <v>2.3873241463784298</v>
      </c>
      <c r="Q82" s="2">
        <f t="shared" si="6"/>
        <v>101.65226215279354</v>
      </c>
      <c r="R82" s="2">
        <f t="shared" si="7"/>
        <v>2.1761940830288218</v>
      </c>
      <c r="S82" s="2">
        <f t="shared" si="8"/>
        <v>92.662344055367228</v>
      </c>
      <c r="T82" s="2">
        <f t="shared" si="9"/>
        <v>8.9899180974263118</v>
      </c>
    </row>
    <row r="83" spans="1:20" x14ac:dyDescent="0.25">
      <c r="A83" s="10">
        <v>0.48888888888888887</v>
      </c>
      <c r="B83" s="2">
        <f t="shared" si="11"/>
        <v>78</v>
      </c>
      <c r="C83" s="4">
        <f t="shared" si="12"/>
        <v>43.33</v>
      </c>
      <c r="D83" s="2">
        <v>15.5</v>
      </c>
      <c r="E83" s="2">
        <v>50.26548245743669</v>
      </c>
      <c r="F83" s="11">
        <f t="shared" si="0"/>
        <v>3.0836270224054725</v>
      </c>
      <c r="G83" s="2">
        <f t="shared" si="1"/>
        <v>133.61355888082912</v>
      </c>
      <c r="H83" s="2">
        <f t="shared" si="2"/>
        <v>2.4032778038043019</v>
      </c>
      <c r="I83" s="2">
        <f t="shared" si="3"/>
        <v>104.1340272388404</v>
      </c>
      <c r="J83" s="2">
        <f t="shared" si="4"/>
        <v>29.479531641988714</v>
      </c>
      <c r="K83" s="12">
        <v>0.46944444444444444</v>
      </c>
      <c r="L83" s="2">
        <f t="shared" si="14"/>
        <v>78</v>
      </c>
      <c r="M83" s="2">
        <f t="shared" si="15"/>
        <v>43.08</v>
      </c>
      <c r="N83" s="2">
        <v>12</v>
      </c>
      <c r="O83" s="2">
        <v>50.26548245743669</v>
      </c>
      <c r="P83" s="11">
        <f t="shared" si="5"/>
        <v>2.3873241463784298</v>
      </c>
      <c r="Q83" s="2">
        <f t="shared" si="6"/>
        <v>102.84592422598276</v>
      </c>
      <c r="R83" s="2">
        <f t="shared" si="7"/>
        <v>2.1761940830288218</v>
      </c>
      <c r="S83" s="2">
        <f t="shared" si="8"/>
        <v>93.750441096881644</v>
      </c>
      <c r="T83" s="2">
        <f t="shared" si="9"/>
        <v>9.0954831291011118</v>
      </c>
    </row>
    <row r="84" spans="1:20" x14ac:dyDescent="0.25">
      <c r="A84" s="14">
        <f t="shared" ref="A84:A121" si="18">IF(AND($A$83&lt;&gt;"",$A$122&lt;&gt;""), $A$83 + (B84 - $B$83) * (($A$122 - $A$83) / ($B$122 - $B$83)), "")</f>
        <v>0.48899572649572648</v>
      </c>
      <c r="B84" s="2">
        <f t="shared" si="11"/>
        <v>79</v>
      </c>
      <c r="C84" s="4">
        <f t="shared" si="12"/>
        <v>43.83</v>
      </c>
      <c r="D84" s="2">
        <v>13.5</v>
      </c>
      <c r="E84" s="2">
        <v>50.26548245743669</v>
      </c>
      <c r="F84" s="11">
        <f t="shared" si="0"/>
        <v>2.6857396646757339</v>
      </c>
      <c r="G84" s="2">
        <f t="shared" si="1"/>
        <v>117.71596950273741</v>
      </c>
      <c r="H84" s="2">
        <f t="shared" si="2"/>
        <v>2.4032778038043019</v>
      </c>
      <c r="I84" s="2">
        <f t="shared" si="3"/>
        <v>105.33566614074255</v>
      </c>
      <c r="J84" s="2">
        <f t="shared" si="4"/>
        <v>12.380303361994862</v>
      </c>
      <c r="K84" s="15">
        <f t="shared" ref="K84:K121" si="19">IF(AND($K$83&lt;&gt;"",$K$122&lt;&gt;""), $K$83 + (L84 - $L$83) * (($K$122 - $K$83) / ($L$122 - $L$83)), "")</f>
        <v>0.46956908831908833</v>
      </c>
      <c r="L84" s="2">
        <f t="shared" si="14"/>
        <v>79</v>
      </c>
      <c r="M84" s="2">
        <f t="shared" si="15"/>
        <v>43.58</v>
      </c>
      <c r="N84" s="2">
        <v>12.5</v>
      </c>
      <c r="O84" s="2">
        <v>50.26548245743669</v>
      </c>
      <c r="P84" s="11">
        <f t="shared" si="5"/>
        <v>2.4867959858108648</v>
      </c>
      <c r="Q84" s="2">
        <f t="shared" si="6"/>
        <v>108.37456906163749</v>
      </c>
      <c r="R84" s="2">
        <f t="shared" si="7"/>
        <v>2.1761940830288218</v>
      </c>
      <c r="S84" s="2">
        <f t="shared" si="8"/>
        <v>94.838538138396046</v>
      </c>
      <c r="T84" s="2">
        <f t="shared" si="9"/>
        <v>13.536030923241441</v>
      </c>
    </row>
    <row r="85" spans="1:20" x14ac:dyDescent="0.25">
      <c r="A85" s="14">
        <f t="shared" si="18"/>
        <v>0.48910256410256409</v>
      </c>
      <c r="B85" s="2">
        <f t="shared" si="11"/>
        <v>80</v>
      </c>
      <c r="C85" s="4">
        <f t="shared" si="12"/>
        <v>44.33</v>
      </c>
      <c r="D85" s="2">
        <v>12.5</v>
      </c>
      <c r="E85" s="2">
        <v>50.26548245743669</v>
      </c>
      <c r="F85" s="11">
        <f t="shared" si="0"/>
        <v>2.4867959858108648</v>
      </c>
      <c r="G85" s="2">
        <f t="shared" si="1"/>
        <v>110.23966605099564</v>
      </c>
      <c r="H85" s="2">
        <f t="shared" si="2"/>
        <v>2.4032778038043019</v>
      </c>
      <c r="I85" s="2">
        <f t="shared" si="3"/>
        <v>106.5373050426447</v>
      </c>
      <c r="J85" s="2">
        <f t="shared" si="4"/>
        <v>3.702361008350934</v>
      </c>
      <c r="K85" s="15">
        <f t="shared" si="19"/>
        <v>0.46969373219373217</v>
      </c>
      <c r="L85" s="2">
        <f t="shared" si="14"/>
        <v>80</v>
      </c>
      <c r="M85" s="2">
        <f t="shared" si="15"/>
        <v>44.08</v>
      </c>
      <c r="N85" s="2">
        <v>12</v>
      </c>
      <c r="O85" s="2">
        <v>50.26548245743669</v>
      </c>
      <c r="P85" s="11">
        <f t="shared" si="5"/>
        <v>2.3873241463784298</v>
      </c>
      <c r="Q85" s="2">
        <f t="shared" si="6"/>
        <v>105.23324837236119</v>
      </c>
      <c r="R85" s="2">
        <f t="shared" si="7"/>
        <v>2.1761940830288218</v>
      </c>
      <c r="S85" s="2">
        <f t="shared" si="8"/>
        <v>95.926635179910463</v>
      </c>
      <c r="T85" s="2">
        <f t="shared" si="9"/>
        <v>9.306613192450726</v>
      </c>
    </row>
    <row r="86" spans="1:20" x14ac:dyDescent="0.25">
      <c r="A86" s="14">
        <f t="shared" si="18"/>
        <v>0.48920940170940169</v>
      </c>
      <c r="B86" s="2">
        <f t="shared" si="11"/>
        <v>81</v>
      </c>
      <c r="C86" s="4">
        <f t="shared" si="12"/>
        <v>44.83</v>
      </c>
      <c r="D86" s="2">
        <v>13</v>
      </c>
      <c r="E86" s="2">
        <v>50.26548245743669</v>
      </c>
      <c r="F86" s="11">
        <f t="shared" si="0"/>
        <v>2.5862678252432989</v>
      </c>
      <c r="G86" s="2">
        <f t="shared" si="1"/>
        <v>115.94238660565709</v>
      </c>
      <c r="H86" s="2">
        <f t="shared" si="2"/>
        <v>2.4032778038043019</v>
      </c>
      <c r="I86" s="2">
        <f t="shared" si="3"/>
        <v>107.73894394454685</v>
      </c>
      <c r="J86" s="2">
        <f t="shared" si="4"/>
        <v>8.2034426611102447</v>
      </c>
      <c r="K86" s="15">
        <f t="shared" si="19"/>
        <v>0.46981837606837606</v>
      </c>
      <c r="L86" s="2">
        <f t="shared" si="14"/>
        <v>81</v>
      </c>
      <c r="M86" s="2">
        <f t="shared" si="15"/>
        <v>44.58</v>
      </c>
      <c r="N86" s="2">
        <v>12.5</v>
      </c>
      <c r="O86" s="2">
        <v>50.26548245743669</v>
      </c>
      <c r="P86" s="11">
        <f t="shared" si="5"/>
        <v>2.4867959858108648</v>
      </c>
      <c r="Q86" s="2">
        <f t="shared" si="6"/>
        <v>110.86136504744834</v>
      </c>
      <c r="R86" s="2">
        <f t="shared" si="7"/>
        <v>2.1761940830288218</v>
      </c>
      <c r="S86" s="2">
        <f t="shared" si="8"/>
        <v>97.014732221424865</v>
      </c>
      <c r="T86" s="2">
        <f t="shared" si="9"/>
        <v>13.84663282602348</v>
      </c>
    </row>
    <row r="87" spans="1:20" x14ac:dyDescent="0.25">
      <c r="A87" s="14">
        <f t="shared" si="18"/>
        <v>0.4893162393162393</v>
      </c>
      <c r="B87" s="2">
        <f t="shared" si="11"/>
        <v>82</v>
      </c>
      <c r="C87" s="4">
        <f t="shared" si="12"/>
        <v>45.33</v>
      </c>
      <c r="D87" s="2">
        <v>14</v>
      </c>
      <c r="E87" s="2">
        <v>50.26548245743669</v>
      </c>
      <c r="F87" s="11">
        <f t="shared" si="0"/>
        <v>2.7852115041081689</v>
      </c>
      <c r="G87" s="2">
        <f t="shared" si="1"/>
        <v>126.25363748122329</v>
      </c>
      <c r="H87" s="2">
        <f t="shared" si="2"/>
        <v>2.4032778038043019</v>
      </c>
      <c r="I87" s="2">
        <f t="shared" si="3"/>
        <v>108.940582846449</v>
      </c>
      <c r="J87" s="2">
        <f t="shared" si="4"/>
        <v>17.313054634774289</v>
      </c>
      <c r="K87" s="15">
        <f t="shared" si="19"/>
        <v>0.46994301994301996</v>
      </c>
      <c r="L87" s="2">
        <f t="shared" si="14"/>
        <v>82</v>
      </c>
      <c r="M87" s="2">
        <f t="shared" si="15"/>
        <v>45.08</v>
      </c>
      <c r="N87" s="2">
        <v>12.5</v>
      </c>
      <c r="O87" s="2">
        <v>50.26548245743669</v>
      </c>
      <c r="P87" s="11">
        <f t="shared" si="5"/>
        <v>2.4867959858108648</v>
      </c>
      <c r="Q87" s="2">
        <f t="shared" si="6"/>
        <v>112.10476304035379</v>
      </c>
      <c r="R87" s="2">
        <f t="shared" si="7"/>
        <v>2.1761940830288218</v>
      </c>
      <c r="S87" s="2">
        <f t="shared" si="8"/>
        <v>98.102829262939281</v>
      </c>
      <c r="T87" s="2">
        <f t="shared" si="9"/>
        <v>14.001933777414507</v>
      </c>
    </row>
    <row r="88" spans="1:20" x14ac:dyDescent="0.25">
      <c r="A88" s="14">
        <f t="shared" si="18"/>
        <v>0.48942307692307691</v>
      </c>
      <c r="B88" s="2">
        <f t="shared" si="11"/>
        <v>83</v>
      </c>
      <c r="C88" s="4">
        <f t="shared" si="12"/>
        <v>45.83</v>
      </c>
      <c r="D88" s="2">
        <v>14</v>
      </c>
      <c r="E88" s="2">
        <v>50.26548245743669</v>
      </c>
      <c r="F88" s="11">
        <f t="shared" si="0"/>
        <v>2.7852115041081689</v>
      </c>
      <c r="G88" s="2">
        <f t="shared" si="1"/>
        <v>127.64624323327737</v>
      </c>
      <c r="H88" s="2">
        <f t="shared" si="2"/>
        <v>2.4032778038043019</v>
      </c>
      <c r="I88" s="2">
        <f t="shared" si="3"/>
        <v>110.14222174835115</v>
      </c>
      <c r="J88" s="2">
        <f t="shared" si="4"/>
        <v>17.504021484926227</v>
      </c>
      <c r="K88" s="15">
        <f t="shared" si="19"/>
        <v>0.47006766381766379</v>
      </c>
      <c r="L88" s="2">
        <f t="shared" si="14"/>
        <v>83</v>
      </c>
      <c r="M88" s="2">
        <f t="shared" si="15"/>
        <v>45.58</v>
      </c>
      <c r="N88" s="2">
        <v>11</v>
      </c>
      <c r="O88" s="2">
        <v>50.26548245743669</v>
      </c>
      <c r="P88" s="11">
        <f t="shared" si="5"/>
        <v>2.1883804675135607</v>
      </c>
      <c r="Q88" s="2">
        <f t="shared" si="6"/>
        <v>99.746381709268093</v>
      </c>
      <c r="R88" s="2">
        <f t="shared" si="7"/>
        <v>2.1761940830288218</v>
      </c>
      <c r="S88" s="2">
        <f t="shared" si="8"/>
        <v>99.190926304453697</v>
      </c>
      <c r="T88" s="2">
        <f t="shared" si="9"/>
        <v>0.55545540481439559</v>
      </c>
    </row>
    <row r="89" spans="1:20" x14ac:dyDescent="0.25">
      <c r="A89" s="14">
        <f t="shared" si="18"/>
        <v>0.48952991452991451</v>
      </c>
      <c r="B89" s="2">
        <f t="shared" si="11"/>
        <v>84</v>
      </c>
      <c r="C89" s="4">
        <f t="shared" si="12"/>
        <v>46.33</v>
      </c>
      <c r="D89" s="2">
        <v>12.5</v>
      </c>
      <c r="E89" s="2">
        <v>50.26548245743669</v>
      </c>
      <c r="F89" s="11">
        <f t="shared" si="0"/>
        <v>2.4867959858108648</v>
      </c>
      <c r="G89" s="2">
        <f t="shared" si="1"/>
        <v>115.21325802261737</v>
      </c>
      <c r="H89" s="2">
        <f t="shared" si="2"/>
        <v>2.4032778038043019</v>
      </c>
      <c r="I89" s="2">
        <f t="shared" si="3"/>
        <v>111.3438606502533</v>
      </c>
      <c r="J89" s="2">
        <f t="shared" si="4"/>
        <v>3.8693973723640624</v>
      </c>
      <c r="K89" s="15">
        <f t="shared" si="19"/>
        <v>0.47019230769230769</v>
      </c>
      <c r="L89" s="2">
        <f t="shared" si="14"/>
        <v>84</v>
      </c>
      <c r="M89" s="2">
        <f t="shared" si="15"/>
        <v>46.08</v>
      </c>
      <c r="N89" s="2">
        <v>11</v>
      </c>
      <c r="O89" s="2">
        <v>50.26548245743669</v>
      </c>
      <c r="P89" s="11">
        <f t="shared" si="5"/>
        <v>2.1883804675135607</v>
      </c>
      <c r="Q89" s="2">
        <f t="shared" si="6"/>
        <v>100.84057194302487</v>
      </c>
      <c r="R89" s="2">
        <f t="shared" si="7"/>
        <v>2.1761940830288218</v>
      </c>
      <c r="S89" s="2">
        <f t="shared" si="8"/>
        <v>100.2790233459681</v>
      </c>
      <c r="T89" s="2">
        <f t="shared" si="9"/>
        <v>0.5615485970567704</v>
      </c>
    </row>
    <row r="90" spans="1:20" x14ac:dyDescent="0.25">
      <c r="A90" s="14">
        <f t="shared" si="18"/>
        <v>0.48963675213675212</v>
      </c>
      <c r="B90" s="2">
        <f t="shared" si="11"/>
        <v>85</v>
      </c>
      <c r="C90" s="4">
        <f t="shared" si="12"/>
        <v>46.83</v>
      </c>
      <c r="D90" s="2">
        <v>12.5</v>
      </c>
      <c r="E90" s="2">
        <v>50.26548245743669</v>
      </c>
      <c r="F90" s="11">
        <f t="shared" si="0"/>
        <v>2.4867959858108648</v>
      </c>
      <c r="G90" s="2">
        <f t="shared" si="1"/>
        <v>116.4566560155228</v>
      </c>
      <c r="H90" s="2">
        <f t="shared" si="2"/>
        <v>2.4032778038043019</v>
      </c>
      <c r="I90" s="2">
        <f t="shared" si="3"/>
        <v>112.54549955215545</v>
      </c>
      <c r="J90" s="2">
        <f t="shared" si="4"/>
        <v>3.9111564633673481</v>
      </c>
      <c r="K90" s="15">
        <f t="shared" si="19"/>
        <v>0.47031695156695158</v>
      </c>
      <c r="L90" s="2">
        <f t="shared" si="14"/>
        <v>85</v>
      </c>
      <c r="M90" s="2">
        <f t="shared" si="15"/>
        <v>46.58</v>
      </c>
      <c r="N90" s="2">
        <v>9.5</v>
      </c>
      <c r="O90" s="2">
        <v>50.26548245743669</v>
      </c>
      <c r="P90" s="11">
        <f t="shared" si="5"/>
        <v>1.8899649492162571</v>
      </c>
      <c r="Q90" s="2">
        <f t="shared" si="6"/>
        <v>88.034567334493261</v>
      </c>
      <c r="R90" s="2">
        <f t="shared" si="7"/>
        <v>2.1761940830288218</v>
      </c>
      <c r="S90" s="2">
        <f t="shared" si="8"/>
        <v>101.36712038748252</v>
      </c>
      <c r="T90" s="2">
        <f t="shared" si="9"/>
        <v>13.332553052989255</v>
      </c>
    </row>
    <row r="91" spans="1:20" x14ac:dyDescent="0.25">
      <c r="A91" s="14">
        <f t="shared" si="18"/>
        <v>0.48974358974358972</v>
      </c>
      <c r="B91" s="2">
        <f t="shared" si="11"/>
        <v>86</v>
      </c>
      <c r="C91" s="4">
        <f t="shared" si="12"/>
        <v>47.33</v>
      </c>
      <c r="D91" s="2">
        <v>13</v>
      </c>
      <c r="E91" s="2">
        <v>50.26548245743669</v>
      </c>
      <c r="F91" s="11">
        <f t="shared" si="0"/>
        <v>2.5862678252432989</v>
      </c>
      <c r="G91" s="2">
        <f t="shared" si="1"/>
        <v>122.40805616876533</v>
      </c>
      <c r="H91" s="2">
        <f t="shared" si="2"/>
        <v>2.4032778038043019</v>
      </c>
      <c r="I91" s="2">
        <f t="shared" si="3"/>
        <v>113.74713845405761</v>
      </c>
      <c r="J91" s="2">
        <f t="shared" si="4"/>
        <v>8.6609177147077219</v>
      </c>
      <c r="K91" s="15">
        <f t="shared" si="19"/>
        <v>0.47044159544159542</v>
      </c>
      <c r="L91" s="2">
        <f t="shared" si="14"/>
        <v>86</v>
      </c>
      <c r="M91" s="2">
        <f t="shared" si="15"/>
        <v>47.08</v>
      </c>
      <c r="N91" s="2">
        <v>11.5</v>
      </c>
      <c r="O91" s="2">
        <v>50.26548245743669</v>
      </c>
      <c r="P91" s="11">
        <f t="shared" si="5"/>
        <v>2.2878523069459957</v>
      </c>
      <c r="Q91" s="2">
        <f t="shared" si="6"/>
        <v>107.71208661101747</v>
      </c>
      <c r="R91" s="2">
        <f t="shared" si="7"/>
        <v>2.1761940830288218</v>
      </c>
      <c r="S91" s="2">
        <f t="shared" si="8"/>
        <v>102.45521742899693</v>
      </c>
      <c r="T91" s="2">
        <f t="shared" si="9"/>
        <v>5.2568691820205373</v>
      </c>
    </row>
    <row r="92" spans="1:20" x14ac:dyDescent="0.25">
      <c r="A92" s="14">
        <f t="shared" si="18"/>
        <v>0.48985042735042733</v>
      </c>
      <c r="B92" s="2">
        <f t="shared" si="11"/>
        <v>87</v>
      </c>
      <c r="C92" s="4">
        <f t="shared" si="12"/>
        <v>47.83</v>
      </c>
      <c r="D92" s="2">
        <v>15</v>
      </c>
      <c r="E92" s="2">
        <v>50.26548245743669</v>
      </c>
      <c r="F92" s="11">
        <f t="shared" si="0"/>
        <v>2.9841551829730379</v>
      </c>
      <c r="G92" s="2">
        <f t="shared" si="1"/>
        <v>142.73214240160041</v>
      </c>
      <c r="H92" s="2">
        <f t="shared" si="2"/>
        <v>2.4032778038043019</v>
      </c>
      <c r="I92" s="2">
        <f t="shared" si="3"/>
        <v>114.94877735595975</v>
      </c>
      <c r="J92" s="2">
        <f t="shared" si="4"/>
        <v>27.783365045640664</v>
      </c>
      <c r="K92" s="15">
        <f t="shared" si="19"/>
        <v>0.47056623931623931</v>
      </c>
      <c r="L92" s="2">
        <f t="shared" si="14"/>
        <v>87</v>
      </c>
      <c r="M92" s="2">
        <f t="shared" si="15"/>
        <v>47.58</v>
      </c>
      <c r="N92" s="2">
        <v>11.5</v>
      </c>
      <c r="O92" s="2">
        <v>50.26548245743669</v>
      </c>
      <c r="P92" s="11">
        <f t="shared" si="5"/>
        <v>2.2878523069459957</v>
      </c>
      <c r="Q92" s="2">
        <f t="shared" si="6"/>
        <v>108.85601276449047</v>
      </c>
      <c r="R92" s="2">
        <f t="shared" si="7"/>
        <v>2.1761940830288218</v>
      </c>
      <c r="S92" s="2">
        <f t="shared" si="8"/>
        <v>103.54331447051133</v>
      </c>
      <c r="T92" s="2">
        <f t="shared" si="9"/>
        <v>5.312698293979139</v>
      </c>
    </row>
    <row r="93" spans="1:20" x14ac:dyDescent="0.25">
      <c r="A93" s="14">
        <f t="shared" si="18"/>
        <v>0.48995726495726494</v>
      </c>
      <c r="B93" s="2">
        <f t="shared" si="11"/>
        <v>88</v>
      </c>
      <c r="C93" s="4">
        <f t="shared" si="12"/>
        <v>48.33</v>
      </c>
      <c r="D93" s="2">
        <v>12.5</v>
      </c>
      <c r="E93" s="2">
        <v>50.26548245743669</v>
      </c>
      <c r="F93" s="11">
        <f t="shared" si="0"/>
        <v>2.4867959858108648</v>
      </c>
      <c r="G93" s="2">
        <f t="shared" si="1"/>
        <v>120.1868499942391</v>
      </c>
      <c r="H93" s="2">
        <f t="shared" si="2"/>
        <v>2.4032778038043019</v>
      </c>
      <c r="I93" s="2">
        <f t="shared" si="3"/>
        <v>116.15041625786191</v>
      </c>
      <c r="J93" s="2">
        <f t="shared" si="4"/>
        <v>4.0364337363771909</v>
      </c>
      <c r="K93" s="15">
        <f t="shared" si="19"/>
        <v>0.4706908831908832</v>
      </c>
      <c r="L93" s="2">
        <f t="shared" si="14"/>
        <v>88</v>
      </c>
      <c r="M93" s="2">
        <f t="shared" si="15"/>
        <v>48.08</v>
      </c>
      <c r="N93" s="2">
        <v>12.5</v>
      </c>
      <c r="O93" s="2">
        <v>50.26548245743669</v>
      </c>
      <c r="P93" s="11">
        <f t="shared" si="5"/>
        <v>2.4867959858108648</v>
      </c>
      <c r="Q93" s="2">
        <f t="shared" si="6"/>
        <v>119.56515099778638</v>
      </c>
      <c r="R93" s="2">
        <f t="shared" si="7"/>
        <v>2.1761940830288218</v>
      </c>
      <c r="S93" s="2">
        <f t="shared" si="8"/>
        <v>104.63141151202575</v>
      </c>
      <c r="T93" s="2">
        <f t="shared" si="9"/>
        <v>14.933739485760626</v>
      </c>
    </row>
    <row r="94" spans="1:20" x14ac:dyDescent="0.25">
      <c r="A94" s="14">
        <f t="shared" si="18"/>
        <v>0.49006410256410254</v>
      </c>
      <c r="B94" s="2">
        <f t="shared" si="11"/>
        <v>89</v>
      </c>
      <c r="C94" s="4">
        <f t="shared" si="12"/>
        <v>48.83</v>
      </c>
      <c r="D94" s="2">
        <v>13</v>
      </c>
      <c r="E94" s="2">
        <v>50.26548245743669</v>
      </c>
      <c r="F94" s="11">
        <f t="shared" si="0"/>
        <v>2.5862678252432989</v>
      </c>
      <c r="G94" s="2">
        <f t="shared" si="1"/>
        <v>126.28745790663028</v>
      </c>
      <c r="H94" s="2">
        <f t="shared" si="2"/>
        <v>2.4032778038043019</v>
      </c>
      <c r="I94" s="2">
        <f t="shared" si="3"/>
        <v>117.35205515976406</v>
      </c>
      <c r="J94" s="2">
        <f t="shared" si="4"/>
        <v>8.9354027468662167</v>
      </c>
      <c r="K94" s="15">
        <f t="shared" si="19"/>
        <v>0.47081552706552704</v>
      </c>
      <c r="L94" s="2">
        <f t="shared" si="14"/>
        <v>89</v>
      </c>
      <c r="M94" s="2">
        <f t="shared" si="15"/>
        <v>48.58</v>
      </c>
      <c r="N94" s="2">
        <v>11.5</v>
      </c>
      <c r="O94" s="2">
        <v>50.26548245743669</v>
      </c>
      <c r="P94" s="11">
        <f t="shared" si="5"/>
        <v>2.2878523069459957</v>
      </c>
      <c r="Q94" s="2">
        <f t="shared" si="6"/>
        <v>111.14386507143647</v>
      </c>
      <c r="R94" s="2">
        <f t="shared" si="7"/>
        <v>2.1761940830288218</v>
      </c>
      <c r="S94" s="2">
        <f t="shared" si="8"/>
        <v>105.71950855354015</v>
      </c>
      <c r="T94" s="2">
        <f t="shared" si="9"/>
        <v>5.4243565178963138</v>
      </c>
    </row>
    <row r="95" spans="1:20" x14ac:dyDescent="0.25">
      <c r="A95" s="14">
        <f t="shared" si="18"/>
        <v>0.49017094017094015</v>
      </c>
      <c r="B95" s="2">
        <f t="shared" si="11"/>
        <v>90</v>
      </c>
      <c r="C95" s="4">
        <f t="shared" si="12"/>
        <v>49.33</v>
      </c>
      <c r="D95" s="2">
        <v>12</v>
      </c>
      <c r="E95" s="2">
        <v>50.26548245743669</v>
      </c>
      <c r="F95" s="11">
        <f t="shared" si="0"/>
        <v>2.3873241463784298</v>
      </c>
      <c r="G95" s="2">
        <f t="shared" si="1"/>
        <v>117.76670014084795</v>
      </c>
      <c r="H95" s="2">
        <f t="shared" si="2"/>
        <v>2.4032778038043019</v>
      </c>
      <c r="I95" s="2">
        <f t="shared" si="3"/>
        <v>118.55369406166621</v>
      </c>
      <c r="J95" s="2">
        <f t="shared" si="4"/>
        <v>0.78699392081826147</v>
      </c>
      <c r="K95" s="15">
        <f t="shared" si="19"/>
        <v>0.47094017094017093</v>
      </c>
      <c r="L95" s="2">
        <f t="shared" si="14"/>
        <v>90</v>
      </c>
      <c r="M95" s="2">
        <f t="shared" si="15"/>
        <v>49.08</v>
      </c>
      <c r="N95" s="2">
        <v>12.5</v>
      </c>
      <c r="O95" s="2">
        <v>50.26548245743669</v>
      </c>
      <c r="P95" s="11">
        <f t="shared" si="5"/>
        <v>2.4867959858108648</v>
      </c>
      <c r="Q95" s="2">
        <f t="shared" si="6"/>
        <v>122.05194698359725</v>
      </c>
      <c r="R95" s="2">
        <f t="shared" si="7"/>
        <v>2.1761940830288218</v>
      </c>
      <c r="S95" s="2">
        <f t="shared" si="8"/>
        <v>106.80760559505457</v>
      </c>
      <c r="T95" s="2">
        <f t="shared" si="9"/>
        <v>15.244341388542679</v>
      </c>
    </row>
    <row r="96" spans="1:20" x14ac:dyDescent="0.25">
      <c r="A96" s="14">
        <f t="shared" si="18"/>
        <v>0.49027777777777776</v>
      </c>
      <c r="B96" s="2">
        <f t="shared" si="11"/>
        <v>91</v>
      </c>
      <c r="C96" s="4">
        <f t="shared" si="12"/>
        <v>49.83</v>
      </c>
      <c r="D96" s="2">
        <v>11.5</v>
      </c>
      <c r="E96" s="2">
        <v>50.26548245743669</v>
      </c>
      <c r="F96" s="11">
        <f t="shared" si="0"/>
        <v>2.2878523069459957</v>
      </c>
      <c r="G96" s="2">
        <f t="shared" si="1"/>
        <v>114.00368045511897</v>
      </c>
      <c r="H96" s="2">
        <f t="shared" si="2"/>
        <v>2.4032778038043019</v>
      </c>
      <c r="I96" s="2">
        <f t="shared" si="3"/>
        <v>119.75533296356836</v>
      </c>
      <c r="J96" s="2">
        <f t="shared" si="4"/>
        <v>5.7516525084493964</v>
      </c>
      <c r="K96" s="15">
        <f t="shared" si="19"/>
        <v>0.47106481481481483</v>
      </c>
      <c r="L96" s="2">
        <f t="shared" si="14"/>
        <v>91</v>
      </c>
      <c r="M96" s="2">
        <f t="shared" si="15"/>
        <v>49.58</v>
      </c>
      <c r="N96" s="2">
        <v>11</v>
      </c>
      <c r="O96" s="2">
        <v>50.26548245743669</v>
      </c>
      <c r="P96" s="11">
        <f t="shared" si="5"/>
        <v>2.1883804675135607</v>
      </c>
      <c r="Q96" s="2">
        <f t="shared" si="6"/>
        <v>108.49990357932234</v>
      </c>
      <c r="R96" s="2">
        <f t="shared" si="7"/>
        <v>2.1761940830288218</v>
      </c>
      <c r="S96" s="2">
        <f t="shared" si="8"/>
        <v>107.89570263656898</v>
      </c>
      <c r="T96" s="2">
        <f t="shared" si="9"/>
        <v>0.60420094275335146</v>
      </c>
    </row>
    <row r="97" spans="1:20" x14ac:dyDescent="0.25">
      <c r="A97" s="14">
        <f t="shared" si="18"/>
        <v>0.49038461538461536</v>
      </c>
      <c r="B97" s="2">
        <f t="shared" si="11"/>
        <v>92</v>
      </c>
      <c r="C97" s="4">
        <f t="shared" si="12"/>
        <v>50.33</v>
      </c>
      <c r="D97" s="2">
        <v>12</v>
      </c>
      <c r="E97" s="2">
        <v>50.26548245743669</v>
      </c>
      <c r="F97" s="11">
        <f t="shared" si="0"/>
        <v>2.3873241463784298</v>
      </c>
      <c r="G97" s="2">
        <f t="shared" si="1"/>
        <v>120.15402428722636</v>
      </c>
      <c r="H97" s="2">
        <f t="shared" si="2"/>
        <v>2.4032778038043019</v>
      </c>
      <c r="I97" s="2">
        <f t="shared" si="3"/>
        <v>120.95697186547051</v>
      </c>
      <c r="J97" s="2">
        <f t="shared" si="4"/>
        <v>0.80294757824414376</v>
      </c>
      <c r="K97" s="15">
        <f t="shared" si="19"/>
        <v>0.47118945868945866</v>
      </c>
      <c r="L97" s="2">
        <f t="shared" si="14"/>
        <v>92</v>
      </c>
      <c r="M97" s="2">
        <f t="shared" si="15"/>
        <v>50.08</v>
      </c>
      <c r="N97" s="2">
        <v>10.5</v>
      </c>
      <c r="O97" s="2">
        <v>50.26548245743669</v>
      </c>
      <c r="P97" s="11">
        <f t="shared" si="5"/>
        <v>2.0889086280811267</v>
      </c>
      <c r="Q97" s="2">
        <f t="shared" si="6"/>
        <v>104.61254409430282</v>
      </c>
      <c r="R97" s="2">
        <f t="shared" si="7"/>
        <v>2.1761940830288218</v>
      </c>
      <c r="S97" s="2">
        <f t="shared" si="8"/>
        <v>108.98379967808339</v>
      </c>
      <c r="T97" s="2">
        <f t="shared" si="9"/>
        <v>4.3712555837805667</v>
      </c>
    </row>
    <row r="98" spans="1:20" x14ac:dyDescent="0.25">
      <c r="A98" s="14">
        <f t="shared" si="18"/>
        <v>0.49049145299145297</v>
      </c>
      <c r="B98" s="2">
        <f t="shared" si="11"/>
        <v>93</v>
      </c>
      <c r="C98" s="4">
        <f t="shared" si="12"/>
        <v>50.83</v>
      </c>
      <c r="D98" s="2">
        <v>11</v>
      </c>
      <c r="E98" s="2">
        <v>50.26548245743669</v>
      </c>
      <c r="F98" s="11">
        <f t="shared" si="0"/>
        <v>2.1883804675135607</v>
      </c>
      <c r="G98" s="2">
        <f t="shared" si="1"/>
        <v>111.23537916371428</v>
      </c>
      <c r="H98" s="2">
        <f t="shared" si="2"/>
        <v>2.4032778038043019</v>
      </c>
      <c r="I98" s="2">
        <f t="shared" si="3"/>
        <v>122.15861076737266</v>
      </c>
      <c r="J98" s="2">
        <f t="shared" si="4"/>
        <v>10.92323160365838</v>
      </c>
      <c r="K98" s="15">
        <f t="shared" si="19"/>
        <v>0.47131410256410255</v>
      </c>
      <c r="L98" s="2">
        <f t="shared" si="14"/>
        <v>93</v>
      </c>
      <c r="M98" s="2">
        <f t="shared" si="15"/>
        <v>50.58</v>
      </c>
      <c r="N98" s="2">
        <v>10.5</v>
      </c>
      <c r="O98" s="2">
        <v>50.26548245743669</v>
      </c>
      <c r="P98" s="11">
        <f t="shared" si="5"/>
        <v>2.0889086280811267</v>
      </c>
      <c r="Q98" s="2">
        <f t="shared" si="6"/>
        <v>105.65699840834338</v>
      </c>
      <c r="R98" s="2">
        <f t="shared" si="7"/>
        <v>2.1761940830288218</v>
      </c>
      <c r="S98" s="2">
        <f t="shared" si="8"/>
        <v>110.0718967195978</v>
      </c>
      <c r="T98" s="2">
        <f t="shared" si="9"/>
        <v>4.4148983112544187</v>
      </c>
    </row>
    <row r="99" spans="1:20" x14ac:dyDescent="0.25">
      <c r="A99" s="14">
        <f t="shared" si="18"/>
        <v>0.49059829059829058</v>
      </c>
      <c r="B99" s="2">
        <f t="shared" si="11"/>
        <v>94</v>
      </c>
      <c r="C99" s="4">
        <f t="shared" si="12"/>
        <v>51.33</v>
      </c>
      <c r="D99" s="2">
        <v>11.5</v>
      </c>
      <c r="E99" s="2">
        <v>50.26548245743669</v>
      </c>
      <c r="F99" s="11">
        <f t="shared" si="0"/>
        <v>2.2878523069459957</v>
      </c>
      <c r="G99" s="2">
        <f t="shared" si="1"/>
        <v>117.43545891553795</v>
      </c>
      <c r="H99" s="2">
        <f t="shared" si="2"/>
        <v>2.4032778038043019</v>
      </c>
      <c r="I99" s="2">
        <f t="shared" si="3"/>
        <v>123.36024966927481</v>
      </c>
      <c r="J99" s="2">
        <f t="shared" si="4"/>
        <v>5.9247907537368576</v>
      </c>
      <c r="K99" s="15">
        <f t="shared" si="19"/>
        <v>0.47143874643874645</v>
      </c>
      <c r="L99" s="2">
        <f t="shared" si="14"/>
        <v>94</v>
      </c>
      <c r="M99" s="2">
        <f t="shared" si="15"/>
        <v>51.08</v>
      </c>
      <c r="N99" s="2">
        <v>10</v>
      </c>
      <c r="O99" s="2">
        <v>50.26548245743669</v>
      </c>
      <c r="P99" s="11">
        <f t="shared" si="5"/>
        <v>1.9894367886486919</v>
      </c>
      <c r="Q99" s="2">
        <f t="shared" si="6"/>
        <v>101.62043116417517</v>
      </c>
      <c r="R99" s="2">
        <f t="shared" si="7"/>
        <v>2.1761940830288218</v>
      </c>
      <c r="S99" s="2">
        <f t="shared" si="8"/>
        <v>111.15999376111222</v>
      </c>
      <c r="T99" s="2">
        <f t="shared" si="9"/>
        <v>9.5395625969370457</v>
      </c>
    </row>
    <row r="100" spans="1:20" x14ac:dyDescent="0.25">
      <c r="A100" s="14">
        <f t="shared" si="18"/>
        <v>0.49070512820512818</v>
      </c>
      <c r="B100" s="2">
        <f t="shared" si="11"/>
        <v>95</v>
      </c>
      <c r="C100" s="4">
        <f t="shared" si="12"/>
        <v>51.83</v>
      </c>
      <c r="D100" s="2">
        <v>11</v>
      </c>
      <c r="E100" s="2">
        <v>50.26548245743669</v>
      </c>
      <c r="F100" s="11">
        <f t="shared" si="0"/>
        <v>2.1883804675135607</v>
      </c>
      <c r="G100" s="2">
        <f t="shared" si="1"/>
        <v>113.42375963122785</v>
      </c>
      <c r="H100" s="2">
        <f t="shared" si="2"/>
        <v>2.4032778038043019</v>
      </c>
      <c r="I100" s="2">
        <f t="shared" si="3"/>
        <v>124.56188857117697</v>
      </c>
      <c r="J100" s="2">
        <f t="shared" si="4"/>
        <v>11.138128939949112</v>
      </c>
      <c r="K100" s="15">
        <f t="shared" si="19"/>
        <v>0.47156339031339028</v>
      </c>
      <c r="L100" s="2">
        <f t="shared" si="14"/>
        <v>95</v>
      </c>
      <c r="M100" s="2">
        <f t="shared" si="15"/>
        <v>51.58</v>
      </c>
      <c r="N100" s="2">
        <v>9.5</v>
      </c>
      <c r="O100" s="2">
        <v>50.26548245743669</v>
      </c>
      <c r="P100" s="11">
        <f t="shared" si="5"/>
        <v>1.8899649492162571</v>
      </c>
      <c r="Q100" s="2">
        <f t="shared" si="6"/>
        <v>97.484392080574537</v>
      </c>
      <c r="R100" s="2">
        <f t="shared" si="7"/>
        <v>2.1761940830288218</v>
      </c>
      <c r="S100" s="2">
        <f t="shared" si="8"/>
        <v>112.24809080262662</v>
      </c>
      <c r="T100" s="2">
        <f t="shared" si="9"/>
        <v>14.763698722052084</v>
      </c>
    </row>
    <row r="101" spans="1:20" x14ac:dyDescent="0.25">
      <c r="A101" s="14">
        <f t="shared" si="18"/>
        <v>0.49081196581196579</v>
      </c>
      <c r="B101" s="2">
        <f t="shared" si="11"/>
        <v>96</v>
      </c>
      <c r="C101" s="4">
        <f t="shared" si="12"/>
        <v>52.33</v>
      </c>
      <c r="D101" s="2">
        <v>10.5</v>
      </c>
      <c r="E101" s="2">
        <v>50.26548245743669</v>
      </c>
      <c r="F101" s="11">
        <f t="shared" si="0"/>
        <v>2.0889086280811267</v>
      </c>
      <c r="G101" s="2">
        <f t="shared" si="1"/>
        <v>109.31258850748536</v>
      </c>
      <c r="H101" s="2">
        <f t="shared" si="2"/>
        <v>2.4032778038043019</v>
      </c>
      <c r="I101" s="2">
        <f t="shared" si="3"/>
        <v>125.76352747307911</v>
      </c>
      <c r="J101" s="2">
        <f t="shared" si="4"/>
        <v>16.45093896559375</v>
      </c>
      <c r="K101" s="15">
        <f t="shared" si="19"/>
        <v>0.47168803418803418</v>
      </c>
      <c r="L101" s="2">
        <f t="shared" si="14"/>
        <v>96</v>
      </c>
      <c r="M101" s="2">
        <f t="shared" si="15"/>
        <v>52.08</v>
      </c>
      <c r="N101" s="2">
        <v>9</v>
      </c>
      <c r="O101" s="2">
        <v>50.26548245743669</v>
      </c>
      <c r="P101" s="11">
        <f t="shared" si="5"/>
        <v>1.7904931097838226</v>
      </c>
      <c r="Q101" s="2">
        <f t="shared" si="6"/>
        <v>93.248881157541476</v>
      </c>
      <c r="R101" s="2">
        <f t="shared" si="7"/>
        <v>2.1761940830288218</v>
      </c>
      <c r="S101" s="2">
        <f t="shared" si="8"/>
        <v>113.33618784414104</v>
      </c>
      <c r="T101" s="2">
        <f t="shared" si="9"/>
        <v>20.087306686599561</v>
      </c>
    </row>
    <row r="102" spans="1:20" x14ac:dyDescent="0.25">
      <c r="A102" s="14">
        <f t="shared" si="18"/>
        <v>0.4909188034188034</v>
      </c>
      <c r="B102" s="2">
        <f t="shared" si="11"/>
        <v>97</v>
      </c>
      <c r="C102" s="4">
        <f t="shared" si="12"/>
        <v>52.83</v>
      </c>
      <c r="D102" s="2">
        <v>10</v>
      </c>
      <c r="E102" s="2">
        <v>50.26548245743669</v>
      </c>
      <c r="F102" s="11">
        <f t="shared" si="0"/>
        <v>1.9894367886486919</v>
      </c>
      <c r="G102" s="2">
        <f t="shared" si="1"/>
        <v>105.10194554431038</v>
      </c>
      <c r="H102" s="2">
        <f t="shared" si="2"/>
        <v>2.4032778038043019</v>
      </c>
      <c r="I102" s="2">
        <f t="shared" si="3"/>
        <v>126.96516637498127</v>
      </c>
      <c r="J102" s="2">
        <f t="shared" si="4"/>
        <v>21.863220830670883</v>
      </c>
      <c r="K102" s="15">
        <f t="shared" si="19"/>
        <v>0.47181267806267807</v>
      </c>
      <c r="L102" s="2">
        <f t="shared" si="14"/>
        <v>97</v>
      </c>
      <c r="M102" s="2">
        <f t="shared" si="15"/>
        <v>52.58</v>
      </c>
      <c r="N102" s="2">
        <v>8.5</v>
      </c>
      <c r="O102" s="2">
        <v>50.26548245743669</v>
      </c>
      <c r="P102" s="11">
        <f t="shared" si="5"/>
        <v>1.6910212703513881</v>
      </c>
      <c r="Q102" s="2">
        <f t="shared" si="6"/>
        <v>88.913898395075975</v>
      </c>
      <c r="R102" s="2">
        <f t="shared" si="7"/>
        <v>2.1761940830288218</v>
      </c>
      <c r="S102" s="2">
        <f t="shared" si="8"/>
        <v>114.42428488565544</v>
      </c>
      <c r="T102" s="2">
        <f t="shared" si="9"/>
        <v>25.510386490579464</v>
      </c>
    </row>
    <row r="103" spans="1:20" x14ac:dyDescent="0.25">
      <c r="A103" s="14">
        <f t="shared" si="18"/>
        <v>0.49102564102564106</v>
      </c>
      <c r="B103" s="2">
        <f t="shared" si="11"/>
        <v>98</v>
      </c>
      <c r="C103" s="4">
        <f t="shared" si="12"/>
        <v>53.33</v>
      </c>
      <c r="D103" s="2">
        <v>10</v>
      </c>
      <c r="E103" s="2">
        <v>50.26548245743669</v>
      </c>
      <c r="F103" s="11">
        <f t="shared" si="0"/>
        <v>1.9894367886486919</v>
      </c>
      <c r="G103" s="2">
        <f t="shared" si="1"/>
        <v>106.09666393863473</v>
      </c>
      <c r="H103" s="2">
        <f t="shared" si="2"/>
        <v>2.4032778038043019</v>
      </c>
      <c r="I103" s="2">
        <f t="shared" si="3"/>
        <v>128.16680527688342</v>
      </c>
      <c r="J103" s="2">
        <f t="shared" si="4"/>
        <v>22.070141338248689</v>
      </c>
      <c r="K103" s="15">
        <f t="shared" si="19"/>
        <v>0.47193732193732191</v>
      </c>
      <c r="L103" s="2">
        <f t="shared" si="14"/>
        <v>98</v>
      </c>
      <c r="M103" s="2">
        <f t="shared" si="15"/>
        <v>53.08</v>
      </c>
      <c r="N103" s="2">
        <v>8.5</v>
      </c>
      <c r="O103" s="2">
        <v>50.26548245743669</v>
      </c>
      <c r="P103" s="11">
        <f t="shared" si="5"/>
        <v>1.6910212703513881</v>
      </c>
      <c r="Q103" s="2">
        <f t="shared" si="6"/>
        <v>89.759409030251675</v>
      </c>
      <c r="R103" s="2">
        <f t="shared" si="7"/>
        <v>2.1761940830288218</v>
      </c>
      <c r="S103" s="2">
        <f t="shared" si="8"/>
        <v>115.51238192716986</v>
      </c>
      <c r="T103" s="2">
        <f t="shared" si="9"/>
        <v>25.75297289691818</v>
      </c>
    </row>
    <row r="104" spans="1:20" x14ac:dyDescent="0.25">
      <c r="A104" s="14">
        <f t="shared" si="18"/>
        <v>0.49113247863247866</v>
      </c>
      <c r="B104" s="2">
        <f t="shared" si="11"/>
        <v>99</v>
      </c>
      <c r="C104" s="4">
        <f t="shared" si="12"/>
        <v>53.83</v>
      </c>
      <c r="D104" s="2">
        <v>10.5</v>
      </c>
      <c r="E104" s="2">
        <v>50.26548245743669</v>
      </c>
      <c r="F104" s="11">
        <f t="shared" si="0"/>
        <v>2.0889086280811267</v>
      </c>
      <c r="G104" s="2">
        <f t="shared" si="1"/>
        <v>112.44595144960705</v>
      </c>
      <c r="H104" s="2">
        <f t="shared" si="2"/>
        <v>2.4032778038043019</v>
      </c>
      <c r="I104" s="2">
        <f t="shared" si="3"/>
        <v>129.36844417878558</v>
      </c>
      <c r="J104" s="2">
        <f t="shared" si="4"/>
        <v>16.922492729178529</v>
      </c>
      <c r="K104" s="15">
        <f t="shared" si="19"/>
        <v>0.4720619658119658</v>
      </c>
      <c r="L104" s="2">
        <f t="shared" si="14"/>
        <v>99</v>
      </c>
      <c r="M104" s="2">
        <f t="shared" si="15"/>
        <v>53.58</v>
      </c>
      <c r="N104" s="2">
        <v>8.5</v>
      </c>
      <c r="O104" s="2">
        <v>50.26548245743669</v>
      </c>
      <c r="P104" s="11">
        <f t="shared" si="5"/>
        <v>1.6910212703513881</v>
      </c>
      <c r="Q104" s="2">
        <f t="shared" si="6"/>
        <v>90.604919665427374</v>
      </c>
      <c r="R104" s="2">
        <f t="shared" si="7"/>
        <v>2.1761940830288218</v>
      </c>
      <c r="S104" s="2">
        <f t="shared" si="8"/>
        <v>116.60047896868427</v>
      </c>
      <c r="T104" s="2">
        <f t="shared" si="9"/>
        <v>25.995559303256897</v>
      </c>
    </row>
    <row r="105" spans="1:20" x14ac:dyDescent="0.25">
      <c r="A105" s="14">
        <f t="shared" si="18"/>
        <v>0.49123931623931627</v>
      </c>
      <c r="B105" s="2">
        <f t="shared" si="11"/>
        <v>100</v>
      </c>
      <c r="C105" s="4">
        <f t="shared" si="12"/>
        <v>54.33</v>
      </c>
      <c r="D105" s="2">
        <v>11</v>
      </c>
      <c r="E105" s="2">
        <v>50.26548245743669</v>
      </c>
      <c r="F105" s="11">
        <f t="shared" si="0"/>
        <v>2.1883804675135607</v>
      </c>
      <c r="G105" s="2">
        <f t="shared" si="1"/>
        <v>118.89471080001175</v>
      </c>
      <c r="H105" s="2">
        <f t="shared" si="2"/>
        <v>2.4032778038043019</v>
      </c>
      <c r="I105" s="2">
        <f t="shared" si="3"/>
        <v>130.57008308068771</v>
      </c>
      <c r="J105" s="2">
        <f t="shared" si="4"/>
        <v>11.675372280675958</v>
      </c>
      <c r="K105" s="15">
        <f t="shared" si="19"/>
        <v>0.47218660968660969</v>
      </c>
      <c r="L105" s="2">
        <f t="shared" si="14"/>
        <v>100</v>
      </c>
      <c r="M105" s="2">
        <f t="shared" si="15"/>
        <v>54.08</v>
      </c>
      <c r="N105" s="2">
        <v>8.5</v>
      </c>
      <c r="O105" s="2">
        <v>50.26548245743669</v>
      </c>
      <c r="P105" s="11">
        <f t="shared" si="5"/>
        <v>1.6910212703513881</v>
      </c>
      <c r="Q105" s="2">
        <f t="shared" si="6"/>
        <v>91.45043030060306</v>
      </c>
      <c r="R105" s="2">
        <f t="shared" si="7"/>
        <v>2.1761940830288218</v>
      </c>
      <c r="S105" s="2">
        <f t="shared" si="8"/>
        <v>117.68857601019867</v>
      </c>
      <c r="T105" s="2">
        <f t="shared" si="9"/>
        <v>26.238145709595614</v>
      </c>
    </row>
    <row r="106" spans="1:20" x14ac:dyDescent="0.25">
      <c r="A106" s="14">
        <f t="shared" si="18"/>
        <v>0.49134615384615388</v>
      </c>
      <c r="B106" s="2">
        <f t="shared" si="11"/>
        <v>101</v>
      </c>
      <c r="C106" s="4">
        <f t="shared" si="12"/>
        <v>54.83</v>
      </c>
      <c r="D106" s="2">
        <v>11</v>
      </c>
      <c r="E106" s="2">
        <v>50.26548245743669</v>
      </c>
      <c r="F106" s="11">
        <f t="shared" si="0"/>
        <v>2.1883804675135607</v>
      </c>
      <c r="G106" s="2">
        <f t="shared" si="1"/>
        <v>119.98890103376853</v>
      </c>
      <c r="H106" s="2">
        <f t="shared" si="2"/>
        <v>2.4032778038043019</v>
      </c>
      <c r="I106" s="2">
        <f t="shared" si="3"/>
        <v>131.77172198258987</v>
      </c>
      <c r="J106" s="2">
        <f t="shared" si="4"/>
        <v>11.782820948821339</v>
      </c>
      <c r="K106" s="15">
        <f t="shared" si="19"/>
        <v>0.47231125356125353</v>
      </c>
      <c r="L106" s="2">
        <f t="shared" si="14"/>
        <v>101</v>
      </c>
      <c r="M106" s="2">
        <f t="shared" si="15"/>
        <v>54.58</v>
      </c>
      <c r="N106" s="2">
        <v>9</v>
      </c>
      <c r="O106" s="2">
        <v>50.26548245743669</v>
      </c>
      <c r="P106" s="11">
        <f t="shared" si="5"/>
        <v>1.7904931097838226</v>
      </c>
      <c r="Q106" s="2">
        <f t="shared" si="6"/>
        <v>97.725113932001037</v>
      </c>
      <c r="R106" s="2">
        <f t="shared" si="7"/>
        <v>2.1761940830288218</v>
      </c>
      <c r="S106" s="2">
        <f t="shared" si="8"/>
        <v>118.77667305171309</v>
      </c>
      <c r="T106" s="2">
        <f t="shared" si="9"/>
        <v>21.051559119712053</v>
      </c>
    </row>
    <row r="107" spans="1:20" x14ac:dyDescent="0.25">
      <c r="A107" s="14">
        <f t="shared" si="18"/>
        <v>0.49145299145299148</v>
      </c>
      <c r="B107" s="2">
        <f t="shared" si="11"/>
        <v>102</v>
      </c>
      <c r="C107" s="4">
        <f t="shared" si="12"/>
        <v>55.33</v>
      </c>
      <c r="D107" s="2">
        <v>10.5</v>
      </c>
      <c r="E107" s="2">
        <v>50.26548245743669</v>
      </c>
      <c r="F107" s="11">
        <f t="shared" si="0"/>
        <v>2.0889086280811267</v>
      </c>
      <c r="G107" s="2">
        <f t="shared" si="1"/>
        <v>115.57931439172873</v>
      </c>
      <c r="H107" s="2">
        <f t="shared" si="2"/>
        <v>2.4032778038043019</v>
      </c>
      <c r="I107" s="2">
        <f t="shared" si="3"/>
        <v>132.97336088449202</v>
      </c>
      <c r="J107" s="2">
        <f t="shared" si="4"/>
        <v>17.394046492763295</v>
      </c>
      <c r="K107" s="15">
        <f t="shared" si="19"/>
        <v>0.47243589743589742</v>
      </c>
      <c r="L107" s="2">
        <f t="shared" si="14"/>
        <v>102</v>
      </c>
      <c r="M107" s="2">
        <f t="shared" si="15"/>
        <v>55.08</v>
      </c>
      <c r="N107" s="2">
        <v>8.5</v>
      </c>
      <c r="O107" s="2">
        <v>50.26548245743669</v>
      </c>
      <c r="P107" s="11">
        <f t="shared" si="5"/>
        <v>1.6910212703513881</v>
      </c>
      <c r="Q107" s="2">
        <f t="shared" si="6"/>
        <v>93.141451570954445</v>
      </c>
      <c r="R107" s="2">
        <f t="shared" si="7"/>
        <v>2.1761940830288218</v>
      </c>
      <c r="S107" s="2">
        <f t="shared" si="8"/>
        <v>119.86477009322751</v>
      </c>
      <c r="T107" s="2">
        <f t="shared" si="9"/>
        <v>26.723318522273061</v>
      </c>
    </row>
    <row r="108" spans="1:20" x14ac:dyDescent="0.25">
      <c r="A108" s="14">
        <f t="shared" si="18"/>
        <v>0.49155982905982909</v>
      </c>
      <c r="B108" s="2">
        <f t="shared" si="11"/>
        <v>103</v>
      </c>
      <c r="C108" s="4">
        <f t="shared" si="12"/>
        <v>55.83</v>
      </c>
      <c r="D108" s="2">
        <v>10.5</v>
      </c>
      <c r="E108" s="2">
        <v>50.26548245743669</v>
      </c>
      <c r="F108" s="11">
        <f t="shared" si="0"/>
        <v>2.0889086280811267</v>
      </c>
      <c r="G108" s="2">
        <f t="shared" si="1"/>
        <v>116.62376870576929</v>
      </c>
      <c r="H108" s="2">
        <f t="shared" si="2"/>
        <v>2.4032778038043019</v>
      </c>
      <c r="I108" s="2">
        <f t="shared" si="3"/>
        <v>134.17499978639418</v>
      </c>
      <c r="J108" s="2">
        <f t="shared" si="4"/>
        <v>17.551231080624888</v>
      </c>
      <c r="K108" s="15">
        <f t="shared" si="19"/>
        <v>0.47256054131054132</v>
      </c>
      <c r="L108" s="2">
        <f t="shared" si="14"/>
        <v>103</v>
      </c>
      <c r="M108" s="2">
        <f t="shared" si="15"/>
        <v>55.58</v>
      </c>
      <c r="N108" s="2">
        <v>8.5</v>
      </c>
      <c r="O108" s="2">
        <v>50.26548245743669</v>
      </c>
      <c r="P108" s="11">
        <f t="shared" si="5"/>
        <v>1.6910212703513881</v>
      </c>
      <c r="Q108" s="2">
        <f t="shared" si="6"/>
        <v>93.986962206130144</v>
      </c>
      <c r="R108" s="2">
        <f t="shared" si="7"/>
        <v>2.1761940830288218</v>
      </c>
      <c r="S108" s="2">
        <f t="shared" si="8"/>
        <v>120.95286713474191</v>
      </c>
      <c r="T108" s="2">
        <f t="shared" si="9"/>
        <v>26.965904928611764</v>
      </c>
    </row>
    <row r="109" spans="1:20" x14ac:dyDescent="0.25">
      <c r="A109" s="14">
        <f t="shared" si="18"/>
        <v>0.4916666666666667</v>
      </c>
      <c r="B109" s="21">
        <f t="shared" si="11"/>
        <v>104</v>
      </c>
      <c r="C109" s="22">
        <f t="shared" si="12"/>
        <v>56.33</v>
      </c>
      <c r="D109" s="21">
        <v>9.5</v>
      </c>
      <c r="E109" s="2">
        <v>50.26548245743669</v>
      </c>
      <c r="F109" s="11">
        <f t="shared" si="0"/>
        <v>1.8899649492162571</v>
      </c>
      <c r="G109" s="2">
        <f t="shared" si="1"/>
        <v>106.46172558935176</v>
      </c>
      <c r="H109" s="2">
        <f t="shared" si="2"/>
        <v>2.4032778038043019</v>
      </c>
      <c r="I109" s="2">
        <f t="shared" si="3"/>
        <v>135.37663868829631</v>
      </c>
      <c r="J109" s="2">
        <f t="shared" si="4"/>
        <v>28.914913098944552</v>
      </c>
      <c r="K109" s="15">
        <f t="shared" si="19"/>
        <v>0.47268518518518515</v>
      </c>
      <c r="L109" s="21">
        <f t="shared" si="14"/>
        <v>104</v>
      </c>
      <c r="M109" s="21">
        <f t="shared" si="15"/>
        <v>56.08</v>
      </c>
      <c r="N109" s="21">
        <v>8.5</v>
      </c>
      <c r="O109" s="2">
        <v>50.26548245743669</v>
      </c>
      <c r="P109" s="11">
        <f t="shared" si="5"/>
        <v>1.6910212703513881</v>
      </c>
      <c r="Q109" s="2">
        <f t="shared" si="6"/>
        <v>94.832472841305844</v>
      </c>
      <c r="R109" s="2">
        <f t="shared" si="7"/>
        <v>2.1761940830288218</v>
      </c>
      <c r="S109" s="2">
        <f t="shared" si="8"/>
        <v>122.04096417625632</v>
      </c>
      <c r="T109" s="2">
        <f t="shared" si="9"/>
        <v>27.20849133495048</v>
      </c>
    </row>
    <row r="110" spans="1:20" x14ac:dyDescent="0.25">
      <c r="A110" s="14">
        <f t="shared" si="18"/>
        <v>0.4917735042735043</v>
      </c>
      <c r="B110" s="21">
        <f t="shared" si="11"/>
        <v>105</v>
      </c>
      <c r="C110" s="22">
        <f>C109+1.5</f>
        <v>57.83</v>
      </c>
      <c r="D110" s="21">
        <v>10</v>
      </c>
      <c r="E110" s="2">
        <v>50.26548245743669</v>
      </c>
      <c r="F110" s="11">
        <f t="shared" si="0"/>
        <v>1.9894367886486919</v>
      </c>
      <c r="G110" s="2">
        <f t="shared" si="1"/>
        <v>115.04912948755384</v>
      </c>
      <c r="H110" s="2">
        <f t="shared" si="2"/>
        <v>2.4032778038043019</v>
      </c>
      <c r="I110" s="2">
        <f t="shared" si="3"/>
        <v>138.98155539400278</v>
      </c>
      <c r="J110" s="2">
        <f t="shared" si="4"/>
        <v>23.932425906448941</v>
      </c>
      <c r="K110" s="15">
        <f t="shared" si="19"/>
        <v>0.47280982905982905</v>
      </c>
      <c r="L110" s="21">
        <f t="shared" si="14"/>
        <v>105</v>
      </c>
      <c r="M110" s="21">
        <f>M109+1.5</f>
        <v>57.58</v>
      </c>
      <c r="N110" s="21">
        <v>9</v>
      </c>
      <c r="O110" s="2">
        <v>50.26548245743669</v>
      </c>
      <c r="P110" s="11">
        <f t="shared" si="5"/>
        <v>1.7904931097838226</v>
      </c>
      <c r="Q110" s="2">
        <f t="shared" si="6"/>
        <v>103.0965932613525</v>
      </c>
      <c r="R110" s="2">
        <f t="shared" si="7"/>
        <v>2.1761940830288218</v>
      </c>
      <c r="S110" s="2">
        <f t="shared" si="8"/>
        <v>125.30525530079956</v>
      </c>
      <c r="T110" s="2">
        <f t="shared" si="9"/>
        <v>22.208662039447063</v>
      </c>
    </row>
    <row r="111" spans="1:20" x14ac:dyDescent="0.25">
      <c r="A111" s="14">
        <f t="shared" si="18"/>
        <v>0.49188034188034191</v>
      </c>
      <c r="B111" s="21">
        <f t="shared" si="11"/>
        <v>106</v>
      </c>
      <c r="C111" s="22">
        <f t="shared" ref="C111:C162" si="20">C110+0.5</f>
        <v>58.33</v>
      </c>
      <c r="D111" s="21">
        <v>9.5</v>
      </c>
      <c r="E111" s="2">
        <v>50.26548245743669</v>
      </c>
      <c r="F111" s="11">
        <f t="shared" si="0"/>
        <v>1.8899649492162571</v>
      </c>
      <c r="G111" s="2">
        <f t="shared" si="1"/>
        <v>110.24165548778427</v>
      </c>
      <c r="H111" s="2">
        <f t="shared" si="2"/>
        <v>2.4032778038043019</v>
      </c>
      <c r="I111" s="2">
        <f t="shared" si="3"/>
        <v>140.18319429590491</v>
      </c>
      <c r="J111" s="2">
        <f t="shared" si="4"/>
        <v>29.94153880812064</v>
      </c>
      <c r="K111" s="15">
        <f t="shared" si="19"/>
        <v>0.47293447293447294</v>
      </c>
      <c r="L111" s="21">
        <f t="shared" si="14"/>
        <v>106</v>
      </c>
      <c r="M111" s="21">
        <f t="shared" ref="M111:M162" si="21">M110+0.5</f>
        <v>58.08</v>
      </c>
      <c r="N111" s="21">
        <v>9</v>
      </c>
      <c r="O111" s="2">
        <v>50.26548245743669</v>
      </c>
      <c r="P111" s="11">
        <f t="shared" si="5"/>
        <v>1.7904931097838226</v>
      </c>
      <c r="Q111" s="2">
        <f t="shared" si="6"/>
        <v>103.99183981624441</v>
      </c>
      <c r="R111" s="2">
        <f t="shared" si="7"/>
        <v>2.1761940830288218</v>
      </c>
      <c r="S111" s="2">
        <f t="shared" si="8"/>
        <v>126.39335234231396</v>
      </c>
      <c r="T111" s="2">
        <f t="shared" si="9"/>
        <v>22.401512526069553</v>
      </c>
    </row>
    <row r="112" spans="1:20" x14ac:dyDescent="0.25">
      <c r="A112" s="14">
        <f t="shared" si="18"/>
        <v>0.49198717948717952</v>
      </c>
      <c r="B112" s="2">
        <f t="shared" si="11"/>
        <v>107</v>
      </c>
      <c r="C112" s="4">
        <f t="shared" si="20"/>
        <v>58.83</v>
      </c>
      <c r="D112" s="2">
        <v>9</v>
      </c>
      <c r="E112" s="2">
        <v>50.26548245743669</v>
      </c>
      <c r="F112" s="11">
        <f t="shared" si="0"/>
        <v>1.7904931097838226</v>
      </c>
      <c r="G112" s="2">
        <f t="shared" si="1"/>
        <v>105.33470964858228</v>
      </c>
      <c r="H112" s="2">
        <f t="shared" si="2"/>
        <v>2.4032778038043019</v>
      </c>
      <c r="I112" s="2">
        <f t="shared" si="3"/>
        <v>141.38483319780707</v>
      </c>
      <c r="J112" s="2">
        <f t="shared" si="4"/>
        <v>36.050123549224793</v>
      </c>
      <c r="K112" s="15">
        <f t="shared" si="19"/>
        <v>0.47305911680911678</v>
      </c>
      <c r="L112" s="2">
        <f t="shared" si="14"/>
        <v>107</v>
      </c>
      <c r="M112" s="2">
        <f t="shared" si="21"/>
        <v>58.58</v>
      </c>
      <c r="N112" s="2">
        <v>9</v>
      </c>
      <c r="O112" s="2">
        <v>50.26548245743669</v>
      </c>
      <c r="P112" s="11">
        <f t="shared" si="5"/>
        <v>1.7904931097838226</v>
      </c>
      <c r="Q112" s="2">
        <f t="shared" si="6"/>
        <v>104.88708637113632</v>
      </c>
      <c r="R112" s="2">
        <f t="shared" si="7"/>
        <v>2.1761940830288218</v>
      </c>
      <c r="S112" s="2">
        <f t="shared" si="8"/>
        <v>127.48144938382838</v>
      </c>
      <c r="T112" s="2">
        <f t="shared" si="9"/>
        <v>22.594363012692057</v>
      </c>
    </row>
    <row r="113" spans="1:20" x14ac:dyDescent="0.25">
      <c r="A113" s="14">
        <f t="shared" si="18"/>
        <v>0.49209401709401712</v>
      </c>
      <c r="B113" s="2">
        <f t="shared" si="11"/>
        <v>108</v>
      </c>
      <c r="C113" s="4">
        <f t="shared" si="20"/>
        <v>59.33</v>
      </c>
      <c r="D113" s="2">
        <v>11.5</v>
      </c>
      <c r="E113" s="2">
        <v>50.26548245743669</v>
      </c>
      <c r="F113" s="11">
        <f t="shared" si="0"/>
        <v>2.2878523069459957</v>
      </c>
      <c r="G113" s="2">
        <f t="shared" si="1"/>
        <v>135.73827737110591</v>
      </c>
      <c r="H113" s="2">
        <f t="shared" si="2"/>
        <v>2.4032778038043019</v>
      </c>
      <c r="I113" s="2">
        <f t="shared" si="3"/>
        <v>142.58647209970923</v>
      </c>
      <c r="J113" s="2">
        <f t="shared" si="4"/>
        <v>6.8481947286033176</v>
      </c>
      <c r="K113" s="15">
        <f t="shared" si="19"/>
        <v>0.47318376068376067</v>
      </c>
      <c r="L113" s="2">
        <f t="shared" si="14"/>
        <v>108</v>
      </c>
      <c r="M113" s="2">
        <f t="shared" si="21"/>
        <v>59.08</v>
      </c>
      <c r="N113" s="2">
        <v>9</v>
      </c>
      <c r="O113" s="2">
        <v>50.26548245743669</v>
      </c>
      <c r="P113" s="11">
        <f t="shared" si="5"/>
        <v>1.7904931097838226</v>
      </c>
      <c r="Q113" s="2">
        <f t="shared" si="6"/>
        <v>105.78233292602823</v>
      </c>
      <c r="R113" s="2">
        <f t="shared" si="7"/>
        <v>2.1761940830288218</v>
      </c>
      <c r="S113" s="2">
        <f t="shared" si="8"/>
        <v>128.56954642534279</v>
      </c>
      <c r="T113" s="2">
        <f t="shared" si="9"/>
        <v>22.787213499314561</v>
      </c>
    </row>
    <row r="114" spans="1:20" x14ac:dyDescent="0.25">
      <c r="A114" s="14">
        <f t="shared" si="18"/>
        <v>0.49220085470085473</v>
      </c>
      <c r="B114" s="2">
        <f t="shared" si="11"/>
        <v>109</v>
      </c>
      <c r="C114" s="4">
        <f t="shared" si="20"/>
        <v>59.83</v>
      </c>
      <c r="D114" s="2">
        <v>11.5</v>
      </c>
      <c r="E114" s="2">
        <v>50.26548245743669</v>
      </c>
      <c r="F114" s="11">
        <f t="shared" si="0"/>
        <v>2.2878523069459957</v>
      </c>
      <c r="G114" s="2">
        <f t="shared" si="1"/>
        <v>136.88220352457893</v>
      </c>
      <c r="H114" s="2">
        <f t="shared" si="2"/>
        <v>2.4032778038043019</v>
      </c>
      <c r="I114" s="2">
        <f t="shared" si="3"/>
        <v>143.78811100161138</v>
      </c>
      <c r="J114" s="2">
        <f t="shared" si="4"/>
        <v>6.9059074770324571</v>
      </c>
      <c r="K114" s="15">
        <f t="shared" si="19"/>
        <v>0.47330840455840456</v>
      </c>
      <c r="L114" s="2">
        <f t="shared" si="14"/>
        <v>109</v>
      </c>
      <c r="M114" s="2">
        <f t="shared" si="21"/>
        <v>59.58</v>
      </c>
      <c r="N114" s="2">
        <v>9</v>
      </c>
      <c r="O114" s="2">
        <v>50.26548245743669</v>
      </c>
      <c r="P114" s="11">
        <f t="shared" si="5"/>
        <v>1.7904931097838226</v>
      </c>
      <c r="Q114" s="2">
        <f t="shared" si="6"/>
        <v>106.67757948092014</v>
      </c>
      <c r="R114" s="2">
        <f t="shared" si="7"/>
        <v>2.1761940830288218</v>
      </c>
      <c r="S114" s="2">
        <f t="shared" si="8"/>
        <v>129.65764346685719</v>
      </c>
      <c r="T114" s="2">
        <f t="shared" si="9"/>
        <v>22.980063985937051</v>
      </c>
    </row>
    <row r="115" spans="1:20" x14ac:dyDescent="0.25">
      <c r="A115" s="14">
        <f t="shared" si="18"/>
        <v>0.49230769230769234</v>
      </c>
      <c r="B115" s="2">
        <f t="shared" si="11"/>
        <v>110</v>
      </c>
      <c r="C115" s="4">
        <f t="shared" si="20"/>
        <v>60.33</v>
      </c>
      <c r="D115" s="2">
        <v>13</v>
      </c>
      <c r="E115" s="2">
        <v>50.26548245743669</v>
      </c>
      <c r="F115" s="11">
        <f t="shared" si="0"/>
        <v>2.5862678252432989</v>
      </c>
      <c r="G115" s="2">
        <f t="shared" si="1"/>
        <v>156.02953789692822</v>
      </c>
      <c r="H115" s="2">
        <f t="shared" si="2"/>
        <v>2.4032778038043019</v>
      </c>
      <c r="I115" s="2">
        <f t="shared" si="3"/>
        <v>144.98974990351354</v>
      </c>
      <c r="J115" s="2">
        <f t="shared" si="4"/>
        <v>11.039787993414677</v>
      </c>
      <c r="K115" s="15">
        <f t="shared" si="19"/>
        <v>0.4734330484330484</v>
      </c>
      <c r="L115" s="2">
        <f t="shared" si="14"/>
        <v>110</v>
      </c>
      <c r="M115" s="2">
        <f t="shared" si="21"/>
        <v>60.08</v>
      </c>
      <c r="N115" s="2">
        <v>10.5</v>
      </c>
      <c r="O115" s="2">
        <v>50.26548245743669</v>
      </c>
      <c r="P115" s="11">
        <f t="shared" si="5"/>
        <v>2.0889086280811267</v>
      </c>
      <c r="Q115" s="2">
        <f t="shared" si="6"/>
        <v>125.50163037511409</v>
      </c>
      <c r="R115" s="2">
        <f t="shared" si="7"/>
        <v>2.1761940830288218</v>
      </c>
      <c r="S115" s="2">
        <f t="shared" si="8"/>
        <v>130.7457405083716</v>
      </c>
      <c r="T115" s="2">
        <f t="shared" si="9"/>
        <v>5.2441101332575073</v>
      </c>
    </row>
    <row r="116" spans="1:20" x14ac:dyDescent="0.25">
      <c r="A116" s="14">
        <f t="shared" si="18"/>
        <v>0.49241452991452994</v>
      </c>
      <c r="B116" s="2">
        <f t="shared" si="11"/>
        <v>111</v>
      </c>
      <c r="C116" s="4">
        <f t="shared" si="20"/>
        <v>60.83</v>
      </c>
      <c r="D116" s="2">
        <v>13.5</v>
      </c>
      <c r="E116" s="2">
        <v>50.26548245743669</v>
      </c>
      <c r="F116" s="11">
        <f t="shared" si="0"/>
        <v>2.6857396646757339</v>
      </c>
      <c r="G116" s="2">
        <f t="shared" si="1"/>
        <v>163.3735438022249</v>
      </c>
      <c r="H116" s="2">
        <f t="shared" si="2"/>
        <v>2.4032778038043019</v>
      </c>
      <c r="I116" s="2">
        <f t="shared" si="3"/>
        <v>146.19138880541567</v>
      </c>
      <c r="J116" s="2">
        <f t="shared" si="4"/>
        <v>17.182154996809231</v>
      </c>
      <c r="K116" s="15">
        <f t="shared" si="19"/>
        <v>0.47355769230769229</v>
      </c>
      <c r="L116" s="2">
        <f t="shared" si="14"/>
        <v>111</v>
      </c>
      <c r="M116" s="2">
        <f t="shared" si="21"/>
        <v>60.58</v>
      </c>
      <c r="N116" s="2">
        <v>11</v>
      </c>
      <c r="O116" s="2">
        <v>50.26548245743669</v>
      </c>
      <c r="P116" s="11">
        <f t="shared" si="5"/>
        <v>2.1883804675135607</v>
      </c>
      <c r="Q116" s="2">
        <f t="shared" si="6"/>
        <v>132.57208872197151</v>
      </c>
      <c r="R116" s="2">
        <f t="shared" si="7"/>
        <v>2.1761940830288218</v>
      </c>
      <c r="S116" s="2">
        <f t="shared" si="8"/>
        <v>131.83383754988603</v>
      </c>
      <c r="T116" s="2">
        <f t="shared" si="9"/>
        <v>0.73825117208548363</v>
      </c>
    </row>
    <row r="117" spans="1:20" x14ac:dyDescent="0.25">
      <c r="A117" s="14">
        <f t="shared" si="18"/>
        <v>0.49252136752136755</v>
      </c>
      <c r="B117" s="2">
        <f t="shared" si="11"/>
        <v>112</v>
      </c>
      <c r="C117" s="4">
        <f t="shared" si="20"/>
        <v>61.33</v>
      </c>
      <c r="D117" s="2">
        <v>13</v>
      </c>
      <c r="E117" s="2">
        <v>50.26548245743669</v>
      </c>
      <c r="F117" s="11">
        <f t="shared" si="0"/>
        <v>2.5862678252432989</v>
      </c>
      <c r="G117" s="2">
        <f t="shared" si="1"/>
        <v>158.61580572217153</v>
      </c>
      <c r="H117" s="2">
        <f t="shared" si="2"/>
        <v>2.4032778038043019</v>
      </c>
      <c r="I117" s="2">
        <f t="shared" si="3"/>
        <v>147.39302770731783</v>
      </c>
      <c r="J117" s="2">
        <f t="shared" si="4"/>
        <v>11.222778014853702</v>
      </c>
      <c r="K117" s="15">
        <f t="shared" si="19"/>
        <v>0.47368233618233618</v>
      </c>
      <c r="L117" s="2">
        <f t="shared" si="14"/>
        <v>112</v>
      </c>
      <c r="M117" s="2">
        <f t="shared" si="21"/>
        <v>61.08</v>
      </c>
      <c r="N117" s="2">
        <v>10</v>
      </c>
      <c r="O117" s="2">
        <v>50.26548245743669</v>
      </c>
      <c r="P117" s="11">
        <f t="shared" si="5"/>
        <v>1.9894367886486919</v>
      </c>
      <c r="Q117" s="2">
        <f t="shared" si="6"/>
        <v>121.51479905066209</v>
      </c>
      <c r="R117" s="2">
        <f t="shared" si="7"/>
        <v>2.1761940830288218</v>
      </c>
      <c r="S117" s="2">
        <f t="shared" si="8"/>
        <v>132.92193459140043</v>
      </c>
      <c r="T117" s="2">
        <f t="shared" si="9"/>
        <v>11.407135540738338</v>
      </c>
    </row>
    <row r="118" spans="1:20" x14ac:dyDescent="0.25">
      <c r="A118" s="14">
        <f t="shared" si="18"/>
        <v>0.49262820512820515</v>
      </c>
      <c r="B118" s="2">
        <f t="shared" si="11"/>
        <v>113</v>
      </c>
      <c r="C118" s="4">
        <f t="shared" si="20"/>
        <v>61.83</v>
      </c>
      <c r="D118" s="2">
        <v>14</v>
      </c>
      <c r="E118" s="2">
        <v>50.26548245743669</v>
      </c>
      <c r="F118" s="11">
        <f t="shared" si="0"/>
        <v>2.7852115041081689</v>
      </c>
      <c r="G118" s="2">
        <f t="shared" si="1"/>
        <v>172.20962729900808</v>
      </c>
      <c r="H118" s="2">
        <f t="shared" si="2"/>
        <v>2.4032778038043019</v>
      </c>
      <c r="I118" s="2">
        <f t="shared" si="3"/>
        <v>148.59466660921998</v>
      </c>
      <c r="J118" s="2">
        <f t="shared" si="4"/>
        <v>23.614960689788091</v>
      </c>
      <c r="K118" s="15">
        <f t="shared" si="19"/>
        <v>0.47380698005698002</v>
      </c>
      <c r="L118" s="2">
        <f t="shared" si="14"/>
        <v>113</v>
      </c>
      <c r="M118" s="2">
        <f t="shared" si="21"/>
        <v>61.58</v>
      </c>
      <c r="N118" s="2">
        <v>11</v>
      </c>
      <c r="O118" s="2">
        <v>50.26548245743669</v>
      </c>
      <c r="P118" s="11">
        <f t="shared" si="5"/>
        <v>2.1883804675135607</v>
      </c>
      <c r="Q118" s="2">
        <f t="shared" si="6"/>
        <v>134.76046918948506</v>
      </c>
      <c r="R118" s="2">
        <f t="shared" si="7"/>
        <v>2.1761940830288218</v>
      </c>
      <c r="S118" s="2">
        <f t="shared" si="8"/>
        <v>134.01003163291483</v>
      </c>
      <c r="T118" s="2">
        <f t="shared" si="9"/>
        <v>0.75043755657023326</v>
      </c>
    </row>
    <row r="119" spans="1:20" x14ac:dyDescent="0.25">
      <c r="A119" s="14">
        <f t="shared" si="18"/>
        <v>0.49273504273504276</v>
      </c>
      <c r="B119" s="2">
        <f t="shared" si="11"/>
        <v>114</v>
      </c>
      <c r="C119" s="4">
        <f t="shared" si="20"/>
        <v>62.33</v>
      </c>
      <c r="D119" s="2">
        <v>14</v>
      </c>
      <c r="E119" s="2">
        <v>50.26548245743669</v>
      </c>
      <c r="F119" s="11">
        <f t="shared" si="0"/>
        <v>2.7852115041081689</v>
      </c>
      <c r="G119" s="2">
        <f t="shared" si="1"/>
        <v>173.60223305106217</v>
      </c>
      <c r="H119" s="2">
        <f t="shared" si="2"/>
        <v>2.4032778038043019</v>
      </c>
      <c r="I119" s="2">
        <f t="shared" si="3"/>
        <v>149.79630551112214</v>
      </c>
      <c r="J119" s="2">
        <f t="shared" si="4"/>
        <v>23.805927539940029</v>
      </c>
      <c r="K119" s="15">
        <f t="shared" si="19"/>
        <v>0.47393162393162391</v>
      </c>
      <c r="L119" s="2">
        <f t="shared" si="14"/>
        <v>114</v>
      </c>
      <c r="M119" s="2">
        <f t="shared" si="21"/>
        <v>62.08</v>
      </c>
      <c r="N119" s="2">
        <v>11.5</v>
      </c>
      <c r="O119" s="2">
        <v>50.26548245743669</v>
      </c>
      <c r="P119" s="11">
        <f t="shared" si="5"/>
        <v>2.2878523069459957</v>
      </c>
      <c r="Q119" s="2">
        <f t="shared" si="6"/>
        <v>142.02987121520741</v>
      </c>
      <c r="R119" s="2">
        <f t="shared" si="7"/>
        <v>2.1761940830288218</v>
      </c>
      <c r="S119" s="2">
        <f t="shared" si="8"/>
        <v>135.09812867442926</v>
      </c>
      <c r="T119" s="2">
        <f t="shared" si="9"/>
        <v>6.9317425407781457</v>
      </c>
    </row>
    <row r="120" spans="1:20" x14ac:dyDescent="0.25">
      <c r="A120" s="14">
        <f t="shared" si="18"/>
        <v>0.49284188034188037</v>
      </c>
      <c r="B120" s="2">
        <f t="shared" si="11"/>
        <v>115</v>
      </c>
      <c r="C120" s="4">
        <f t="shared" si="20"/>
        <v>62.83</v>
      </c>
      <c r="D120" s="2">
        <v>16.5</v>
      </c>
      <c r="E120" s="2">
        <v>50.26548245743669</v>
      </c>
      <c r="F120" s="11">
        <f t="shared" si="0"/>
        <v>3.2825707012703416</v>
      </c>
      <c r="G120" s="2">
        <f t="shared" si="1"/>
        <v>206.24391716081556</v>
      </c>
      <c r="H120" s="2">
        <f t="shared" si="2"/>
        <v>2.4032778038043019</v>
      </c>
      <c r="I120" s="2">
        <f t="shared" si="3"/>
        <v>150.99794441302427</v>
      </c>
      <c r="J120" s="2">
        <f t="shared" si="4"/>
        <v>55.245972747791285</v>
      </c>
      <c r="K120" s="15">
        <f t="shared" si="19"/>
        <v>0.47405626780626781</v>
      </c>
      <c r="L120" s="2">
        <f t="shared" si="14"/>
        <v>115</v>
      </c>
      <c r="M120" s="2">
        <f t="shared" si="21"/>
        <v>62.58</v>
      </c>
      <c r="N120" s="2">
        <v>11.5</v>
      </c>
      <c r="O120" s="2">
        <v>50.26548245743669</v>
      </c>
      <c r="P120" s="11">
        <f t="shared" si="5"/>
        <v>2.2878523069459957</v>
      </c>
      <c r="Q120" s="2">
        <f t="shared" si="6"/>
        <v>143.1737973686804</v>
      </c>
      <c r="R120" s="2">
        <f t="shared" si="7"/>
        <v>2.1761940830288218</v>
      </c>
      <c r="S120" s="2">
        <f t="shared" si="8"/>
        <v>136.18622571594366</v>
      </c>
      <c r="T120" s="2">
        <f t="shared" si="9"/>
        <v>6.9875716527367331</v>
      </c>
    </row>
    <row r="121" spans="1:20" x14ac:dyDescent="0.25">
      <c r="A121" s="14">
        <f t="shared" si="18"/>
        <v>0.49294871794871797</v>
      </c>
      <c r="B121" s="2">
        <f t="shared" si="11"/>
        <v>116</v>
      </c>
      <c r="C121" s="4">
        <f t="shared" si="20"/>
        <v>63.33</v>
      </c>
      <c r="D121" s="2">
        <v>14</v>
      </c>
      <c r="E121" s="2">
        <v>50.26548245743669</v>
      </c>
      <c r="F121" s="11">
        <f t="shared" si="0"/>
        <v>2.7852115041081689</v>
      </c>
      <c r="G121" s="2">
        <f t="shared" si="1"/>
        <v>176.38744455517033</v>
      </c>
      <c r="H121" s="2">
        <f t="shared" si="2"/>
        <v>2.4032778038043019</v>
      </c>
      <c r="I121" s="2">
        <f t="shared" si="3"/>
        <v>152.19958331492643</v>
      </c>
      <c r="J121" s="2">
        <f t="shared" si="4"/>
        <v>24.187861240243905</v>
      </c>
      <c r="K121" s="15">
        <f t="shared" si="19"/>
        <v>0.47418091168091164</v>
      </c>
      <c r="L121" s="2">
        <f t="shared" si="14"/>
        <v>116</v>
      </c>
      <c r="M121" s="2">
        <f t="shared" si="21"/>
        <v>63.08</v>
      </c>
      <c r="N121" s="2">
        <v>12.5</v>
      </c>
      <c r="O121" s="2">
        <v>50.26548245743669</v>
      </c>
      <c r="P121" s="11">
        <f t="shared" si="5"/>
        <v>2.4867959858108648</v>
      </c>
      <c r="Q121" s="2">
        <f t="shared" si="6"/>
        <v>156.86709078494934</v>
      </c>
      <c r="R121" s="2">
        <f t="shared" si="7"/>
        <v>2.1761940830288218</v>
      </c>
      <c r="S121" s="2">
        <f t="shared" si="8"/>
        <v>137.27432275745807</v>
      </c>
      <c r="T121" s="2">
        <f t="shared" si="9"/>
        <v>19.592768027491275</v>
      </c>
    </row>
    <row r="122" spans="1:20" x14ac:dyDescent="0.25">
      <c r="A122" s="10">
        <v>0.49305555555555558</v>
      </c>
      <c r="B122" s="2">
        <f t="shared" si="11"/>
        <v>117</v>
      </c>
      <c r="C122" s="4">
        <f t="shared" si="20"/>
        <v>63.83</v>
      </c>
      <c r="D122" s="2">
        <v>14.5</v>
      </c>
      <c r="E122" s="2">
        <v>50.26548245743669</v>
      </c>
      <c r="F122" s="11">
        <f t="shared" si="0"/>
        <v>2.8846833435406034</v>
      </c>
      <c r="G122" s="2">
        <f t="shared" si="1"/>
        <v>184.12933781819672</v>
      </c>
      <c r="H122" s="2">
        <f t="shared" si="2"/>
        <v>2.4032778038043019</v>
      </c>
      <c r="I122" s="2">
        <f t="shared" si="3"/>
        <v>153.40122221682859</v>
      </c>
      <c r="J122" s="2">
        <f t="shared" si="4"/>
        <v>30.728115601368131</v>
      </c>
      <c r="K122" s="12">
        <v>0.47430555555555554</v>
      </c>
      <c r="L122" s="2">
        <f t="shared" si="14"/>
        <v>117</v>
      </c>
      <c r="M122" s="2">
        <f t="shared" si="21"/>
        <v>63.58</v>
      </c>
      <c r="N122" s="2">
        <v>12.5</v>
      </c>
      <c r="O122" s="2">
        <v>50.26548245743669</v>
      </c>
      <c r="P122" s="11">
        <f t="shared" si="5"/>
        <v>2.4867959858108648</v>
      </c>
      <c r="Q122" s="2">
        <f t="shared" si="6"/>
        <v>158.11048877785478</v>
      </c>
      <c r="R122" s="2">
        <f t="shared" si="7"/>
        <v>2.1761940830288218</v>
      </c>
      <c r="S122" s="2">
        <f t="shared" si="8"/>
        <v>138.3624197989725</v>
      </c>
      <c r="T122" s="2">
        <f t="shared" si="9"/>
        <v>19.748068978882287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0.49316239316239319</v>
      </c>
      <c r="B123" s="2">
        <f t="shared" si="11"/>
        <v>118</v>
      </c>
      <c r="C123" s="4">
        <f t="shared" si="20"/>
        <v>64.33</v>
      </c>
      <c r="D123" s="2">
        <v>14.5</v>
      </c>
      <c r="E123" s="2">
        <v>50.26548245743669</v>
      </c>
      <c r="F123" s="11">
        <f t="shared" si="0"/>
        <v>2.8846833435406034</v>
      </c>
      <c r="G123" s="2">
        <f t="shared" si="1"/>
        <v>185.57167948996701</v>
      </c>
      <c r="H123" s="2">
        <f t="shared" si="2"/>
        <v>2.4032778038043019</v>
      </c>
      <c r="I123" s="2">
        <f t="shared" si="3"/>
        <v>154.60286111873074</v>
      </c>
      <c r="J123" s="2">
        <f t="shared" si="4"/>
        <v>30.968818371236267</v>
      </c>
      <c r="K123" s="15">
        <f t="shared" ref="K123:K160" si="23">IF(AND($K$122&lt;&gt;"",$K$161&lt;&gt;""), $K$122 + (L123 - $L$122) * (($K$161 - $K$122) / ($L$161 - $L$122)), "")</f>
        <v>0.47443019943019943</v>
      </c>
      <c r="L123" s="2">
        <f t="shared" si="14"/>
        <v>118</v>
      </c>
      <c r="M123" s="2">
        <f t="shared" si="21"/>
        <v>64.08</v>
      </c>
      <c r="N123" s="2">
        <v>13</v>
      </c>
      <c r="O123" s="2">
        <v>50.26548245743669</v>
      </c>
      <c r="P123" s="11">
        <f t="shared" si="5"/>
        <v>2.5862678252432989</v>
      </c>
      <c r="Q123" s="2">
        <f t="shared" si="6"/>
        <v>165.7280422415906</v>
      </c>
      <c r="R123" s="2">
        <f t="shared" si="7"/>
        <v>2.1761940830288218</v>
      </c>
      <c r="S123" s="2">
        <f t="shared" si="8"/>
        <v>139.4505168404869</v>
      </c>
      <c r="T123" s="2">
        <f t="shared" si="9"/>
        <v>26.277525401103702</v>
      </c>
    </row>
    <row r="124" spans="1:20" x14ac:dyDescent="0.25">
      <c r="A124" s="14">
        <f t="shared" si="22"/>
        <v>0.49326923076923079</v>
      </c>
      <c r="B124" s="2">
        <f t="shared" si="11"/>
        <v>119</v>
      </c>
      <c r="C124" s="4">
        <f t="shared" si="20"/>
        <v>64.83</v>
      </c>
      <c r="D124" s="2">
        <v>15</v>
      </c>
      <c r="E124" s="2">
        <v>50.26548245743669</v>
      </c>
      <c r="F124" s="11">
        <f t="shared" si="0"/>
        <v>2.9841551829730379</v>
      </c>
      <c r="G124" s="2">
        <f t="shared" si="1"/>
        <v>193.46278051214205</v>
      </c>
      <c r="H124" s="2">
        <f t="shared" si="2"/>
        <v>2.4032778038043019</v>
      </c>
      <c r="I124" s="2">
        <f t="shared" si="3"/>
        <v>155.8045000206329</v>
      </c>
      <c r="J124" s="2">
        <f t="shared" si="4"/>
        <v>37.658280491509146</v>
      </c>
      <c r="K124" s="15">
        <f t="shared" si="23"/>
        <v>0.47455484330484327</v>
      </c>
      <c r="L124" s="2">
        <f t="shared" si="14"/>
        <v>119</v>
      </c>
      <c r="M124" s="2">
        <f t="shared" si="21"/>
        <v>64.58</v>
      </c>
      <c r="N124" s="2">
        <v>13.5</v>
      </c>
      <c r="O124" s="2">
        <v>50.26548245743669</v>
      </c>
      <c r="P124" s="11">
        <f t="shared" si="5"/>
        <v>2.6857396646757339</v>
      </c>
      <c r="Q124" s="2">
        <f t="shared" si="6"/>
        <v>173.4450675447589</v>
      </c>
      <c r="R124" s="2">
        <f t="shared" si="7"/>
        <v>2.1761940830288218</v>
      </c>
      <c r="S124" s="2">
        <f t="shared" si="8"/>
        <v>140.5386138820013</v>
      </c>
      <c r="T124" s="2">
        <f t="shared" si="9"/>
        <v>32.906453662757599</v>
      </c>
    </row>
    <row r="125" spans="1:20" x14ac:dyDescent="0.25">
      <c r="A125" s="14">
        <f t="shared" si="22"/>
        <v>0.4933760683760684</v>
      </c>
      <c r="B125" s="2">
        <f t="shared" si="11"/>
        <v>120</v>
      </c>
      <c r="C125" s="4">
        <f t="shared" si="20"/>
        <v>65.33</v>
      </c>
      <c r="D125" s="2">
        <v>15</v>
      </c>
      <c r="E125" s="2">
        <v>50.26548245743669</v>
      </c>
      <c r="F125" s="11">
        <f t="shared" si="0"/>
        <v>2.9841551829730379</v>
      </c>
      <c r="G125" s="2">
        <f t="shared" si="1"/>
        <v>194.95485810362857</v>
      </c>
      <c r="H125" s="2">
        <f t="shared" si="2"/>
        <v>2.4032778038043019</v>
      </c>
      <c r="I125" s="2">
        <f t="shared" si="3"/>
        <v>157.00613892253503</v>
      </c>
      <c r="J125" s="2">
        <f t="shared" si="4"/>
        <v>37.948719181093537</v>
      </c>
      <c r="K125" s="15">
        <f t="shared" si="23"/>
        <v>0.47467948717948716</v>
      </c>
      <c r="L125" s="2">
        <f t="shared" si="14"/>
        <v>120</v>
      </c>
      <c r="M125" s="2">
        <f t="shared" si="21"/>
        <v>65.08</v>
      </c>
      <c r="N125" s="2">
        <v>14</v>
      </c>
      <c r="O125" s="2">
        <v>50.26548245743669</v>
      </c>
      <c r="P125" s="11">
        <f t="shared" si="5"/>
        <v>2.7852115041081689</v>
      </c>
      <c r="Q125" s="2">
        <f t="shared" si="6"/>
        <v>181.26156468735962</v>
      </c>
      <c r="R125" s="2">
        <f t="shared" si="7"/>
        <v>2.1761940830288218</v>
      </c>
      <c r="S125" s="2">
        <f t="shared" si="8"/>
        <v>141.62671092351573</v>
      </c>
      <c r="T125" s="2">
        <f t="shared" si="9"/>
        <v>39.634853763843893</v>
      </c>
    </row>
    <row r="126" spans="1:20" x14ac:dyDescent="0.25">
      <c r="A126" s="14">
        <f t="shared" si="22"/>
        <v>0.49348290598290601</v>
      </c>
      <c r="B126" s="2">
        <f t="shared" si="11"/>
        <v>121</v>
      </c>
      <c r="C126" s="4">
        <f t="shared" si="20"/>
        <v>65.83</v>
      </c>
      <c r="D126" s="2">
        <v>14.5</v>
      </c>
      <c r="E126" s="2">
        <v>50.26548245743669</v>
      </c>
      <c r="F126" s="11">
        <f t="shared" si="0"/>
        <v>2.8846833435406034</v>
      </c>
      <c r="G126" s="2">
        <f t="shared" si="1"/>
        <v>189.89870450527792</v>
      </c>
      <c r="H126" s="2">
        <f t="shared" si="2"/>
        <v>2.4032778038043019</v>
      </c>
      <c r="I126" s="2">
        <f t="shared" si="3"/>
        <v>158.20777782443719</v>
      </c>
      <c r="J126" s="2">
        <f t="shared" si="4"/>
        <v>31.690926680840732</v>
      </c>
      <c r="K126" s="15">
        <f t="shared" si="23"/>
        <v>0.47480413105413105</v>
      </c>
      <c r="L126" s="2">
        <f t="shared" si="14"/>
        <v>121</v>
      </c>
      <c r="M126" s="2">
        <f t="shared" si="21"/>
        <v>65.58</v>
      </c>
      <c r="N126" s="2">
        <v>13</v>
      </c>
      <c r="O126" s="2">
        <v>50.26548245743669</v>
      </c>
      <c r="P126" s="11">
        <f t="shared" si="5"/>
        <v>2.5862678252432989</v>
      </c>
      <c r="Q126" s="2">
        <f t="shared" si="6"/>
        <v>169.60744397945552</v>
      </c>
      <c r="R126" s="2">
        <f t="shared" si="7"/>
        <v>2.1761940830288218</v>
      </c>
      <c r="S126" s="2">
        <f t="shared" si="8"/>
        <v>142.71480796503013</v>
      </c>
      <c r="T126" s="2">
        <f t="shared" si="9"/>
        <v>26.892636014425392</v>
      </c>
    </row>
    <row r="127" spans="1:20" x14ac:dyDescent="0.25">
      <c r="A127" s="14">
        <f t="shared" si="22"/>
        <v>0.49358974358974361</v>
      </c>
      <c r="B127" s="2">
        <f t="shared" si="11"/>
        <v>122</v>
      </c>
      <c r="C127" s="4">
        <f t="shared" si="20"/>
        <v>66.33</v>
      </c>
      <c r="D127" s="2">
        <v>14.5</v>
      </c>
      <c r="E127" s="2">
        <v>50.26548245743669</v>
      </c>
      <c r="F127" s="11">
        <f t="shared" si="0"/>
        <v>2.8846833435406034</v>
      </c>
      <c r="G127" s="2">
        <f t="shared" si="1"/>
        <v>191.34104617704821</v>
      </c>
      <c r="H127" s="2">
        <f t="shared" si="2"/>
        <v>2.4032778038043019</v>
      </c>
      <c r="I127" s="2">
        <f t="shared" si="3"/>
        <v>159.40941672633934</v>
      </c>
      <c r="J127" s="2">
        <f t="shared" si="4"/>
        <v>31.931629450708868</v>
      </c>
      <c r="K127" s="15">
        <f t="shared" si="23"/>
        <v>0.47492877492877489</v>
      </c>
      <c r="L127" s="2">
        <f t="shared" si="14"/>
        <v>122</v>
      </c>
      <c r="M127" s="2">
        <f t="shared" si="21"/>
        <v>66.08</v>
      </c>
      <c r="N127" s="2">
        <v>12</v>
      </c>
      <c r="O127" s="2">
        <v>50.26548245743669</v>
      </c>
      <c r="P127" s="11">
        <f t="shared" si="5"/>
        <v>2.3873241463784298</v>
      </c>
      <c r="Q127" s="2">
        <f t="shared" si="6"/>
        <v>157.75437959268663</v>
      </c>
      <c r="R127" s="2">
        <f t="shared" si="7"/>
        <v>2.1761940830288218</v>
      </c>
      <c r="S127" s="2">
        <f t="shared" si="8"/>
        <v>143.80290500654453</v>
      </c>
      <c r="T127" s="2">
        <f t="shared" si="9"/>
        <v>13.951474586142098</v>
      </c>
    </row>
    <row r="128" spans="1:20" x14ac:dyDescent="0.25">
      <c r="A128" s="14">
        <f t="shared" si="22"/>
        <v>0.49369658119658122</v>
      </c>
      <c r="B128" s="2">
        <f t="shared" si="11"/>
        <v>123</v>
      </c>
      <c r="C128" s="4">
        <f t="shared" si="20"/>
        <v>66.83</v>
      </c>
      <c r="D128" s="2">
        <v>13.5</v>
      </c>
      <c r="E128" s="2">
        <v>50.26548245743669</v>
      </c>
      <c r="F128" s="11">
        <f t="shared" si="0"/>
        <v>2.6857396646757339</v>
      </c>
      <c r="G128" s="2">
        <f t="shared" si="1"/>
        <v>179.48798179027929</v>
      </c>
      <c r="H128" s="2">
        <f t="shared" si="2"/>
        <v>2.4032778038043019</v>
      </c>
      <c r="I128" s="2">
        <f t="shared" si="3"/>
        <v>160.6110556282415</v>
      </c>
      <c r="J128" s="2">
        <f t="shared" si="4"/>
        <v>18.87692616203779</v>
      </c>
      <c r="K128" s="15">
        <f t="shared" si="23"/>
        <v>0.47505341880341878</v>
      </c>
      <c r="L128" s="2">
        <f t="shared" si="14"/>
        <v>123</v>
      </c>
      <c r="M128" s="2">
        <f t="shared" si="21"/>
        <v>66.58</v>
      </c>
      <c r="N128" s="2">
        <v>12.5</v>
      </c>
      <c r="O128" s="2">
        <v>50.26548245743669</v>
      </c>
      <c r="P128" s="11">
        <f t="shared" si="5"/>
        <v>2.4867959858108648</v>
      </c>
      <c r="Q128" s="2">
        <f t="shared" si="6"/>
        <v>165.57087673528738</v>
      </c>
      <c r="R128" s="2">
        <f t="shared" si="7"/>
        <v>2.1761940830288218</v>
      </c>
      <c r="S128" s="2">
        <f t="shared" si="8"/>
        <v>144.89100204805894</v>
      </c>
      <c r="T128" s="2">
        <f t="shared" si="9"/>
        <v>20.679874687228448</v>
      </c>
    </row>
    <row r="129" spans="1:20" x14ac:dyDescent="0.25">
      <c r="A129" s="14">
        <f t="shared" si="22"/>
        <v>0.49380341880341883</v>
      </c>
      <c r="B129" s="2">
        <f t="shared" si="11"/>
        <v>124</v>
      </c>
      <c r="C129" s="4">
        <f t="shared" si="20"/>
        <v>67.33</v>
      </c>
      <c r="D129" s="2">
        <v>13.5</v>
      </c>
      <c r="E129" s="2">
        <v>50.26548245743669</v>
      </c>
      <c r="F129" s="11">
        <f t="shared" si="0"/>
        <v>2.6857396646757339</v>
      </c>
      <c r="G129" s="2">
        <f t="shared" si="1"/>
        <v>180.83085162261716</v>
      </c>
      <c r="H129" s="2">
        <f t="shared" si="2"/>
        <v>2.4032778038043019</v>
      </c>
      <c r="I129" s="2">
        <f t="shared" si="3"/>
        <v>161.81269453014363</v>
      </c>
      <c r="J129" s="2">
        <f t="shared" si="4"/>
        <v>19.01815709247353</v>
      </c>
      <c r="K129" s="15">
        <f t="shared" si="23"/>
        <v>0.47517806267806267</v>
      </c>
      <c r="L129" s="2">
        <f t="shared" si="14"/>
        <v>124</v>
      </c>
      <c r="M129" s="2">
        <f t="shared" si="21"/>
        <v>67.08</v>
      </c>
      <c r="N129" s="2">
        <v>12</v>
      </c>
      <c r="O129" s="2">
        <v>50.26548245743669</v>
      </c>
      <c r="P129" s="11">
        <f t="shared" si="5"/>
        <v>2.3873241463784298</v>
      </c>
      <c r="Q129" s="2">
        <f t="shared" si="6"/>
        <v>160.14170373906506</v>
      </c>
      <c r="R129" s="2">
        <f t="shared" si="7"/>
        <v>2.1761940830288218</v>
      </c>
      <c r="S129" s="2">
        <f t="shared" si="8"/>
        <v>145.97909908957337</v>
      </c>
      <c r="T129" s="2">
        <f t="shared" si="9"/>
        <v>14.162604649491698</v>
      </c>
    </row>
    <row r="130" spans="1:20" x14ac:dyDescent="0.25">
      <c r="A130" s="14">
        <f t="shared" si="22"/>
        <v>0.49391025641025643</v>
      </c>
      <c r="B130" s="2">
        <f t="shared" si="11"/>
        <v>125</v>
      </c>
      <c r="C130" s="4">
        <f t="shared" si="20"/>
        <v>67.83</v>
      </c>
      <c r="D130" s="2">
        <v>14.5</v>
      </c>
      <c r="E130" s="2">
        <v>50.26548245743669</v>
      </c>
      <c r="F130" s="11">
        <f t="shared" si="0"/>
        <v>2.8846833435406034</v>
      </c>
      <c r="G130" s="2">
        <f t="shared" si="1"/>
        <v>195.66807119235912</v>
      </c>
      <c r="H130" s="2">
        <f t="shared" si="2"/>
        <v>2.4032778038043019</v>
      </c>
      <c r="I130" s="2">
        <f t="shared" si="3"/>
        <v>163.01433343204579</v>
      </c>
      <c r="J130" s="2">
        <f t="shared" si="4"/>
        <v>32.653737760313334</v>
      </c>
      <c r="K130" s="15">
        <f t="shared" si="23"/>
        <v>0.47530270655270657</v>
      </c>
      <c r="L130" s="2">
        <f t="shared" si="14"/>
        <v>125</v>
      </c>
      <c r="M130" s="2">
        <f t="shared" si="21"/>
        <v>67.58</v>
      </c>
      <c r="N130" s="2">
        <v>11</v>
      </c>
      <c r="O130" s="2">
        <v>50.26548245743669</v>
      </c>
      <c r="P130" s="11">
        <f t="shared" si="5"/>
        <v>2.1883804675135607</v>
      </c>
      <c r="Q130" s="2">
        <f t="shared" si="6"/>
        <v>147.89075199456644</v>
      </c>
      <c r="R130" s="2">
        <f t="shared" si="7"/>
        <v>2.1761940830288218</v>
      </c>
      <c r="S130" s="2">
        <f t="shared" si="8"/>
        <v>147.06719613108777</v>
      </c>
      <c r="T130" s="2">
        <f t="shared" si="9"/>
        <v>0.82355586347867415</v>
      </c>
    </row>
    <row r="131" spans="1:20" x14ac:dyDescent="0.25">
      <c r="A131" s="14">
        <f t="shared" si="22"/>
        <v>0.49401709401709404</v>
      </c>
      <c r="B131" s="2">
        <f t="shared" si="11"/>
        <v>126</v>
      </c>
      <c r="C131" s="4">
        <f t="shared" si="20"/>
        <v>68.33</v>
      </c>
      <c r="D131" s="2">
        <v>14</v>
      </c>
      <c r="E131" s="2">
        <v>50.26548245743669</v>
      </c>
      <c r="F131" s="11">
        <f t="shared" si="0"/>
        <v>2.7852115041081689</v>
      </c>
      <c r="G131" s="2">
        <f t="shared" si="1"/>
        <v>190.31350207571117</v>
      </c>
      <c r="H131" s="2">
        <f t="shared" si="2"/>
        <v>2.4032778038043019</v>
      </c>
      <c r="I131" s="2">
        <f t="shared" si="3"/>
        <v>164.21597233394795</v>
      </c>
      <c r="J131" s="2">
        <f t="shared" si="4"/>
        <v>26.097529741763225</v>
      </c>
      <c r="K131" s="15">
        <f t="shared" si="23"/>
        <v>0.4754273504273504</v>
      </c>
      <c r="L131" s="2">
        <f t="shared" si="14"/>
        <v>126</v>
      </c>
      <c r="M131" s="2">
        <f t="shared" si="21"/>
        <v>68.08</v>
      </c>
      <c r="N131" s="2">
        <v>11.5</v>
      </c>
      <c r="O131" s="2">
        <v>50.26548245743669</v>
      </c>
      <c r="P131" s="11">
        <f t="shared" si="5"/>
        <v>2.2878523069459957</v>
      </c>
      <c r="Q131" s="2">
        <f t="shared" si="6"/>
        <v>155.75698505688339</v>
      </c>
      <c r="R131" s="2">
        <f t="shared" si="7"/>
        <v>2.1761940830288218</v>
      </c>
      <c r="S131" s="2">
        <f t="shared" si="8"/>
        <v>148.15529317260217</v>
      </c>
      <c r="T131" s="2">
        <f t="shared" si="9"/>
        <v>7.6016918842812231</v>
      </c>
    </row>
    <row r="132" spans="1:20" x14ac:dyDescent="0.25">
      <c r="A132" s="14">
        <f t="shared" si="22"/>
        <v>0.49412393162393164</v>
      </c>
      <c r="B132" s="2">
        <f t="shared" si="11"/>
        <v>127</v>
      </c>
      <c r="C132" s="4">
        <f t="shared" si="20"/>
        <v>68.83</v>
      </c>
      <c r="D132" s="2">
        <v>14</v>
      </c>
      <c r="E132" s="2">
        <v>50.26548245743669</v>
      </c>
      <c r="F132" s="11">
        <f t="shared" si="0"/>
        <v>2.7852115041081689</v>
      </c>
      <c r="G132" s="2">
        <f t="shared" si="1"/>
        <v>191.70610782776527</v>
      </c>
      <c r="H132" s="2">
        <f t="shared" si="2"/>
        <v>2.4032778038043019</v>
      </c>
      <c r="I132" s="2">
        <f t="shared" si="3"/>
        <v>165.4176112358501</v>
      </c>
      <c r="J132" s="2">
        <f t="shared" si="4"/>
        <v>26.288496591915163</v>
      </c>
      <c r="K132" s="15">
        <f t="shared" si="23"/>
        <v>0.4755519943019943</v>
      </c>
      <c r="L132" s="2">
        <f t="shared" si="14"/>
        <v>127</v>
      </c>
      <c r="M132" s="2">
        <f t="shared" si="21"/>
        <v>68.58</v>
      </c>
      <c r="N132" s="2">
        <v>10.5</v>
      </c>
      <c r="O132" s="2">
        <v>50.26548245743669</v>
      </c>
      <c r="P132" s="11">
        <f t="shared" si="5"/>
        <v>2.0889086280811267</v>
      </c>
      <c r="Q132" s="2">
        <f t="shared" si="6"/>
        <v>143.25735371380367</v>
      </c>
      <c r="R132" s="2">
        <f t="shared" si="7"/>
        <v>2.1761940830288218</v>
      </c>
      <c r="S132" s="2">
        <f t="shared" si="8"/>
        <v>149.2433902141166</v>
      </c>
      <c r="T132" s="2">
        <f t="shared" si="9"/>
        <v>5.9860365003129345</v>
      </c>
    </row>
    <row r="133" spans="1:20" x14ac:dyDescent="0.25">
      <c r="A133" s="14">
        <f t="shared" si="22"/>
        <v>0.49423076923076925</v>
      </c>
      <c r="B133" s="2">
        <f t="shared" si="11"/>
        <v>128</v>
      </c>
      <c r="C133" s="4">
        <f t="shared" si="20"/>
        <v>69.33</v>
      </c>
      <c r="D133" s="2">
        <v>14</v>
      </c>
      <c r="E133" s="2">
        <v>50.26548245743669</v>
      </c>
      <c r="F133" s="11">
        <f t="shared" si="0"/>
        <v>2.7852115041081689</v>
      </c>
      <c r="G133" s="2">
        <f t="shared" si="1"/>
        <v>193.09871357981933</v>
      </c>
      <c r="H133" s="2">
        <f t="shared" si="2"/>
        <v>2.4032778038043019</v>
      </c>
      <c r="I133" s="2">
        <f t="shared" si="3"/>
        <v>166.61925013775226</v>
      </c>
      <c r="J133" s="2">
        <f t="shared" si="4"/>
        <v>26.479463442067072</v>
      </c>
      <c r="K133" s="15">
        <f t="shared" si="23"/>
        <v>0.47567663817663819</v>
      </c>
      <c r="L133" s="2">
        <f t="shared" si="14"/>
        <v>128</v>
      </c>
      <c r="M133" s="2">
        <f t="shared" si="21"/>
        <v>69.08</v>
      </c>
      <c r="N133" s="2">
        <v>11.5</v>
      </c>
      <c r="O133" s="2">
        <v>50.26548245743669</v>
      </c>
      <c r="P133" s="11">
        <f t="shared" si="5"/>
        <v>2.2878523069459957</v>
      </c>
      <c r="Q133" s="2">
        <f t="shared" si="6"/>
        <v>158.04483736382937</v>
      </c>
      <c r="R133" s="2">
        <f t="shared" si="7"/>
        <v>2.1761940830288218</v>
      </c>
      <c r="S133" s="2">
        <f t="shared" si="8"/>
        <v>150.331487255631</v>
      </c>
      <c r="T133" s="2">
        <f t="shared" si="9"/>
        <v>7.7133501081983695</v>
      </c>
    </row>
    <row r="134" spans="1:20" x14ac:dyDescent="0.25">
      <c r="A134" s="14">
        <f t="shared" si="22"/>
        <v>0.49433760683760686</v>
      </c>
      <c r="B134" s="2">
        <f t="shared" si="11"/>
        <v>129</v>
      </c>
      <c r="C134" s="4">
        <f t="shared" si="20"/>
        <v>69.83</v>
      </c>
      <c r="D134" s="2">
        <v>13.5</v>
      </c>
      <c r="E134" s="2">
        <v>50.26548245743669</v>
      </c>
      <c r="F134" s="11">
        <f t="shared" si="0"/>
        <v>2.6857396646757339</v>
      </c>
      <c r="G134" s="2">
        <f t="shared" si="1"/>
        <v>187.5452007843065</v>
      </c>
      <c r="H134" s="2">
        <f t="shared" si="2"/>
        <v>2.4032778038043019</v>
      </c>
      <c r="I134" s="2">
        <f t="shared" si="3"/>
        <v>167.82088903965439</v>
      </c>
      <c r="J134" s="2">
        <f t="shared" si="4"/>
        <v>19.724311744652113</v>
      </c>
      <c r="K134" s="15">
        <f t="shared" si="23"/>
        <v>0.47580128205128203</v>
      </c>
      <c r="L134" s="2">
        <f t="shared" si="14"/>
        <v>129</v>
      </c>
      <c r="M134" s="2">
        <f t="shared" si="21"/>
        <v>69.58</v>
      </c>
      <c r="N134" s="2">
        <v>12</v>
      </c>
      <c r="O134" s="2">
        <v>50.26548245743669</v>
      </c>
      <c r="P134" s="11">
        <f t="shared" si="5"/>
        <v>2.3873241463784298</v>
      </c>
      <c r="Q134" s="2">
        <f t="shared" si="6"/>
        <v>166.11001410501115</v>
      </c>
      <c r="R134" s="2">
        <f t="shared" si="7"/>
        <v>2.1761940830288218</v>
      </c>
      <c r="S134" s="2">
        <f t="shared" si="8"/>
        <v>151.41958429714541</v>
      </c>
      <c r="T134" s="2">
        <f t="shared" si="9"/>
        <v>14.69042980786574</v>
      </c>
    </row>
    <row r="135" spans="1:20" x14ac:dyDescent="0.25">
      <c r="A135" s="14">
        <f t="shared" si="22"/>
        <v>0.49444444444444446</v>
      </c>
      <c r="B135" s="2">
        <f t="shared" si="11"/>
        <v>130</v>
      </c>
      <c r="C135" s="4">
        <f t="shared" si="20"/>
        <v>70.33</v>
      </c>
      <c r="D135" s="2">
        <v>13.5</v>
      </c>
      <c r="E135" s="2">
        <v>50.26548245743669</v>
      </c>
      <c r="F135" s="11">
        <f t="shared" si="0"/>
        <v>2.6857396646757339</v>
      </c>
      <c r="G135" s="2">
        <f t="shared" si="1"/>
        <v>188.88807061664437</v>
      </c>
      <c r="H135" s="2">
        <f t="shared" si="2"/>
        <v>2.4032778038043019</v>
      </c>
      <c r="I135" s="2">
        <f t="shared" si="3"/>
        <v>169.02252794155655</v>
      </c>
      <c r="J135" s="2">
        <f t="shared" si="4"/>
        <v>19.865542675087823</v>
      </c>
      <c r="K135" s="15">
        <f t="shared" si="23"/>
        <v>0.47592592592592592</v>
      </c>
      <c r="L135" s="2">
        <f t="shared" si="14"/>
        <v>130</v>
      </c>
      <c r="M135" s="2">
        <f t="shared" si="21"/>
        <v>70.08</v>
      </c>
      <c r="N135" s="2">
        <v>11</v>
      </c>
      <c r="O135" s="2">
        <v>50.26548245743669</v>
      </c>
      <c r="P135" s="11">
        <f t="shared" si="5"/>
        <v>2.1883804675135607</v>
      </c>
      <c r="Q135" s="2">
        <f t="shared" si="6"/>
        <v>153.36170316335034</v>
      </c>
      <c r="R135" s="2">
        <f t="shared" si="7"/>
        <v>2.1761940830288218</v>
      </c>
      <c r="S135" s="2">
        <f t="shared" si="8"/>
        <v>152.50768133865984</v>
      </c>
      <c r="T135" s="2">
        <f t="shared" si="9"/>
        <v>0.85402182469050558</v>
      </c>
    </row>
    <row r="136" spans="1:20" x14ac:dyDescent="0.25">
      <c r="A136" s="14">
        <f t="shared" si="22"/>
        <v>0.49455128205128207</v>
      </c>
      <c r="B136" s="2">
        <f t="shared" si="11"/>
        <v>131</v>
      </c>
      <c r="C136" s="4">
        <f t="shared" si="20"/>
        <v>70.83</v>
      </c>
      <c r="D136" s="2">
        <v>13.5</v>
      </c>
      <c r="E136" s="2">
        <v>50.26548245743669</v>
      </c>
      <c r="F136" s="11">
        <f t="shared" si="0"/>
        <v>2.6857396646757339</v>
      </c>
      <c r="G136" s="2">
        <f t="shared" si="1"/>
        <v>190.23094044898224</v>
      </c>
      <c r="H136" s="2">
        <f t="shared" si="2"/>
        <v>2.4032778038043019</v>
      </c>
      <c r="I136" s="2">
        <f t="shared" si="3"/>
        <v>170.2241668434587</v>
      </c>
      <c r="J136" s="2">
        <f t="shared" si="4"/>
        <v>20.006773605523534</v>
      </c>
      <c r="K136" s="15">
        <f t="shared" si="23"/>
        <v>0.47605056980056981</v>
      </c>
      <c r="L136" s="2">
        <f t="shared" si="14"/>
        <v>131</v>
      </c>
      <c r="M136" s="2">
        <f t="shared" si="21"/>
        <v>70.58</v>
      </c>
      <c r="N136" s="2">
        <v>11.5</v>
      </c>
      <c r="O136" s="2">
        <v>50.26548245743669</v>
      </c>
      <c r="P136" s="11">
        <f t="shared" si="5"/>
        <v>2.2878523069459957</v>
      </c>
      <c r="Q136" s="2">
        <f t="shared" si="6"/>
        <v>161.47661582424837</v>
      </c>
      <c r="R136" s="2">
        <f t="shared" si="7"/>
        <v>2.1761940830288218</v>
      </c>
      <c r="S136" s="2">
        <f t="shared" si="8"/>
        <v>153.59577838017424</v>
      </c>
      <c r="T136" s="2">
        <f t="shared" si="9"/>
        <v>7.8808374440741318</v>
      </c>
    </row>
    <row r="137" spans="1:20" x14ac:dyDescent="0.25">
      <c r="A137" s="14">
        <f t="shared" si="22"/>
        <v>0.49465811965811968</v>
      </c>
      <c r="B137" s="2">
        <f t="shared" si="11"/>
        <v>132</v>
      </c>
      <c r="C137" s="4">
        <f t="shared" si="20"/>
        <v>71.33</v>
      </c>
      <c r="D137" s="2">
        <v>15</v>
      </c>
      <c r="E137" s="2">
        <v>50.26548245743669</v>
      </c>
      <c r="F137" s="11">
        <f t="shared" si="0"/>
        <v>2.9841551829730379</v>
      </c>
      <c r="G137" s="2">
        <f t="shared" si="1"/>
        <v>212.85978920146678</v>
      </c>
      <c r="H137" s="2">
        <f t="shared" si="2"/>
        <v>2.4032778038043019</v>
      </c>
      <c r="I137" s="2">
        <f t="shared" si="3"/>
        <v>171.42580574536086</v>
      </c>
      <c r="J137" s="2">
        <f t="shared" si="4"/>
        <v>41.433983456105921</v>
      </c>
      <c r="K137" s="15">
        <f t="shared" si="23"/>
        <v>0.47617521367521365</v>
      </c>
      <c r="L137" s="2">
        <f t="shared" si="14"/>
        <v>132</v>
      </c>
      <c r="M137" s="2">
        <f t="shared" si="21"/>
        <v>71.08</v>
      </c>
      <c r="N137" s="2">
        <v>11.5</v>
      </c>
      <c r="O137" s="2">
        <v>50.26548245743669</v>
      </c>
      <c r="P137" s="11">
        <f t="shared" si="5"/>
        <v>2.2878523069459957</v>
      </c>
      <c r="Q137" s="2">
        <f t="shared" si="6"/>
        <v>162.62054197772136</v>
      </c>
      <c r="R137" s="2">
        <f t="shared" si="7"/>
        <v>2.1761940830288218</v>
      </c>
      <c r="S137" s="2">
        <f t="shared" si="8"/>
        <v>154.68387542168864</v>
      </c>
      <c r="T137" s="2">
        <f t="shared" si="9"/>
        <v>7.9366665560327192</v>
      </c>
    </row>
    <row r="138" spans="1:20" x14ac:dyDescent="0.25">
      <c r="A138" s="14">
        <f t="shared" si="22"/>
        <v>0.49476495726495728</v>
      </c>
      <c r="B138" s="2">
        <f t="shared" si="11"/>
        <v>133</v>
      </c>
      <c r="C138" s="4">
        <f t="shared" si="20"/>
        <v>71.83</v>
      </c>
      <c r="D138" s="2">
        <v>14</v>
      </c>
      <c r="E138" s="2">
        <v>50.26548245743669</v>
      </c>
      <c r="F138" s="11">
        <f t="shared" si="0"/>
        <v>2.7852115041081689</v>
      </c>
      <c r="G138" s="2">
        <f t="shared" si="1"/>
        <v>200.06174234008978</v>
      </c>
      <c r="H138" s="2">
        <f t="shared" si="2"/>
        <v>2.4032778038043019</v>
      </c>
      <c r="I138" s="2">
        <f t="shared" si="3"/>
        <v>172.62744464726299</v>
      </c>
      <c r="J138" s="2">
        <f t="shared" si="4"/>
        <v>27.434297692826789</v>
      </c>
      <c r="K138" s="15">
        <f t="shared" si="23"/>
        <v>0.47629985754985754</v>
      </c>
      <c r="L138" s="2">
        <f t="shared" si="14"/>
        <v>133</v>
      </c>
      <c r="M138" s="2">
        <f t="shared" si="21"/>
        <v>71.58</v>
      </c>
      <c r="N138" s="2">
        <v>11</v>
      </c>
      <c r="O138" s="2">
        <v>50.26548245743669</v>
      </c>
      <c r="P138" s="11">
        <f t="shared" si="5"/>
        <v>2.1883804675135607</v>
      </c>
      <c r="Q138" s="2">
        <f t="shared" si="6"/>
        <v>156.64427386462069</v>
      </c>
      <c r="R138" s="2">
        <f t="shared" si="7"/>
        <v>2.1761940830288218</v>
      </c>
      <c r="S138" s="2">
        <f t="shared" si="8"/>
        <v>155.77197246320307</v>
      </c>
      <c r="T138" s="2">
        <f t="shared" si="9"/>
        <v>0.87230140141761581</v>
      </c>
    </row>
    <row r="139" spans="1:20" x14ac:dyDescent="0.25">
      <c r="A139" s="14">
        <f t="shared" si="22"/>
        <v>0.49487179487179489</v>
      </c>
      <c r="B139" s="2">
        <f t="shared" si="11"/>
        <v>134</v>
      </c>
      <c r="C139" s="4">
        <f t="shared" si="20"/>
        <v>72.33</v>
      </c>
      <c r="D139" s="2">
        <v>14.5</v>
      </c>
      <c r="E139" s="2">
        <v>50.26548245743669</v>
      </c>
      <c r="F139" s="11">
        <f t="shared" si="0"/>
        <v>2.8846833435406034</v>
      </c>
      <c r="G139" s="2">
        <f t="shared" si="1"/>
        <v>208.64914623829185</v>
      </c>
      <c r="H139" s="2">
        <f t="shared" si="2"/>
        <v>2.4032778038043019</v>
      </c>
      <c r="I139" s="2">
        <f t="shared" si="3"/>
        <v>173.82908354916515</v>
      </c>
      <c r="J139" s="2">
        <f t="shared" si="4"/>
        <v>34.820062689126701</v>
      </c>
      <c r="K139" s="15">
        <f t="shared" si="23"/>
        <v>0.47642450142450143</v>
      </c>
      <c r="L139" s="2">
        <f t="shared" si="14"/>
        <v>134</v>
      </c>
      <c r="M139" s="2">
        <f t="shared" si="21"/>
        <v>72.08</v>
      </c>
      <c r="N139" s="2">
        <v>11.5</v>
      </c>
      <c r="O139" s="2">
        <v>50.26548245743669</v>
      </c>
      <c r="P139" s="11">
        <f t="shared" si="5"/>
        <v>2.2878523069459957</v>
      </c>
      <c r="Q139" s="2">
        <f t="shared" si="6"/>
        <v>164.90839428466737</v>
      </c>
      <c r="R139" s="2">
        <f t="shared" si="7"/>
        <v>2.1761940830288218</v>
      </c>
      <c r="S139" s="2">
        <f t="shared" si="8"/>
        <v>156.86006950471747</v>
      </c>
      <c r="T139" s="2">
        <f t="shared" si="9"/>
        <v>8.048324779949894</v>
      </c>
    </row>
    <row r="140" spans="1:20" x14ac:dyDescent="0.25">
      <c r="A140" s="14">
        <f t="shared" si="22"/>
        <v>0.4949786324786325</v>
      </c>
      <c r="B140" s="2">
        <f t="shared" si="11"/>
        <v>135</v>
      </c>
      <c r="C140" s="4">
        <f t="shared" si="20"/>
        <v>72.83</v>
      </c>
      <c r="D140" s="2">
        <v>15</v>
      </c>
      <c r="E140" s="2">
        <v>50.26548245743669</v>
      </c>
      <c r="F140" s="11">
        <f t="shared" si="0"/>
        <v>2.9841551829730379</v>
      </c>
      <c r="G140" s="2">
        <f t="shared" si="1"/>
        <v>217.33602197592634</v>
      </c>
      <c r="H140" s="2">
        <f t="shared" si="2"/>
        <v>2.4032778038043019</v>
      </c>
      <c r="I140" s="2">
        <f t="shared" si="3"/>
        <v>175.03072245106731</v>
      </c>
      <c r="J140" s="2">
        <f t="shared" si="4"/>
        <v>42.305299524859038</v>
      </c>
      <c r="K140" s="15">
        <f t="shared" si="23"/>
        <v>0.47654914529914527</v>
      </c>
      <c r="L140" s="2">
        <f t="shared" si="14"/>
        <v>135</v>
      </c>
      <c r="M140" s="2">
        <f t="shared" si="21"/>
        <v>72.58</v>
      </c>
      <c r="N140" s="2">
        <v>11</v>
      </c>
      <c r="O140" s="2">
        <v>50.26548245743669</v>
      </c>
      <c r="P140" s="11">
        <f t="shared" si="5"/>
        <v>2.1883804675135607</v>
      </c>
      <c r="Q140" s="2">
        <f t="shared" si="6"/>
        <v>158.83265433213424</v>
      </c>
      <c r="R140" s="2">
        <f t="shared" si="7"/>
        <v>2.1761940830288218</v>
      </c>
      <c r="S140" s="2">
        <f t="shared" si="8"/>
        <v>157.94816654623187</v>
      </c>
      <c r="T140" s="2">
        <f t="shared" si="9"/>
        <v>0.88448778590236543</v>
      </c>
    </row>
    <row r="141" spans="1:20" x14ac:dyDescent="0.25">
      <c r="A141" s="14">
        <f t="shared" si="22"/>
        <v>0.4950854700854701</v>
      </c>
      <c r="B141" s="2">
        <f t="shared" si="11"/>
        <v>136</v>
      </c>
      <c r="C141" s="4">
        <f t="shared" si="20"/>
        <v>73.33</v>
      </c>
      <c r="D141" s="2">
        <v>15</v>
      </c>
      <c r="E141" s="2">
        <v>50.26548245743669</v>
      </c>
      <c r="F141" s="11">
        <f t="shared" si="0"/>
        <v>2.9841551829730379</v>
      </c>
      <c r="G141" s="2">
        <f t="shared" si="1"/>
        <v>218.82809956741286</v>
      </c>
      <c r="H141" s="2">
        <f t="shared" si="2"/>
        <v>2.4032778038043019</v>
      </c>
      <c r="I141" s="2">
        <f t="shared" si="3"/>
        <v>176.23236135296946</v>
      </c>
      <c r="J141" s="2">
        <f t="shared" si="4"/>
        <v>42.595738214443401</v>
      </c>
      <c r="K141" s="15">
        <f t="shared" si="23"/>
        <v>0.47667378917378916</v>
      </c>
      <c r="L141" s="2">
        <f t="shared" si="14"/>
        <v>136</v>
      </c>
      <c r="M141" s="2">
        <f t="shared" si="21"/>
        <v>73.08</v>
      </c>
      <c r="N141" s="2">
        <v>11.5</v>
      </c>
      <c r="O141" s="2">
        <v>50.26548245743669</v>
      </c>
      <c r="P141" s="11">
        <f t="shared" si="5"/>
        <v>2.2878523069459957</v>
      </c>
      <c r="Q141" s="2">
        <f t="shared" si="6"/>
        <v>167.19624659161337</v>
      </c>
      <c r="R141" s="2">
        <f t="shared" si="7"/>
        <v>2.1761940830288218</v>
      </c>
      <c r="S141" s="2">
        <f t="shared" si="8"/>
        <v>159.0362635877463</v>
      </c>
      <c r="T141" s="2">
        <f t="shared" si="9"/>
        <v>8.1599830038670689</v>
      </c>
    </row>
    <row r="142" spans="1:20" x14ac:dyDescent="0.25">
      <c r="A142" s="14">
        <f t="shared" si="22"/>
        <v>0.49519230769230771</v>
      </c>
      <c r="B142" s="2">
        <f t="shared" si="11"/>
        <v>137</v>
      </c>
      <c r="C142" s="4">
        <f t="shared" si="20"/>
        <v>73.83</v>
      </c>
      <c r="D142" s="2">
        <v>13</v>
      </c>
      <c r="E142" s="2">
        <v>50.26548245743669</v>
      </c>
      <c r="F142" s="11">
        <f t="shared" si="0"/>
        <v>2.5862678252432989</v>
      </c>
      <c r="G142" s="2">
        <f t="shared" si="1"/>
        <v>190.94415353771277</v>
      </c>
      <c r="H142" s="2">
        <f t="shared" si="2"/>
        <v>2.4032778038043019</v>
      </c>
      <c r="I142" s="2">
        <f t="shared" si="3"/>
        <v>177.43400025487159</v>
      </c>
      <c r="J142" s="2">
        <f t="shared" si="4"/>
        <v>13.510153282841173</v>
      </c>
      <c r="K142" s="15">
        <f t="shared" si="23"/>
        <v>0.47679843304843306</v>
      </c>
      <c r="L142" s="2">
        <f t="shared" si="14"/>
        <v>137</v>
      </c>
      <c r="M142" s="2">
        <f t="shared" si="21"/>
        <v>73.58</v>
      </c>
      <c r="N142" s="2">
        <v>13</v>
      </c>
      <c r="O142" s="2">
        <v>50.26548245743669</v>
      </c>
      <c r="P142" s="11">
        <f t="shared" si="5"/>
        <v>2.5862678252432989</v>
      </c>
      <c r="Q142" s="2">
        <f t="shared" si="6"/>
        <v>190.29758658140193</v>
      </c>
      <c r="R142" s="2">
        <f t="shared" si="7"/>
        <v>2.1761940830288218</v>
      </c>
      <c r="S142" s="2">
        <f t="shared" si="8"/>
        <v>160.12436062926071</v>
      </c>
      <c r="T142" s="2">
        <f t="shared" si="9"/>
        <v>30.173225952141223</v>
      </c>
    </row>
    <row r="143" spans="1:20" x14ac:dyDescent="0.25">
      <c r="A143" s="14">
        <f t="shared" si="22"/>
        <v>0.49529914529914532</v>
      </c>
      <c r="B143" s="2">
        <f t="shared" si="11"/>
        <v>138</v>
      </c>
      <c r="C143" s="4">
        <f t="shared" si="20"/>
        <v>74.33</v>
      </c>
      <c r="D143" s="2">
        <v>13</v>
      </c>
      <c r="E143" s="2">
        <v>50.26548245743669</v>
      </c>
      <c r="F143" s="11">
        <f t="shared" si="0"/>
        <v>2.5862678252432989</v>
      </c>
      <c r="G143" s="2">
        <f t="shared" si="1"/>
        <v>192.23728745033441</v>
      </c>
      <c r="H143" s="2">
        <f t="shared" si="2"/>
        <v>2.4032778038043019</v>
      </c>
      <c r="I143" s="2">
        <f t="shared" si="3"/>
        <v>178.63563915677375</v>
      </c>
      <c r="J143" s="2">
        <f t="shared" si="4"/>
        <v>13.601648293560658</v>
      </c>
      <c r="K143" s="15">
        <f t="shared" si="23"/>
        <v>0.47692307692307695</v>
      </c>
      <c r="L143" s="2">
        <f t="shared" si="14"/>
        <v>138</v>
      </c>
      <c r="M143" s="2">
        <f t="shared" si="21"/>
        <v>74.08</v>
      </c>
      <c r="N143" s="2">
        <v>11</v>
      </c>
      <c r="O143" s="2">
        <v>50.26548245743669</v>
      </c>
      <c r="P143" s="11">
        <f t="shared" si="5"/>
        <v>2.1883804675135607</v>
      </c>
      <c r="Q143" s="2">
        <f t="shared" si="6"/>
        <v>162.11522503340458</v>
      </c>
      <c r="R143" s="2">
        <f t="shared" si="7"/>
        <v>2.1761940830288218</v>
      </c>
      <c r="S143" s="2">
        <f t="shared" si="8"/>
        <v>161.21245767077511</v>
      </c>
      <c r="T143" s="2">
        <f t="shared" si="9"/>
        <v>0.90276736262947566</v>
      </c>
    </row>
    <row r="144" spans="1:20" x14ac:dyDescent="0.25">
      <c r="A144" s="14">
        <f t="shared" si="22"/>
        <v>0.49540598290598292</v>
      </c>
      <c r="B144" s="2">
        <f t="shared" si="11"/>
        <v>139</v>
      </c>
      <c r="C144" s="4">
        <f t="shared" si="20"/>
        <v>74.83</v>
      </c>
      <c r="D144" s="2">
        <v>12.5</v>
      </c>
      <c r="E144" s="2">
        <v>50.26548245743669</v>
      </c>
      <c r="F144" s="11">
        <f t="shared" si="0"/>
        <v>2.4867959858108648</v>
      </c>
      <c r="G144" s="2">
        <f t="shared" si="1"/>
        <v>186.086943618227</v>
      </c>
      <c r="H144" s="2">
        <f t="shared" si="2"/>
        <v>2.4032778038043019</v>
      </c>
      <c r="I144" s="2">
        <f t="shared" si="3"/>
        <v>179.83727805867591</v>
      </c>
      <c r="J144" s="2">
        <f t="shared" si="4"/>
        <v>6.2496655595510902</v>
      </c>
      <c r="K144" s="15">
        <f t="shared" si="23"/>
        <v>0.47704772079772079</v>
      </c>
      <c r="L144" s="2">
        <f t="shared" si="14"/>
        <v>139</v>
      </c>
      <c r="M144" s="2">
        <f t="shared" si="21"/>
        <v>74.58</v>
      </c>
      <c r="N144" s="2">
        <v>11</v>
      </c>
      <c r="O144" s="2">
        <v>50.26548245743669</v>
      </c>
      <c r="P144" s="11">
        <f t="shared" si="5"/>
        <v>2.1883804675135607</v>
      </c>
      <c r="Q144" s="2">
        <f t="shared" si="6"/>
        <v>163.20941526716135</v>
      </c>
      <c r="R144" s="2">
        <f t="shared" si="7"/>
        <v>2.1761940830288218</v>
      </c>
      <c r="S144" s="2">
        <f t="shared" si="8"/>
        <v>162.30055471228951</v>
      </c>
      <c r="T144" s="2">
        <f t="shared" si="9"/>
        <v>0.90886055487183626</v>
      </c>
    </row>
    <row r="145" spans="1:20" x14ac:dyDescent="0.25">
      <c r="A145" s="14">
        <f t="shared" si="22"/>
        <v>0.49551282051282053</v>
      </c>
      <c r="B145" s="2">
        <f t="shared" si="11"/>
        <v>140</v>
      </c>
      <c r="C145" s="4">
        <f t="shared" si="20"/>
        <v>75.33</v>
      </c>
      <c r="D145" s="2">
        <v>13.5</v>
      </c>
      <c r="E145" s="2">
        <v>50.26548245743669</v>
      </c>
      <c r="F145" s="11">
        <f t="shared" si="0"/>
        <v>2.6857396646757339</v>
      </c>
      <c r="G145" s="2">
        <f t="shared" si="1"/>
        <v>202.31676894002302</v>
      </c>
      <c r="H145" s="2">
        <f t="shared" si="2"/>
        <v>2.4032778038043019</v>
      </c>
      <c r="I145" s="2">
        <f t="shared" si="3"/>
        <v>181.03891696057806</v>
      </c>
      <c r="J145" s="2">
        <f t="shared" si="4"/>
        <v>21.277851979444961</v>
      </c>
      <c r="K145" s="15">
        <f t="shared" si="23"/>
        <v>0.47717236467236468</v>
      </c>
      <c r="L145" s="2">
        <f t="shared" si="14"/>
        <v>140</v>
      </c>
      <c r="M145" s="2">
        <f t="shared" si="21"/>
        <v>75.08</v>
      </c>
      <c r="N145" s="2">
        <v>11</v>
      </c>
      <c r="O145" s="2">
        <v>50.26548245743669</v>
      </c>
      <c r="P145" s="11">
        <f t="shared" si="5"/>
        <v>2.1883804675135607</v>
      </c>
      <c r="Q145" s="2">
        <f t="shared" si="6"/>
        <v>164.30360550091814</v>
      </c>
      <c r="R145" s="2">
        <f t="shared" si="7"/>
        <v>2.1761940830288218</v>
      </c>
      <c r="S145" s="2">
        <f t="shared" si="8"/>
        <v>163.38865175380394</v>
      </c>
      <c r="T145" s="2">
        <f t="shared" si="9"/>
        <v>0.91495374711419686</v>
      </c>
    </row>
    <row r="146" spans="1:20" x14ac:dyDescent="0.25">
      <c r="A146" s="14">
        <f t="shared" si="22"/>
        <v>0.49561965811965814</v>
      </c>
      <c r="B146" s="2">
        <f t="shared" si="11"/>
        <v>141</v>
      </c>
      <c r="C146" s="4">
        <f t="shared" si="20"/>
        <v>75.83</v>
      </c>
      <c r="D146" s="2">
        <v>12</v>
      </c>
      <c r="E146" s="2">
        <v>50.26548245743669</v>
      </c>
      <c r="F146" s="11">
        <f t="shared" si="0"/>
        <v>2.3873241463784298</v>
      </c>
      <c r="G146" s="2">
        <f t="shared" si="1"/>
        <v>181.03079001987632</v>
      </c>
      <c r="H146" s="2">
        <f t="shared" si="2"/>
        <v>2.4032778038043019</v>
      </c>
      <c r="I146" s="2">
        <f t="shared" si="3"/>
        <v>182.24055586248022</v>
      </c>
      <c r="J146" s="2">
        <f t="shared" si="4"/>
        <v>1.2097658426039004</v>
      </c>
      <c r="K146" s="15">
        <f t="shared" si="23"/>
        <v>0.47729700854700857</v>
      </c>
      <c r="L146" s="2">
        <f t="shared" si="14"/>
        <v>141</v>
      </c>
      <c r="M146" s="2">
        <f t="shared" si="21"/>
        <v>75.58</v>
      </c>
      <c r="N146" s="2">
        <v>10.5</v>
      </c>
      <c r="O146" s="2">
        <v>50.26548245743669</v>
      </c>
      <c r="P146" s="11">
        <f t="shared" si="5"/>
        <v>2.0889086280811267</v>
      </c>
      <c r="Q146" s="2">
        <f t="shared" si="6"/>
        <v>157.87971411037154</v>
      </c>
      <c r="R146" s="2">
        <f t="shared" si="7"/>
        <v>2.1761940830288218</v>
      </c>
      <c r="S146" s="2">
        <f t="shared" si="8"/>
        <v>164.47674879531834</v>
      </c>
      <c r="T146" s="2">
        <f t="shared" si="9"/>
        <v>6.5970346849468058</v>
      </c>
    </row>
    <row r="147" spans="1:20" x14ac:dyDescent="0.25">
      <c r="A147" s="14">
        <f t="shared" si="22"/>
        <v>0.49572649572649574</v>
      </c>
      <c r="B147" s="2">
        <f t="shared" si="11"/>
        <v>142</v>
      </c>
      <c r="C147" s="4">
        <f t="shared" si="20"/>
        <v>76.33</v>
      </c>
      <c r="D147" s="2">
        <v>12</v>
      </c>
      <c r="E147" s="2">
        <v>50.26548245743669</v>
      </c>
      <c r="F147" s="11">
        <f t="shared" si="0"/>
        <v>2.3873241463784298</v>
      </c>
      <c r="G147" s="2">
        <f t="shared" si="1"/>
        <v>182.22445209306554</v>
      </c>
      <c r="H147" s="2">
        <f t="shared" si="2"/>
        <v>2.4032778038043019</v>
      </c>
      <c r="I147" s="2">
        <f t="shared" si="3"/>
        <v>183.44219476438235</v>
      </c>
      <c r="J147" s="2">
        <f t="shared" si="4"/>
        <v>1.2177426713168131</v>
      </c>
      <c r="K147" s="15">
        <f t="shared" si="23"/>
        <v>0.47742165242165241</v>
      </c>
      <c r="L147" s="2">
        <f t="shared" si="14"/>
        <v>142</v>
      </c>
      <c r="M147" s="2">
        <f t="shared" si="21"/>
        <v>76.08</v>
      </c>
      <c r="N147" s="2">
        <v>11.5</v>
      </c>
      <c r="O147" s="2">
        <v>50.26548245743669</v>
      </c>
      <c r="P147" s="11">
        <f t="shared" si="5"/>
        <v>2.2878523069459957</v>
      </c>
      <c r="Q147" s="2">
        <f t="shared" si="6"/>
        <v>174.05980351245134</v>
      </c>
      <c r="R147" s="2">
        <f t="shared" si="7"/>
        <v>2.1761940830288218</v>
      </c>
      <c r="S147" s="2">
        <f t="shared" si="8"/>
        <v>165.56484583683275</v>
      </c>
      <c r="T147" s="2">
        <f t="shared" si="9"/>
        <v>8.4949576756185934</v>
      </c>
    </row>
    <row r="148" spans="1:20" x14ac:dyDescent="0.25">
      <c r="A148" s="14">
        <f t="shared" si="22"/>
        <v>0.49583333333333335</v>
      </c>
      <c r="B148" s="2">
        <f t="shared" si="11"/>
        <v>143</v>
      </c>
      <c r="C148" s="4">
        <f t="shared" si="20"/>
        <v>76.83</v>
      </c>
      <c r="D148" s="21">
        <v>12.5</v>
      </c>
      <c r="E148" s="2">
        <v>50.26548245743669</v>
      </c>
      <c r="F148" s="11">
        <f t="shared" si="0"/>
        <v>2.4867959858108648</v>
      </c>
      <c r="G148" s="2">
        <f t="shared" si="1"/>
        <v>191.06053558984874</v>
      </c>
      <c r="H148" s="2">
        <f t="shared" si="2"/>
        <v>2.4032778038043019</v>
      </c>
      <c r="I148" s="2">
        <f t="shared" si="3"/>
        <v>184.64383366628451</v>
      </c>
      <c r="J148" s="2">
        <f t="shared" si="4"/>
        <v>6.4167019235642329</v>
      </c>
      <c r="K148" s="15">
        <f t="shared" si="23"/>
        <v>0.4775462962962963</v>
      </c>
      <c r="L148" s="2">
        <f t="shared" si="14"/>
        <v>143</v>
      </c>
      <c r="M148" s="2">
        <f t="shared" si="21"/>
        <v>76.58</v>
      </c>
      <c r="N148" s="2">
        <v>11.5</v>
      </c>
      <c r="O148" s="2">
        <v>50.26548245743669</v>
      </c>
      <c r="P148" s="11">
        <f t="shared" si="5"/>
        <v>2.2878523069459957</v>
      </c>
      <c r="Q148" s="2">
        <f t="shared" si="6"/>
        <v>175.20372966592436</v>
      </c>
      <c r="R148" s="2">
        <f t="shared" si="7"/>
        <v>2.1761940830288218</v>
      </c>
      <c r="S148" s="2">
        <f t="shared" si="8"/>
        <v>166.65294287834718</v>
      </c>
      <c r="T148" s="2">
        <f t="shared" si="9"/>
        <v>8.5507867875771808</v>
      </c>
    </row>
    <row r="149" spans="1:20" x14ac:dyDescent="0.25">
      <c r="A149" s="14">
        <f t="shared" si="22"/>
        <v>0.49594017094017095</v>
      </c>
      <c r="B149" s="2">
        <f t="shared" si="11"/>
        <v>144</v>
      </c>
      <c r="C149" s="4">
        <f t="shared" si="20"/>
        <v>77.33</v>
      </c>
      <c r="D149" s="21">
        <v>11.5</v>
      </c>
      <c r="E149" s="2">
        <v>50.26548245743669</v>
      </c>
      <c r="F149" s="11">
        <f t="shared" si="0"/>
        <v>2.2878523069459957</v>
      </c>
      <c r="G149" s="2">
        <f t="shared" si="1"/>
        <v>176.91961889613384</v>
      </c>
      <c r="H149" s="2">
        <f t="shared" si="2"/>
        <v>2.4032778038043019</v>
      </c>
      <c r="I149" s="2">
        <f t="shared" si="3"/>
        <v>185.84547256818666</v>
      </c>
      <c r="J149" s="2">
        <f t="shared" si="4"/>
        <v>8.9258536720528241</v>
      </c>
      <c r="K149" s="15">
        <f t="shared" si="23"/>
        <v>0.47767094017094019</v>
      </c>
      <c r="L149" s="2">
        <f t="shared" si="14"/>
        <v>144</v>
      </c>
      <c r="M149" s="2">
        <f t="shared" si="21"/>
        <v>77.08</v>
      </c>
      <c r="N149" s="2">
        <v>11</v>
      </c>
      <c r="O149" s="2">
        <v>50.26548245743669</v>
      </c>
      <c r="P149" s="11">
        <f t="shared" si="5"/>
        <v>2.1883804675135607</v>
      </c>
      <c r="Q149" s="2">
        <f t="shared" si="6"/>
        <v>168.68036643594525</v>
      </c>
      <c r="R149" s="2">
        <f t="shared" si="7"/>
        <v>2.1761940830288218</v>
      </c>
      <c r="S149" s="2">
        <f t="shared" si="8"/>
        <v>167.74103991986158</v>
      </c>
      <c r="T149" s="2">
        <f t="shared" si="9"/>
        <v>0.93932651608366768</v>
      </c>
    </row>
    <row r="150" spans="1:20" x14ac:dyDescent="0.25">
      <c r="A150" s="14">
        <f t="shared" si="22"/>
        <v>0.49604700854700856</v>
      </c>
      <c r="B150" s="2">
        <f t="shared" si="11"/>
        <v>145</v>
      </c>
      <c r="C150" s="4">
        <f t="shared" si="20"/>
        <v>77.83</v>
      </c>
      <c r="D150" s="21">
        <v>11</v>
      </c>
      <c r="E150" s="2">
        <v>50.26548245743669</v>
      </c>
      <c r="F150" s="11">
        <f t="shared" si="0"/>
        <v>2.1883804675135607</v>
      </c>
      <c r="G150" s="2">
        <f t="shared" si="1"/>
        <v>170.32165178658042</v>
      </c>
      <c r="H150" s="2">
        <f t="shared" si="2"/>
        <v>2.4032778038043019</v>
      </c>
      <c r="I150" s="2">
        <f t="shared" si="3"/>
        <v>187.04711147008882</v>
      </c>
      <c r="J150" s="2">
        <f t="shared" si="4"/>
        <v>16.725459683508404</v>
      </c>
      <c r="K150" s="15">
        <f t="shared" si="23"/>
        <v>0.47779558404558403</v>
      </c>
      <c r="L150" s="2">
        <f t="shared" si="14"/>
        <v>145</v>
      </c>
      <c r="M150" s="2">
        <f t="shared" si="21"/>
        <v>77.58</v>
      </c>
      <c r="N150" s="2">
        <v>11</v>
      </c>
      <c r="O150" s="2">
        <v>50.26548245743669</v>
      </c>
      <c r="P150" s="11">
        <f t="shared" si="5"/>
        <v>2.1883804675135607</v>
      </c>
      <c r="Q150" s="2">
        <f t="shared" si="6"/>
        <v>169.77455666970204</v>
      </c>
      <c r="R150" s="2">
        <f t="shared" si="7"/>
        <v>2.1761940830288218</v>
      </c>
      <c r="S150" s="2">
        <f t="shared" si="8"/>
        <v>168.82913696137598</v>
      </c>
      <c r="T150" s="2">
        <f t="shared" si="9"/>
        <v>0.94541970832605671</v>
      </c>
    </row>
    <row r="151" spans="1:20" x14ac:dyDescent="0.25">
      <c r="A151" s="14">
        <f t="shared" si="22"/>
        <v>0.49615384615384617</v>
      </c>
      <c r="B151" s="2">
        <f t="shared" si="11"/>
        <v>146</v>
      </c>
      <c r="C151" s="4">
        <f t="shared" si="20"/>
        <v>78.33</v>
      </c>
      <c r="D151" s="2">
        <v>10.5</v>
      </c>
      <c r="E151" s="2">
        <v>50.26548245743669</v>
      </c>
      <c r="F151" s="11">
        <f t="shared" si="0"/>
        <v>2.0889086280811267</v>
      </c>
      <c r="G151" s="2">
        <f t="shared" si="1"/>
        <v>163.62421283759465</v>
      </c>
      <c r="H151" s="2">
        <f t="shared" si="2"/>
        <v>2.4032778038043019</v>
      </c>
      <c r="I151" s="2">
        <f t="shared" si="3"/>
        <v>188.24875037199095</v>
      </c>
      <c r="J151" s="2">
        <f t="shared" si="4"/>
        <v>24.624537534396296</v>
      </c>
      <c r="K151" s="15">
        <f t="shared" si="23"/>
        <v>0.47792022792022792</v>
      </c>
      <c r="L151" s="2">
        <f t="shared" si="14"/>
        <v>146</v>
      </c>
      <c r="M151" s="2">
        <f t="shared" si="21"/>
        <v>78.08</v>
      </c>
      <c r="N151" s="2">
        <v>10</v>
      </c>
      <c r="O151" s="2">
        <v>50.26548245743669</v>
      </c>
      <c r="P151" s="11">
        <f t="shared" si="5"/>
        <v>1.9894367886486919</v>
      </c>
      <c r="Q151" s="2">
        <f t="shared" si="6"/>
        <v>155.33522445768986</v>
      </c>
      <c r="R151" s="2">
        <f t="shared" si="7"/>
        <v>2.1761940830288218</v>
      </c>
      <c r="S151" s="2">
        <f t="shared" si="8"/>
        <v>169.91723400289041</v>
      </c>
      <c r="T151" s="2">
        <f t="shared" si="9"/>
        <v>14.582009545200549</v>
      </c>
    </row>
    <row r="152" spans="1:20" x14ac:dyDescent="0.25">
      <c r="A152" s="14">
        <f t="shared" si="22"/>
        <v>0.49626068376068377</v>
      </c>
      <c r="B152" s="2">
        <f t="shared" si="11"/>
        <v>147</v>
      </c>
      <c r="C152" s="4">
        <f t="shared" si="20"/>
        <v>78.83</v>
      </c>
      <c r="D152" s="2">
        <v>9.5</v>
      </c>
      <c r="E152" s="2">
        <v>50.26548245743669</v>
      </c>
      <c r="F152" s="11">
        <f t="shared" si="0"/>
        <v>1.8899649492162571</v>
      </c>
      <c r="G152" s="2">
        <f t="shared" si="1"/>
        <v>148.98593694671754</v>
      </c>
      <c r="H152" s="2">
        <f t="shared" si="2"/>
        <v>2.4032778038043019</v>
      </c>
      <c r="I152" s="2">
        <f t="shared" si="3"/>
        <v>189.45038927389311</v>
      </c>
      <c r="J152" s="2">
        <f t="shared" si="4"/>
        <v>40.464452327175565</v>
      </c>
      <c r="K152" s="15">
        <f t="shared" si="23"/>
        <v>0.47804487179487182</v>
      </c>
      <c r="L152" s="2">
        <f t="shared" si="14"/>
        <v>147</v>
      </c>
      <c r="M152" s="2">
        <f t="shared" si="21"/>
        <v>78.58</v>
      </c>
      <c r="N152" s="2">
        <v>8.5</v>
      </c>
      <c r="O152" s="2">
        <v>50.26548245743669</v>
      </c>
      <c r="P152" s="11">
        <f t="shared" si="5"/>
        <v>1.6910212703513881</v>
      </c>
      <c r="Q152" s="2">
        <f t="shared" si="6"/>
        <v>132.88045142421208</v>
      </c>
      <c r="R152" s="2">
        <f t="shared" si="7"/>
        <v>2.1761940830288218</v>
      </c>
      <c r="S152" s="2">
        <f t="shared" si="8"/>
        <v>171.00533104440481</v>
      </c>
      <c r="T152" s="2">
        <f t="shared" si="9"/>
        <v>38.124879620192729</v>
      </c>
    </row>
    <row r="153" spans="1:20" x14ac:dyDescent="0.25">
      <c r="A153" s="14">
        <f t="shared" si="22"/>
        <v>0.49636752136752138</v>
      </c>
      <c r="B153" s="2">
        <f t="shared" si="11"/>
        <v>148</v>
      </c>
      <c r="C153" s="4">
        <f t="shared" si="20"/>
        <v>79.33</v>
      </c>
      <c r="D153" s="2">
        <v>8.5</v>
      </c>
      <c r="E153" s="2">
        <v>50.26548245743669</v>
      </c>
      <c r="F153" s="11">
        <f t="shared" si="0"/>
        <v>1.6910212703513881</v>
      </c>
      <c r="G153" s="2">
        <f t="shared" si="1"/>
        <v>134.14871737697561</v>
      </c>
      <c r="H153" s="2">
        <f t="shared" si="2"/>
        <v>2.4032778038043019</v>
      </c>
      <c r="I153" s="2">
        <f t="shared" si="3"/>
        <v>190.65202817579527</v>
      </c>
      <c r="J153" s="2">
        <f t="shared" si="4"/>
        <v>56.503310798819655</v>
      </c>
      <c r="K153" s="15">
        <f t="shared" si="23"/>
        <v>0.47816951566951565</v>
      </c>
      <c r="L153" s="2">
        <f t="shared" si="14"/>
        <v>148</v>
      </c>
      <c r="M153" s="2">
        <f t="shared" si="21"/>
        <v>79.08</v>
      </c>
      <c r="N153" s="2">
        <v>8</v>
      </c>
      <c r="O153" s="2">
        <v>50.26548245743669</v>
      </c>
      <c r="P153" s="11">
        <f t="shared" si="5"/>
        <v>1.5915494309189535</v>
      </c>
      <c r="Q153" s="2">
        <f t="shared" si="6"/>
        <v>125.85972899707085</v>
      </c>
      <c r="R153" s="2">
        <f t="shared" si="7"/>
        <v>2.1761940830288218</v>
      </c>
      <c r="S153" s="2">
        <f t="shared" si="8"/>
        <v>172.09342808591921</v>
      </c>
      <c r="T153" s="2">
        <f t="shared" si="9"/>
        <v>46.233699088848368</v>
      </c>
    </row>
    <row r="154" spans="1:20" x14ac:dyDescent="0.25">
      <c r="A154" s="14">
        <f t="shared" si="22"/>
        <v>0.49647435897435899</v>
      </c>
      <c r="B154" s="2">
        <f t="shared" si="11"/>
        <v>149</v>
      </c>
      <c r="C154" s="4">
        <f t="shared" si="20"/>
        <v>79.83</v>
      </c>
      <c r="D154" s="2">
        <v>8.5</v>
      </c>
      <c r="E154" s="2">
        <v>50.26548245743669</v>
      </c>
      <c r="F154" s="11">
        <f t="shared" si="0"/>
        <v>1.6910212703513881</v>
      </c>
      <c r="G154" s="2">
        <f t="shared" si="1"/>
        <v>134.9942280121513</v>
      </c>
      <c r="H154" s="2">
        <f t="shared" si="2"/>
        <v>2.4032778038043019</v>
      </c>
      <c r="I154" s="2">
        <f t="shared" si="3"/>
        <v>191.85366707769742</v>
      </c>
      <c r="J154" s="2">
        <f t="shared" si="4"/>
        <v>56.859439065546127</v>
      </c>
      <c r="K154" s="15">
        <f t="shared" si="23"/>
        <v>0.47829415954415955</v>
      </c>
      <c r="L154" s="2">
        <f t="shared" si="14"/>
        <v>149</v>
      </c>
      <c r="M154" s="2">
        <f t="shared" si="21"/>
        <v>79.58</v>
      </c>
      <c r="N154" s="2">
        <v>8</v>
      </c>
      <c r="O154" s="2">
        <v>50.26548245743669</v>
      </c>
      <c r="P154" s="11">
        <f t="shared" si="5"/>
        <v>1.5915494309189535</v>
      </c>
      <c r="Q154" s="2">
        <f t="shared" si="6"/>
        <v>126.65550371253032</v>
      </c>
      <c r="R154" s="2">
        <f t="shared" si="7"/>
        <v>2.1761940830288218</v>
      </c>
      <c r="S154" s="2">
        <f t="shared" si="8"/>
        <v>173.18152512743364</v>
      </c>
      <c r="T154" s="2">
        <f t="shared" si="9"/>
        <v>46.526021414903326</v>
      </c>
    </row>
    <row r="155" spans="1:20" x14ac:dyDescent="0.25">
      <c r="A155" s="14">
        <f t="shared" si="22"/>
        <v>0.49658119658119659</v>
      </c>
      <c r="B155" s="2">
        <f t="shared" si="11"/>
        <v>150</v>
      </c>
      <c r="C155" s="4">
        <f t="shared" si="20"/>
        <v>80.33</v>
      </c>
      <c r="D155" s="2">
        <v>7.5</v>
      </c>
      <c r="E155" s="2">
        <v>50.26548245743669</v>
      </c>
      <c r="F155" s="11">
        <f t="shared" si="0"/>
        <v>1.492077591486519</v>
      </c>
      <c r="G155" s="2">
        <f t="shared" si="1"/>
        <v>119.85859292411206</v>
      </c>
      <c r="H155" s="2">
        <f t="shared" si="2"/>
        <v>2.4032778038043019</v>
      </c>
      <c r="I155" s="2">
        <f t="shared" si="3"/>
        <v>193.05530597959958</v>
      </c>
      <c r="J155" s="2">
        <f t="shared" si="4"/>
        <v>73.196713055487521</v>
      </c>
      <c r="K155" s="15">
        <f t="shared" si="23"/>
        <v>0.47841880341880344</v>
      </c>
      <c r="L155" s="2">
        <f t="shared" si="14"/>
        <v>150</v>
      </c>
      <c r="M155" s="2">
        <f t="shared" si="21"/>
        <v>80.08</v>
      </c>
      <c r="N155" s="2">
        <v>7</v>
      </c>
      <c r="O155" s="2">
        <v>50.26548245743669</v>
      </c>
      <c r="P155" s="11">
        <f t="shared" si="5"/>
        <v>1.3926057520540844</v>
      </c>
      <c r="Q155" s="2">
        <f t="shared" si="6"/>
        <v>111.51986862449108</v>
      </c>
      <c r="R155" s="2">
        <f t="shared" si="7"/>
        <v>2.1761940830288218</v>
      </c>
      <c r="S155" s="2">
        <f t="shared" si="8"/>
        <v>174.26962216894805</v>
      </c>
      <c r="T155" s="2">
        <f t="shared" si="9"/>
        <v>62.749753544456965</v>
      </c>
    </row>
    <row r="156" spans="1:20" x14ac:dyDescent="0.25">
      <c r="A156" s="14">
        <f t="shared" si="22"/>
        <v>0.4966880341880342</v>
      </c>
      <c r="B156" s="2">
        <f t="shared" si="11"/>
        <v>151</v>
      </c>
      <c r="C156" s="4">
        <f t="shared" si="20"/>
        <v>80.83</v>
      </c>
      <c r="D156" s="2">
        <v>6.5</v>
      </c>
      <c r="E156" s="2">
        <v>50.26548245743669</v>
      </c>
      <c r="F156" s="11">
        <f t="shared" si="0"/>
        <v>1.2931339126216495</v>
      </c>
      <c r="G156" s="2">
        <f t="shared" si="1"/>
        <v>104.52401415720793</v>
      </c>
      <c r="H156" s="2">
        <f t="shared" si="2"/>
        <v>2.4032778038043019</v>
      </c>
      <c r="I156" s="2">
        <f t="shared" si="3"/>
        <v>194.25694488150171</v>
      </c>
      <c r="J156" s="2">
        <f t="shared" si="4"/>
        <v>89.73293072429378</v>
      </c>
      <c r="K156" s="15">
        <f t="shared" si="23"/>
        <v>0.47854344729344733</v>
      </c>
      <c r="L156" s="2">
        <f t="shared" si="14"/>
        <v>151</v>
      </c>
      <c r="M156" s="2">
        <f t="shared" si="21"/>
        <v>80.58</v>
      </c>
      <c r="N156" s="2">
        <v>6.5</v>
      </c>
      <c r="O156" s="2">
        <v>50.26548245743669</v>
      </c>
      <c r="P156" s="11">
        <f t="shared" si="5"/>
        <v>1.2931339126216495</v>
      </c>
      <c r="Q156" s="2">
        <f t="shared" si="6"/>
        <v>104.20073067905251</v>
      </c>
      <c r="R156" s="2">
        <f t="shared" si="7"/>
        <v>2.1761940830288218</v>
      </c>
      <c r="S156" s="2">
        <f t="shared" si="8"/>
        <v>175.35771921046245</v>
      </c>
      <c r="T156" s="2">
        <f t="shared" si="9"/>
        <v>71.156988531409937</v>
      </c>
    </row>
    <row r="157" spans="1:20" x14ac:dyDescent="0.25">
      <c r="A157" s="14">
        <f t="shared" si="22"/>
        <v>0.49679487179487181</v>
      </c>
      <c r="B157" s="2">
        <f t="shared" si="11"/>
        <v>152</v>
      </c>
      <c r="C157" s="4">
        <f t="shared" si="20"/>
        <v>81.33</v>
      </c>
      <c r="D157" s="2">
        <v>5.5</v>
      </c>
      <c r="E157" s="2">
        <v>50.26548245743669</v>
      </c>
      <c r="F157" s="11">
        <f t="shared" si="0"/>
        <v>1.0941902337567804</v>
      </c>
      <c r="G157" s="2">
        <f t="shared" si="1"/>
        <v>88.990491711438949</v>
      </c>
      <c r="H157" s="2">
        <f t="shared" si="2"/>
        <v>2.4032778038043019</v>
      </c>
      <c r="I157" s="2">
        <f t="shared" si="3"/>
        <v>195.45858378340387</v>
      </c>
      <c r="J157" s="2">
        <f t="shared" si="4"/>
        <v>106.46809207196492</v>
      </c>
      <c r="K157" s="15">
        <f t="shared" si="23"/>
        <v>0.47866809116809117</v>
      </c>
      <c r="L157" s="2">
        <f t="shared" si="14"/>
        <v>152</v>
      </c>
      <c r="M157" s="2">
        <f t="shared" si="21"/>
        <v>81.08</v>
      </c>
      <c r="N157" s="2">
        <v>5.5</v>
      </c>
      <c r="O157" s="2">
        <v>50.26548245743669</v>
      </c>
      <c r="P157" s="11">
        <f t="shared" si="5"/>
        <v>1.0941902337567804</v>
      </c>
      <c r="Q157" s="2">
        <f t="shared" si="6"/>
        <v>88.716944152999744</v>
      </c>
      <c r="R157" s="2">
        <f t="shared" si="7"/>
        <v>2.1761940830288218</v>
      </c>
      <c r="S157" s="2">
        <f t="shared" si="8"/>
        <v>176.44581625197688</v>
      </c>
      <c r="T157" s="2">
        <f t="shared" si="9"/>
        <v>87.728872098977135</v>
      </c>
    </row>
    <row r="158" spans="1:20" x14ac:dyDescent="0.25">
      <c r="A158" s="14">
        <f t="shared" si="22"/>
        <v>0.49690170940170941</v>
      </c>
      <c r="B158" s="2">
        <f t="shared" si="11"/>
        <v>153</v>
      </c>
      <c r="C158" s="4">
        <f t="shared" si="20"/>
        <v>81.83</v>
      </c>
      <c r="D158" s="2">
        <v>5.5</v>
      </c>
      <c r="E158" s="2">
        <v>50.26548245743669</v>
      </c>
      <c r="F158" s="11">
        <f t="shared" si="0"/>
        <v>1.0941902337567804</v>
      </c>
      <c r="G158" s="2">
        <f t="shared" si="1"/>
        <v>89.53758682831733</v>
      </c>
      <c r="H158" s="2">
        <f t="shared" si="2"/>
        <v>2.4032778038043019</v>
      </c>
      <c r="I158" s="2">
        <f t="shared" si="3"/>
        <v>196.66022268530602</v>
      </c>
      <c r="J158" s="2">
        <f t="shared" si="4"/>
        <v>107.12263585698869</v>
      </c>
      <c r="K158" s="15">
        <f t="shared" si="23"/>
        <v>0.47879273504273506</v>
      </c>
      <c r="L158" s="2">
        <f t="shared" si="14"/>
        <v>153</v>
      </c>
      <c r="M158" s="2">
        <f t="shared" si="21"/>
        <v>81.58</v>
      </c>
      <c r="N158" s="2">
        <v>5</v>
      </c>
      <c r="O158" s="2">
        <v>50.26548245743669</v>
      </c>
      <c r="P158" s="11">
        <f t="shared" si="5"/>
        <v>0.99471839432434594</v>
      </c>
      <c r="Q158" s="2">
        <f t="shared" si="6"/>
        <v>81.14912660898014</v>
      </c>
      <c r="R158" s="2">
        <f t="shared" si="7"/>
        <v>2.1761940830288218</v>
      </c>
      <c r="S158" s="2">
        <f t="shared" si="8"/>
        <v>177.53391329349128</v>
      </c>
      <c r="T158" s="2">
        <f t="shared" si="9"/>
        <v>96.384786684511141</v>
      </c>
    </row>
    <row r="159" spans="1:20" x14ac:dyDescent="0.25">
      <c r="A159" s="14">
        <f t="shared" si="22"/>
        <v>0.49700854700854702</v>
      </c>
      <c r="B159" s="2">
        <f t="shared" si="11"/>
        <v>154</v>
      </c>
      <c r="C159" s="4">
        <f t="shared" si="20"/>
        <v>82.33</v>
      </c>
      <c r="D159" s="2">
        <v>4.5</v>
      </c>
      <c r="E159" s="2">
        <v>50.26548245743669</v>
      </c>
      <c r="F159" s="11">
        <f t="shared" si="0"/>
        <v>0.89524655489191129</v>
      </c>
      <c r="G159" s="2">
        <f t="shared" si="1"/>
        <v>73.70564886425106</v>
      </c>
      <c r="H159" s="2">
        <f t="shared" si="2"/>
        <v>2.4032778038043019</v>
      </c>
      <c r="I159" s="2">
        <f t="shared" si="3"/>
        <v>197.86186158720818</v>
      </c>
      <c r="J159" s="2">
        <f t="shared" si="4"/>
        <v>124.15621272295712</v>
      </c>
      <c r="K159" s="15">
        <f t="shared" si="23"/>
        <v>0.47891737891737896</v>
      </c>
      <c r="L159" s="2">
        <f t="shared" si="14"/>
        <v>154</v>
      </c>
      <c r="M159" s="2">
        <f t="shared" si="21"/>
        <v>82.08</v>
      </c>
      <c r="N159" s="2">
        <v>5</v>
      </c>
      <c r="O159" s="2">
        <v>50.26548245743669</v>
      </c>
      <c r="P159" s="11">
        <f t="shared" si="5"/>
        <v>0.99471839432434594</v>
      </c>
      <c r="Q159" s="2">
        <f t="shared" si="6"/>
        <v>81.646485806142309</v>
      </c>
      <c r="R159" s="2">
        <f t="shared" si="7"/>
        <v>2.1761940830288218</v>
      </c>
      <c r="S159" s="2">
        <f t="shared" si="8"/>
        <v>178.62201033500568</v>
      </c>
      <c r="T159" s="2">
        <f t="shared" si="9"/>
        <v>96.975524528863374</v>
      </c>
    </row>
    <row r="160" spans="1:20" x14ac:dyDescent="0.25">
      <c r="A160" s="14">
        <f t="shared" si="22"/>
        <v>0.49711538461538463</v>
      </c>
      <c r="B160" s="2">
        <f t="shared" si="11"/>
        <v>155</v>
      </c>
      <c r="C160" s="4">
        <f t="shared" si="20"/>
        <v>82.83</v>
      </c>
      <c r="D160" s="2">
        <v>4</v>
      </c>
      <c r="E160" s="2">
        <v>50.26548245743669</v>
      </c>
      <c r="F160" s="11">
        <f t="shared" si="0"/>
        <v>0.79577471545947676</v>
      </c>
      <c r="G160" s="2">
        <f t="shared" si="1"/>
        <v>65.914019681508464</v>
      </c>
      <c r="H160" s="2">
        <f t="shared" si="2"/>
        <v>2.4032778038043019</v>
      </c>
      <c r="I160" s="2">
        <f t="shared" si="3"/>
        <v>199.06350048911031</v>
      </c>
      <c r="J160" s="2">
        <f t="shared" si="4"/>
        <v>133.14948080760183</v>
      </c>
      <c r="K160" s="15">
        <f t="shared" si="23"/>
        <v>0.47904202279202279</v>
      </c>
      <c r="L160" s="2">
        <f t="shared" si="14"/>
        <v>155</v>
      </c>
      <c r="M160" s="2">
        <f t="shared" si="21"/>
        <v>82.58</v>
      </c>
      <c r="N160" s="2">
        <v>4.5</v>
      </c>
      <c r="O160" s="2">
        <v>50.26548245743669</v>
      </c>
      <c r="P160" s="11">
        <f t="shared" si="5"/>
        <v>0.89524655489191129</v>
      </c>
      <c r="Q160" s="2">
        <f t="shared" si="6"/>
        <v>73.929460502974038</v>
      </c>
      <c r="R160" s="2">
        <f t="shared" si="7"/>
        <v>2.1761940830288218</v>
      </c>
      <c r="S160" s="2">
        <f t="shared" si="8"/>
        <v>179.71010737652009</v>
      </c>
      <c r="T160" s="2">
        <f t="shared" si="9"/>
        <v>105.78064687354605</v>
      </c>
    </row>
    <row r="161" spans="1:20" x14ac:dyDescent="0.25">
      <c r="A161" s="10">
        <v>0.49722222222222223</v>
      </c>
      <c r="B161" s="2">
        <f t="shared" si="11"/>
        <v>156</v>
      </c>
      <c r="C161" s="4">
        <f t="shared" si="20"/>
        <v>83.33</v>
      </c>
      <c r="D161" s="2">
        <v>3</v>
      </c>
      <c r="E161" s="2">
        <v>50.26548245743669</v>
      </c>
      <c r="F161" s="11">
        <f t="shared" si="0"/>
        <v>0.59683103659460746</v>
      </c>
      <c r="G161" s="2">
        <f t="shared" si="1"/>
        <v>49.733930279428641</v>
      </c>
      <c r="H161" s="2">
        <f t="shared" si="2"/>
        <v>2.4032778038043019</v>
      </c>
      <c r="I161" s="2">
        <f t="shared" si="3"/>
        <v>200.26513939101247</v>
      </c>
      <c r="J161" s="2">
        <f t="shared" si="4"/>
        <v>150.53120911158382</v>
      </c>
      <c r="K161" s="12">
        <v>0.47916666666666669</v>
      </c>
      <c r="L161" s="2">
        <f t="shared" si="14"/>
        <v>156</v>
      </c>
      <c r="M161" s="2">
        <f t="shared" si="21"/>
        <v>83.08</v>
      </c>
      <c r="N161" s="2">
        <v>3.5</v>
      </c>
      <c r="O161" s="2">
        <v>50.26548245743669</v>
      </c>
      <c r="P161" s="11">
        <f t="shared" si="5"/>
        <v>0.69630287602704222</v>
      </c>
      <c r="Q161" s="2">
        <f t="shared" si="6"/>
        <v>57.848842940326669</v>
      </c>
      <c r="R161" s="2">
        <f t="shared" si="7"/>
        <v>2.1761940830288218</v>
      </c>
      <c r="S161" s="2">
        <f t="shared" si="8"/>
        <v>180.79820441803452</v>
      </c>
      <c r="T161" s="2">
        <f t="shared" si="9"/>
        <v>122.94936147770784</v>
      </c>
    </row>
    <row r="162" spans="1:20" x14ac:dyDescent="0.25">
      <c r="A162" s="10">
        <v>0.49722222222222223</v>
      </c>
      <c r="B162" s="2">
        <f t="shared" si="11"/>
        <v>157</v>
      </c>
      <c r="C162" s="4">
        <f t="shared" si="20"/>
        <v>83.83</v>
      </c>
      <c r="D162" s="2">
        <v>2.5</v>
      </c>
      <c r="E162" s="2">
        <v>50.26548245743669</v>
      </c>
      <c r="F162" s="11">
        <f t="shared" si="0"/>
        <v>0.49735919716217297</v>
      </c>
      <c r="G162" s="2">
        <f t="shared" si="1"/>
        <v>41.69362149810496</v>
      </c>
      <c r="H162" s="2">
        <f t="shared" si="2"/>
        <v>2.4032778038043019</v>
      </c>
      <c r="I162" s="2">
        <f t="shared" si="3"/>
        <v>201.46677829291463</v>
      </c>
      <c r="J162" s="2">
        <f t="shared" si="4"/>
        <v>159.77315679480967</v>
      </c>
      <c r="K162" s="12">
        <v>0.47916666666666669</v>
      </c>
      <c r="L162" s="2">
        <f t="shared" si="14"/>
        <v>157</v>
      </c>
      <c r="M162" s="2">
        <f t="shared" si="21"/>
        <v>83.58</v>
      </c>
      <c r="N162" s="2">
        <v>2.5</v>
      </c>
      <c r="O162" s="2">
        <v>50.26548245743669</v>
      </c>
      <c r="P162" s="11">
        <f t="shared" si="5"/>
        <v>0.49735919716217297</v>
      </c>
      <c r="Q162" s="2">
        <f t="shared" si="6"/>
        <v>41.569281698814414</v>
      </c>
      <c r="R162" s="2">
        <f t="shared" si="7"/>
        <v>2.1761940830288218</v>
      </c>
      <c r="S162" s="2">
        <f t="shared" si="8"/>
        <v>181.88630145954892</v>
      </c>
      <c r="T162" s="2">
        <f t="shared" si="9"/>
        <v>140.3170197607345</v>
      </c>
    </row>
    <row r="163" spans="1:20" x14ac:dyDescent="0.25">
      <c r="A163" s="10"/>
      <c r="C163" s="4"/>
      <c r="F163" s="11"/>
      <c r="K163" s="12"/>
      <c r="P163" s="11"/>
    </row>
    <row r="164" spans="1:20" x14ac:dyDescent="0.25">
      <c r="A164" s="10"/>
      <c r="C164" s="4"/>
      <c r="F164" s="11"/>
      <c r="K164" s="12"/>
      <c r="P164" s="11"/>
    </row>
    <row r="165" spans="1:20" x14ac:dyDescent="0.25">
      <c r="A165" s="10"/>
      <c r="C165" s="4"/>
      <c r="F165" s="11"/>
      <c r="K165" s="12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29">
    <mergeCell ref="V23:X23"/>
    <mergeCell ref="V24:X24"/>
    <mergeCell ref="V25:X25"/>
    <mergeCell ref="V26:X26"/>
    <mergeCell ref="V11:W11"/>
    <mergeCell ref="V12:W12"/>
    <mergeCell ref="V13:W13"/>
    <mergeCell ref="V14:W14"/>
    <mergeCell ref="V15:W15"/>
    <mergeCell ref="V16:W16"/>
    <mergeCell ref="V17:W17"/>
    <mergeCell ref="V10:W10"/>
    <mergeCell ref="V18:W18"/>
    <mergeCell ref="V19:X19"/>
    <mergeCell ref="W20:X20"/>
    <mergeCell ref="V21:W21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E4:F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X174"/>
  <sheetViews>
    <sheetView workbookViewId="0">
      <selection activeCell="K30" sqref="K30"/>
    </sheetView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12169.322168905201</v>
      </c>
      <c r="G2" s="4">
        <f>SUM(C6:C174)</f>
        <v>6934.3099999999931</v>
      </c>
      <c r="H2" s="2">
        <f>F2/G2</f>
        <v>1.7549434866490268</v>
      </c>
      <c r="I2" s="2">
        <f>SUM(J6:J174)</f>
        <v>2710.8532091530078</v>
      </c>
      <c r="J2" s="2">
        <f>(1-(I2/(F2)))*100</f>
        <v>77.723876716159893</v>
      </c>
      <c r="K2" s="1"/>
      <c r="L2" s="1"/>
      <c r="M2" s="1"/>
      <c r="N2" s="1"/>
      <c r="O2" s="1"/>
      <c r="P2" s="2">
        <f>SUM(Q6:Q174)</f>
        <v>14116.958901187609</v>
      </c>
      <c r="Q2" s="2">
        <f>SUM(M6:M174)</f>
        <v>6906.0499999999911</v>
      </c>
      <c r="R2" s="2">
        <f>P2/Q2</f>
        <v>2.0441437437011936</v>
      </c>
      <c r="S2" s="2">
        <f>SUM(T6:T174)</f>
        <v>2796.9629553761806</v>
      </c>
      <c r="T2" s="2">
        <f>(1-(S2/(P2)))*100</f>
        <v>80.187213301719808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6" t="s">
        <v>92</v>
      </c>
      <c r="F4" s="26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50" t="s">
        <v>92</v>
      </c>
      <c r="P4" s="36"/>
      <c r="V4" s="34" t="s">
        <v>12</v>
      </c>
      <c r="W4" s="36"/>
      <c r="X4" s="6" t="s">
        <v>92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45937</v>
      </c>
    </row>
    <row r="6" spans="1:24" x14ac:dyDescent="0.25">
      <c r="A6" s="10">
        <v>0.62986111111111109</v>
      </c>
      <c r="B6" s="2">
        <v>1</v>
      </c>
      <c r="C6" s="4">
        <v>4.83</v>
      </c>
      <c r="D6" s="2">
        <v>5</v>
      </c>
      <c r="E6" s="2">
        <v>50.26548245743669</v>
      </c>
      <c r="F6" s="11">
        <f t="shared" ref="F6:F162" si="0">(D6/E6)*10</f>
        <v>0.99471839432434594</v>
      </c>
      <c r="G6" s="2">
        <f t="shared" ref="G6:G162" si="1">F6*C6</f>
        <v>4.8044898445865911</v>
      </c>
      <c r="H6" s="2">
        <f t="shared" ref="H6:H162" si="2">$H$2</f>
        <v>1.7549434866490268</v>
      </c>
      <c r="I6" s="2">
        <f t="shared" ref="I6:I162" si="3">H6*C6</f>
        <v>8.4763770405147998</v>
      </c>
      <c r="J6" s="2">
        <f t="shared" ref="J6:J162" si="4">ABS(G6-I6)</f>
        <v>3.6718871959282087</v>
      </c>
      <c r="K6" s="12">
        <v>0.60624999999999996</v>
      </c>
      <c r="L6" s="2">
        <v>1</v>
      </c>
      <c r="M6" s="2">
        <v>4.6500000000000004</v>
      </c>
      <c r="N6" s="2">
        <v>4.5</v>
      </c>
      <c r="O6" s="2">
        <v>50.26548245743669</v>
      </c>
      <c r="P6" s="11">
        <f t="shared" ref="P6:P162" si="5">(N6/O6)*10</f>
        <v>0.89524655489191129</v>
      </c>
      <c r="Q6" s="2">
        <f t="shared" ref="Q6:Q162" si="6">P6*M6</f>
        <v>4.1628964802473876</v>
      </c>
      <c r="R6" s="2">
        <f t="shared" ref="R6:R162" si="7">$R$2</f>
        <v>2.0441437437011936</v>
      </c>
      <c r="S6" s="2">
        <f t="shared" ref="S6:S162" si="8">R6*M6</f>
        <v>9.5052684082105507</v>
      </c>
      <c r="T6" s="2">
        <f t="shared" ref="T6:T162" si="9">ABS(Q6-S6)</f>
        <v>5.3423719279631632</v>
      </c>
      <c r="V6" s="37" t="s">
        <v>23</v>
      </c>
      <c r="W6" s="36"/>
      <c r="X6" s="13" t="s">
        <v>93</v>
      </c>
    </row>
    <row r="7" spans="1:24" x14ac:dyDescent="0.25">
      <c r="A7" s="30">
        <f t="shared" ref="A7:A43" si="10">IF(AND($A$6&lt;&gt;"",$A$44&lt;&gt;""), $A$6 + (B7 - $B$6) * (($A$44 - $A$6) / ($B$44 - $B$6)), "")</f>
        <v>0.62998903508771931</v>
      </c>
      <c r="B7" s="2">
        <f t="shared" ref="B7:B162" si="11">B6+1</f>
        <v>2</v>
      </c>
      <c r="C7" s="4">
        <f t="shared" ref="C7:C109" si="12">C6+0.5</f>
        <v>5.33</v>
      </c>
      <c r="D7" s="2">
        <v>4.5</v>
      </c>
      <c r="E7" s="2">
        <v>50.26548245743669</v>
      </c>
      <c r="F7" s="11">
        <f t="shared" si="0"/>
        <v>0.89524655489191129</v>
      </c>
      <c r="G7" s="2">
        <f t="shared" si="1"/>
        <v>4.7716641375738869</v>
      </c>
      <c r="H7" s="2">
        <f t="shared" si="2"/>
        <v>1.7549434866490268</v>
      </c>
      <c r="I7" s="2">
        <f t="shared" si="3"/>
        <v>9.3538487838393127</v>
      </c>
      <c r="J7" s="2">
        <f t="shared" si="4"/>
        <v>4.5821846462654259</v>
      </c>
      <c r="K7" s="15">
        <f t="shared" ref="K7:K43" si="13">IF(AND($K$6&lt;&gt;"",$K$44&lt;&gt;""), $K$6 + (L7 - $L$6) * (($K$44 - $K$6) / ($L$44 - $L$6)), "")</f>
        <v>0.60639619883040929</v>
      </c>
      <c r="L7" s="2">
        <f t="shared" ref="L7:L162" si="14">L6+1</f>
        <v>2</v>
      </c>
      <c r="M7" s="2">
        <f t="shared" ref="M7:M109" si="15">M6+0.5</f>
        <v>5.15</v>
      </c>
      <c r="N7" s="2">
        <v>6</v>
      </c>
      <c r="O7" s="2">
        <v>50.26548245743669</v>
      </c>
      <c r="P7" s="11">
        <f t="shared" si="5"/>
        <v>1.1936620731892149</v>
      </c>
      <c r="Q7" s="2">
        <f t="shared" si="6"/>
        <v>6.1473596769244576</v>
      </c>
      <c r="R7" s="2">
        <f t="shared" si="7"/>
        <v>2.0441437437011936</v>
      </c>
      <c r="S7" s="2">
        <f t="shared" si="8"/>
        <v>10.527340280061148</v>
      </c>
      <c r="T7" s="2">
        <f t="shared" si="9"/>
        <v>4.3799806031366906</v>
      </c>
      <c r="V7" s="37" t="s">
        <v>24</v>
      </c>
      <c r="W7" s="36"/>
      <c r="X7" s="6" t="s">
        <v>94</v>
      </c>
    </row>
    <row r="8" spans="1:24" x14ac:dyDescent="0.25">
      <c r="A8" s="30">
        <f t="shared" si="10"/>
        <v>0.63011695906432752</v>
      </c>
      <c r="B8" s="2">
        <f t="shared" si="11"/>
        <v>3</v>
      </c>
      <c r="C8" s="4">
        <f t="shared" si="12"/>
        <v>5.83</v>
      </c>
      <c r="D8" s="2">
        <v>5.5</v>
      </c>
      <c r="E8" s="2">
        <v>50.26548245743669</v>
      </c>
      <c r="F8" s="11">
        <f t="shared" si="0"/>
        <v>1.0941902337567804</v>
      </c>
      <c r="G8" s="2">
        <f t="shared" si="1"/>
        <v>6.3791290628020301</v>
      </c>
      <c r="H8" s="2">
        <f t="shared" si="2"/>
        <v>1.7549434866490268</v>
      </c>
      <c r="I8" s="2">
        <f t="shared" si="3"/>
        <v>10.231320527163826</v>
      </c>
      <c r="J8" s="2">
        <f t="shared" si="4"/>
        <v>3.8521914643617956</v>
      </c>
      <c r="K8" s="15">
        <f t="shared" si="13"/>
        <v>0.60654239766081863</v>
      </c>
      <c r="L8" s="2">
        <f t="shared" si="14"/>
        <v>3</v>
      </c>
      <c r="M8" s="2">
        <f t="shared" si="15"/>
        <v>5.65</v>
      </c>
      <c r="N8" s="2">
        <v>5.5</v>
      </c>
      <c r="O8" s="2">
        <v>50.26548245743669</v>
      </c>
      <c r="P8" s="11">
        <f t="shared" si="5"/>
        <v>1.0941902337567804</v>
      </c>
      <c r="Q8" s="2">
        <f t="shared" si="6"/>
        <v>6.1821748207258098</v>
      </c>
      <c r="R8" s="2">
        <f t="shared" si="7"/>
        <v>2.0441437437011936</v>
      </c>
      <c r="S8" s="2">
        <f t="shared" si="8"/>
        <v>11.549412151911744</v>
      </c>
      <c r="T8" s="2">
        <f t="shared" si="9"/>
        <v>5.367237331185934</v>
      </c>
      <c r="V8" s="34" t="s">
        <v>25</v>
      </c>
      <c r="W8" s="35"/>
      <c r="X8" s="36"/>
    </row>
    <row r="9" spans="1:24" x14ac:dyDescent="0.25">
      <c r="A9" s="30">
        <f t="shared" si="10"/>
        <v>0.63024488304093562</v>
      </c>
      <c r="B9" s="2">
        <f t="shared" si="11"/>
        <v>4</v>
      </c>
      <c r="C9" s="4">
        <f t="shared" si="12"/>
        <v>6.33</v>
      </c>
      <c r="D9" s="2">
        <v>8</v>
      </c>
      <c r="E9" s="2">
        <v>50.26548245743669</v>
      </c>
      <c r="F9" s="11">
        <f t="shared" si="0"/>
        <v>1.5915494309189535</v>
      </c>
      <c r="G9" s="2">
        <f t="shared" si="1"/>
        <v>10.074507897716975</v>
      </c>
      <c r="H9" s="2">
        <f t="shared" si="2"/>
        <v>1.7549434866490268</v>
      </c>
      <c r="I9" s="2">
        <f t="shared" si="3"/>
        <v>11.10879227048834</v>
      </c>
      <c r="J9" s="2">
        <f t="shared" si="4"/>
        <v>1.0342843727713653</v>
      </c>
      <c r="K9" s="15">
        <f t="shared" si="13"/>
        <v>0.60668859649122808</v>
      </c>
      <c r="L9" s="2">
        <f t="shared" si="14"/>
        <v>4</v>
      </c>
      <c r="M9" s="2">
        <f t="shared" si="15"/>
        <v>6.15</v>
      </c>
      <c r="N9" s="2">
        <v>7</v>
      </c>
      <c r="O9" s="2">
        <v>50.26548245743669</v>
      </c>
      <c r="P9" s="11">
        <f t="shared" si="5"/>
        <v>1.3926057520540844</v>
      </c>
      <c r="Q9" s="2">
        <f t="shared" si="6"/>
        <v>8.5645253751326198</v>
      </c>
      <c r="R9" s="2">
        <f t="shared" si="7"/>
        <v>2.0441437437011936</v>
      </c>
      <c r="S9" s="2">
        <f t="shared" si="8"/>
        <v>12.571484023762341</v>
      </c>
      <c r="T9" s="2">
        <f t="shared" si="9"/>
        <v>4.0069586486297215</v>
      </c>
      <c r="V9" s="34" t="s">
        <v>26</v>
      </c>
      <c r="W9" s="36"/>
      <c r="X9" s="16">
        <v>0.55833333333333335</v>
      </c>
    </row>
    <row r="10" spans="1:24" x14ac:dyDescent="0.25">
      <c r="A10" s="30">
        <f t="shared" si="10"/>
        <v>0.63037280701754383</v>
      </c>
      <c r="B10" s="2">
        <f t="shared" si="11"/>
        <v>5</v>
      </c>
      <c r="C10" s="4">
        <f t="shared" si="12"/>
        <v>6.83</v>
      </c>
      <c r="D10" s="2">
        <v>8.5</v>
      </c>
      <c r="E10" s="2">
        <v>50.26548245743669</v>
      </c>
      <c r="F10" s="11">
        <f t="shared" si="0"/>
        <v>1.6910212703513881</v>
      </c>
      <c r="G10" s="2">
        <f t="shared" si="1"/>
        <v>11.549675276499981</v>
      </c>
      <c r="H10" s="2">
        <f t="shared" si="2"/>
        <v>1.7549434866490268</v>
      </c>
      <c r="I10" s="2">
        <f t="shared" si="3"/>
        <v>11.986264013812853</v>
      </c>
      <c r="J10" s="2">
        <f t="shared" si="4"/>
        <v>0.43658873731287251</v>
      </c>
      <c r="K10" s="15">
        <f t="shared" si="13"/>
        <v>0.60683479532163742</v>
      </c>
      <c r="L10" s="2">
        <f t="shared" si="14"/>
        <v>5</v>
      </c>
      <c r="M10" s="2">
        <f t="shared" si="15"/>
        <v>6.65</v>
      </c>
      <c r="N10" s="2">
        <v>9.5</v>
      </c>
      <c r="O10" s="2">
        <v>50.26548245743669</v>
      </c>
      <c r="P10" s="11">
        <f t="shared" si="5"/>
        <v>1.8899649492162571</v>
      </c>
      <c r="Q10" s="2">
        <f t="shared" si="6"/>
        <v>12.568266912288111</v>
      </c>
      <c r="R10" s="2">
        <f t="shared" si="7"/>
        <v>2.0441437437011936</v>
      </c>
      <c r="S10" s="2">
        <f t="shared" si="8"/>
        <v>13.593555895612939</v>
      </c>
      <c r="T10" s="2">
        <f t="shared" si="9"/>
        <v>1.0252889833248275</v>
      </c>
      <c r="V10" s="34" t="s">
        <v>27</v>
      </c>
      <c r="W10" s="36"/>
      <c r="X10" s="6">
        <v>50</v>
      </c>
    </row>
    <row r="11" spans="1:24" x14ac:dyDescent="0.25">
      <c r="A11" s="30">
        <f t="shared" si="10"/>
        <v>0.63050073099415205</v>
      </c>
      <c r="B11" s="2">
        <f t="shared" si="11"/>
        <v>6</v>
      </c>
      <c r="C11" s="4">
        <f t="shared" si="12"/>
        <v>7.33</v>
      </c>
      <c r="D11" s="2">
        <v>11</v>
      </c>
      <c r="E11" s="2">
        <v>50.26548245743669</v>
      </c>
      <c r="F11" s="11">
        <f t="shared" si="0"/>
        <v>2.1883804675135607</v>
      </c>
      <c r="G11" s="2">
        <f t="shared" si="1"/>
        <v>16.040828826874399</v>
      </c>
      <c r="H11" s="2">
        <f t="shared" si="2"/>
        <v>1.7549434866490268</v>
      </c>
      <c r="I11" s="2">
        <f t="shared" si="3"/>
        <v>12.863735757137366</v>
      </c>
      <c r="J11" s="2">
        <f t="shared" si="4"/>
        <v>3.1770930697370332</v>
      </c>
      <c r="K11" s="15">
        <f t="shared" si="13"/>
        <v>0.60698099415204676</v>
      </c>
      <c r="L11" s="2">
        <f t="shared" si="14"/>
        <v>6</v>
      </c>
      <c r="M11" s="2">
        <f t="shared" si="15"/>
        <v>7.15</v>
      </c>
      <c r="N11" s="2">
        <v>10</v>
      </c>
      <c r="O11" s="2">
        <v>50.26548245743669</v>
      </c>
      <c r="P11" s="11">
        <f t="shared" si="5"/>
        <v>1.9894367886486919</v>
      </c>
      <c r="Q11" s="2">
        <f t="shared" si="6"/>
        <v>14.224473038838148</v>
      </c>
      <c r="R11" s="2">
        <f t="shared" si="7"/>
        <v>2.0441437437011936</v>
      </c>
      <c r="S11" s="2">
        <f t="shared" si="8"/>
        <v>14.615627767463534</v>
      </c>
      <c r="T11" s="2">
        <f t="shared" si="9"/>
        <v>0.39115472862538603</v>
      </c>
      <c r="V11" s="34" t="s">
        <v>28</v>
      </c>
      <c r="W11" s="36"/>
      <c r="X11" s="6">
        <v>50</v>
      </c>
    </row>
    <row r="12" spans="1:24" x14ac:dyDescent="0.25">
      <c r="A12" s="30">
        <f t="shared" si="10"/>
        <v>0.63062865497076026</v>
      </c>
      <c r="B12" s="2">
        <f t="shared" si="11"/>
        <v>7</v>
      </c>
      <c r="C12" s="4">
        <f t="shared" si="12"/>
        <v>7.83</v>
      </c>
      <c r="D12" s="23">
        <v>12</v>
      </c>
      <c r="E12" s="2">
        <v>50.26548245743669</v>
      </c>
      <c r="F12" s="11">
        <f t="shared" si="0"/>
        <v>2.3873241463784298</v>
      </c>
      <c r="G12" s="2">
        <f t="shared" si="1"/>
        <v>18.692748066143107</v>
      </c>
      <c r="H12" s="2">
        <f t="shared" si="2"/>
        <v>1.7549434866490268</v>
      </c>
      <c r="I12" s="2">
        <f t="shared" si="3"/>
        <v>13.741207500461879</v>
      </c>
      <c r="J12" s="2">
        <f t="shared" si="4"/>
        <v>4.9515405656812277</v>
      </c>
      <c r="K12" s="15">
        <f t="shared" si="13"/>
        <v>0.6071271929824561</v>
      </c>
      <c r="L12" s="2">
        <f t="shared" si="14"/>
        <v>7</v>
      </c>
      <c r="M12" s="2">
        <f t="shared" si="15"/>
        <v>7.65</v>
      </c>
      <c r="N12" s="23">
        <v>32.5</v>
      </c>
      <c r="O12" s="2">
        <v>50.26548245743669</v>
      </c>
      <c r="P12" s="11">
        <f t="shared" si="5"/>
        <v>6.4656695631082481</v>
      </c>
      <c r="Q12" s="2">
        <f t="shared" si="6"/>
        <v>49.462372157778098</v>
      </c>
      <c r="R12" s="2">
        <f t="shared" si="7"/>
        <v>2.0441437437011936</v>
      </c>
      <c r="S12" s="2">
        <f t="shared" si="8"/>
        <v>15.637699639314132</v>
      </c>
      <c r="T12" s="2">
        <f t="shared" si="9"/>
        <v>33.82467251846397</v>
      </c>
      <c r="V12" s="34" t="s">
        <v>29</v>
      </c>
      <c r="W12" s="36"/>
      <c r="X12" s="6">
        <v>50</v>
      </c>
    </row>
    <row r="13" spans="1:24" x14ac:dyDescent="0.25">
      <c r="A13" s="30">
        <f t="shared" si="10"/>
        <v>0.63075657894736836</v>
      </c>
      <c r="B13" s="2">
        <f t="shared" si="11"/>
        <v>8</v>
      </c>
      <c r="C13" s="4">
        <f t="shared" si="12"/>
        <v>8.33</v>
      </c>
      <c r="D13" s="2">
        <v>11</v>
      </c>
      <c r="E13" s="2">
        <v>50.26548245743669</v>
      </c>
      <c r="F13" s="11">
        <f t="shared" si="0"/>
        <v>2.1883804675135607</v>
      </c>
      <c r="G13" s="2">
        <f t="shared" si="1"/>
        <v>18.22920929438796</v>
      </c>
      <c r="H13" s="2">
        <f t="shared" si="2"/>
        <v>1.7549434866490268</v>
      </c>
      <c r="I13" s="2">
        <f t="shared" si="3"/>
        <v>14.618679243786394</v>
      </c>
      <c r="J13" s="2">
        <f t="shared" si="4"/>
        <v>3.6105300506015663</v>
      </c>
      <c r="K13" s="15">
        <f t="shared" si="13"/>
        <v>0.60727339181286544</v>
      </c>
      <c r="L13" s="2">
        <f t="shared" si="14"/>
        <v>8</v>
      </c>
      <c r="M13" s="2">
        <f t="shared" si="15"/>
        <v>8.15</v>
      </c>
      <c r="N13" s="2">
        <v>13</v>
      </c>
      <c r="O13" s="2">
        <v>50.26548245743669</v>
      </c>
      <c r="P13" s="11">
        <f t="shared" si="5"/>
        <v>2.5862678252432989</v>
      </c>
      <c r="Q13" s="2">
        <f t="shared" si="6"/>
        <v>21.078082775732888</v>
      </c>
      <c r="R13" s="2">
        <f t="shared" si="7"/>
        <v>2.0441437437011936</v>
      </c>
      <c r="S13" s="2">
        <f t="shared" si="8"/>
        <v>16.659771511164728</v>
      </c>
      <c r="T13" s="2">
        <f t="shared" si="9"/>
        <v>4.4183112645681604</v>
      </c>
      <c r="V13" s="34" t="s">
        <v>30</v>
      </c>
      <c r="W13" s="36"/>
      <c r="X13" s="16">
        <v>0.65208333333333335</v>
      </c>
    </row>
    <row r="14" spans="1:24" x14ac:dyDescent="0.25">
      <c r="A14" s="30">
        <f t="shared" si="10"/>
        <v>0.63088450292397658</v>
      </c>
      <c r="B14" s="2">
        <f t="shared" si="11"/>
        <v>9</v>
      </c>
      <c r="C14" s="4">
        <f t="shared" si="12"/>
        <v>8.83</v>
      </c>
      <c r="D14" s="2">
        <v>11.5</v>
      </c>
      <c r="E14" s="2">
        <v>50.26548245743669</v>
      </c>
      <c r="F14" s="11">
        <f t="shared" si="0"/>
        <v>2.2878523069459957</v>
      </c>
      <c r="G14" s="2">
        <f t="shared" si="1"/>
        <v>20.201735870333142</v>
      </c>
      <c r="H14" s="2">
        <f t="shared" si="2"/>
        <v>1.7549434866490268</v>
      </c>
      <c r="I14" s="2">
        <f t="shared" si="3"/>
        <v>15.496150987110907</v>
      </c>
      <c r="J14" s="2">
        <f t="shared" si="4"/>
        <v>4.7055848832222349</v>
      </c>
      <c r="K14" s="15">
        <f t="shared" si="13"/>
        <v>0.60741959064327478</v>
      </c>
      <c r="L14" s="2">
        <f t="shared" si="14"/>
        <v>9</v>
      </c>
      <c r="M14" s="2">
        <f t="shared" si="15"/>
        <v>8.65</v>
      </c>
      <c r="N14" s="2">
        <v>12.5</v>
      </c>
      <c r="O14" s="2">
        <v>50.26548245743669</v>
      </c>
      <c r="P14" s="11">
        <f t="shared" si="5"/>
        <v>2.4867959858108648</v>
      </c>
      <c r="Q14" s="2">
        <f t="shared" si="6"/>
        <v>21.510785277263981</v>
      </c>
      <c r="R14" s="2">
        <f t="shared" si="7"/>
        <v>2.0441437437011936</v>
      </c>
      <c r="S14" s="2">
        <f t="shared" si="8"/>
        <v>17.681843383015327</v>
      </c>
      <c r="T14" s="2">
        <f t="shared" si="9"/>
        <v>3.8289418942486542</v>
      </c>
      <c r="V14" s="34" t="s">
        <v>31</v>
      </c>
      <c r="W14" s="36"/>
      <c r="X14" s="6">
        <v>42</v>
      </c>
    </row>
    <row r="15" spans="1:24" x14ac:dyDescent="0.25">
      <c r="A15" s="30">
        <f t="shared" si="10"/>
        <v>0.63101242690058479</v>
      </c>
      <c r="B15" s="2">
        <f t="shared" si="11"/>
        <v>10</v>
      </c>
      <c r="C15" s="4">
        <f t="shared" si="12"/>
        <v>9.33</v>
      </c>
      <c r="D15" s="2">
        <v>11</v>
      </c>
      <c r="E15" s="2">
        <v>50.26548245743669</v>
      </c>
      <c r="F15" s="11">
        <f t="shared" si="0"/>
        <v>2.1883804675135607</v>
      </c>
      <c r="G15" s="2">
        <f t="shared" si="1"/>
        <v>20.417589761901521</v>
      </c>
      <c r="H15" s="2">
        <f t="shared" si="2"/>
        <v>1.7549434866490268</v>
      </c>
      <c r="I15" s="2">
        <f t="shared" si="3"/>
        <v>16.373622730435422</v>
      </c>
      <c r="J15" s="2">
        <f t="shared" si="4"/>
        <v>4.0439670314660994</v>
      </c>
      <c r="K15" s="15">
        <f t="shared" si="13"/>
        <v>0.60756578947368423</v>
      </c>
      <c r="L15" s="2">
        <f t="shared" si="14"/>
        <v>10</v>
      </c>
      <c r="M15" s="2">
        <f t="shared" si="15"/>
        <v>9.15</v>
      </c>
      <c r="N15" s="2">
        <v>11</v>
      </c>
      <c r="O15" s="2">
        <v>50.26548245743669</v>
      </c>
      <c r="P15" s="11">
        <f t="shared" si="5"/>
        <v>2.1883804675135607</v>
      </c>
      <c r="Q15" s="2">
        <f t="shared" si="6"/>
        <v>20.02368127774908</v>
      </c>
      <c r="R15" s="2">
        <f t="shared" si="7"/>
        <v>2.0441437437011936</v>
      </c>
      <c r="S15" s="2">
        <f t="shared" si="8"/>
        <v>18.703915254865922</v>
      </c>
      <c r="T15" s="2">
        <f t="shared" si="9"/>
        <v>1.319766022883158</v>
      </c>
      <c r="V15" s="34" t="s">
        <v>32</v>
      </c>
      <c r="W15" s="36"/>
      <c r="X15" s="6">
        <v>42</v>
      </c>
    </row>
    <row r="16" spans="1:24" x14ac:dyDescent="0.25">
      <c r="A16" s="30">
        <f t="shared" si="10"/>
        <v>0.631140350877193</v>
      </c>
      <c r="B16" s="2">
        <f t="shared" si="11"/>
        <v>11</v>
      </c>
      <c r="C16" s="4">
        <f t="shared" si="12"/>
        <v>9.83</v>
      </c>
      <c r="D16" s="2">
        <v>23.5</v>
      </c>
      <c r="E16" s="2">
        <v>50.26548245743669</v>
      </c>
      <c r="F16" s="11">
        <f t="shared" si="0"/>
        <v>4.6751764533244256</v>
      </c>
      <c r="G16" s="2">
        <f t="shared" si="1"/>
        <v>45.956984536179107</v>
      </c>
      <c r="H16" s="2">
        <f t="shared" si="2"/>
        <v>1.7549434866490268</v>
      </c>
      <c r="I16" s="2">
        <f t="shared" si="3"/>
        <v>17.251094473759935</v>
      </c>
      <c r="J16" s="2">
        <f t="shared" si="4"/>
        <v>28.705890062419172</v>
      </c>
      <c r="K16" s="15">
        <f t="shared" si="13"/>
        <v>0.60771198830409356</v>
      </c>
      <c r="L16" s="2">
        <f t="shared" si="14"/>
        <v>11</v>
      </c>
      <c r="M16" s="2">
        <f t="shared" si="15"/>
        <v>9.65</v>
      </c>
      <c r="N16" s="2">
        <v>12.5</v>
      </c>
      <c r="O16" s="2">
        <v>50.26548245743669</v>
      </c>
      <c r="P16" s="11">
        <f t="shared" si="5"/>
        <v>2.4867959858108648</v>
      </c>
      <c r="Q16" s="2">
        <f t="shared" si="6"/>
        <v>23.997581263074846</v>
      </c>
      <c r="R16" s="2">
        <f t="shared" si="7"/>
        <v>2.0441437437011936</v>
      </c>
      <c r="S16" s="2">
        <f t="shared" si="8"/>
        <v>19.725987126716518</v>
      </c>
      <c r="T16" s="2">
        <f t="shared" si="9"/>
        <v>4.2715941363583276</v>
      </c>
      <c r="V16" s="34" t="s">
        <v>33</v>
      </c>
      <c r="W16" s="36"/>
      <c r="X16" s="6">
        <v>43</v>
      </c>
    </row>
    <row r="17" spans="1:24" x14ac:dyDescent="0.25">
      <c r="A17" s="30">
        <f t="shared" si="10"/>
        <v>0.6312682748538011</v>
      </c>
      <c r="B17" s="2">
        <f t="shared" si="11"/>
        <v>12</v>
      </c>
      <c r="C17" s="4">
        <f t="shared" si="12"/>
        <v>10.33</v>
      </c>
      <c r="D17" s="2">
        <v>10</v>
      </c>
      <c r="E17" s="2">
        <v>50.26548245743669</v>
      </c>
      <c r="F17" s="11">
        <f t="shared" si="0"/>
        <v>1.9894367886486919</v>
      </c>
      <c r="G17" s="2">
        <f t="shared" si="1"/>
        <v>20.550882026740986</v>
      </c>
      <c r="H17" s="2">
        <f t="shared" si="2"/>
        <v>1.7549434866490268</v>
      </c>
      <c r="I17" s="2">
        <f t="shared" si="3"/>
        <v>18.128566217084447</v>
      </c>
      <c r="J17" s="2">
        <f t="shared" si="4"/>
        <v>2.4223158096565385</v>
      </c>
      <c r="K17" s="15">
        <f t="shared" si="13"/>
        <v>0.6078581871345029</v>
      </c>
      <c r="L17" s="2">
        <f t="shared" si="14"/>
        <v>12</v>
      </c>
      <c r="M17" s="2">
        <f t="shared" si="15"/>
        <v>10.15</v>
      </c>
      <c r="N17" s="2">
        <v>11.5</v>
      </c>
      <c r="O17" s="2">
        <v>50.26548245743669</v>
      </c>
      <c r="P17" s="11">
        <f t="shared" si="5"/>
        <v>2.2878523069459957</v>
      </c>
      <c r="Q17" s="2">
        <f t="shared" si="6"/>
        <v>23.221700915501856</v>
      </c>
      <c r="R17" s="2">
        <f t="shared" si="7"/>
        <v>2.0441437437011936</v>
      </c>
      <c r="S17" s="2">
        <f t="shared" si="8"/>
        <v>20.748058998567114</v>
      </c>
      <c r="T17" s="2">
        <f t="shared" si="9"/>
        <v>2.4736419169347421</v>
      </c>
      <c r="V17" s="38" t="s">
        <v>34</v>
      </c>
      <c r="W17" s="36"/>
      <c r="X17" s="17">
        <f>((X10-X14)+(X11-X15)+(X12-X16))/3</f>
        <v>7.666666666666667</v>
      </c>
    </row>
    <row r="18" spans="1:24" x14ac:dyDescent="0.25">
      <c r="A18" s="30">
        <f t="shared" si="10"/>
        <v>0.63139619883040932</v>
      </c>
      <c r="B18" s="2">
        <f t="shared" si="11"/>
        <v>13</v>
      </c>
      <c r="C18" s="4">
        <f t="shared" si="12"/>
        <v>10.83</v>
      </c>
      <c r="D18" s="2">
        <v>8</v>
      </c>
      <c r="E18" s="2">
        <v>50.26548245743669</v>
      </c>
      <c r="F18" s="11">
        <f t="shared" si="0"/>
        <v>1.5915494309189535</v>
      </c>
      <c r="G18" s="2">
        <f t="shared" si="1"/>
        <v>17.236480336852267</v>
      </c>
      <c r="H18" s="2">
        <f t="shared" si="2"/>
        <v>1.7549434866490268</v>
      </c>
      <c r="I18" s="2">
        <f t="shared" si="3"/>
        <v>19.00603796040896</v>
      </c>
      <c r="J18" s="2">
        <f t="shared" si="4"/>
        <v>1.7695576235566932</v>
      </c>
      <c r="K18" s="15">
        <f t="shared" si="13"/>
        <v>0.60800438596491224</v>
      </c>
      <c r="L18" s="2">
        <f t="shared" si="14"/>
        <v>13</v>
      </c>
      <c r="M18" s="2">
        <f t="shared" si="15"/>
        <v>10.65</v>
      </c>
      <c r="N18" s="2">
        <v>9.5</v>
      </c>
      <c r="O18" s="2">
        <v>50.26548245743669</v>
      </c>
      <c r="P18" s="11">
        <f t="shared" si="5"/>
        <v>1.8899649492162571</v>
      </c>
      <c r="Q18" s="2">
        <f t="shared" si="6"/>
        <v>20.12812670915314</v>
      </c>
      <c r="R18" s="2">
        <f t="shared" si="7"/>
        <v>2.0441437437011936</v>
      </c>
      <c r="S18" s="2">
        <f t="shared" si="8"/>
        <v>21.770130870417713</v>
      </c>
      <c r="T18" s="2">
        <f t="shared" si="9"/>
        <v>1.6420041612645733</v>
      </c>
      <c r="V18" s="38" t="s">
        <v>35</v>
      </c>
      <c r="W18" s="36"/>
      <c r="X18" s="18" t="s">
        <v>41</v>
      </c>
    </row>
    <row r="19" spans="1:24" x14ac:dyDescent="0.25">
      <c r="A19" s="30">
        <f t="shared" si="10"/>
        <v>0.63152412280701753</v>
      </c>
      <c r="B19" s="2">
        <f t="shared" si="11"/>
        <v>14</v>
      </c>
      <c r="C19" s="4">
        <f t="shared" si="12"/>
        <v>11.33</v>
      </c>
      <c r="D19" s="2">
        <v>7.5</v>
      </c>
      <c r="E19" s="2">
        <v>50.26548245743669</v>
      </c>
      <c r="F19" s="11">
        <f t="shared" si="0"/>
        <v>1.492077591486519</v>
      </c>
      <c r="G19" s="2">
        <f t="shared" si="1"/>
        <v>16.905239111542262</v>
      </c>
      <c r="H19" s="2">
        <f t="shared" si="2"/>
        <v>1.7549434866490268</v>
      </c>
      <c r="I19" s="2">
        <f t="shared" si="3"/>
        <v>19.883509703733473</v>
      </c>
      <c r="J19" s="2">
        <f t="shared" si="4"/>
        <v>2.9782705921912118</v>
      </c>
      <c r="K19" s="15">
        <f t="shared" si="13"/>
        <v>0.60815058479532158</v>
      </c>
      <c r="L19" s="2">
        <f t="shared" si="14"/>
        <v>14</v>
      </c>
      <c r="M19" s="2">
        <f t="shared" si="15"/>
        <v>11.15</v>
      </c>
      <c r="N19" s="2">
        <v>8.5</v>
      </c>
      <c r="O19" s="2">
        <v>50.26548245743669</v>
      </c>
      <c r="P19" s="11">
        <f t="shared" si="5"/>
        <v>1.6910212703513881</v>
      </c>
      <c r="Q19" s="2">
        <f t="shared" si="6"/>
        <v>18.854887164417978</v>
      </c>
      <c r="R19" s="2">
        <f t="shared" si="7"/>
        <v>2.0441437437011936</v>
      </c>
      <c r="S19" s="2">
        <f t="shared" si="8"/>
        <v>22.792202742268309</v>
      </c>
      <c r="T19" s="2">
        <f t="shared" si="9"/>
        <v>3.937315577850331</v>
      </c>
      <c r="V19" s="39" t="s">
        <v>37</v>
      </c>
      <c r="W19" s="35"/>
      <c r="X19" s="36"/>
    </row>
    <row r="20" spans="1:24" x14ac:dyDescent="0.25">
      <c r="A20" s="30">
        <f t="shared" si="10"/>
        <v>0.63165204678362574</v>
      </c>
      <c r="B20" s="2">
        <f t="shared" si="11"/>
        <v>15</v>
      </c>
      <c r="C20" s="4">
        <f t="shared" si="12"/>
        <v>11.83</v>
      </c>
      <c r="D20" s="2">
        <v>7.5</v>
      </c>
      <c r="E20" s="2">
        <v>50.26548245743669</v>
      </c>
      <c r="F20" s="11">
        <f t="shared" si="0"/>
        <v>1.492077591486519</v>
      </c>
      <c r="G20" s="2">
        <f t="shared" si="1"/>
        <v>17.651277907285518</v>
      </c>
      <c r="H20" s="2">
        <f t="shared" si="2"/>
        <v>1.7549434866490268</v>
      </c>
      <c r="I20" s="2">
        <f t="shared" si="3"/>
        <v>20.760981447057986</v>
      </c>
      <c r="J20" s="2">
        <f t="shared" si="4"/>
        <v>3.1097035397724682</v>
      </c>
      <c r="K20" s="15">
        <f t="shared" si="13"/>
        <v>0.60829678362573103</v>
      </c>
      <c r="L20" s="2">
        <f t="shared" si="14"/>
        <v>15</v>
      </c>
      <c r="M20" s="2">
        <f t="shared" si="15"/>
        <v>11.65</v>
      </c>
      <c r="N20" s="2">
        <v>8</v>
      </c>
      <c r="O20" s="2">
        <v>50.26548245743669</v>
      </c>
      <c r="P20" s="11">
        <f t="shared" si="5"/>
        <v>1.5915494309189535</v>
      </c>
      <c r="Q20" s="2">
        <f t="shared" si="6"/>
        <v>18.54155087020581</v>
      </c>
      <c r="R20" s="2">
        <f t="shared" si="7"/>
        <v>2.0441437437011936</v>
      </c>
      <c r="S20" s="2">
        <f t="shared" si="8"/>
        <v>23.814274614118904</v>
      </c>
      <c r="T20" s="2">
        <f t="shared" si="9"/>
        <v>5.2727237439130938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30">
        <f t="shared" si="10"/>
        <v>0.63177997076023384</v>
      </c>
      <c r="B21" s="2">
        <f t="shared" si="11"/>
        <v>16</v>
      </c>
      <c r="C21" s="4">
        <f t="shared" si="12"/>
        <v>12.33</v>
      </c>
      <c r="D21" s="2">
        <v>7</v>
      </c>
      <c r="E21" s="2">
        <v>50.26548245743669</v>
      </c>
      <c r="F21" s="11">
        <f t="shared" si="0"/>
        <v>1.3926057520540844</v>
      </c>
      <c r="G21" s="2">
        <f t="shared" si="1"/>
        <v>17.17082892282686</v>
      </c>
      <c r="H21" s="2">
        <f t="shared" si="2"/>
        <v>1.7549434866490268</v>
      </c>
      <c r="I21" s="2">
        <f t="shared" si="3"/>
        <v>21.638453190382499</v>
      </c>
      <c r="J21" s="2">
        <f t="shared" si="4"/>
        <v>4.4676242675556388</v>
      </c>
      <c r="K21" s="15">
        <f t="shared" si="13"/>
        <v>0.60844298245614037</v>
      </c>
      <c r="L21" s="2">
        <f t="shared" si="14"/>
        <v>16</v>
      </c>
      <c r="M21" s="2">
        <f t="shared" si="15"/>
        <v>12.15</v>
      </c>
      <c r="N21" s="2">
        <v>8</v>
      </c>
      <c r="O21" s="2">
        <v>50.26548245743669</v>
      </c>
      <c r="P21" s="11">
        <f t="shared" si="5"/>
        <v>1.5915494309189535</v>
      </c>
      <c r="Q21" s="2">
        <f t="shared" si="6"/>
        <v>19.337325585665287</v>
      </c>
      <c r="R21" s="2">
        <f t="shared" si="7"/>
        <v>2.0441437437011936</v>
      </c>
      <c r="S21" s="2">
        <f t="shared" si="8"/>
        <v>24.836346485969504</v>
      </c>
      <c r="T21" s="2">
        <f t="shared" si="9"/>
        <v>5.4990209003042168</v>
      </c>
      <c r="V21" s="39" t="s">
        <v>39</v>
      </c>
      <c r="W21" s="36"/>
      <c r="X21" s="20">
        <f>(J2+T2)/2</f>
        <v>78.955545008939851</v>
      </c>
    </row>
    <row r="22" spans="1:24" x14ac:dyDescent="0.25">
      <c r="A22" s="30">
        <f t="shared" si="10"/>
        <v>0.63190789473684206</v>
      </c>
      <c r="B22" s="2">
        <f t="shared" si="11"/>
        <v>17</v>
      </c>
      <c r="C22" s="4">
        <f t="shared" si="12"/>
        <v>12.83</v>
      </c>
      <c r="D22" s="2">
        <v>7</v>
      </c>
      <c r="E22" s="2">
        <v>50.26548245743669</v>
      </c>
      <c r="F22" s="11">
        <f t="shared" si="0"/>
        <v>1.3926057520540844</v>
      </c>
      <c r="G22" s="2">
        <f t="shared" si="1"/>
        <v>17.867131798853904</v>
      </c>
      <c r="H22" s="2">
        <f t="shared" si="2"/>
        <v>1.7549434866490268</v>
      </c>
      <c r="I22" s="2">
        <f t="shared" si="3"/>
        <v>22.515924933707012</v>
      </c>
      <c r="J22" s="2">
        <f t="shared" si="4"/>
        <v>4.6487931348531077</v>
      </c>
      <c r="K22" s="15">
        <f t="shared" si="13"/>
        <v>0.60858918128654971</v>
      </c>
      <c r="L22" s="2">
        <f t="shared" si="14"/>
        <v>17</v>
      </c>
      <c r="M22" s="2">
        <f t="shared" si="15"/>
        <v>12.65</v>
      </c>
      <c r="N22" s="2">
        <v>7.5</v>
      </c>
      <c r="O22" s="2">
        <v>50.26548245743669</v>
      </c>
      <c r="P22" s="11">
        <f t="shared" si="5"/>
        <v>1.492077591486519</v>
      </c>
      <c r="Q22" s="2">
        <f t="shared" si="6"/>
        <v>18.874781532304464</v>
      </c>
      <c r="R22" s="2">
        <f t="shared" si="7"/>
        <v>2.0441437437011936</v>
      </c>
      <c r="S22" s="2">
        <f t="shared" si="8"/>
        <v>25.858418357820099</v>
      </c>
      <c r="T22" s="2">
        <f t="shared" si="9"/>
        <v>6.9836368255156351</v>
      </c>
      <c r="V22" s="27"/>
      <c r="W22" s="27"/>
      <c r="X22" s="28"/>
    </row>
    <row r="23" spans="1:24" x14ac:dyDescent="0.25">
      <c r="A23" s="30">
        <f t="shared" si="10"/>
        <v>0.63203581871345027</v>
      </c>
      <c r="B23" s="2">
        <f t="shared" si="11"/>
        <v>18</v>
      </c>
      <c r="C23" s="4">
        <f t="shared" si="12"/>
        <v>13.33</v>
      </c>
      <c r="D23" s="2">
        <v>6.5</v>
      </c>
      <c r="E23" s="2">
        <v>50.26548245743669</v>
      </c>
      <c r="F23" s="11">
        <f t="shared" si="0"/>
        <v>1.2931339126216495</v>
      </c>
      <c r="G23" s="2">
        <f t="shared" si="1"/>
        <v>17.237475055246588</v>
      </c>
      <c r="H23" s="2">
        <f t="shared" si="2"/>
        <v>1.7549434866490268</v>
      </c>
      <c r="I23" s="2">
        <f t="shared" si="3"/>
        <v>23.393396677031529</v>
      </c>
      <c r="J23" s="2">
        <f t="shared" si="4"/>
        <v>6.1559216217849411</v>
      </c>
      <c r="K23" s="15">
        <f t="shared" si="13"/>
        <v>0.60873538011695905</v>
      </c>
      <c r="L23" s="2">
        <f t="shared" si="14"/>
        <v>18</v>
      </c>
      <c r="M23" s="2">
        <f t="shared" si="15"/>
        <v>13.15</v>
      </c>
      <c r="N23" s="2">
        <v>7.5</v>
      </c>
      <c r="O23" s="2">
        <v>50.26548245743669</v>
      </c>
      <c r="P23" s="11">
        <f t="shared" si="5"/>
        <v>1.492077591486519</v>
      </c>
      <c r="Q23" s="2">
        <f t="shared" si="6"/>
        <v>19.620820328047724</v>
      </c>
      <c r="R23" s="2">
        <f t="shared" si="7"/>
        <v>2.0441437437011936</v>
      </c>
      <c r="S23" s="2">
        <f t="shared" si="8"/>
        <v>26.880490229670695</v>
      </c>
      <c r="T23" s="2">
        <f t="shared" si="9"/>
        <v>7.2596699016229707</v>
      </c>
      <c r="V23" s="34" t="s">
        <v>45</v>
      </c>
      <c r="W23" s="35"/>
      <c r="X23" s="36"/>
    </row>
    <row r="24" spans="1:24" x14ac:dyDescent="0.25">
      <c r="A24" s="30">
        <f t="shared" si="10"/>
        <v>0.63216374269005848</v>
      </c>
      <c r="B24" s="2">
        <f t="shared" si="11"/>
        <v>19</v>
      </c>
      <c r="C24" s="4">
        <f t="shared" si="12"/>
        <v>13.83</v>
      </c>
      <c r="D24" s="2">
        <v>5.5</v>
      </c>
      <c r="E24" s="2">
        <v>50.26548245743669</v>
      </c>
      <c r="F24" s="11">
        <f t="shared" si="0"/>
        <v>1.0941902337567804</v>
      </c>
      <c r="G24" s="2">
        <f t="shared" si="1"/>
        <v>15.132650932856272</v>
      </c>
      <c r="H24" s="2">
        <f t="shared" si="2"/>
        <v>1.7549434866490268</v>
      </c>
      <c r="I24" s="2">
        <f t="shared" si="3"/>
        <v>24.270868420356042</v>
      </c>
      <c r="J24" s="2">
        <f t="shared" si="4"/>
        <v>9.1382174874997695</v>
      </c>
      <c r="K24" s="15">
        <f t="shared" si="13"/>
        <v>0.60888157894736838</v>
      </c>
      <c r="L24" s="2">
        <f t="shared" si="14"/>
        <v>19</v>
      </c>
      <c r="M24" s="2">
        <f t="shared" si="15"/>
        <v>13.65</v>
      </c>
      <c r="N24" s="2">
        <v>7.5</v>
      </c>
      <c r="O24" s="2">
        <v>50.26548245743669</v>
      </c>
      <c r="P24" s="11">
        <f t="shared" si="5"/>
        <v>1.492077591486519</v>
      </c>
      <c r="Q24" s="2">
        <f t="shared" si="6"/>
        <v>20.366859123790984</v>
      </c>
      <c r="R24" s="2">
        <f t="shared" si="7"/>
        <v>2.0441437437011936</v>
      </c>
      <c r="S24" s="2">
        <f t="shared" si="8"/>
        <v>27.902562101521294</v>
      </c>
      <c r="T24" s="2">
        <f t="shared" si="9"/>
        <v>7.5357029777303097</v>
      </c>
      <c r="V24" s="49" t="s">
        <v>46</v>
      </c>
      <c r="W24" s="35"/>
      <c r="X24" s="36"/>
    </row>
    <row r="25" spans="1:24" x14ac:dyDescent="0.25">
      <c r="A25" s="30">
        <f t="shared" si="10"/>
        <v>0.6322916666666667</v>
      </c>
      <c r="B25" s="2">
        <f t="shared" si="11"/>
        <v>20</v>
      </c>
      <c r="C25" s="4">
        <f t="shared" si="12"/>
        <v>14.33</v>
      </c>
      <c r="D25" s="2">
        <v>5.5</v>
      </c>
      <c r="E25" s="2">
        <v>50.26548245743669</v>
      </c>
      <c r="F25" s="11">
        <f t="shared" si="0"/>
        <v>1.0941902337567804</v>
      </c>
      <c r="G25" s="2">
        <f t="shared" si="1"/>
        <v>15.679746049734662</v>
      </c>
      <c r="H25" s="2">
        <f t="shared" si="2"/>
        <v>1.7549434866490268</v>
      </c>
      <c r="I25" s="2">
        <f t="shared" si="3"/>
        <v>25.148340163680555</v>
      </c>
      <c r="J25" s="2">
        <f t="shared" si="4"/>
        <v>9.4685941139458922</v>
      </c>
      <c r="K25" s="15">
        <f t="shared" si="13"/>
        <v>0.60902777777777783</v>
      </c>
      <c r="L25" s="2">
        <f t="shared" si="14"/>
        <v>20</v>
      </c>
      <c r="M25" s="2">
        <f t="shared" si="15"/>
        <v>14.15</v>
      </c>
      <c r="N25" s="2">
        <v>7</v>
      </c>
      <c r="O25" s="2">
        <v>50.26548245743669</v>
      </c>
      <c r="P25" s="11">
        <f t="shared" si="5"/>
        <v>1.3926057520540844</v>
      </c>
      <c r="Q25" s="2">
        <f t="shared" si="6"/>
        <v>19.705371391565293</v>
      </c>
      <c r="R25" s="2">
        <f t="shared" si="7"/>
        <v>2.0441437437011936</v>
      </c>
      <c r="S25" s="2">
        <f t="shared" si="8"/>
        <v>28.92463397337189</v>
      </c>
      <c r="T25" s="2">
        <f t="shared" si="9"/>
        <v>9.2192625818065963</v>
      </c>
      <c r="V25" s="34" t="s">
        <v>47</v>
      </c>
      <c r="W25" s="35"/>
      <c r="X25" s="36"/>
    </row>
    <row r="26" spans="1:24" x14ac:dyDescent="0.25">
      <c r="A26" s="30">
        <f t="shared" si="10"/>
        <v>0.6324195906432748</v>
      </c>
      <c r="B26" s="2">
        <f t="shared" si="11"/>
        <v>21</v>
      </c>
      <c r="C26" s="4">
        <f t="shared" si="12"/>
        <v>14.83</v>
      </c>
      <c r="D26" s="2">
        <v>5.5</v>
      </c>
      <c r="E26" s="2">
        <v>50.26548245743669</v>
      </c>
      <c r="F26" s="11">
        <f t="shared" si="0"/>
        <v>1.0941902337567804</v>
      </c>
      <c r="G26" s="2">
        <f t="shared" si="1"/>
        <v>16.226841166613053</v>
      </c>
      <c r="H26" s="2">
        <f t="shared" si="2"/>
        <v>1.7549434866490268</v>
      </c>
      <c r="I26" s="2">
        <f t="shared" si="3"/>
        <v>26.025811907005068</v>
      </c>
      <c r="J26" s="2">
        <f t="shared" si="4"/>
        <v>9.798970740392015</v>
      </c>
      <c r="K26" s="15">
        <f t="shared" si="13"/>
        <v>0.60917397660818717</v>
      </c>
      <c r="L26" s="2">
        <f t="shared" si="14"/>
        <v>21</v>
      </c>
      <c r="M26" s="2">
        <f t="shared" si="15"/>
        <v>14.65</v>
      </c>
      <c r="N26" s="2">
        <v>6.5</v>
      </c>
      <c r="O26" s="2">
        <v>50.26548245743669</v>
      </c>
      <c r="P26" s="11">
        <f t="shared" si="5"/>
        <v>1.2931339126216495</v>
      </c>
      <c r="Q26" s="2">
        <f t="shared" si="6"/>
        <v>18.944411819907163</v>
      </c>
      <c r="R26" s="2">
        <f t="shared" si="7"/>
        <v>2.0441437437011936</v>
      </c>
      <c r="S26" s="2">
        <f t="shared" si="8"/>
        <v>29.946705845222485</v>
      </c>
      <c r="T26" s="2">
        <f t="shared" si="9"/>
        <v>11.002294025315322</v>
      </c>
      <c r="V26" s="49" t="s">
        <v>48</v>
      </c>
      <c r="W26" s="35"/>
      <c r="X26" s="36"/>
    </row>
    <row r="27" spans="1:24" x14ac:dyDescent="0.25">
      <c r="A27" s="30">
        <f t="shared" si="10"/>
        <v>0.63254751461988301</v>
      </c>
      <c r="B27" s="2">
        <f t="shared" si="11"/>
        <v>22</v>
      </c>
      <c r="C27" s="4">
        <f t="shared" si="12"/>
        <v>15.33</v>
      </c>
      <c r="D27" s="2">
        <v>5</v>
      </c>
      <c r="E27" s="2">
        <v>50.26548245743669</v>
      </c>
      <c r="F27" s="11">
        <f t="shared" si="0"/>
        <v>0.99471839432434594</v>
      </c>
      <c r="G27" s="2">
        <f t="shared" si="1"/>
        <v>15.249032984992223</v>
      </c>
      <c r="H27" s="2">
        <f t="shared" si="2"/>
        <v>1.7549434866490268</v>
      </c>
      <c r="I27" s="2">
        <f t="shared" si="3"/>
        <v>26.90328365032958</v>
      </c>
      <c r="J27" s="2">
        <f t="shared" si="4"/>
        <v>11.654250665337358</v>
      </c>
      <c r="K27" s="15">
        <f t="shared" si="13"/>
        <v>0.60932017543859651</v>
      </c>
      <c r="L27" s="2">
        <f t="shared" si="14"/>
        <v>22</v>
      </c>
      <c r="M27" s="2">
        <f t="shared" si="15"/>
        <v>15.15</v>
      </c>
      <c r="N27" s="2">
        <v>6.5</v>
      </c>
      <c r="O27" s="2">
        <v>50.26548245743669</v>
      </c>
      <c r="P27" s="11">
        <f t="shared" si="5"/>
        <v>1.2931339126216495</v>
      </c>
      <c r="Q27" s="2">
        <f t="shared" si="6"/>
        <v>19.590978776217991</v>
      </c>
      <c r="R27" s="2">
        <f t="shared" si="7"/>
        <v>2.0441437437011936</v>
      </c>
      <c r="S27" s="2">
        <f t="shared" si="8"/>
        <v>30.968777717073085</v>
      </c>
      <c r="T27" s="2">
        <f t="shared" si="9"/>
        <v>11.377798940855094</v>
      </c>
      <c r="V27" s="29"/>
      <c r="W27" s="29"/>
      <c r="X27" s="29"/>
    </row>
    <row r="28" spans="1:24" x14ac:dyDescent="0.25">
      <c r="A28" s="30">
        <f t="shared" si="10"/>
        <v>0.63267543859649122</v>
      </c>
      <c r="B28" s="2">
        <f t="shared" si="11"/>
        <v>23</v>
      </c>
      <c r="C28" s="4">
        <f t="shared" si="12"/>
        <v>15.83</v>
      </c>
      <c r="D28" s="2">
        <v>6</v>
      </c>
      <c r="E28" s="2">
        <v>50.26548245743669</v>
      </c>
      <c r="F28" s="11">
        <f t="shared" si="0"/>
        <v>1.1936620731892149</v>
      </c>
      <c r="G28" s="2">
        <f t="shared" si="1"/>
        <v>18.895670618585271</v>
      </c>
      <c r="H28" s="2">
        <f t="shared" si="2"/>
        <v>1.7549434866490268</v>
      </c>
      <c r="I28" s="2">
        <f t="shared" si="3"/>
        <v>27.780755393654093</v>
      </c>
      <c r="J28" s="2">
        <f t="shared" si="4"/>
        <v>8.8850847750688224</v>
      </c>
      <c r="K28" s="15">
        <f t="shared" si="13"/>
        <v>0.60946637426900585</v>
      </c>
      <c r="L28" s="2">
        <f t="shared" si="14"/>
        <v>23</v>
      </c>
      <c r="M28" s="2">
        <f t="shared" si="15"/>
        <v>15.65</v>
      </c>
      <c r="N28" s="2">
        <v>6.5</v>
      </c>
      <c r="O28" s="2">
        <v>50.26548245743669</v>
      </c>
      <c r="P28" s="11">
        <f t="shared" si="5"/>
        <v>1.2931339126216495</v>
      </c>
      <c r="Q28" s="2">
        <f t="shared" si="6"/>
        <v>20.237545732528815</v>
      </c>
      <c r="R28" s="2">
        <f t="shared" si="7"/>
        <v>2.0441437437011936</v>
      </c>
      <c r="S28" s="2">
        <f t="shared" si="8"/>
        <v>31.99084958892368</v>
      </c>
      <c r="T28" s="2">
        <f t="shared" si="9"/>
        <v>11.753303856394865</v>
      </c>
      <c r="V28" s="24" t="s">
        <v>49</v>
      </c>
      <c r="W28" s="24" t="s">
        <v>50</v>
      </c>
      <c r="X28" s="29"/>
    </row>
    <row r="29" spans="1:24" x14ac:dyDescent="0.25">
      <c r="A29" s="30">
        <f t="shared" si="10"/>
        <v>0.63280336257309944</v>
      </c>
      <c r="B29" s="2">
        <f t="shared" si="11"/>
        <v>24</v>
      </c>
      <c r="C29" s="4">
        <f t="shared" si="12"/>
        <v>16.329999999999998</v>
      </c>
      <c r="D29" s="2">
        <v>15.5</v>
      </c>
      <c r="E29" s="2">
        <v>50.26548245743669</v>
      </c>
      <c r="F29" s="11">
        <f t="shared" si="0"/>
        <v>3.0836270224054725</v>
      </c>
      <c r="G29" s="2">
        <f t="shared" si="1"/>
        <v>50.355629275881363</v>
      </c>
      <c r="H29" s="2">
        <f t="shared" si="2"/>
        <v>1.7549434866490268</v>
      </c>
      <c r="I29" s="2">
        <f t="shared" si="3"/>
        <v>28.658227136978603</v>
      </c>
      <c r="J29" s="2">
        <f t="shared" si="4"/>
        <v>21.69740213890276</v>
      </c>
      <c r="K29" s="15">
        <f t="shared" si="13"/>
        <v>0.60961257309941519</v>
      </c>
      <c r="L29" s="2">
        <f t="shared" si="14"/>
        <v>24</v>
      </c>
      <c r="M29" s="2">
        <f t="shared" si="15"/>
        <v>16.149999999999999</v>
      </c>
      <c r="N29" s="2">
        <v>7.5</v>
      </c>
      <c r="O29" s="2">
        <v>50.26548245743669</v>
      </c>
      <c r="P29" s="11">
        <f t="shared" si="5"/>
        <v>1.492077591486519</v>
      </c>
      <c r="Q29" s="2">
        <f t="shared" si="6"/>
        <v>24.097053102507278</v>
      </c>
      <c r="R29" s="2">
        <f t="shared" si="7"/>
        <v>2.0441437437011936</v>
      </c>
      <c r="S29" s="2">
        <f t="shared" si="8"/>
        <v>33.012921460774272</v>
      </c>
      <c r="T29" s="2">
        <f t="shared" si="9"/>
        <v>8.9158683582669944</v>
      </c>
      <c r="V29" s="24">
        <f>MAX(D4:D160)</f>
        <v>23.5</v>
      </c>
      <c r="W29" s="24">
        <f>MAX(N4:N160)</f>
        <v>32.5</v>
      </c>
      <c r="X29" s="29"/>
    </row>
    <row r="30" spans="1:24" x14ac:dyDescent="0.25">
      <c r="A30" s="30">
        <f t="shared" si="10"/>
        <v>0.63293128654970754</v>
      </c>
      <c r="B30" s="2">
        <f t="shared" si="11"/>
        <v>25</v>
      </c>
      <c r="C30" s="4">
        <f t="shared" si="12"/>
        <v>16.829999999999998</v>
      </c>
      <c r="D30" s="2">
        <v>7</v>
      </c>
      <c r="E30" s="2">
        <v>50.26548245743669</v>
      </c>
      <c r="F30" s="11">
        <f t="shared" si="0"/>
        <v>1.3926057520540844</v>
      </c>
      <c r="G30" s="2">
        <f t="shared" si="1"/>
        <v>23.437554807070239</v>
      </c>
      <c r="H30" s="2">
        <f t="shared" si="2"/>
        <v>1.7549434866490268</v>
      </c>
      <c r="I30" s="2">
        <f t="shared" si="3"/>
        <v>29.535698880303119</v>
      </c>
      <c r="J30" s="2">
        <f t="shared" si="4"/>
        <v>6.0981440732328807</v>
      </c>
      <c r="K30" s="15">
        <f t="shared" si="13"/>
        <v>0.60975877192982453</v>
      </c>
      <c r="L30" s="2">
        <f t="shared" si="14"/>
        <v>25</v>
      </c>
      <c r="M30" s="2">
        <f t="shared" si="15"/>
        <v>16.649999999999999</v>
      </c>
      <c r="N30" s="2">
        <v>7.5</v>
      </c>
      <c r="O30" s="2">
        <v>50.26548245743669</v>
      </c>
      <c r="P30" s="11">
        <f t="shared" si="5"/>
        <v>1.492077591486519</v>
      </c>
      <c r="Q30" s="2">
        <f t="shared" si="6"/>
        <v>24.843091898250538</v>
      </c>
      <c r="R30" s="2">
        <f t="shared" si="7"/>
        <v>2.0441437437011936</v>
      </c>
      <c r="S30" s="2">
        <f t="shared" si="8"/>
        <v>34.034993332624872</v>
      </c>
      <c r="T30" s="2">
        <f t="shared" si="9"/>
        <v>9.1919014343743335</v>
      </c>
      <c r="V30" s="24" t="s">
        <v>14</v>
      </c>
      <c r="W30" s="24" t="s">
        <v>14</v>
      </c>
      <c r="X30" s="29"/>
    </row>
    <row r="31" spans="1:24" x14ac:dyDescent="0.25">
      <c r="A31" s="30">
        <f t="shared" si="10"/>
        <v>0.63305921052631575</v>
      </c>
      <c r="B31" s="2">
        <f t="shared" si="11"/>
        <v>26</v>
      </c>
      <c r="C31" s="4">
        <f t="shared" si="12"/>
        <v>17.329999999999998</v>
      </c>
      <c r="D31" s="2">
        <v>6</v>
      </c>
      <c r="E31" s="2">
        <v>50.26548245743669</v>
      </c>
      <c r="F31" s="11">
        <f t="shared" si="0"/>
        <v>1.1936620731892149</v>
      </c>
      <c r="G31" s="2">
        <f t="shared" si="1"/>
        <v>20.686163728369092</v>
      </c>
      <c r="H31" s="2">
        <f t="shared" si="2"/>
        <v>1.7549434866490268</v>
      </c>
      <c r="I31" s="2">
        <f t="shared" si="3"/>
        <v>30.413170623627632</v>
      </c>
      <c r="J31" s="2">
        <f t="shared" si="4"/>
        <v>9.7270068952585405</v>
      </c>
      <c r="K31" s="15">
        <f t="shared" si="13"/>
        <v>0.60990497076023398</v>
      </c>
      <c r="L31" s="2">
        <f t="shared" si="14"/>
        <v>26</v>
      </c>
      <c r="M31" s="2">
        <f t="shared" si="15"/>
        <v>17.149999999999999</v>
      </c>
      <c r="N31" s="2">
        <v>6.5</v>
      </c>
      <c r="O31" s="2">
        <v>50.26548245743669</v>
      </c>
      <c r="P31" s="11">
        <f t="shared" si="5"/>
        <v>1.2931339126216495</v>
      </c>
      <c r="Q31" s="2">
        <f t="shared" si="6"/>
        <v>22.177246601461285</v>
      </c>
      <c r="R31" s="2">
        <f t="shared" si="7"/>
        <v>2.0441437437011936</v>
      </c>
      <c r="S31" s="2">
        <f t="shared" si="8"/>
        <v>35.057065204475464</v>
      </c>
      <c r="T31" s="2">
        <f t="shared" si="9"/>
        <v>12.879818603014179</v>
      </c>
      <c r="V31" s="24">
        <f t="array" ref="V31">INDEX(B4:B160, MATCH(MAX(D4:D160), D4:D160, 0))</f>
        <v>11</v>
      </c>
      <c r="W31" s="24">
        <f t="array" ref="W31">INDEX(L4:L160, MATCH(MAX(N4:N160), N4:N160, 0))</f>
        <v>7</v>
      </c>
      <c r="X31" s="29"/>
    </row>
    <row r="32" spans="1:24" x14ac:dyDescent="0.25">
      <c r="A32" s="30">
        <f t="shared" si="10"/>
        <v>0.63318713450292397</v>
      </c>
      <c r="B32" s="2">
        <f t="shared" si="11"/>
        <v>27</v>
      </c>
      <c r="C32" s="4">
        <f t="shared" si="12"/>
        <v>17.829999999999998</v>
      </c>
      <c r="D32" s="2">
        <v>6.5</v>
      </c>
      <c r="E32" s="2">
        <v>50.26548245743669</v>
      </c>
      <c r="F32" s="11">
        <f t="shared" si="0"/>
        <v>1.2931339126216495</v>
      </c>
      <c r="G32" s="2">
        <f t="shared" si="1"/>
        <v>23.056577662044006</v>
      </c>
      <c r="H32" s="2">
        <f t="shared" si="2"/>
        <v>1.7549434866490268</v>
      </c>
      <c r="I32" s="2">
        <f t="shared" si="3"/>
        <v>31.290642366952145</v>
      </c>
      <c r="J32" s="2">
        <f t="shared" si="4"/>
        <v>8.234064704908139</v>
      </c>
      <c r="K32" s="15">
        <f t="shared" si="13"/>
        <v>0.61005116959064332</v>
      </c>
      <c r="L32" s="2">
        <f t="shared" si="14"/>
        <v>27</v>
      </c>
      <c r="M32" s="2">
        <f t="shared" si="15"/>
        <v>17.649999999999999</v>
      </c>
      <c r="N32" s="2">
        <v>7</v>
      </c>
      <c r="O32" s="2">
        <v>50.26548245743669</v>
      </c>
      <c r="P32" s="11">
        <f t="shared" si="5"/>
        <v>1.3926057520540844</v>
      </c>
      <c r="Q32" s="2">
        <f t="shared" si="6"/>
        <v>24.579491523754587</v>
      </c>
      <c r="R32" s="2">
        <f t="shared" si="7"/>
        <v>2.0441437437011936</v>
      </c>
      <c r="S32" s="2">
        <f t="shared" si="8"/>
        <v>36.079137076326063</v>
      </c>
      <c r="T32" s="2">
        <f t="shared" si="9"/>
        <v>11.499645552571476</v>
      </c>
    </row>
    <row r="33" spans="1:20" x14ac:dyDescent="0.25">
      <c r="A33" s="30">
        <f t="shared" si="10"/>
        <v>0.63331505847953218</v>
      </c>
      <c r="B33" s="2">
        <f t="shared" si="11"/>
        <v>28</v>
      </c>
      <c r="C33" s="4">
        <f t="shared" si="12"/>
        <v>18.329999999999998</v>
      </c>
      <c r="D33" s="2">
        <v>10.5</v>
      </c>
      <c r="E33" s="2">
        <v>50.26548245743669</v>
      </c>
      <c r="F33" s="11">
        <f t="shared" si="0"/>
        <v>2.0889086280811267</v>
      </c>
      <c r="G33" s="2">
        <f t="shared" si="1"/>
        <v>38.289695152727049</v>
      </c>
      <c r="H33" s="2">
        <f t="shared" si="2"/>
        <v>1.7549434866490268</v>
      </c>
      <c r="I33" s="2">
        <f t="shared" si="3"/>
        <v>32.168114110276655</v>
      </c>
      <c r="J33" s="2">
        <f t="shared" si="4"/>
        <v>6.1215810424503942</v>
      </c>
      <c r="K33" s="15">
        <f t="shared" si="13"/>
        <v>0.61019736842105265</v>
      </c>
      <c r="L33" s="2">
        <f t="shared" si="14"/>
        <v>28</v>
      </c>
      <c r="M33" s="2">
        <f t="shared" si="15"/>
        <v>18.149999999999999</v>
      </c>
      <c r="N33" s="2">
        <v>7</v>
      </c>
      <c r="O33" s="2">
        <v>50.26548245743669</v>
      </c>
      <c r="P33" s="11">
        <f t="shared" si="5"/>
        <v>1.3926057520540844</v>
      </c>
      <c r="Q33" s="2">
        <f t="shared" si="6"/>
        <v>25.275794399781631</v>
      </c>
      <c r="R33" s="2">
        <f t="shared" si="7"/>
        <v>2.0441437437011936</v>
      </c>
      <c r="S33" s="2">
        <f t="shared" si="8"/>
        <v>37.101208948176662</v>
      </c>
      <c r="T33" s="2">
        <f t="shared" si="9"/>
        <v>11.825414548395031</v>
      </c>
    </row>
    <row r="34" spans="1:20" x14ac:dyDescent="0.25">
      <c r="A34" s="30">
        <f t="shared" si="10"/>
        <v>0.63344298245614028</v>
      </c>
      <c r="B34" s="2">
        <f t="shared" si="11"/>
        <v>29</v>
      </c>
      <c r="C34" s="4">
        <f t="shared" si="12"/>
        <v>18.829999999999998</v>
      </c>
      <c r="D34" s="2">
        <v>6</v>
      </c>
      <c r="E34" s="2">
        <v>50.26548245743669</v>
      </c>
      <c r="F34" s="11">
        <f t="shared" si="0"/>
        <v>1.1936620731892149</v>
      </c>
      <c r="G34" s="2">
        <f t="shared" si="1"/>
        <v>22.476656838152916</v>
      </c>
      <c r="H34" s="2">
        <f t="shared" si="2"/>
        <v>1.7549434866490268</v>
      </c>
      <c r="I34" s="2">
        <f t="shared" si="3"/>
        <v>33.045585853601175</v>
      </c>
      <c r="J34" s="2">
        <f t="shared" si="4"/>
        <v>10.568929015448258</v>
      </c>
      <c r="K34" s="15">
        <f t="shared" si="13"/>
        <v>0.61034356725146199</v>
      </c>
      <c r="L34" s="2">
        <f t="shared" si="14"/>
        <v>29</v>
      </c>
      <c r="M34" s="2">
        <f t="shared" si="15"/>
        <v>18.649999999999999</v>
      </c>
      <c r="N34" s="2">
        <v>7</v>
      </c>
      <c r="O34" s="2">
        <v>50.26548245743669</v>
      </c>
      <c r="P34" s="11">
        <f t="shared" si="5"/>
        <v>1.3926057520540844</v>
      </c>
      <c r="Q34" s="2">
        <f t="shared" si="6"/>
        <v>25.972097275808672</v>
      </c>
      <c r="R34" s="2">
        <f t="shared" si="7"/>
        <v>2.0441437437011936</v>
      </c>
      <c r="S34" s="2">
        <f t="shared" si="8"/>
        <v>38.123280820027254</v>
      </c>
      <c r="T34" s="2">
        <f t="shared" si="9"/>
        <v>12.151183544218583</v>
      </c>
    </row>
    <row r="35" spans="1:20" x14ac:dyDescent="0.25">
      <c r="A35" s="30">
        <f t="shared" si="10"/>
        <v>0.63357090643274849</v>
      </c>
      <c r="B35" s="2">
        <f t="shared" si="11"/>
        <v>30</v>
      </c>
      <c r="C35" s="4">
        <f t="shared" si="12"/>
        <v>19.329999999999998</v>
      </c>
      <c r="D35" s="2">
        <v>5.5</v>
      </c>
      <c r="E35" s="2">
        <v>50.26548245743669</v>
      </c>
      <c r="F35" s="11">
        <f t="shared" si="0"/>
        <v>1.0941902337567804</v>
      </c>
      <c r="G35" s="2">
        <f t="shared" si="1"/>
        <v>21.150697218518562</v>
      </c>
      <c r="H35" s="2">
        <f t="shared" si="2"/>
        <v>1.7549434866490268</v>
      </c>
      <c r="I35" s="2">
        <f t="shared" si="3"/>
        <v>33.923057596925688</v>
      </c>
      <c r="J35" s="2">
        <f t="shared" si="4"/>
        <v>12.772360378407125</v>
      </c>
      <c r="K35" s="15">
        <f t="shared" si="13"/>
        <v>0.61048976608187133</v>
      </c>
      <c r="L35" s="2">
        <f t="shared" si="14"/>
        <v>30</v>
      </c>
      <c r="M35" s="2">
        <f t="shared" si="15"/>
        <v>19.149999999999999</v>
      </c>
      <c r="N35" s="2">
        <v>7</v>
      </c>
      <c r="O35" s="2">
        <v>50.26548245743669</v>
      </c>
      <c r="P35" s="11">
        <f t="shared" si="5"/>
        <v>1.3926057520540844</v>
      </c>
      <c r="Q35" s="2">
        <f t="shared" si="6"/>
        <v>26.668400151835716</v>
      </c>
      <c r="R35" s="2">
        <f t="shared" si="7"/>
        <v>2.0441437437011936</v>
      </c>
      <c r="S35" s="2">
        <f t="shared" si="8"/>
        <v>39.145352691877854</v>
      </c>
      <c r="T35" s="2">
        <f t="shared" si="9"/>
        <v>12.476952540042138</v>
      </c>
    </row>
    <row r="36" spans="1:20" x14ac:dyDescent="0.25">
      <c r="A36" s="30">
        <f t="shared" si="10"/>
        <v>0.63369883040935671</v>
      </c>
      <c r="B36" s="2">
        <f t="shared" si="11"/>
        <v>31</v>
      </c>
      <c r="C36" s="4">
        <f t="shared" si="12"/>
        <v>19.829999999999998</v>
      </c>
      <c r="D36" s="2">
        <v>5</v>
      </c>
      <c r="E36" s="2">
        <v>50.26548245743669</v>
      </c>
      <c r="F36" s="11">
        <f t="shared" si="0"/>
        <v>0.99471839432434594</v>
      </c>
      <c r="G36" s="2">
        <f t="shared" si="1"/>
        <v>19.72526575945178</v>
      </c>
      <c r="H36" s="2">
        <f t="shared" si="2"/>
        <v>1.7549434866490268</v>
      </c>
      <c r="I36" s="2">
        <f t="shared" si="3"/>
        <v>34.800529340250201</v>
      </c>
      <c r="J36" s="2">
        <f t="shared" si="4"/>
        <v>15.075263580798421</v>
      </c>
      <c r="K36" s="15">
        <f t="shared" si="13"/>
        <v>0.61063596491228078</v>
      </c>
      <c r="L36" s="2">
        <f t="shared" si="14"/>
        <v>31</v>
      </c>
      <c r="M36" s="2">
        <f t="shared" si="15"/>
        <v>19.649999999999999</v>
      </c>
      <c r="N36" s="2">
        <v>6.5</v>
      </c>
      <c r="O36" s="2">
        <v>50.26548245743669</v>
      </c>
      <c r="P36" s="11">
        <f t="shared" si="5"/>
        <v>1.2931339126216495</v>
      </c>
      <c r="Q36" s="2">
        <f t="shared" si="6"/>
        <v>25.41008138301541</v>
      </c>
      <c r="R36" s="2">
        <f t="shared" si="7"/>
        <v>2.0441437437011936</v>
      </c>
      <c r="S36" s="2">
        <f t="shared" si="8"/>
        <v>40.167424563728453</v>
      </c>
      <c r="T36" s="2">
        <f t="shared" si="9"/>
        <v>14.757343180713043</v>
      </c>
    </row>
    <row r="37" spans="1:20" x14ac:dyDescent="0.25">
      <c r="A37" s="30">
        <f t="shared" si="10"/>
        <v>0.63382675438596492</v>
      </c>
      <c r="B37" s="2">
        <f t="shared" si="11"/>
        <v>32</v>
      </c>
      <c r="C37" s="4">
        <f t="shared" si="12"/>
        <v>20.329999999999998</v>
      </c>
      <c r="D37" s="23">
        <v>6.5</v>
      </c>
      <c r="E37" s="2">
        <v>50.26548245743669</v>
      </c>
      <c r="F37" s="11">
        <f t="shared" si="0"/>
        <v>1.2931339126216495</v>
      </c>
      <c r="G37" s="2">
        <f t="shared" si="1"/>
        <v>26.289412443598131</v>
      </c>
      <c r="H37" s="2">
        <f t="shared" si="2"/>
        <v>1.7549434866490268</v>
      </c>
      <c r="I37" s="2">
        <f t="shared" si="3"/>
        <v>35.678001083574713</v>
      </c>
      <c r="J37" s="2">
        <f t="shared" si="4"/>
        <v>9.3885886399765823</v>
      </c>
      <c r="K37" s="15">
        <f t="shared" si="13"/>
        <v>0.61078216374269012</v>
      </c>
      <c r="L37" s="23">
        <f t="shared" si="14"/>
        <v>32</v>
      </c>
      <c r="M37" s="23">
        <f t="shared" si="15"/>
        <v>20.149999999999999</v>
      </c>
      <c r="N37" s="23">
        <v>6.5</v>
      </c>
      <c r="O37" s="2">
        <v>50.26548245743669</v>
      </c>
      <c r="P37" s="11">
        <f t="shared" si="5"/>
        <v>1.2931339126216495</v>
      </c>
      <c r="Q37" s="2">
        <f t="shared" si="6"/>
        <v>26.056648339326234</v>
      </c>
      <c r="R37" s="2">
        <f t="shared" si="7"/>
        <v>2.0441437437011936</v>
      </c>
      <c r="S37" s="2">
        <f t="shared" si="8"/>
        <v>41.189496435579045</v>
      </c>
      <c r="T37" s="2">
        <f t="shared" si="9"/>
        <v>15.132848096252811</v>
      </c>
    </row>
    <row r="38" spans="1:20" x14ac:dyDescent="0.25">
      <c r="A38" s="30">
        <f t="shared" si="10"/>
        <v>0.63395467836257302</v>
      </c>
      <c r="B38" s="2">
        <f t="shared" si="11"/>
        <v>33</v>
      </c>
      <c r="C38" s="4">
        <f t="shared" si="12"/>
        <v>20.83</v>
      </c>
      <c r="D38" s="2">
        <v>6.5</v>
      </c>
      <c r="E38" s="2">
        <v>50.26548245743669</v>
      </c>
      <c r="F38" s="11">
        <f t="shared" si="0"/>
        <v>1.2931339126216495</v>
      </c>
      <c r="G38" s="2">
        <f t="shared" si="1"/>
        <v>26.935979399908955</v>
      </c>
      <c r="H38" s="2">
        <f t="shared" si="2"/>
        <v>1.7549434866490268</v>
      </c>
      <c r="I38" s="2">
        <f t="shared" si="3"/>
        <v>36.555472826899226</v>
      </c>
      <c r="J38" s="2">
        <f t="shared" si="4"/>
        <v>9.619493426990271</v>
      </c>
      <c r="K38" s="15">
        <f t="shared" si="13"/>
        <v>0.61092836257309946</v>
      </c>
      <c r="L38" s="2">
        <f t="shared" si="14"/>
        <v>33</v>
      </c>
      <c r="M38" s="2">
        <f t="shared" si="15"/>
        <v>20.65</v>
      </c>
      <c r="N38" s="2">
        <v>7.5</v>
      </c>
      <c r="O38" s="2">
        <v>50.26548245743669</v>
      </c>
      <c r="P38" s="11">
        <f t="shared" si="5"/>
        <v>1.492077591486519</v>
      </c>
      <c r="Q38" s="2">
        <f t="shared" si="6"/>
        <v>30.811402264196616</v>
      </c>
      <c r="R38" s="2">
        <f t="shared" si="7"/>
        <v>2.0441437437011936</v>
      </c>
      <c r="S38" s="2">
        <f t="shared" si="8"/>
        <v>42.211568307429644</v>
      </c>
      <c r="T38" s="2">
        <f t="shared" si="9"/>
        <v>11.400166043233028</v>
      </c>
    </row>
    <row r="39" spans="1:20" x14ac:dyDescent="0.25">
      <c r="A39" s="30">
        <f t="shared" si="10"/>
        <v>0.63408260233918123</v>
      </c>
      <c r="B39" s="2">
        <f t="shared" si="11"/>
        <v>34</v>
      </c>
      <c r="C39" s="4">
        <f t="shared" si="12"/>
        <v>21.33</v>
      </c>
      <c r="D39" s="2">
        <v>5.5</v>
      </c>
      <c r="E39" s="2">
        <v>50.26548245743669</v>
      </c>
      <c r="F39" s="11">
        <f t="shared" si="0"/>
        <v>1.0941902337567804</v>
      </c>
      <c r="G39" s="2">
        <f t="shared" si="1"/>
        <v>23.339077686032123</v>
      </c>
      <c r="H39" s="2">
        <f t="shared" si="2"/>
        <v>1.7549434866490268</v>
      </c>
      <c r="I39" s="2">
        <f t="shared" si="3"/>
        <v>37.432944570223739</v>
      </c>
      <c r="J39" s="2">
        <f t="shared" si="4"/>
        <v>14.093866884191616</v>
      </c>
      <c r="K39" s="15">
        <f t="shared" si="13"/>
        <v>0.6110745614035088</v>
      </c>
      <c r="L39" s="2">
        <f t="shared" si="14"/>
        <v>34</v>
      </c>
      <c r="M39" s="2">
        <f t="shared" si="15"/>
        <v>21.15</v>
      </c>
      <c r="N39" s="2">
        <v>6.5</v>
      </c>
      <c r="O39" s="2">
        <v>50.26548245743669</v>
      </c>
      <c r="P39" s="11">
        <f t="shared" si="5"/>
        <v>1.2931339126216495</v>
      </c>
      <c r="Q39" s="2">
        <f t="shared" si="6"/>
        <v>27.349782251947882</v>
      </c>
      <c r="R39" s="2">
        <f t="shared" si="7"/>
        <v>2.0441437437011936</v>
      </c>
      <c r="S39" s="2">
        <f t="shared" si="8"/>
        <v>43.233640179280243</v>
      </c>
      <c r="T39" s="2">
        <f t="shared" si="9"/>
        <v>15.883857927332361</v>
      </c>
    </row>
    <row r="40" spans="1:20" x14ac:dyDescent="0.25">
      <c r="A40" s="30">
        <f t="shared" si="10"/>
        <v>0.63421052631578945</v>
      </c>
      <c r="B40" s="2">
        <f t="shared" si="11"/>
        <v>35</v>
      </c>
      <c r="C40" s="4">
        <f t="shared" si="12"/>
        <v>21.83</v>
      </c>
      <c r="D40" s="2">
        <v>5.5</v>
      </c>
      <c r="E40" s="2">
        <v>50.26548245743669</v>
      </c>
      <c r="F40" s="11">
        <f t="shared" si="0"/>
        <v>1.0941902337567804</v>
      </c>
      <c r="G40" s="2">
        <f t="shared" si="1"/>
        <v>23.886172802910515</v>
      </c>
      <c r="H40" s="2">
        <f t="shared" si="2"/>
        <v>1.7549434866490268</v>
      </c>
      <c r="I40" s="2">
        <f t="shared" si="3"/>
        <v>38.310416313548252</v>
      </c>
      <c r="J40" s="2">
        <f t="shared" si="4"/>
        <v>14.424243510637737</v>
      </c>
      <c r="K40" s="15">
        <f t="shared" si="13"/>
        <v>0.61122076023391814</v>
      </c>
      <c r="L40" s="2">
        <f t="shared" si="14"/>
        <v>35</v>
      </c>
      <c r="M40" s="2">
        <f t="shared" si="15"/>
        <v>21.65</v>
      </c>
      <c r="N40" s="2">
        <v>6.5</v>
      </c>
      <c r="O40" s="2">
        <v>50.26548245743669</v>
      </c>
      <c r="P40" s="11">
        <f t="shared" si="5"/>
        <v>1.2931339126216495</v>
      </c>
      <c r="Q40" s="2">
        <f t="shared" si="6"/>
        <v>27.99634920825871</v>
      </c>
      <c r="R40" s="2">
        <f t="shared" si="7"/>
        <v>2.0441437437011936</v>
      </c>
      <c r="S40" s="2">
        <f t="shared" si="8"/>
        <v>44.255712051130836</v>
      </c>
      <c r="T40" s="2">
        <f t="shared" si="9"/>
        <v>16.259362842872125</v>
      </c>
    </row>
    <row r="41" spans="1:20" x14ac:dyDescent="0.25">
      <c r="A41" s="30">
        <f t="shared" si="10"/>
        <v>0.63433845029239766</v>
      </c>
      <c r="B41" s="2">
        <f t="shared" si="11"/>
        <v>36</v>
      </c>
      <c r="C41" s="4">
        <f t="shared" si="12"/>
        <v>22.33</v>
      </c>
      <c r="D41" s="2">
        <v>7</v>
      </c>
      <c r="E41" s="2">
        <v>50.26548245743669</v>
      </c>
      <c r="F41" s="11">
        <f t="shared" si="0"/>
        <v>1.3926057520540844</v>
      </c>
      <c r="G41" s="2">
        <f t="shared" si="1"/>
        <v>31.096886443367705</v>
      </c>
      <c r="H41" s="2">
        <f t="shared" si="2"/>
        <v>1.7549434866490268</v>
      </c>
      <c r="I41" s="2">
        <f t="shared" si="3"/>
        <v>39.187888056872765</v>
      </c>
      <c r="J41" s="2">
        <f t="shared" si="4"/>
        <v>8.0910016135050604</v>
      </c>
      <c r="K41" s="15">
        <f t="shared" si="13"/>
        <v>0.61136695906432748</v>
      </c>
      <c r="L41" s="2">
        <f t="shared" si="14"/>
        <v>36</v>
      </c>
      <c r="M41" s="2">
        <f t="shared" si="15"/>
        <v>22.15</v>
      </c>
      <c r="N41" s="2">
        <v>6</v>
      </c>
      <c r="O41" s="2">
        <v>50.26548245743669</v>
      </c>
      <c r="P41" s="11">
        <f t="shared" si="5"/>
        <v>1.1936620731892149</v>
      </c>
      <c r="Q41" s="2">
        <f t="shared" si="6"/>
        <v>26.439614921141107</v>
      </c>
      <c r="R41" s="2">
        <f t="shared" si="7"/>
        <v>2.0441437437011936</v>
      </c>
      <c r="S41" s="2">
        <f t="shared" si="8"/>
        <v>45.277783922981435</v>
      </c>
      <c r="T41" s="2">
        <f t="shared" si="9"/>
        <v>18.838169001840328</v>
      </c>
    </row>
    <row r="42" spans="1:20" x14ac:dyDescent="0.25">
      <c r="A42" s="30">
        <f t="shared" si="10"/>
        <v>0.63446637426900576</v>
      </c>
      <c r="B42" s="2">
        <f t="shared" si="11"/>
        <v>37</v>
      </c>
      <c r="C42" s="4">
        <f t="shared" si="12"/>
        <v>22.83</v>
      </c>
      <c r="D42" s="2">
        <v>7</v>
      </c>
      <c r="E42" s="2">
        <v>50.26548245743669</v>
      </c>
      <c r="F42" s="11">
        <f t="shared" si="0"/>
        <v>1.3926057520540844</v>
      </c>
      <c r="G42" s="2">
        <f t="shared" si="1"/>
        <v>31.793189319394745</v>
      </c>
      <c r="H42" s="2">
        <f t="shared" si="2"/>
        <v>1.7549434866490268</v>
      </c>
      <c r="I42" s="2">
        <f t="shared" si="3"/>
        <v>40.065359800197278</v>
      </c>
      <c r="J42" s="2">
        <f t="shared" si="4"/>
        <v>8.2721704808025329</v>
      </c>
      <c r="K42" s="15">
        <f t="shared" si="13"/>
        <v>0.61151315789473693</v>
      </c>
      <c r="L42" s="2">
        <f t="shared" si="14"/>
        <v>37</v>
      </c>
      <c r="M42" s="2">
        <f t="shared" si="15"/>
        <v>22.65</v>
      </c>
      <c r="N42" s="2">
        <v>14</v>
      </c>
      <c r="O42" s="2">
        <v>50.26548245743669</v>
      </c>
      <c r="P42" s="11">
        <f t="shared" si="5"/>
        <v>2.7852115041081689</v>
      </c>
      <c r="Q42" s="2">
        <f t="shared" si="6"/>
        <v>63.085040568050019</v>
      </c>
      <c r="R42" s="2">
        <f t="shared" si="7"/>
        <v>2.0441437437011936</v>
      </c>
      <c r="S42" s="2">
        <f t="shared" si="8"/>
        <v>46.299855794832034</v>
      </c>
      <c r="T42" s="2">
        <f t="shared" si="9"/>
        <v>16.785184773217985</v>
      </c>
    </row>
    <row r="43" spans="1:20" x14ac:dyDescent="0.25">
      <c r="A43" s="30">
        <f t="shared" si="10"/>
        <v>0.63459429824561397</v>
      </c>
      <c r="B43" s="2">
        <f t="shared" si="11"/>
        <v>38</v>
      </c>
      <c r="C43" s="4">
        <f t="shared" si="12"/>
        <v>23.33</v>
      </c>
      <c r="D43" s="2">
        <v>6</v>
      </c>
      <c r="E43" s="2">
        <v>50.26548245743669</v>
      </c>
      <c r="F43" s="11">
        <f t="shared" si="0"/>
        <v>1.1936620731892149</v>
      </c>
      <c r="G43" s="2">
        <f t="shared" si="1"/>
        <v>27.848136167504382</v>
      </c>
      <c r="H43" s="2">
        <f t="shared" si="2"/>
        <v>1.7549434866490268</v>
      </c>
      <c r="I43" s="2">
        <f t="shared" si="3"/>
        <v>40.942831543521791</v>
      </c>
      <c r="J43" s="2">
        <f t="shared" si="4"/>
        <v>13.094695376017409</v>
      </c>
      <c r="K43" s="15">
        <f t="shared" si="13"/>
        <v>0.61165935672514626</v>
      </c>
      <c r="L43" s="2">
        <f t="shared" si="14"/>
        <v>38</v>
      </c>
      <c r="M43" s="2">
        <f t="shared" si="15"/>
        <v>23.15</v>
      </c>
      <c r="N43" s="2">
        <v>7.5</v>
      </c>
      <c r="O43" s="2">
        <v>50.26548245743669</v>
      </c>
      <c r="P43" s="11">
        <f t="shared" si="5"/>
        <v>1.492077591486519</v>
      </c>
      <c r="Q43" s="2">
        <f t="shared" si="6"/>
        <v>34.54159624291291</v>
      </c>
      <c r="R43" s="2">
        <f t="shared" si="7"/>
        <v>2.0441437437011936</v>
      </c>
      <c r="S43" s="2">
        <f t="shared" si="8"/>
        <v>47.321927666682626</v>
      </c>
      <c r="T43" s="2">
        <f t="shared" si="9"/>
        <v>12.780331423769717</v>
      </c>
    </row>
    <row r="44" spans="1:20" x14ac:dyDescent="0.25">
      <c r="A44" s="10">
        <v>0.63472222222222219</v>
      </c>
      <c r="B44" s="2">
        <f t="shared" si="11"/>
        <v>39</v>
      </c>
      <c r="C44" s="4">
        <f t="shared" si="12"/>
        <v>23.83</v>
      </c>
      <c r="D44" s="2">
        <v>5.5</v>
      </c>
      <c r="E44" s="2">
        <v>50.26548245743669</v>
      </c>
      <c r="F44" s="11">
        <f t="shared" si="0"/>
        <v>1.0941902337567804</v>
      </c>
      <c r="G44" s="2">
        <f t="shared" si="1"/>
        <v>26.074553270424076</v>
      </c>
      <c r="H44" s="2">
        <f t="shared" si="2"/>
        <v>1.7549434866490268</v>
      </c>
      <c r="I44" s="2">
        <f t="shared" si="3"/>
        <v>41.820303286846304</v>
      </c>
      <c r="J44" s="2">
        <f t="shared" si="4"/>
        <v>15.745750016422228</v>
      </c>
      <c r="K44" s="12">
        <v>0.6118055555555556</v>
      </c>
      <c r="L44" s="2">
        <f t="shared" si="14"/>
        <v>39</v>
      </c>
      <c r="M44" s="2">
        <f t="shared" si="15"/>
        <v>23.65</v>
      </c>
      <c r="N44" s="2">
        <v>7.5</v>
      </c>
      <c r="O44" s="2">
        <v>50.26548245743669</v>
      </c>
      <c r="P44" s="11">
        <f t="shared" si="5"/>
        <v>1.492077591486519</v>
      </c>
      <c r="Q44" s="2">
        <f t="shared" si="6"/>
        <v>35.28763503865617</v>
      </c>
      <c r="R44" s="2">
        <f t="shared" si="7"/>
        <v>2.0441437437011936</v>
      </c>
      <c r="S44" s="2">
        <f t="shared" si="8"/>
        <v>48.343999538533225</v>
      </c>
      <c r="T44" s="2">
        <f t="shared" si="9"/>
        <v>13.056364499877056</v>
      </c>
    </row>
    <row r="45" spans="1:20" x14ac:dyDescent="0.25">
      <c r="A45" s="14">
        <f t="shared" ref="A45:A82" si="16">IF(AND($A$44&lt;&gt;"",$A$83&lt;&gt;""), $A$44 + (B45 - $B$44) * (($A$83 - $A$44) / ($B$83 - $B$44)), "")</f>
        <v>0.63484686609686602</v>
      </c>
      <c r="B45" s="2">
        <f t="shared" si="11"/>
        <v>40</v>
      </c>
      <c r="C45" s="4">
        <f t="shared" si="12"/>
        <v>24.33</v>
      </c>
      <c r="D45" s="2">
        <v>5</v>
      </c>
      <c r="E45" s="2">
        <v>50.26548245743669</v>
      </c>
      <c r="F45" s="11">
        <f t="shared" si="0"/>
        <v>0.99471839432434594</v>
      </c>
      <c r="G45" s="2">
        <f t="shared" si="1"/>
        <v>24.201498533911334</v>
      </c>
      <c r="H45" s="2">
        <f t="shared" si="2"/>
        <v>1.7549434866490268</v>
      </c>
      <c r="I45" s="2">
        <f t="shared" si="3"/>
        <v>42.697775030170817</v>
      </c>
      <c r="J45" s="2">
        <f t="shared" si="4"/>
        <v>18.496276496259483</v>
      </c>
      <c r="K45" s="15">
        <f t="shared" ref="K45:K82" si="17">IF(AND($K$44&lt;&gt;"",$K$83&lt;&gt;""), $K$44 + (L45 - $L$44) * (($K$83 - $K$44) / ($L$83 - $L$44)), "")</f>
        <v>0.61191239316239321</v>
      </c>
      <c r="L45" s="2">
        <f t="shared" si="14"/>
        <v>40</v>
      </c>
      <c r="M45" s="2">
        <f t="shared" si="15"/>
        <v>24.15</v>
      </c>
      <c r="N45" s="2">
        <v>7</v>
      </c>
      <c r="O45" s="2">
        <v>50.26548245743669</v>
      </c>
      <c r="P45" s="11">
        <f t="shared" si="5"/>
        <v>1.3926057520540844</v>
      </c>
      <c r="Q45" s="2">
        <f t="shared" si="6"/>
        <v>33.631428912106138</v>
      </c>
      <c r="R45" s="2">
        <f t="shared" si="7"/>
        <v>2.0441437437011936</v>
      </c>
      <c r="S45" s="2">
        <f t="shared" si="8"/>
        <v>49.366071410383825</v>
      </c>
      <c r="T45" s="2">
        <f t="shared" si="9"/>
        <v>15.734642498277687</v>
      </c>
    </row>
    <row r="46" spans="1:20" x14ac:dyDescent="0.25">
      <c r="A46" s="14">
        <f t="shared" si="16"/>
        <v>0.63497150997150997</v>
      </c>
      <c r="B46" s="2">
        <f t="shared" si="11"/>
        <v>41</v>
      </c>
      <c r="C46" s="4">
        <f t="shared" si="12"/>
        <v>24.83</v>
      </c>
      <c r="D46" s="2">
        <v>5.5</v>
      </c>
      <c r="E46" s="2">
        <v>50.26548245743669</v>
      </c>
      <c r="F46" s="11">
        <f t="shared" si="0"/>
        <v>1.0941902337567804</v>
      </c>
      <c r="G46" s="2">
        <f t="shared" si="1"/>
        <v>27.168743504180856</v>
      </c>
      <c r="H46" s="2">
        <f t="shared" si="2"/>
        <v>1.7549434866490268</v>
      </c>
      <c r="I46" s="2">
        <f t="shared" si="3"/>
        <v>43.57524677349533</v>
      </c>
      <c r="J46" s="2">
        <f t="shared" si="4"/>
        <v>16.406503269314474</v>
      </c>
      <c r="K46" s="15">
        <f t="shared" si="17"/>
        <v>0.61201923076923082</v>
      </c>
      <c r="L46" s="2">
        <f t="shared" si="14"/>
        <v>41</v>
      </c>
      <c r="M46" s="2">
        <f t="shared" si="15"/>
        <v>24.65</v>
      </c>
      <c r="N46" s="2">
        <v>6.5</v>
      </c>
      <c r="O46" s="2">
        <v>50.26548245743669</v>
      </c>
      <c r="P46" s="11">
        <f t="shared" si="5"/>
        <v>1.2931339126216495</v>
      </c>
      <c r="Q46" s="2">
        <f t="shared" si="6"/>
        <v>31.875750946123656</v>
      </c>
      <c r="R46" s="2">
        <f t="shared" si="7"/>
        <v>2.0441437437011936</v>
      </c>
      <c r="S46" s="2">
        <f t="shared" si="8"/>
        <v>50.388143282234417</v>
      </c>
      <c r="T46" s="2">
        <f t="shared" si="9"/>
        <v>18.512392336110761</v>
      </c>
    </row>
    <row r="47" spans="1:20" x14ac:dyDescent="0.25">
      <c r="A47" s="14">
        <f t="shared" si="16"/>
        <v>0.63509615384615381</v>
      </c>
      <c r="B47" s="2">
        <f t="shared" si="11"/>
        <v>42</v>
      </c>
      <c r="C47" s="4">
        <f t="shared" si="12"/>
        <v>25.33</v>
      </c>
      <c r="D47" s="2">
        <v>5</v>
      </c>
      <c r="E47" s="2">
        <v>50.26548245743669</v>
      </c>
      <c r="F47" s="11">
        <f t="shared" si="0"/>
        <v>0.99471839432434594</v>
      </c>
      <c r="G47" s="2">
        <f t="shared" si="1"/>
        <v>25.196216928235682</v>
      </c>
      <c r="H47" s="2">
        <f t="shared" si="2"/>
        <v>1.7549434866490268</v>
      </c>
      <c r="I47" s="2">
        <f t="shared" si="3"/>
        <v>44.452718516819843</v>
      </c>
      <c r="J47" s="2">
        <f t="shared" si="4"/>
        <v>19.256501588584161</v>
      </c>
      <c r="K47" s="15">
        <f t="shared" si="17"/>
        <v>0.61212606837606842</v>
      </c>
      <c r="L47" s="2">
        <f t="shared" si="14"/>
        <v>42</v>
      </c>
      <c r="M47" s="2">
        <f t="shared" si="15"/>
        <v>25.15</v>
      </c>
      <c r="N47" s="2">
        <v>6.5</v>
      </c>
      <c r="O47" s="2">
        <v>50.26548245743669</v>
      </c>
      <c r="P47" s="11">
        <f t="shared" si="5"/>
        <v>1.2931339126216495</v>
      </c>
      <c r="Q47" s="2">
        <f t="shared" si="6"/>
        <v>32.52231790243448</v>
      </c>
      <c r="R47" s="2">
        <f t="shared" si="7"/>
        <v>2.0441437437011936</v>
      </c>
      <c r="S47" s="2">
        <f t="shared" si="8"/>
        <v>51.410215154085016</v>
      </c>
      <c r="T47" s="2">
        <f t="shared" si="9"/>
        <v>18.887897251650536</v>
      </c>
    </row>
    <row r="48" spans="1:20" x14ac:dyDescent="0.25">
      <c r="A48" s="14">
        <f t="shared" si="16"/>
        <v>0.63522079772079765</v>
      </c>
      <c r="B48" s="2">
        <f t="shared" si="11"/>
        <v>43</v>
      </c>
      <c r="C48" s="4">
        <f t="shared" si="12"/>
        <v>25.83</v>
      </c>
      <c r="D48" s="2">
        <v>4.5</v>
      </c>
      <c r="E48" s="2">
        <v>50.26548245743669</v>
      </c>
      <c r="F48" s="11">
        <f t="shared" si="0"/>
        <v>0.89524655489191129</v>
      </c>
      <c r="G48" s="2">
        <f t="shared" si="1"/>
        <v>23.124218512858068</v>
      </c>
      <c r="H48" s="2">
        <f t="shared" si="2"/>
        <v>1.7549434866490268</v>
      </c>
      <c r="I48" s="2">
        <f t="shared" si="3"/>
        <v>45.330190260144356</v>
      </c>
      <c r="J48" s="2">
        <f t="shared" si="4"/>
        <v>22.205971747286288</v>
      </c>
      <c r="K48" s="15">
        <f t="shared" si="17"/>
        <v>0.61223290598290603</v>
      </c>
      <c r="L48" s="2">
        <f t="shared" si="14"/>
        <v>43</v>
      </c>
      <c r="M48" s="2">
        <f t="shared" si="15"/>
        <v>25.65</v>
      </c>
      <c r="N48" s="2">
        <v>6</v>
      </c>
      <c r="O48" s="2">
        <v>50.26548245743669</v>
      </c>
      <c r="P48" s="11">
        <f t="shared" si="5"/>
        <v>1.1936620731892149</v>
      </c>
      <c r="Q48" s="2">
        <f t="shared" si="6"/>
        <v>30.61743217730336</v>
      </c>
      <c r="R48" s="2">
        <f t="shared" si="7"/>
        <v>2.0441437437011936</v>
      </c>
      <c r="S48" s="2">
        <f t="shared" si="8"/>
        <v>52.432287025935615</v>
      </c>
      <c r="T48" s="2">
        <f t="shared" si="9"/>
        <v>21.814854848632255</v>
      </c>
    </row>
    <row r="49" spans="1:20" x14ac:dyDescent="0.25">
      <c r="A49" s="14">
        <f t="shared" si="16"/>
        <v>0.6353454415954416</v>
      </c>
      <c r="B49" s="2">
        <f t="shared" si="11"/>
        <v>44</v>
      </c>
      <c r="C49" s="4">
        <f t="shared" si="12"/>
        <v>26.33</v>
      </c>
      <c r="D49" s="2">
        <v>5</v>
      </c>
      <c r="E49" s="2">
        <v>50.26548245743669</v>
      </c>
      <c r="F49" s="11">
        <f t="shared" si="0"/>
        <v>0.99471839432434594</v>
      </c>
      <c r="G49" s="2">
        <f t="shared" si="1"/>
        <v>26.190935322560026</v>
      </c>
      <c r="H49" s="2">
        <f t="shared" si="2"/>
        <v>1.7549434866490268</v>
      </c>
      <c r="I49" s="2">
        <f t="shared" si="3"/>
        <v>46.207662003468869</v>
      </c>
      <c r="J49" s="2">
        <f t="shared" si="4"/>
        <v>20.016726680908842</v>
      </c>
      <c r="K49" s="15">
        <f t="shared" si="17"/>
        <v>0.61233974358974363</v>
      </c>
      <c r="L49" s="2">
        <f t="shared" si="14"/>
        <v>44</v>
      </c>
      <c r="M49" s="2">
        <f t="shared" si="15"/>
        <v>26.15</v>
      </c>
      <c r="N49" s="2">
        <v>6.5</v>
      </c>
      <c r="O49" s="2">
        <v>50.26548245743669</v>
      </c>
      <c r="P49" s="11">
        <f t="shared" si="5"/>
        <v>1.2931339126216495</v>
      </c>
      <c r="Q49" s="2">
        <f t="shared" si="6"/>
        <v>33.815451815056129</v>
      </c>
      <c r="R49" s="2">
        <f t="shared" si="7"/>
        <v>2.0441437437011936</v>
      </c>
      <c r="S49" s="2">
        <f t="shared" si="8"/>
        <v>53.454358897786207</v>
      </c>
      <c r="T49" s="2">
        <f t="shared" si="9"/>
        <v>19.638907082730078</v>
      </c>
    </row>
    <row r="50" spans="1:20" x14ac:dyDescent="0.25">
      <c r="A50" s="14">
        <f t="shared" si="16"/>
        <v>0.63547008547008543</v>
      </c>
      <c r="B50" s="2">
        <f t="shared" si="11"/>
        <v>45</v>
      </c>
      <c r="C50" s="4">
        <f t="shared" si="12"/>
        <v>26.83</v>
      </c>
      <c r="D50" s="2">
        <v>6.5</v>
      </c>
      <c r="E50" s="2">
        <v>50.26548245743669</v>
      </c>
      <c r="F50" s="11">
        <f t="shared" si="0"/>
        <v>1.2931339126216495</v>
      </c>
      <c r="G50" s="2">
        <f t="shared" si="1"/>
        <v>34.69478287563885</v>
      </c>
      <c r="H50" s="2">
        <f t="shared" si="2"/>
        <v>1.7549434866490268</v>
      </c>
      <c r="I50" s="2">
        <f t="shared" si="3"/>
        <v>47.085133746793389</v>
      </c>
      <c r="J50" s="2">
        <f t="shared" si="4"/>
        <v>12.390350871154538</v>
      </c>
      <c r="K50" s="15">
        <f t="shared" si="17"/>
        <v>0.61244658119658124</v>
      </c>
      <c r="L50" s="2">
        <f t="shared" si="14"/>
        <v>45</v>
      </c>
      <c r="M50" s="2">
        <f t="shared" si="15"/>
        <v>26.65</v>
      </c>
      <c r="N50" s="2">
        <v>7</v>
      </c>
      <c r="O50" s="2">
        <v>50.26548245743669</v>
      </c>
      <c r="P50" s="11">
        <f t="shared" si="5"/>
        <v>1.3926057520540844</v>
      </c>
      <c r="Q50" s="2">
        <f t="shared" si="6"/>
        <v>37.112943292241347</v>
      </c>
      <c r="R50" s="2">
        <f t="shared" si="7"/>
        <v>2.0441437437011936</v>
      </c>
      <c r="S50" s="2">
        <f t="shared" si="8"/>
        <v>54.476430769636806</v>
      </c>
      <c r="T50" s="2">
        <f t="shared" si="9"/>
        <v>17.363487477395459</v>
      </c>
    </row>
    <row r="51" spans="1:20" x14ac:dyDescent="0.25">
      <c r="A51" s="14">
        <f t="shared" si="16"/>
        <v>0.63559472934472927</v>
      </c>
      <c r="B51" s="2">
        <f t="shared" si="11"/>
        <v>46</v>
      </c>
      <c r="C51" s="4">
        <f t="shared" si="12"/>
        <v>27.33</v>
      </c>
      <c r="D51" s="2">
        <v>5.5</v>
      </c>
      <c r="E51" s="2">
        <v>50.26548245743669</v>
      </c>
      <c r="F51" s="11">
        <f t="shared" si="0"/>
        <v>1.0941902337567804</v>
      </c>
      <c r="G51" s="2">
        <f t="shared" si="1"/>
        <v>29.904219088572805</v>
      </c>
      <c r="H51" s="2">
        <f t="shared" si="2"/>
        <v>1.7549434866490268</v>
      </c>
      <c r="I51" s="2">
        <f t="shared" si="3"/>
        <v>47.962605490117902</v>
      </c>
      <c r="J51" s="2">
        <f t="shared" si="4"/>
        <v>18.058386401545096</v>
      </c>
      <c r="K51" s="15">
        <f t="shared" si="17"/>
        <v>0.61255341880341885</v>
      </c>
      <c r="L51" s="2">
        <f t="shared" si="14"/>
        <v>46</v>
      </c>
      <c r="M51" s="2">
        <f t="shared" si="15"/>
        <v>27.15</v>
      </c>
      <c r="N51" s="2">
        <v>8</v>
      </c>
      <c r="O51" s="2">
        <v>50.26548245743669</v>
      </c>
      <c r="P51" s="11">
        <f t="shared" si="5"/>
        <v>1.5915494309189535</v>
      </c>
      <c r="Q51" s="2">
        <f t="shared" si="6"/>
        <v>43.210567049449587</v>
      </c>
      <c r="R51" s="2">
        <f t="shared" si="7"/>
        <v>2.0441437437011936</v>
      </c>
      <c r="S51" s="2">
        <f t="shared" si="8"/>
        <v>55.498502641487406</v>
      </c>
      <c r="T51" s="2">
        <f t="shared" si="9"/>
        <v>12.287935592037819</v>
      </c>
    </row>
    <row r="52" spans="1:20" x14ac:dyDescent="0.25">
      <c r="A52" s="14">
        <f t="shared" si="16"/>
        <v>0.63571937321937322</v>
      </c>
      <c r="B52" s="2">
        <f t="shared" si="11"/>
        <v>47</v>
      </c>
      <c r="C52" s="4">
        <f t="shared" si="12"/>
        <v>27.83</v>
      </c>
      <c r="D52" s="2">
        <v>5.5</v>
      </c>
      <c r="E52" s="2">
        <v>50.26548245743669</v>
      </c>
      <c r="F52" s="11">
        <f t="shared" si="0"/>
        <v>1.0941902337567804</v>
      </c>
      <c r="G52" s="2">
        <f t="shared" si="1"/>
        <v>30.451314205451197</v>
      </c>
      <c r="H52" s="2">
        <f t="shared" si="2"/>
        <v>1.7549434866490268</v>
      </c>
      <c r="I52" s="2">
        <f t="shared" si="3"/>
        <v>48.840077233442415</v>
      </c>
      <c r="J52" s="2">
        <f t="shared" si="4"/>
        <v>18.388763027991217</v>
      </c>
      <c r="K52" s="15">
        <f t="shared" si="17"/>
        <v>0.61266025641025645</v>
      </c>
      <c r="L52" s="2">
        <f t="shared" si="14"/>
        <v>47</v>
      </c>
      <c r="M52" s="2">
        <f t="shared" si="15"/>
        <v>27.65</v>
      </c>
      <c r="N52" s="2">
        <v>6.5</v>
      </c>
      <c r="O52" s="2">
        <v>50.26548245743669</v>
      </c>
      <c r="P52" s="11">
        <f t="shared" si="5"/>
        <v>1.2931339126216495</v>
      </c>
      <c r="Q52" s="2">
        <f t="shared" si="6"/>
        <v>35.755152683988605</v>
      </c>
      <c r="R52" s="2">
        <f t="shared" si="7"/>
        <v>2.0441437437011936</v>
      </c>
      <c r="S52" s="2">
        <f t="shared" si="8"/>
        <v>56.520574513337998</v>
      </c>
      <c r="T52" s="2">
        <f t="shared" si="9"/>
        <v>20.765421829349393</v>
      </c>
    </row>
    <row r="53" spans="1:20" x14ac:dyDescent="0.25">
      <c r="A53" s="14">
        <f t="shared" si="16"/>
        <v>0.63584401709401706</v>
      </c>
      <c r="B53" s="2">
        <f t="shared" si="11"/>
        <v>48</v>
      </c>
      <c r="C53" s="4">
        <f t="shared" si="12"/>
        <v>28.33</v>
      </c>
      <c r="D53" s="2">
        <v>5.5</v>
      </c>
      <c r="E53" s="2">
        <v>50.26548245743669</v>
      </c>
      <c r="F53" s="11">
        <f t="shared" si="0"/>
        <v>1.0941902337567804</v>
      </c>
      <c r="G53" s="2">
        <f t="shared" si="1"/>
        <v>30.998409322329586</v>
      </c>
      <c r="H53" s="2">
        <f t="shared" si="2"/>
        <v>1.7549434866490268</v>
      </c>
      <c r="I53" s="2">
        <f t="shared" si="3"/>
        <v>49.717548976766928</v>
      </c>
      <c r="J53" s="2">
        <f t="shared" si="4"/>
        <v>18.719139654437342</v>
      </c>
      <c r="K53" s="15">
        <f t="shared" si="17"/>
        <v>0.61276709401709406</v>
      </c>
      <c r="L53" s="2">
        <f t="shared" si="14"/>
        <v>48</v>
      </c>
      <c r="M53" s="2">
        <f t="shared" si="15"/>
        <v>28.15</v>
      </c>
      <c r="N53" s="2">
        <v>6.5</v>
      </c>
      <c r="O53" s="2">
        <v>50.26548245743669</v>
      </c>
      <c r="P53" s="11">
        <f t="shared" si="5"/>
        <v>1.2931339126216495</v>
      </c>
      <c r="Q53" s="2">
        <f t="shared" si="6"/>
        <v>36.401719640299433</v>
      </c>
      <c r="R53" s="2">
        <f t="shared" si="7"/>
        <v>2.0441437437011936</v>
      </c>
      <c r="S53" s="2">
        <f t="shared" si="8"/>
        <v>57.542646385188597</v>
      </c>
      <c r="T53" s="2">
        <f t="shared" si="9"/>
        <v>21.140926744889164</v>
      </c>
    </row>
    <row r="54" spans="1:20" x14ac:dyDescent="0.25">
      <c r="A54" s="14">
        <f t="shared" si="16"/>
        <v>0.63596866096866089</v>
      </c>
      <c r="B54" s="2">
        <f t="shared" si="11"/>
        <v>49</v>
      </c>
      <c r="C54" s="4">
        <f t="shared" si="12"/>
        <v>28.83</v>
      </c>
      <c r="D54" s="2">
        <v>0.5</v>
      </c>
      <c r="E54" s="2">
        <v>50.26548245743669</v>
      </c>
      <c r="F54" s="11">
        <f t="shared" si="0"/>
        <v>9.9471839432434594E-2</v>
      </c>
      <c r="G54" s="2">
        <f t="shared" si="1"/>
        <v>2.8677731308370893</v>
      </c>
      <c r="H54" s="2">
        <f t="shared" si="2"/>
        <v>1.7549434866490268</v>
      </c>
      <c r="I54" s="2">
        <f t="shared" si="3"/>
        <v>50.595020720091441</v>
      </c>
      <c r="J54" s="2">
        <f t="shared" si="4"/>
        <v>47.727247589254354</v>
      </c>
      <c r="K54" s="15">
        <f t="shared" si="17"/>
        <v>0.61287393162393167</v>
      </c>
      <c r="L54" s="2">
        <f t="shared" si="14"/>
        <v>49</v>
      </c>
      <c r="M54" s="2">
        <f t="shared" si="15"/>
        <v>28.65</v>
      </c>
      <c r="N54" s="2">
        <v>7</v>
      </c>
      <c r="O54" s="2">
        <v>50.26548245743669</v>
      </c>
      <c r="P54" s="11">
        <f t="shared" si="5"/>
        <v>1.3926057520540844</v>
      </c>
      <c r="Q54" s="2">
        <f t="shared" si="6"/>
        <v>39.898154796349516</v>
      </c>
      <c r="R54" s="2">
        <f t="shared" si="7"/>
        <v>2.0441437437011936</v>
      </c>
      <c r="S54" s="2">
        <f t="shared" si="8"/>
        <v>58.564718257039189</v>
      </c>
      <c r="T54" s="2">
        <f t="shared" si="9"/>
        <v>18.666563460689673</v>
      </c>
    </row>
    <row r="55" spans="1:20" x14ac:dyDescent="0.25">
      <c r="A55" s="14">
        <f t="shared" si="16"/>
        <v>0.63609330484330484</v>
      </c>
      <c r="B55" s="2">
        <f t="shared" si="11"/>
        <v>50</v>
      </c>
      <c r="C55" s="4">
        <f t="shared" si="12"/>
        <v>29.33</v>
      </c>
      <c r="D55" s="2">
        <v>6.5</v>
      </c>
      <c r="E55" s="2">
        <v>50.26548245743669</v>
      </c>
      <c r="F55" s="11">
        <f t="shared" si="0"/>
        <v>1.2931339126216495</v>
      </c>
      <c r="G55" s="2">
        <f t="shared" si="1"/>
        <v>37.927617657192975</v>
      </c>
      <c r="H55" s="2">
        <f t="shared" si="2"/>
        <v>1.7549434866490268</v>
      </c>
      <c r="I55" s="2">
        <f t="shared" si="3"/>
        <v>51.472492463415954</v>
      </c>
      <c r="J55" s="2">
        <f t="shared" si="4"/>
        <v>13.544874806222978</v>
      </c>
      <c r="K55" s="15">
        <f t="shared" si="17"/>
        <v>0.61298076923076927</v>
      </c>
      <c r="L55" s="2">
        <f t="shared" si="14"/>
        <v>50</v>
      </c>
      <c r="M55" s="2">
        <f t="shared" si="15"/>
        <v>29.15</v>
      </c>
      <c r="N55" s="2">
        <v>9</v>
      </c>
      <c r="O55" s="2">
        <v>50.26548245743669</v>
      </c>
      <c r="P55" s="11">
        <f t="shared" si="5"/>
        <v>1.7904931097838226</v>
      </c>
      <c r="Q55" s="2">
        <f t="shared" si="6"/>
        <v>52.192874150198428</v>
      </c>
      <c r="R55" s="2">
        <f t="shared" si="7"/>
        <v>2.0441437437011936</v>
      </c>
      <c r="S55" s="2">
        <f t="shared" si="8"/>
        <v>59.586790128889788</v>
      </c>
      <c r="T55" s="2">
        <f t="shared" si="9"/>
        <v>7.3939159786913606</v>
      </c>
    </row>
    <row r="56" spans="1:20" x14ac:dyDescent="0.25">
      <c r="A56" s="14">
        <f t="shared" si="16"/>
        <v>0.63621794871794868</v>
      </c>
      <c r="B56" s="2">
        <f t="shared" si="11"/>
        <v>51</v>
      </c>
      <c r="C56" s="4">
        <f t="shared" si="12"/>
        <v>29.83</v>
      </c>
      <c r="D56" s="2">
        <v>7</v>
      </c>
      <c r="E56" s="2">
        <v>50.26548245743669</v>
      </c>
      <c r="F56" s="11">
        <f t="shared" si="0"/>
        <v>1.3926057520540844</v>
      </c>
      <c r="G56" s="2">
        <f t="shared" si="1"/>
        <v>41.541429583773336</v>
      </c>
      <c r="H56" s="2">
        <f t="shared" si="2"/>
        <v>1.7549434866490268</v>
      </c>
      <c r="I56" s="2">
        <f t="shared" si="3"/>
        <v>52.349964206740466</v>
      </c>
      <c r="J56" s="2">
        <f t="shared" si="4"/>
        <v>10.80853462296713</v>
      </c>
      <c r="K56" s="15">
        <f t="shared" si="17"/>
        <v>0.61308760683760688</v>
      </c>
      <c r="L56" s="2">
        <f t="shared" si="14"/>
        <v>51</v>
      </c>
      <c r="M56" s="2">
        <f t="shared" si="15"/>
        <v>29.65</v>
      </c>
      <c r="N56" s="2">
        <v>7.5</v>
      </c>
      <c r="O56" s="2">
        <v>50.26548245743669</v>
      </c>
      <c r="P56" s="11">
        <f t="shared" si="5"/>
        <v>1.492077591486519</v>
      </c>
      <c r="Q56" s="2">
        <f t="shared" si="6"/>
        <v>44.240100587575284</v>
      </c>
      <c r="R56" s="2">
        <f t="shared" si="7"/>
        <v>2.0441437437011936</v>
      </c>
      <c r="S56" s="2">
        <f t="shared" si="8"/>
        <v>60.608862000740388</v>
      </c>
      <c r="T56" s="2">
        <f t="shared" si="9"/>
        <v>16.368761413165103</v>
      </c>
    </row>
    <row r="57" spans="1:20" x14ac:dyDescent="0.25">
      <c r="A57" s="14">
        <f t="shared" si="16"/>
        <v>0.63634259259259252</v>
      </c>
      <c r="B57" s="2">
        <f t="shared" si="11"/>
        <v>52</v>
      </c>
      <c r="C57" s="4">
        <f t="shared" si="12"/>
        <v>30.33</v>
      </c>
      <c r="D57" s="2">
        <v>6.5</v>
      </c>
      <c r="E57" s="2">
        <v>50.26548245743669</v>
      </c>
      <c r="F57" s="11">
        <f t="shared" si="0"/>
        <v>1.2931339126216495</v>
      </c>
      <c r="G57" s="2">
        <f t="shared" si="1"/>
        <v>39.220751569814624</v>
      </c>
      <c r="H57" s="2">
        <f t="shared" si="2"/>
        <v>1.7549434866490268</v>
      </c>
      <c r="I57" s="2">
        <f t="shared" si="3"/>
        <v>53.227435950064979</v>
      </c>
      <c r="J57" s="2">
        <f t="shared" si="4"/>
        <v>14.006684380250356</v>
      </c>
      <c r="K57" s="15">
        <f t="shared" si="17"/>
        <v>0.61319444444444449</v>
      </c>
      <c r="L57" s="2">
        <f t="shared" si="14"/>
        <v>52</v>
      </c>
      <c r="M57" s="2">
        <f t="shared" si="15"/>
        <v>30.15</v>
      </c>
      <c r="N57" s="2">
        <v>8</v>
      </c>
      <c r="O57" s="2">
        <v>50.26548245743669</v>
      </c>
      <c r="P57" s="11">
        <f t="shared" si="5"/>
        <v>1.5915494309189535</v>
      </c>
      <c r="Q57" s="2">
        <f t="shared" si="6"/>
        <v>47.985215342206445</v>
      </c>
      <c r="R57" s="2">
        <f t="shared" si="7"/>
        <v>2.0441437437011936</v>
      </c>
      <c r="S57" s="2">
        <f t="shared" si="8"/>
        <v>61.63093387259098</v>
      </c>
      <c r="T57" s="2">
        <f t="shared" si="9"/>
        <v>13.645718530384535</v>
      </c>
    </row>
    <row r="58" spans="1:20" x14ac:dyDescent="0.25">
      <c r="A58" s="14">
        <f t="shared" si="16"/>
        <v>0.63646723646723646</v>
      </c>
      <c r="B58" s="2">
        <f t="shared" si="11"/>
        <v>53</v>
      </c>
      <c r="C58" s="4">
        <f t="shared" si="12"/>
        <v>30.83</v>
      </c>
      <c r="D58" s="2">
        <v>6</v>
      </c>
      <c r="E58" s="2">
        <v>50.26548245743669</v>
      </c>
      <c r="F58" s="11">
        <f t="shared" si="0"/>
        <v>1.1936620731892149</v>
      </c>
      <c r="G58" s="2">
        <f t="shared" si="1"/>
        <v>36.800601716423493</v>
      </c>
      <c r="H58" s="2">
        <f t="shared" si="2"/>
        <v>1.7549434866490268</v>
      </c>
      <c r="I58" s="2">
        <f t="shared" si="3"/>
        <v>54.104907693389492</v>
      </c>
      <c r="J58" s="2">
        <f t="shared" si="4"/>
        <v>17.304305976965999</v>
      </c>
      <c r="K58" s="15">
        <f t="shared" si="17"/>
        <v>0.61330128205128209</v>
      </c>
      <c r="L58" s="2">
        <f t="shared" si="14"/>
        <v>53</v>
      </c>
      <c r="M58" s="2">
        <f t="shared" si="15"/>
        <v>30.65</v>
      </c>
      <c r="N58" s="2">
        <v>8.5</v>
      </c>
      <c r="O58" s="2">
        <v>50.26548245743669</v>
      </c>
      <c r="P58" s="11">
        <f t="shared" si="5"/>
        <v>1.6910212703513881</v>
      </c>
      <c r="Q58" s="2">
        <f t="shared" si="6"/>
        <v>51.829801936270044</v>
      </c>
      <c r="R58" s="2">
        <f t="shared" si="7"/>
        <v>2.0441437437011936</v>
      </c>
      <c r="S58" s="2">
        <f t="shared" si="8"/>
        <v>62.653005744441579</v>
      </c>
      <c r="T58" s="2">
        <f t="shared" si="9"/>
        <v>10.823203808171534</v>
      </c>
    </row>
    <row r="59" spans="1:20" x14ac:dyDescent="0.25">
      <c r="A59" s="14">
        <f t="shared" si="16"/>
        <v>0.6365918803418803</v>
      </c>
      <c r="B59" s="2">
        <f t="shared" si="11"/>
        <v>54</v>
      </c>
      <c r="C59" s="4">
        <f t="shared" si="12"/>
        <v>31.33</v>
      </c>
      <c r="D59" s="2">
        <v>6</v>
      </c>
      <c r="E59" s="2">
        <v>50.26548245743669</v>
      </c>
      <c r="F59" s="11">
        <f t="shared" si="0"/>
        <v>1.1936620731892149</v>
      </c>
      <c r="G59" s="2">
        <f t="shared" si="1"/>
        <v>37.397432753018101</v>
      </c>
      <c r="H59" s="2">
        <f t="shared" si="2"/>
        <v>1.7549434866490268</v>
      </c>
      <c r="I59" s="2">
        <f t="shared" si="3"/>
        <v>54.982379436714005</v>
      </c>
      <c r="J59" s="2">
        <f t="shared" si="4"/>
        <v>17.584946683695904</v>
      </c>
      <c r="K59" s="15">
        <f t="shared" si="17"/>
        <v>0.6134081196581197</v>
      </c>
      <c r="L59" s="2">
        <f t="shared" si="14"/>
        <v>54</v>
      </c>
      <c r="M59" s="2">
        <f t="shared" si="15"/>
        <v>31.15</v>
      </c>
      <c r="N59" s="2">
        <v>7.5</v>
      </c>
      <c r="O59" s="2">
        <v>50.26548245743669</v>
      </c>
      <c r="P59" s="11">
        <f t="shared" si="5"/>
        <v>1.492077591486519</v>
      </c>
      <c r="Q59" s="2">
        <f t="shared" si="6"/>
        <v>46.478216974805065</v>
      </c>
      <c r="R59" s="2">
        <f t="shared" si="7"/>
        <v>2.0441437437011936</v>
      </c>
      <c r="S59" s="2">
        <f t="shared" si="8"/>
        <v>63.675077616292178</v>
      </c>
      <c r="T59" s="2">
        <f t="shared" si="9"/>
        <v>17.196860641487113</v>
      </c>
    </row>
    <row r="60" spans="1:20" x14ac:dyDescent="0.25">
      <c r="A60" s="14">
        <f t="shared" si="16"/>
        <v>0.63671652421652414</v>
      </c>
      <c r="B60" s="2">
        <f t="shared" si="11"/>
        <v>55</v>
      </c>
      <c r="C60" s="4">
        <f t="shared" si="12"/>
        <v>31.83</v>
      </c>
      <c r="D60" s="2">
        <v>6</v>
      </c>
      <c r="E60" s="2">
        <v>50.26548245743669</v>
      </c>
      <c r="F60" s="11">
        <f t="shared" si="0"/>
        <v>1.1936620731892149</v>
      </c>
      <c r="G60" s="2">
        <f t="shared" si="1"/>
        <v>37.99426378961271</v>
      </c>
      <c r="H60" s="2">
        <f t="shared" si="2"/>
        <v>1.7549434866490268</v>
      </c>
      <c r="I60" s="2">
        <f t="shared" si="3"/>
        <v>55.859851180038518</v>
      </c>
      <c r="J60" s="2">
        <f t="shared" si="4"/>
        <v>17.865587390425809</v>
      </c>
      <c r="K60" s="15">
        <f t="shared" si="17"/>
        <v>0.61351495726495731</v>
      </c>
      <c r="L60" s="2">
        <f t="shared" si="14"/>
        <v>55</v>
      </c>
      <c r="M60" s="2">
        <f t="shared" si="15"/>
        <v>31.65</v>
      </c>
      <c r="N60" s="2">
        <v>8</v>
      </c>
      <c r="O60" s="2">
        <v>50.26548245743669</v>
      </c>
      <c r="P60" s="11">
        <f t="shared" si="5"/>
        <v>1.5915494309189535</v>
      </c>
      <c r="Q60" s="2">
        <f t="shared" si="6"/>
        <v>50.372539488584877</v>
      </c>
      <c r="R60" s="2">
        <f t="shared" si="7"/>
        <v>2.0441437437011936</v>
      </c>
      <c r="S60" s="2">
        <f t="shared" si="8"/>
        <v>64.69714948814277</v>
      </c>
      <c r="T60" s="2">
        <f t="shared" si="9"/>
        <v>14.324609999557893</v>
      </c>
    </row>
    <row r="61" spans="1:20" x14ac:dyDescent="0.25">
      <c r="A61" s="14">
        <f t="shared" si="16"/>
        <v>0.63684116809116809</v>
      </c>
      <c r="B61" s="2">
        <f t="shared" si="11"/>
        <v>56</v>
      </c>
      <c r="C61" s="4">
        <f t="shared" si="12"/>
        <v>32.33</v>
      </c>
      <c r="D61" s="2">
        <v>6.5</v>
      </c>
      <c r="E61" s="2">
        <v>50.26548245743669</v>
      </c>
      <c r="F61" s="11">
        <f t="shared" si="0"/>
        <v>1.2931339126216495</v>
      </c>
      <c r="G61" s="2">
        <f t="shared" si="1"/>
        <v>41.807019395057928</v>
      </c>
      <c r="H61" s="2">
        <f t="shared" si="2"/>
        <v>1.7549434866490268</v>
      </c>
      <c r="I61" s="2">
        <f t="shared" si="3"/>
        <v>56.737322923363031</v>
      </c>
      <c r="J61" s="2">
        <f t="shared" si="4"/>
        <v>14.930303528305103</v>
      </c>
      <c r="K61" s="15">
        <f t="shared" si="17"/>
        <v>0.61362179487179491</v>
      </c>
      <c r="L61" s="2">
        <f t="shared" si="14"/>
        <v>56</v>
      </c>
      <c r="M61" s="2">
        <f t="shared" si="15"/>
        <v>32.15</v>
      </c>
      <c r="N61" s="2">
        <v>7</v>
      </c>
      <c r="O61" s="2">
        <v>50.26548245743669</v>
      </c>
      <c r="P61" s="11">
        <f t="shared" si="5"/>
        <v>1.3926057520540844</v>
      </c>
      <c r="Q61" s="2">
        <f t="shared" si="6"/>
        <v>44.772274928538813</v>
      </c>
      <c r="R61" s="2">
        <f t="shared" si="7"/>
        <v>2.0441437437011936</v>
      </c>
      <c r="S61" s="2">
        <f t="shared" si="8"/>
        <v>65.719221359993369</v>
      </c>
      <c r="T61" s="2">
        <f t="shared" si="9"/>
        <v>20.946946431454556</v>
      </c>
    </row>
    <row r="62" spans="1:20" x14ac:dyDescent="0.25">
      <c r="A62" s="14">
        <f t="shared" si="16"/>
        <v>0.63696581196581192</v>
      </c>
      <c r="B62" s="2">
        <f t="shared" si="11"/>
        <v>57</v>
      </c>
      <c r="C62" s="4">
        <f t="shared" si="12"/>
        <v>32.83</v>
      </c>
      <c r="D62" s="2">
        <v>5.5</v>
      </c>
      <c r="E62" s="2">
        <v>50.26548245743669</v>
      </c>
      <c r="F62" s="11">
        <f t="shared" si="0"/>
        <v>1.0941902337567804</v>
      </c>
      <c r="G62" s="2">
        <f t="shared" si="1"/>
        <v>35.922265374235096</v>
      </c>
      <c r="H62" s="2">
        <f t="shared" si="2"/>
        <v>1.7549434866490268</v>
      </c>
      <c r="I62" s="2">
        <f t="shared" si="3"/>
        <v>57.614794666687544</v>
      </c>
      <c r="J62" s="2">
        <f t="shared" si="4"/>
        <v>21.692529292452448</v>
      </c>
      <c r="K62" s="15">
        <f t="shared" si="17"/>
        <v>0.61372863247863252</v>
      </c>
      <c r="L62" s="2">
        <f t="shared" si="14"/>
        <v>57</v>
      </c>
      <c r="M62" s="2">
        <f t="shared" si="15"/>
        <v>32.65</v>
      </c>
      <c r="N62" s="2">
        <v>7</v>
      </c>
      <c r="O62" s="2">
        <v>50.26548245743669</v>
      </c>
      <c r="P62" s="11">
        <f t="shared" si="5"/>
        <v>1.3926057520540844</v>
      </c>
      <c r="Q62" s="2">
        <f t="shared" si="6"/>
        <v>45.468577804565854</v>
      </c>
      <c r="R62" s="2">
        <f t="shared" si="7"/>
        <v>2.0441437437011936</v>
      </c>
      <c r="S62" s="2">
        <f t="shared" si="8"/>
        <v>66.741293231843969</v>
      </c>
      <c r="T62" s="2">
        <f t="shared" si="9"/>
        <v>21.272715427278115</v>
      </c>
    </row>
    <row r="63" spans="1:20" x14ac:dyDescent="0.25">
      <c r="A63" s="14">
        <f t="shared" si="16"/>
        <v>0.63709045584045576</v>
      </c>
      <c r="B63" s="2">
        <f t="shared" si="11"/>
        <v>58</v>
      </c>
      <c r="C63" s="4">
        <f t="shared" si="12"/>
        <v>33.33</v>
      </c>
      <c r="D63" s="2">
        <v>8</v>
      </c>
      <c r="E63" s="2">
        <v>50.26548245743669</v>
      </c>
      <c r="F63" s="11">
        <f t="shared" si="0"/>
        <v>1.5915494309189535</v>
      </c>
      <c r="G63" s="2">
        <f t="shared" si="1"/>
        <v>53.046342532528719</v>
      </c>
      <c r="H63" s="2">
        <f t="shared" si="2"/>
        <v>1.7549434866490268</v>
      </c>
      <c r="I63" s="2">
        <f t="shared" si="3"/>
        <v>58.492266410012057</v>
      </c>
      <c r="J63" s="2">
        <f t="shared" si="4"/>
        <v>5.4459238774833381</v>
      </c>
      <c r="K63" s="15">
        <f t="shared" si="17"/>
        <v>0.61383547008547013</v>
      </c>
      <c r="L63" s="2">
        <f t="shared" si="14"/>
        <v>58</v>
      </c>
      <c r="M63" s="2">
        <f t="shared" si="15"/>
        <v>33.15</v>
      </c>
      <c r="N63" s="2">
        <v>7</v>
      </c>
      <c r="O63" s="2">
        <v>50.26548245743669</v>
      </c>
      <c r="P63" s="11">
        <f t="shared" si="5"/>
        <v>1.3926057520540844</v>
      </c>
      <c r="Q63" s="2">
        <f t="shared" si="6"/>
        <v>46.164880680592894</v>
      </c>
      <c r="R63" s="2">
        <f t="shared" si="7"/>
        <v>2.0441437437011936</v>
      </c>
      <c r="S63" s="2">
        <f t="shared" si="8"/>
        <v>67.763365103694568</v>
      </c>
      <c r="T63" s="2">
        <f t="shared" si="9"/>
        <v>21.598484423101674</v>
      </c>
    </row>
    <row r="64" spans="1:20" x14ac:dyDescent="0.25">
      <c r="A64" s="14">
        <f t="shared" si="16"/>
        <v>0.63721509971509971</v>
      </c>
      <c r="B64" s="2">
        <f t="shared" si="11"/>
        <v>59</v>
      </c>
      <c r="C64" s="4">
        <f t="shared" si="12"/>
        <v>33.83</v>
      </c>
      <c r="D64" s="2">
        <v>5.5</v>
      </c>
      <c r="E64" s="2">
        <v>50.26548245743669</v>
      </c>
      <c r="F64" s="11">
        <f t="shared" si="0"/>
        <v>1.0941902337567804</v>
      </c>
      <c r="G64" s="2">
        <f t="shared" si="1"/>
        <v>37.01645560799188</v>
      </c>
      <c r="H64" s="2">
        <f t="shared" si="2"/>
        <v>1.7549434866490268</v>
      </c>
      <c r="I64" s="2">
        <f t="shared" si="3"/>
        <v>59.36973815333657</v>
      </c>
      <c r="J64" s="2">
        <f t="shared" si="4"/>
        <v>22.35328254534469</v>
      </c>
      <c r="K64" s="15">
        <f t="shared" si="17"/>
        <v>0.61394230769230773</v>
      </c>
      <c r="L64" s="2">
        <f t="shared" si="14"/>
        <v>59</v>
      </c>
      <c r="M64" s="2">
        <f t="shared" si="15"/>
        <v>33.65</v>
      </c>
      <c r="N64" s="2">
        <v>6.5</v>
      </c>
      <c r="O64" s="2">
        <v>50.26548245743669</v>
      </c>
      <c r="P64" s="11">
        <f t="shared" si="5"/>
        <v>1.2931339126216495</v>
      </c>
      <c r="Q64" s="2">
        <f t="shared" si="6"/>
        <v>43.513956159718504</v>
      </c>
      <c r="R64" s="2">
        <f t="shared" si="7"/>
        <v>2.0441437437011936</v>
      </c>
      <c r="S64" s="2">
        <f t="shared" si="8"/>
        <v>68.785436975545167</v>
      </c>
      <c r="T64" s="2">
        <f t="shared" si="9"/>
        <v>25.271480815826664</v>
      </c>
    </row>
    <row r="65" spans="1:20" x14ac:dyDescent="0.25">
      <c r="A65" s="14">
        <f t="shared" si="16"/>
        <v>0.63733974358974355</v>
      </c>
      <c r="B65" s="2">
        <f t="shared" si="11"/>
        <v>60</v>
      </c>
      <c r="C65" s="4">
        <f t="shared" si="12"/>
        <v>34.33</v>
      </c>
      <c r="D65" s="2">
        <v>6</v>
      </c>
      <c r="E65" s="2">
        <v>50.26548245743669</v>
      </c>
      <c r="F65" s="11">
        <f t="shared" si="0"/>
        <v>1.1936620731892149</v>
      </c>
      <c r="G65" s="2">
        <f t="shared" si="1"/>
        <v>40.978418972585743</v>
      </c>
      <c r="H65" s="2">
        <f t="shared" si="2"/>
        <v>1.7549434866490268</v>
      </c>
      <c r="I65" s="2">
        <f t="shared" si="3"/>
        <v>60.247209896661083</v>
      </c>
      <c r="J65" s="2">
        <f t="shared" si="4"/>
        <v>19.26879092407534</v>
      </c>
      <c r="K65" s="15">
        <f t="shared" si="17"/>
        <v>0.61404914529914534</v>
      </c>
      <c r="L65" s="2">
        <f t="shared" si="14"/>
        <v>60</v>
      </c>
      <c r="M65" s="2">
        <f t="shared" si="15"/>
        <v>34.15</v>
      </c>
      <c r="N65" s="2">
        <v>6</v>
      </c>
      <c r="O65" s="2">
        <v>50.26548245743669</v>
      </c>
      <c r="P65" s="11">
        <f t="shared" si="5"/>
        <v>1.1936620731892149</v>
      </c>
      <c r="Q65" s="2">
        <f t="shared" si="6"/>
        <v>40.763559799411688</v>
      </c>
      <c r="R65" s="2">
        <f t="shared" si="7"/>
        <v>2.0441437437011936</v>
      </c>
      <c r="S65" s="2">
        <f t="shared" si="8"/>
        <v>69.807508847395752</v>
      </c>
      <c r="T65" s="2">
        <f t="shared" si="9"/>
        <v>29.043949047984064</v>
      </c>
    </row>
    <row r="66" spans="1:20" x14ac:dyDescent="0.25">
      <c r="A66" s="14">
        <f t="shared" si="16"/>
        <v>0.63746438746438738</v>
      </c>
      <c r="B66" s="2">
        <f t="shared" si="11"/>
        <v>61</v>
      </c>
      <c r="C66" s="4">
        <f t="shared" si="12"/>
        <v>34.83</v>
      </c>
      <c r="D66" s="2">
        <v>6.5</v>
      </c>
      <c r="E66" s="2">
        <v>50.26548245743669</v>
      </c>
      <c r="F66" s="11">
        <f t="shared" si="0"/>
        <v>1.2931339126216495</v>
      </c>
      <c r="G66" s="2">
        <f t="shared" si="1"/>
        <v>45.039854176612046</v>
      </c>
      <c r="H66" s="2">
        <f t="shared" si="2"/>
        <v>1.7549434866490268</v>
      </c>
      <c r="I66" s="2">
        <f t="shared" si="3"/>
        <v>61.124681639985603</v>
      </c>
      <c r="J66" s="2">
        <f t="shared" si="4"/>
        <v>16.084827463373557</v>
      </c>
      <c r="K66" s="15">
        <f t="shared" si="17"/>
        <v>0.61415598290598294</v>
      </c>
      <c r="L66" s="2">
        <f t="shared" si="14"/>
        <v>61</v>
      </c>
      <c r="M66" s="2">
        <f t="shared" si="15"/>
        <v>34.65</v>
      </c>
      <c r="N66" s="2">
        <v>7</v>
      </c>
      <c r="O66" s="2">
        <v>50.26548245743669</v>
      </c>
      <c r="P66" s="11">
        <f t="shared" si="5"/>
        <v>1.3926057520540844</v>
      </c>
      <c r="Q66" s="2">
        <f t="shared" si="6"/>
        <v>48.253789308674023</v>
      </c>
      <c r="R66" s="2">
        <f t="shared" si="7"/>
        <v>2.0441437437011936</v>
      </c>
      <c r="S66" s="2">
        <f t="shared" si="8"/>
        <v>70.829580719246351</v>
      </c>
      <c r="T66" s="2">
        <f t="shared" si="9"/>
        <v>22.575791410572329</v>
      </c>
    </row>
    <row r="67" spans="1:20" x14ac:dyDescent="0.25">
      <c r="A67" s="14">
        <f t="shared" si="16"/>
        <v>0.63758903133903133</v>
      </c>
      <c r="B67" s="2">
        <f t="shared" si="11"/>
        <v>62</v>
      </c>
      <c r="C67" s="4">
        <f t="shared" si="12"/>
        <v>35.33</v>
      </c>
      <c r="D67" s="2">
        <v>7</v>
      </c>
      <c r="E67" s="2">
        <v>50.26548245743669</v>
      </c>
      <c r="F67" s="11">
        <f t="shared" si="0"/>
        <v>1.3926057520540844</v>
      </c>
      <c r="G67" s="2">
        <f t="shared" si="1"/>
        <v>49.200761220070802</v>
      </c>
      <c r="H67" s="2">
        <f t="shared" si="2"/>
        <v>1.7549434866490268</v>
      </c>
      <c r="I67" s="2">
        <f t="shared" si="3"/>
        <v>62.002153383310116</v>
      </c>
      <c r="J67" s="2">
        <f t="shared" si="4"/>
        <v>12.801392163239314</v>
      </c>
      <c r="K67" s="15">
        <f t="shared" si="17"/>
        <v>0.61426282051282055</v>
      </c>
      <c r="L67" s="2">
        <f t="shared" si="14"/>
        <v>62</v>
      </c>
      <c r="M67" s="2">
        <f t="shared" si="15"/>
        <v>35.15</v>
      </c>
      <c r="N67" s="2">
        <v>7</v>
      </c>
      <c r="O67" s="2">
        <v>50.26548245743669</v>
      </c>
      <c r="P67" s="11">
        <f t="shared" si="5"/>
        <v>1.3926057520540844</v>
      </c>
      <c r="Q67" s="2">
        <f t="shared" si="6"/>
        <v>48.950092184701063</v>
      </c>
      <c r="R67" s="2">
        <f t="shared" si="7"/>
        <v>2.0441437437011936</v>
      </c>
      <c r="S67" s="2">
        <f t="shared" si="8"/>
        <v>71.851652591096951</v>
      </c>
      <c r="T67" s="2">
        <f t="shared" si="9"/>
        <v>22.901560406395888</v>
      </c>
    </row>
    <row r="68" spans="1:20" x14ac:dyDescent="0.25">
      <c r="A68" s="14">
        <f t="shared" si="16"/>
        <v>0.63771367521367517</v>
      </c>
      <c r="B68" s="2">
        <f t="shared" si="11"/>
        <v>63</v>
      </c>
      <c r="C68" s="4">
        <f t="shared" si="12"/>
        <v>35.83</v>
      </c>
      <c r="D68" s="2">
        <v>6.5</v>
      </c>
      <c r="E68" s="2">
        <v>50.26548245743669</v>
      </c>
      <c r="F68" s="11">
        <f t="shared" si="0"/>
        <v>1.2931339126216495</v>
      </c>
      <c r="G68" s="2">
        <f t="shared" si="1"/>
        <v>46.332988089233694</v>
      </c>
      <c r="H68" s="2">
        <f t="shared" si="2"/>
        <v>1.7549434866490268</v>
      </c>
      <c r="I68" s="2">
        <f t="shared" si="3"/>
        <v>62.879625126634629</v>
      </c>
      <c r="J68" s="2">
        <f t="shared" si="4"/>
        <v>16.546637037400934</v>
      </c>
      <c r="K68" s="15">
        <f t="shared" si="17"/>
        <v>0.61436965811965816</v>
      </c>
      <c r="L68" s="2">
        <f t="shared" si="14"/>
        <v>63</v>
      </c>
      <c r="M68" s="2">
        <f t="shared" si="15"/>
        <v>35.65</v>
      </c>
      <c r="N68" s="2">
        <v>8</v>
      </c>
      <c r="O68" s="2">
        <v>50.26548245743669</v>
      </c>
      <c r="P68" s="11">
        <f t="shared" si="5"/>
        <v>1.5915494309189535</v>
      </c>
      <c r="Q68" s="2">
        <f t="shared" si="6"/>
        <v>56.738737212260688</v>
      </c>
      <c r="R68" s="2">
        <f t="shared" si="7"/>
        <v>2.0441437437011936</v>
      </c>
      <c r="S68" s="2">
        <f t="shared" si="8"/>
        <v>72.87372446294755</v>
      </c>
      <c r="T68" s="2">
        <f t="shared" si="9"/>
        <v>16.134987250686862</v>
      </c>
    </row>
    <row r="69" spans="1:20" x14ac:dyDescent="0.25">
      <c r="A69" s="14">
        <f t="shared" si="16"/>
        <v>0.63783831908831901</v>
      </c>
      <c r="B69" s="2">
        <f t="shared" si="11"/>
        <v>64</v>
      </c>
      <c r="C69" s="4">
        <f t="shared" si="12"/>
        <v>36.33</v>
      </c>
      <c r="D69" s="2">
        <v>7</v>
      </c>
      <c r="E69" s="2">
        <v>50.26548245743669</v>
      </c>
      <c r="F69" s="11">
        <f t="shared" si="0"/>
        <v>1.3926057520540844</v>
      </c>
      <c r="G69" s="2">
        <f t="shared" si="1"/>
        <v>50.593366972124883</v>
      </c>
      <c r="H69" s="2">
        <f t="shared" si="2"/>
        <v>1.7549434866490268</v>
      </c>
      <c r="I69" s="2">
        <f t="shared" si="3"/>
        <v>63.757096869959142</v>
      </c>
      <c r="J69" s="2">
        <f t="shared" si="4"/>
        <v>13.163729897834259</v>
      </c>
      <c r="K69" s="15">
        <f t="shared" si="17"/>
        <v>0.61447649572649576</v>
      </c>
      <c r="L69" s="2">
        <f t="shared" si="14"/>
        <v>64</v>
      </c>
      <c r="M69" s="2">
        <f t="shared" si="15"/>
        <v>36.15</v>
      </c>
      <c r="N69" s="2">
        <v>7.5</v>
      </c>
      <c r="O69" s="2">
        <v>50.26548245743669</v>
      </c>
      <c r="P69" s="11">
        <f t="shared" si="5"/>
        <v>1.492077591486519</v>
      </c>
      <c r="Q69" s="2">
        <f t="shared" si="6"/>
        <v>53.938604932237659</v>
      </c>
      <c r="R69" s="2">
        <f t="shared" si="7"/>
        <v>2.0441437437011936</v>
      </c>
      <c r="S69" s="2">
        <f t="shared" si="8"/>
        <v>73.895796334798149</v>
      </c>
      <c r="T69" s="2">
        <f t="shared" si="9"/>
        <v>19.95719140256049</v>
      </c>
    </row>
    <row r="70" spans="1:20" x14ac:dyDescent="0.25">
      <c r="A70" s="14">
        <f t="shared" si="16"/>
        <v>0.63796296296296295</v>
      </c>
      <c r="B70" s="2">
        <f t="shared" si="11"/>
        <v>65</v>
      </c>
      <c r="C70" s="4">
        <f t="shared" si="12"/>
        <v>36.83</v>
      </c>
      <c r="D70" s="2">
        <v>6.5</v>
      </c>
      <c r="E70" s="2">
        <v>50.26548245743669</v>
      </c>
      <c r="F70" s="11">
        <f t="shared" si="0"/>
        <v>1.2931339126216495</v>
      </c>
      <c r="G70" s="2">
        <f t="shared" si="1"/>
        <v>47.62612200185535</v>
      </c>
      <c r="H70" s="2">
        <f t="shared" si="2"/>
        <v>1.7549434866490268</v>
      </c>
      <c r="I70" s="2">
        <f t="shared" si="3"/>
        <v>64.634568613283648</v>
      </c>
      <c r="J70" s="2">
        <f t="shared" si="4"/>
        <v>17.008446611428298</v>
      </c>
      <c r="K70" s="15">
        <f t="shared" si="17"/>
        <v>0.61458333333333337</v>
      </c>
      <c r="L70" s="2">
        <f t="shared" si="14"/>
        <v>65</v>
      </c>
      <c r="M70" s="2">
        <f t="shared" si="15"/>
        <v>36.65</v>
      </c>
      <c r="N70" s="2">
        <v>7</v>
      </c>
      <c r="O70" s="2">
        <v>50.26548245743669</v>
      </c>
      <c r="P70" s="11">
        <f t="shared" si="5"/>
        <v>1.3926057520540844</v>
      </c>
      <c r="Q70" s="2">
        <f t="shared" si="6"/>
        <v>51.039000812782191</v>
      </c>
      <c r="R70" s="2">
        <f t="shared" si="7"/>
        <v>2.0441437437011936</v>
      </c>
      <c r="S70" s="2">
        <f t="shared" si="8"/>
        <v>74.917868206648734</v>
      </c>
      <c r="T70" s="2">
        <f t="shared" si="9"/>
        <v>23.878867393866543</v>
      </c>
    </row>
    <row r="71" spans="1:20" x14ac:dyDescent="0.25">
      <c r="A71" s="14">
        <f t="shared" si="16"/>
        <v>0.63808760683760679</v>
      </c>
      <c r="B71" s="2">
        <f t="shared" si="11"/>
        <v>66</v>
      </c>
      <c r="C71" s="4">
        <f t="shared" si="12"/>
        <v>37.33</v>
      </c>
      <c r="D71" s="2">
        <v>7</v>
      </c>
      <c r="E71" s="2">
        <v>50.26548245743669</v>
      </c>
      <c r="F71" s="11">
        <f t="shared" si="0"/>
        <v>1.3926057520540844</v>
      </c>
      <c r="G71" s="2">
        <f t="shared" si="1"/>
        <v>51.985972724178971</v>
      </c>
      <c r="H71" s="2">
        <f t="shared" si="2"/>
        <v>1.7549434866490268</v>
      </c>
      <c r="I71" s="2">
        <f t="shared" si="3"/>
        <v>65.512040356608168</v>
      </c>
      <c r="J71" s="2">
        <f t="shared" si="4"/>
        <v>13.526067632429196</v>
      </c>
      <c r="K71" s="15">
        <f t="shared" si="17"/>
        <v>0.61469017094017098</v>
      </c>
      <c r="L71" s="2">
        <f t="shared" si="14"/>
        <v>66</v>
      </c>
      <c r="M71" s="2">
        <f t="shared" si="15"/>
        <v>37.15</v>
      </c>
      <c r="N71" s="2">
        <v>8</v>
      </c>
      <c r="O71" s="2">
        <v>50.26548245743669</v>
      </c>
      <c r="P71" s="11">
        <f t="shared" si="5"/>
        <v>1.5915494309189535</v>
      </c>
      <c r="Q71" s="2">
        <f t="shared" si="6"/>
        <v>59.12606135863912</v>
      </c>
      <c r="R71" s="2">
        <f t="shared" si="7"/>
        <v>2.0441437437011936</v>
      </c>
      <c r="S71" s="2">
        <f t="shared" si="8"/>
        <v>75.939940078499333</v>
      </c>
      <c r="T71" s="2">
        <f t="shared" si="9"/>
        <v>16.813878719860213</v>
      </c>
    </row>
    <row r="72" spans="1:20" x14ac:dyDescent="0.25">
      <c r="A72" s="14">
        <f t="shared" si="16"/>
        <v>0.63821225071225063</v>
      </c>
      <c r="B72" s="2">
        <f t="shared" si="11"/>
        <v>67</v>
      </c>
      <c r="C72" s="4">
        <f t="shared" si="12"/>
        <v>37.83</v>
      </c>
      <c r="D72" s="2">
        <v>7</v>
      </c>
      <c r="E72" s="2">
        <v>50.26548245743669</v>
      </c>
      <c r="F72" s="11">
        <f t="shared" si="0"/>
        <v>1.3926057520540844</v>
      </c>
      <c r="G72" s="2">
        <f t="shared" si="1"/>
        <v>52.682275600206012</v>
      </c>
      <c r="H72" s="2">
        <f t="shared" si="2"/>
        <v>1.7549434866490268</v>
      </c>
      <c r="I72" s="2">
        <f t="shared" si="3"/>
        <v>66.389512099932674</v>
      </c>
      <c r="J72" s="2">
        <f t="shared" si="4"/>
        <v>13.707236499726662</v>
      </c>
      <c r="K72" s="15">
        <f t="shared" si="17"/>
        <v>0.61479700854700858</v>
      </c>
      <c r="L72" s="2">
        <f t="shared" si="14"/>
        <v>67</v>
      </c>
      <c r="M72" s="2">
        <f t="shared" si="15"/>
        <v>37.65</v>
      </c>
      <c r="N72" s="2">
        <v>8</v>
      </c>
      <c r="O72" s="2">
        <v>50.26548245743669</v>
      </c>
      <c r="P72" s="11">
        <f t="shared" si="5"/>
        <v>1.5915494309189535</v>
      </c>
      <c r="Q72" s="2">
        <f t="shared" si="6"/>
        <v>59.9218360740986</v>
      </c>
      <c r="R72" s="2">
        <f t="shared" si="7"/>
        <v>2.0441437437011936</v>
      </c>
      <c r="S72" s="2">
        <f t="shared" si="8"/>
        <v>76.962011950349932</v>
      </c>
      <c r="T72" s="2">
        <f t="shared" si="9"/>
        <v>17.040175876251332</v>
      </c>
    </row>
    <row r="73" spans="1:20" x14ac:dyDescent="0.25">
      <c r="A73" s="14">
        <f t="shared" si="16"/>
        <v>0.63833689458689458</v>
      </c>
      <c r="B73" s="2">
        <f t="shared" si="11"/>
        <v>68</v>
      </c>
      <c r="C73" s="4">
        <f t="shared" si="12"/>
        <v>38.33</v>
      </c>
      <c r="D73" s="2">
        <v>6.5</v>
      </c>
      <c r="E73" s="2">
        <v>50.26548245743669</v>
      </c>
      <c r="F73" s="11">
        <f t="shared" si="0"/>
        <v>1.2931339126216495</v>
      </c>
      <c r="G73" s="2">
        <f t="shared" si="1"/>
        <v>49.565822870787819</v>
      </c>
      <c r="H73" s="2">
        <f t="shared" si="2"/>
        <v>1.7549434866490268</v>
      </c>
      <c r="I73" s="2">
        <f t="shared" si="3"/>
        <v>67.266983843257194</v>
      </c>
      <c r="J73" s="2">
        <f t="shared" si="4"/>
        <v>17.701160972469374</v>
      </c>
      <c r="K73" s="15">
        <f t="shared" si="17"/>
        <v>0.61490384615384619</v>
      </c>
      <c r="L73" s="2">
        <f t="shared" si="14"/>
        <v>68</v>
      </c>
      <c r="M73" s="2">
        <f t="shared" si="15"/>
        <v>38.15</v>
      </c>
      <c r="N73" s="2">
        <v>8</v>
      </c>
      <c r="O73" s="2">
        <v>50.26548245743669</v>
      </c>
      <c r="P73" s="11">
        <f t="shared" si="5"/>
        <v>1.5915494309189535</v>
      </c>
      <c r="Q73" s="2">
        <f t="shared" si="6"/>
        <v>60.717610789558073</v>
      </c>
      <c r="R73" s="2">
        <f t="shared" si="7"/>
        <v>2.0441437437011936</v>
      </c>
      <c r="S73" s="2">
        <f t="shared" si="8"/>
        <v>77.984083822200532</v>
      </c>
      <c r="T73" s="2">
        <f t="shared" si="9"/>
        <v>17.266473032642459</v>
      </c>
    </row>
    <row r="74" spans="1:20" x14ac:dyDescent="0.25">
      <c r="A74" s="14">
        <f t="shared" si="16"/>
        <v>0.63846153846153841</v>
      </c>
      <c r="B74" s="2">
        <f t="shared" si="11"/>
        <v>69</v>
      </c>
      <c r="C74" s="4">
        <f t="shared" si="12"/>
        <v>38.83</v>
      </c>
      <c r="D74" s="2">
        <v>5</v>
      </c>
      <c r="E74" s="2">
        <v>50.26548245743669</v>
      </c>
      <c r="F74" s="11">
        <f t="shared" si="0"/>
        <v>0.99471839432434594</v>
      </c>
      <c r="G74" s="2">
        <f t="shared" si="1"/>
        <v>38.624915251614354</v>
      </c>
      <c r="H74" s="2">
        <f t="shared" si="2"/>
        <v>1.7549434866490268</v>
      </c>
      <c r="I74" s="2">
        <f t="shared" si="3"/>
        <v>68.144455586581714</v>
      </c>
      <c r="J74" s="2">
        <f t="shared" si="4"/>
        <v>29.51954033496736</v>
      </c>
      <c r="K74" s="15">
        <f t="shared" si="17"/>
        <v>0.6150106837606838</v>
      </c>
      <c r="L74" s="2">
        <f t="shared" si="14"/>
        <v>69</v>
      </c>
      <c r="M74" s="2">
        <f t="shared" si="15"/>
        <v>38.65</v>
      </c>
      <c r="N74" s="2">
        <v>8.5</v>
      </c>
      <c r="O74" s="2">
        <v>50.26548245743669</v>
      </c>
      <c r="P74" s="11">
        <f t="shared" si="5"/>
        <v>1.6910212703513881</v>
      </c>
      <c r="Q74" s="2">
        <f t="shared" si="6"/>
        <v>65.357972099081152</v>
      </c>
      <c r="R74" s="2">
        <f t="shared" si="7"/>
        <v>2.0441437437011936</v>
      </c>
      <c r="S74" s="2">
        <f t="shared" si="8"/>
        <v>79.006155694051131</v>
      </c>
      <c r="T74" s="2">
        <f t="shared" si="9"/>
        <v>13.648183594969979</v>
      </c>
    </row>
    <row r="75" spans="1:20" x14ac:dyDescent="0.25">
      <c r="A75" s="14">
        <f t="shared" si="16"/>
        <v>0.63858618233618225</v>
      </c>
      <c r="B75" s="2">
        <f t="shared" si="11"/>
        <v>70</v>
      </c>
      <c r="C75" s="4">
        <f t="shared" si="12"/>
        <v>39.33</v>
      </c>
      <c r="D75" s="2">
        <v>5.5</v>
      </c>
      <c r="E75" s="2">
        <v>50.26548245743669</v>
      </c>
      <c r="F75" s="11">
        <f t="shared" si="0"/>
        <v>1.0941902337567804</v>
      </c>
      <c r="G75" s="2">
        <f t="shared" si="1"/>
        <v>43.034501893654173</v>
      </c>
      <c r="H75" s="2">
        <f t="shared" si="2"/>
        <v>1.7549434866490268</v>
      </c>
      <c r="I75" s="2">
        <f t="shared" si="3"/>
        <v>69.021927329906219</v>
      </c>
      <c r="J75" s="2">
        <f t="shared" si="4"/>
        <v>25.987425436252046</v>
      </c>
      <c r="K75" s="15">
        <f t="shared" si="17"/>
        <v>0.6151175213675214</v>
      </c>
      <c r="L75" s="2">
        <f t="shared" si="14"/>
        <v>70</v>
      </c>
      <c r="M75" s="2">
        <f t="shared" si="15"/>
        <v>39.15</v>
      </c>
      <c r="N75" s="2">
        <v>7.5</v>
      </c>
      <c r="O75" s="2">
        <v>50.26548245743669</v>
      </c>
      <c r="P75" s="11">
        <f t="shared" si="5"/>
        <v>1.492077591486519</v>
      </c>
      <c r="Q75" s="2">
        <f t="shared" si="6"/>
        <v>58.414837706697213</v>
      </c>
      <c r="R75" s="2">
        <f t="shared" si="7"/>
        <v>2.0441437437011936</v>
      </c>
      <c r="S75" s="2">
        <f t="shared" si="8"/>
        <v>80.02822756590173</v>
      </c>
      <c r="T75" s="2">
        <f t="shared" si="9"/>
        <v>21.613389859204517</v>
      </c>
    </row>
    <row r="76" spans="1:20" x14ac:dyDescent="0.25">
      <c r="A76" s="14">
        <f t="shared" si="16"/>
        <v>0.6387108262108262</v>
      </c>
      <c r="B76" s="2">
        <f t="shared" si="11"/>
        <v>71</v>
      </c>
      <c r="C76" s="4">
        <f t="shared" si="12"/>
        <v>39.83</v>
      </c>
      <c r="D76" s="2">
        <v>6</v>
      </c>
      <c r="E76" s="2">
        <v>50.26548245743669</v>
      </c>
      <c r="F76" s="11">
        <f t="shared" si="0"/>
        <v>1.1936620731892149</v>
      </c>
      <c r="G76" s="2">
        <f t="shared" si="1"/>
        <v>47.543560375126425</v>
      </c>
      <c r="H76" s="2">
        <f t="shared" si="2"/>
        <v>1.7549434866490268</v>
      </c>
      <c r="I76" s="2">
        <f t="shared" si="3"/>
        <v>69.89939907323074</v>
      </c>
      <c r="J76" s="2">
        <f t="shared" si="4"/>
        <v>22.355838698104314</v>
      </c>
      <c r="K76" s="15">
        <f t="shared" si="17"/>
        <v>0.61522435897435901</v>
      </c>
      <c r="L76" s="2">
        <f t="shared" si="14"/>
        <v>71</v>
      </c>
      <c r="M76" s="2">
        <f t="shared" si="15"/>
        <v>39.65</v>
      </c>
      <c r="N76" s="2">
        <v>7.5</v>
      </c>
      <c r="O76" s="2">
        <v>50.26548245743669</v>
      </c>
      <c r="P76" s="11">
        <f t="shared" si="5"/>
        <v>1.492077591486519</v>
      </c>
      <c r="Q76" s="2">
        <f t="shared" si="6"/>
        <v>59.160876502440473</v>
      </c>
      <c r="R76" s="2">
        <f t="shared" si="7"/>
        <v>2.0441437437011936</v>
      </c>
      <c r="S76" s="2">
        <f t="shared" si="8"/>
        <v>81.050299437752315</v>
      </c>
      <c r="T76" s="2">
        <f t="shared" si="9"/>
        <v>21.889422935311842</v>
      </c>
    </row>
    <row r="77" spans="1:20" x14ac:dyDescent="0.25">
      <c r="A77" s="14">
        <f t="shared" si="16"/>
        <v>0.63883547008547004</v>
      </c>
      <c r="B77" s="2">
        <f t="shared" si="11"/>
        <v>72</v>
      </c>
      <c r="C77" s="4">
        <f t="shared" si="12"/>
        <v>40.33</v>
      </c>
      <c r="D77" s="2">
        <v>6</v>
      </c>
      <c r="E77" s="2">
        <v>50.26548245743669</v>
      </c>
      <c r="F77" s="11">
        <f t="shared" si="0"/>
        <v>1.1936620731892149</v>
      </c>
      <c r="G77" s="2">
        <f t="shared" si="1"/>
        <v>48.140391411721033</v>
      </c>
      <c r="H77" s="2">
        <f t="shared" si="2"/>
        <v>1.7549434866490268</v>
      </c>
      <c r="I77" s="2">
        <f t="shared" si="3"/>
        <v>70.776870816555245</v>
      </c>
      <c r="J77" s="2">
        <f t="shared" si="4"/>
        <v>22.636479404834212</v>
      </c>
      <c r="K77" s="15">
        <f t="shared" si="17"/>
        <v>0.61533119658119662</v>
      </c>
      <c r="L77" s="2">
        <f t="shared" si="14"/>
        <v>72</v>
      </c>
      <c r="M77" s="2">
        <f t="shared" si="15"/>
        <v>40.15</v>
      </c>
      <c r="N77" s="2">
        <v>6.5</v>
      </c>
      <c r="O77" s="2">
        <v>50.26548245743669</v>
      </c>
      <c r="P77" s="11">
        <f t="shared" si="5"/>
        <v>1.2931339126216495</v>
      </c>
      <c r="Q77" s="2">
        <f t="shared" si="6"/>
        <v>51.919326591759223</v>
      </c>
      <c r="R77" s="2">
        <f t="shared" si="7"/>
        <v>2.0441437437011936</v>
      </c>
      <c r="S77" s="2">
        <f t="shared" si="8"/>
        <v>82.072371309602914</v>
      </c>
      <c r="T77" s="2">
        <f t="shared" si="9"/>
        <v>30.153044717843692</v>
      </c>
    </row>
    <row r="78" spans="1:20" x14ac:dyDescent="0.25">
      <c r="A78" s="14">
        <f t="shared" si="16"/>
        <v>0.63896011396011387</v>
      </c>
      <c r="B78" s="2">
        <f t="shared" si="11"/>
        <v>73</v>
      </c>
      <c r="C78" s="4">
        <f t="shared" si="12"/>
        <v>40.83</v>
      </c>
      <c r="D78" s="2">
        <v>5.5</v>
      </c>
      <c r="E78" s="2">
        <v>50.26548245743669</v>
      </c>
      <c r="F78" s="11">
        <f t="shared" si="0"/>
        <v>1.0941902337567804</v>
      </c>
      <c r="G78" s="2">
        <f t="shared" si="1"/>
        <v>44.675787244289339</v>
      </c>
      <c r="H78" s="2">
        <f t="shared" si="2"/>
        <v>1.7549434866490268</v>
      </c>
      <c r="I78" s="2">
        <f t="shared" si="3"/>
        <v>71.654342559879765</v>
      </c>
      <c r="J78" s="2">
        <f t="shared" si="4"/>
        <v>26.978555315590427</v>
      </c>
      <c r="K78" s="15">
        <f t="shared" si="17"/>
        <v>0.61543803418803422</v>
      </c>
      <c r="L78" s="2">
        <f t="shared" si="14"/>
        <v>73</v>
      </c>
      <c r="M78" s="2">
        <f t="shared" si="15"/>
        <v>40.65</v>
      </c>
      <c r="N78" s="2">
        <v>7</v>
      </c>
      <c r="O78" s="2">
        <v>50.26548245743669</v>
      </c>
      <c r="P78" s="11">
        <f t="shared" si="5"/>
        <v>1.3926057520540844</v>
      </c>
      <c r="Q78" s="2">
        <f t="shared" si="6"/>
        <v>56.609423820998529</v>
      </c>
      <c r="R78" s="2">
        <f t="shared" si="7"/>
        <v>2.0441437437011936</v>
      </c>
      <c r="S78" s="2">
        <f t="shared" si="8"/>
        <v>83.094443181453514</v>
      </c>
      <c r="T78" s="2">
        <f t="shared" si="9"/>
        <v>26.485019360454984</v>
      </c>
    </row>
    <row r="79" spans="1:20" x14ac:dyDescent="0.25">
      <c r="A79" s="14">
        <f t="shared" si="16"/>
        <v>0.63908475783475782</v>
      </c>
      <c r="B79" s="2">
        <f t="shared" si="11"/>
        <v>74</v>
      </c>
      <c r="C79" s="4">
        <f t="shared" si="12"/>
        <v>41.33</v>
      </c>
      <c r="D79" s="2">
        <v>5.5</v>
      </c>
      <c r="E79" s="2">
        <v>50.26548245743669</v>
      </c>
      <c r="F79" s="11">
        <f t="shared" si="0"/>
        <v>1.0941902337567804</v>
      </c>
      <c r="G79" s="2">
        <f t="shared" si="1"/>
        <v>45.222882361167734</v>
      </c>
      <c r="H79" s="2">
        <f t="shared" si="2"/>
        <v>1.7549434866490268</v>
      </c>
      <c r="I79" s="2">
        <f t="shared" si="3"/>
        <v>72.531814303204271</v>
      </c>
      <c r="J79" s="2">
        <f t="shared" si="4"/>
        <v>27.308931942036537</v>
      </c>
      <c r="K79" s="15">
        <f t="shared" si="17"/>
        <v>0.61554487179487183</v>
      </c>
      <c r="L79" s="2">
        <f t="shared" si="14"/>
        <v>74</v>
      </c>
      <c r="M79" s="2">
        <f t="shared" si="15"/>
        <v>41.15</v>
      </c>
      <c r="N79" s="2">
        <v>7</v>
      </c>
      <c r="O79" s="2">
        <v>50.26548245743669</v>
      </c>
      <c r="P79" s="11">
        <f t="shared" si="5"/>
        <v>1.3926057520540844</v>
      </c>
      <c r="Q79" s="2">
        <f t="shared" si="6"/>
        <v>57.30572669702557</v>
      </c>
      <c r="R79" s="2">
        <f t="shared" si="7"/>
        <v>2.0441437437011936</v>
      </c>
      <c r="S79" s="2">
        <f t="shared" si="8"/>
        <v>84.116515053304113</v>
      </c>
      <c r="T79" s="2">
        <f t="shared" si="9"/>
        <v>26.810788356278543</v>
      </c>
    </row>
    <row r="80" spans="1:20" x14ac:dyDescent="0.25">
      <c r="A80" s="14">
        <f t="shared" si="16"/>
        <v>0.63920940170940166</v>
      </c>
      <c r="B80" s="2">
        <f t="shared" si="11"/>
        <v>75</v>
      </c>
      <c r="C80" s="4">
        <f t="shared" si="12"/>
        <v>41.83</v>
      </c>
      <c r="D80" s="2">
        <v>10</v>
      </c>
      <c r="E80" s="2">
        <v>50.26548245743669</v>
      </c>
      <c r="F80" s="11">
        <f t="shared" si="0"/>
        <v>1.9894367886486919</v>
      </c>
      <c r="G80" s="2">
        <f t="shared" si="1"/>
        <v>83.218140869174775</v>
      </c>
      <c r="H80" s="2">
        <f t="shared" si="2"/>
        <v>1.7549434866490268</v>
      </c>
      <c r="I80" s="2">
        <f t="shared" si="3"/>
        <v>73.409286046528791</v>
      </c>
      <c r="J80" s="2">
        <f t="shared" si="4"/>
        <v>9.8088548226459835</v>
      </c>
      <c r="K80" s="15">
        <f t="shared" si="17"/>
        <v>0.61565170940170943</v>
      </c>
      <c r="L80" s="2">
        <f t="shared" si="14"/>
        <v>75</v>
      </c>
      <c r="M80" s="2">
        <f t="shared" si="15"/>
        <v>41.65</v>
      </c>
      <c r="N80" s="2">
        <v>11.5</v>
      </c>
      <c r="O80" s="2">
        <v>50.26548245743669</v>
      </c>
      <c r="P80" s="11">
        <f t="shared" si="5"/>
        <v>2.2878523069459957</v>
      </c>
      <c r="Q80" s="2">
        <f t="shared" si="6"/>
        <v>95.289048584300716</v>
      </c>
      <c r="R80" s="2">
        <f t="shared" si="7"/>
        <v>2.0441437437011936</v>
      </c>
      <c r="S80" s="2">
        <f t="shared" si="8"/>
        <v>85.138586925154712</v>
      </c>
      <c r="T80" s="2">
        <f t="shared" si="9"/>
        <v>10.150461659146004</v>
      </c>
    </row>
    <row r="81" spans="1:20" x14ac:dyDescent="0.25">
      <c r="A81" s="14">
        <f t="shared" si="16"/>
        <v>0.6393340455840455</v>
      </c>
      <c r="B81" s="2">
        <f t="shared" si="11"/>
        <v>76</v>
      </c>
      <c r="C81" s="4">
        <f t="shared" si="12"/>
        <v>42.33</v>
      </c>
      <c r="D81" s="2">
        <v>6.5</v>
      </c>
      <c r="E81" s="2">
        <v>50.26548245743669</v>
      </c>
      <c r="F81" s="11">
        <f t="shared" si="0"/>
        <v>1.2931339126216495</v>
      </c>
      <c r="G81" s="2">
        <f t="shared" si="1"/>
        <v>54.738358521274421</v>
      </c>
      <c r="H81" s="2">
        <f t="shared" si="2"/>
        <v>1.7549434866490268</v>
      </c>
      <c r="I81" s="2">
        <f t="shared" si="3"/>
        <v>74.286757789853297</v>
      </c>
      <c r="J81" s="2">
        <f t="shared" si="4"/>
        <v>19.548399268578876</v>
      </c>
      <c r="K81" s="15">
        <f t="shared" si="17"/>
        <v>0.61575854700854704</v>
      </c>
      <c r="L81" s="2">
        <f t="shared" si="14"/>
        <v>76</v>
      </c>
      <c r="M81" s="2">
        <f t="shared" si="15"/>
        <v>42.15</v>
      </c>
      <c r="N81" s="2">
        <v>7</v>
      </c>
      <c r="O81" s="2">
        <v>50.26548245743669</v>
      </c>
      <c r="P81" s="11">
        <f t="shared" si="5"/>
        <v>1.3926057520540844</v>
      </c>
      <c r="Q81" s="2">
        <f t="shared" si="6"/>
        <v>58.698332449079658</v>
      </c>
      <c r="R81" s="2">
        <f t="shared" si="7"/>
        <v>2.0441437437011936</v>
      </c>
      <c r="S81" s="2">
        <f t="shared" si="8"/>
        <v>86.160658797005311</v>
      </c>
      <c r="T81" s="2">
        <f t="shared" si="9"/>
        <v>27.462326347925654</v>
      </c>
    </row>
    <row r="82" spans="1:20" x14ac:dyDescent="0.25">
      <c r="A82" s="14">
        <f t="shared" si="16"/>
        <v>0.63945868945868944</v>
      </c>
      <c r="B82" s="2">
        <f t="shared" si="11"/>
        <v>77</v>
      </c>
      <c r="C82" s="4">
        <f t="shared" si="12"/>
        <v>42.83</v>
      </c>
      <c r="D82" s="2">
        <v>7</v>
      </c>
      <c r="E82" s="2">
        <v>50.26548245743669</v>
      </c>
      <c r="F82" s="11">
        <f t="shared" si="0"/>
        <v>1.3926057520540844</v>
      </c>
      <c r="G82" s="2">
        <f t="shared" si="1"/>
        <v>59.645304360476437</v>
      </c>
      <c r="H82" s="2">
        <f t="shared" si="2"/>
        <v>1.7549434866490268</v>
      </c>
      <c r="I82" s="2">
        <f t="shared" si="3"/>
        <v>75.164229533177817</v>
      </c>
      <c r="J82" s="2">
        <f t="shared" si="4"/>
        <v>15.51892517270138</v>
      </c>
      <c r="K82" s="15">
        <f t="shared" si="17"/>
        <v>0.61586538461538465</v>
      </c>
      <c r="L82" s="2">
        <f t="shared" si="14"/>
        <v>77</v>
      </c>
      <c r="M82" s="2">
        <f t="shared" si="15"/>
        <v>42.65</v>
      </c>
      <c r="N82" s="2">
        <v>7.5</v>
      </c>
      <c r="O82" s="2">
        <v>50.26548245743669</v>
      </c>
      <c r="P82" s="11">
        <f t="shared" si="5"/>
        <v>1.492077591486519</v>
      </c>
      <c r="Q82" s="2">
        <f t="shared" si="6"/>
        <v>63.637109276900034</v>
      </c>
      <c r="R82" s="2">
        <f t="shared" si="7"/>
        <v>2.0441437437011936</v>
      </c>
      <c r="S82" s="2">
        <f t="shared" si="8"/>
        <v>87.182730668855896</v>
      </c>
      <c r="T82" s="2">
        <f t="shared" si="9"/>
        <v>23.545621391955862</v>
      </c>
    </row>
    <row r="83" spans="1:20" x14ac:dyDescent="0.25">
      <c r="A83" s="10">
        <v>0.63958333333333328</v>
      </c>
      <c r="B83" s="2">
        <f t="shared" si="11"/>
        <v>78</v>
      </c>
      <c r="C83" s="4">
        <f t="shared" si="12"/>
        <v>43.33</v>
      </c>
      <c r="D83" s="2">
        <v>7</v>
      </c>
      <c r="E83" s="2">
        <v>50.26548245743669</v>
      </c>
      <c r="F83" s="11">
        <f t="shared" si="0"/>
        <v>1.3926057520540844</v>
      </c>
      <c r="G83" s="2">
        <f t="shared" si="1"/>
        <v>60.341607236503478</v>
      </c>
      <c r="H83" s="2">
        <f t="shared" si="2"/>
        <v>1.7549434866490268</v>
      </c>
      <c r="I83" s="2">
        <f t="shared" si="3"/>
        <v>76.041701276502323</v>
      </c>
      <c r="J83" s="2">
        <f t="shared" si="4"/>
        <v>15.700094039998845</v>
      </c>
      <c r="K83" s="12">
        <v>0.61597222222222225</v>
      </c>
      <c r="L83" s="2">
        <f t="shared" si="14"/>
        <v>78</v>
      </c>
      <c r="M83" s="2">
        <f t="shared" si="15"/>
        <v>43.15</v>
      </c>
      <c r="N83" s="2">
        <v>9</v>
      </c>
      <c r="O83" s="2">
        <v>50.26548245743669</v>
      </c>
      <c r="P83" s="11">
        <f t="shared" si="5"/>
        <v>1.7904931097838226</v>
      </c>
      <c r="Q83" s="2">
        <f t="shared" si="6"/>
        <v>77.259777687171947</v>
      </c>
      <c r="R83" s="2">
        <f t="shared" si="7"/>
        <v>2.0441437437011936</v>
      </c>
      <c r="S83" s="2">
        <f t="shared" si="8"/>
        <v>88.204802540706496</v>
      </c>
      <c r="T83" s="2">
        <f t="shared" si="9"/>
        <v>10.945024853534548</v>
      </c>
    </row>
    <row r="84" spans="1:20" x14ac:dyDescent="0.25">
      <c r="A84" s="14">
        <f t="shared" ref="A84:A121" si="18">IF(AND($A$83&lt;&gt;"",$A$122&lt;&gt;""), $A$83 + (B84 - $B$83) * (($A$122 - $A$83) / ($B$122 - $B$83)), "")</f>
        <v>0.63969017094017089</v>
      </c>
      <c r="B84" s="2">
        <f t="shared" si="11"/>
        <v>79</v>
      </c>
      <c r="C84" s="4">
        <f t="shared" si="12"/>
        <v>43.83</v>
      </c>
      <c r="D84" s="2">
        <v>6.5</v>
      </c>
      <c r="E84" s="2">
        <v>50.26548245743669</v>
      </c>
      <c r="F84" s="11">
        <f t="shared" si="0"/>
        <v>1.2931339126216495</v>
      </c>
      <c r="G84" s="2">
        <f t="shared" si="1"/>
        <v>56.67805939020689</v>
      </c>
      <c r="H84" s="2">
        <f t="shared" si="2"/>
        <v>1.7549434866490268</v>
      </c>
      <c r="I84" s="2">
        <f t="shared" si="3"/>
        <v>76.919173019826843</v>
      </c>
      <c r="J84" s="2">
        <f t="shared" si="4"/>
        <v>20.241113629619953</v>
      </c>
      <c r="K84" s="15">
        <f t="shared" ref="K84:K121" si="19">IF(AND($K$83&lt;&gt;"",$K$122&lt;&gt;""), $K$83 + (L84 - $L$83) * (($K$122 - $K$83) / ($L$122 - $L$83)), "")</f>
        <v>0.61609686609686609</v>
      </c>
      <c r="L84" s="2">
        <f t="shared" si="14"/>
        <v>79</v>
      </c>
      <c r="M84" s="2">
        <f t="shared" si="15"/>
        <v>43.65</v>
      </c>
      <c r="N84" s="2">
        <v>9</v>
      </c>
      <c r="O84" s="2">
        <v>50.26548245743669</v>
      </c>
      <c r="P84" s="11">
        <f t="shared" si="5"/>
        <v>1.7904931097838226</v>
      </c>
      <c r="Q84" s="2">
        <f t="shared" si="6"/>
        <v>78.15502424206386</v>
      </c>
      <c r="R84" s="2">
        <f t="shared" si="7"/>
        <v>2.0441437437011936</v>
      </c>
      <c r="S84" s="2">
        <f t="shared" si="8"/>
        <v>89.226874412557095</v>
      </c>
      <c r="T84" s="2">
        <f t="shared" si="9"/>
        <v>11.071850170493235</v>
      </c>
    </row>
    <row r="85" spans="1:20" x14ac:dyDescent="0.25">
      <c r="A85" s="14">
        <f t="shared" si="18"/>
        <v>0.63979700854700849</v>
      </c>
      <c r="B85" s="2">
        <f t="shared" si="11"/>
        <v>80</v>
      </c>
      <c r="C85" s="4">
        <f t="shared" si="12"/>
        <v>44.33</v>
      </c>
      <c r="D85" s="2">
        <v>7</v>
      </c>
      <c r="E85" s="2">
        <v>50.26548245743669</v>
      </c>
      <c r="F85" s="11">
        <f t="shared" si="0"/>
        <v>1.3926057520540844</v>
      </c>
      <c r="G85" s="2">
        <f t="shared" si="1"/>
        <v>61.734212988557559</v>
      </c>
      <c r="H85" s="2">
        <f t="shared" si="2"/>
        <v>1.7549434866490268</v>
      </c>
      <c r="I85" s="2">
        <f t="shared" si="3"/>
        <v>77.796644763151349</v>
      </c>
      <c r="J85" s="2">
        <f t="shared" si="4"/>
        <v>16.06243177459379</v>
      </c>
      <c r="K85" s="15">
        <f t="shared" si="19"/>
        <v>0.61622150997151004</v>
      </c>
      <c r="L85" s="2">
        <f t="shared" si="14"/>
        <v>80</v>
      </c>
      <c r="M85" s="2">
        <f t="shared" si="15"/>
        <v>44.15</v>
      </c>
      <c r="N85" s="2">
        <v>8.5</v>
      </c>
      <c r="O85" s="2">
        <v>50.26548245743669</v>
      </c>
      <c r="P85" s="11">
        <f t="shared" si="5"/>
        <v>1.6910212703513881</v>
      </c>
      <c r="Q85" s="2">
        <f t="shared" si="6"/>
        <v>74.658589086013777</v>
      </c>
      <c r="R85" s="2">
        <f t="shared" si="7"/>
        <v>2.0441437437011936</v>
      </c>
      <c r="S85" s="2">
        <f t="shared" si="8"/>
        <v>90.248946284407694</v>
      </c>
      <c r="T85" s="2">
        <f t="shared" si="9"/>
        <v>15.590357198393917</v>
      </c>
    </row>
    <row r="86" spans="1:20" x14ac:dyDescent="0.25">
      <c r="A86" s="14">
        <f t="shared" si="18"/>
        <v>0.6399038461538461</v>
      </c>
      <c r="B86" s="2">
        <f t="shared" si="11"/>
        <v>81</v>
      </c>
      <c r="C86" s="4">
        <f t="shared" si="12"/>
        <v>44.83</v>
      </c>
      <c r="D86" s="2">
        <v>7</v>
      </c>
      <c r="E86" s="2">
        <v>50.26548245743669</v>
      </c>
      <c r="F86" s="11">
        <f t="shared" si="0"/>
        <v>1.3926057520540844</v>
      </c>
      <c r="G86" s="2">
        <f t="shared" si="1"/>
        <v>62.430515864584606</v>
      </c>
      <c r="H86" s="2">
        <f t="shared" si="2"/>
        <v>1.7549434866490268</v>
      </c>
      <c r="I86" s="2">
        <f t="shared" si="3"/>
        <v>78.674116506475869</v>
      </c>
      <c r="J86" s="2">
        <f t="shared" si="4"/>
        <v>16.243600641891263</v>
      </c>
      <c r="K86" s="15">
        <f t="shared" si="19"/>
        <v>0.61634615384615388</v>
      </c>
      <c r="L86" s="2">
        <f t="shared" si="14"/>
        <v>81</v>
      </c>
      <c r="M86" s="2">
        <f t="shared" si="15"/>
        <v>44.65</v>
      </c>
      <c r="N86" s="2">
        <v>8.5</v>
      </c>
      <c r="O86" s="2">
        <v>50.26548245743669</v>
      </c>
      <c r="P86" s="11">
        <f t="shared" si="5"/>
        <v>1.6910212703513881</v>
      </c>
      <c r="Q86" s="2">
        <f t="shared" si="6"/>
        <v>75.504099721189476</v>
      </c>
      <c r="R86" s="2">
        <f t="shared" si="7"/>
        <v>2.0441437437011936</v>
      </c>
      <c r="S86" s="2">
        <f t="shared" si="8"/>
        <v>91.271018156258293</v>
      </c>
      <c r="T86" s="2">
        <f t="shared" si="9"/>
        <v>15.766918435068817</v>
      </c>
    </row>
    <row r="87" spans="1:20" x14ac:dyDescent="0.25">
      <c r="A87" s="14">
        <f t="shared" si="18"/>
        <v>0.64001068376068371</v>
      </c>
      <c r="B87" s="2">
        <f t="shared" si="11"/>
        <v>82</v>
      </c>
      <c r="C87" s="4">
        <f t="shared" si="12"/>
        <v>45.33</v>
      </c>
      <c r="D87" s="2">
        <v>7</v>
      </c>
      <c r="E87" s="2">
        <v>50.26548245743669</v>
      </c>
      <c r="F87" s="11">
        <f t="shared" si="0"/>
        <v>1.3926057520540844</v>
      </c>
      <c r="G87" s="2">
        <f t="shared" si="1"/>
        <v>63.126818740611647</v>
      </c>
      <c r="H87" s="2">
        <f t="shared" si="2"/>
        <v>1.7549434866490268</v>
      </c>
      <c r="I87" s="2">
        <f t="shared" si="3"/>
        <v>79.551588249800375</v>
      </c>
      <c r="J87" s="2">
        <f t="shared" si="4"/>
        <v>16.424769509188728</v>
      </c>
      <c r="K87" s="15">
        <f t="shared" si="19"/>
        <v>0.61647079772079771</v>
      </c>
      <c r="L87" s="2">
        <f t="shared" si="14"/>
        <v>82</v>
      </c>
      <c r="M87" s="2">
        <f t="shared" si="15"/>
        <v>45.15</v>
      </c>
      <c r="N87" s="2">
        <v>8</v>
      </c>
      <c r="O87" s="2">
        <v>50.26548245743669</v>
      </c>
      <c r="P87" s="11">
        <f t="shared" si="5"/>
        <v>1.5915494309189535</v>
      </c>
      <c r="Q87" s="2">
        <f t="shared" si="6"/>
        <v>71.858456805990755</v>
      </c>
      <c r="R87" s="2">
        <f t="shared" si="7"/>
        <v>2.0441437437011936</v>
      </c>
      <c r="S87" s="2">
        <f t="shared" si="8"/>
        <v>92.293090028108892</v>
      </c>
      <c r="T87" s="2">
        <f t="shared" si="9"/>
        <v>20.434633222118137</v>
      </c>
    </row>
    <row r="88" spans="1:20" x14ac:dyDescent="0.25">
      <c r="A88" s="14">
        <f t="shared" si="18"/>
        <v>0.64011752136752131</v>
      </c>
      <c r="B88" s="2">
        <f t="shared" si="11"/>
        <v>83</v>
      </c>
      <c r="C88" s="4">
        <f t="shared" si="12"/>
        <v>45.83</v>
      </c>
      <c r="D88" s="2">
        <v>8</v>
      </c>
      <c r="E88" s="2">
        <v>50.26548245743669</v>
      </c>
      <c r="F88" s="11">
        <f t="shared" si="0"/>
        <v>1.5915494309189535</v>
      </c>
      <c r="G88" s="2">
        <f t="shared" si="1"/>
        <v>72.94071041901563</v>
      </c>
      <c r="H88" s="2">
        <f t="shared" si="2"/>
        <v>1.7549434866490268</v>
      </c>
      <c r="I88" s="2">
        <f t="shared" si="3"/>
        <v>80.429059993124895</v>
      </c>
      <c r="J88" s="2">
        <f t="shared" si="4"/>
        <v>7.4883495741092645</v>
      </c>
      <c r="K88" s="15">
        <f t="shared" si="19"/>
        <v>0.61659544159544166</v>
      </c>
      <c r="L88" s="2">
        <f t="shared" si="14"/>
        <v>83</v>
      </c>
      <c r="M88" s="2">
        <f t="shared" si="15"/>
        <v>45.65</v>
      </c>
      <c r="N88" s="2">
        <v>8.5</v>
      </c>
      <c r="O88" s="2">
        <v>50.26548245743669</v>
      </c>
      <c r="P88" s="11">
        <f t="shared" si="5"/>
        <v>1.6910212703513881</v>
      </c>
      <c r="Q88" s="2">
        <f t="shared" si="6"/>
        <v>77.195120991540861</v>
      </c>
      <c r="R88" s="2">
        <f t="shared" si="7"/>
        <v>2.0441437437011936</v>
      </c>
      <c r="S88" s="2">
        <f t="shared" si="8"/>
        <v>93.315161899959477</v>
      </c>
      <c r="T88" s="2">
        <f t="shared" si="9"/>
        <v>16.120040908418616</v>
      </c>
    </row>
    <row r="89" spans="1:20" x14ac:dyDescent="0.25">
      <c r="A89" s="14">
        <f t="shared" si="18"/>
        <v>0.64022435897435892</v>
      </c>
      <c r="B89" s="2">
        <f t="shared" si="11"/>
        <v>84</v>
      </c>
      <c r="C89" s="4">
        <f t="shared" si="12"/>
        <v>46.33</v>
      </c>
      <c r="D89" s="2">
        <v>8</v>
      </c>
      <c r="E89" s="2">
        <v>50.26548245743669</v>
      </c>
      <c r="F89" s="11">
        <f t="shared" si="0"/>
        <v>1.5915494309189535</v>
      </c>
      <c r="G89" s="2">
        <f t="shared" si="1"/>
        <v>73.736485134475117</v>
      </c>
      <c r="H89" s="2">
        <f t="shared" si="2"/>
        <v>1.7549434866490268</v>
      </c>
      <c r="I89" s="2">
        <f t="shared" si="3"/>
        <v>81.306531736449401</v>
      </c>
      <c r="J89" s="2">
        <f t="shared" si="4"/>
        <v>7.5700466019742834</v>
      </c>
      <c r="K89" s="15">
        <f t="shared" si="19"/>
        <v>0.6167200854700855</v>
      </c>
      <c r="L89" s="2">
        <f t="shared" si="14"/>
        <v>84</v>
      </c>
      <c r="M89" s="2">
        <f t="shared" si="15"/>
        <v>46.15</v>
      </c>
      <c r="N89" s="2">
        <v>8.5</v>
      </c>
      <c r="O89" s="2">
        <v>50.26548245743669</v>
      </c>
      <c r="P89" s="11">
        <f t="shared" si="5"/>
        <v>1.6910212703513881</v>
      </c>
      <c r="Q89" s="2">
        <f t="shared" si="6"/>
        <v>78.040631626716561</v>
      </c>
      <c r="R89" s="2">
        <f t="shared" si="7"/>
        <v>2.0441437437011936</v>
      </c>
      <c r="S89" s="2">
        <f t="shared" si="8"/>
        <v>94.337233771810077</v>
      </c>
      <c r="T89" s="2">
        <f t="shared" si="9"/>
        <v>16.296602145093516</v>
      </c>
    </row>
    <row r="90" spans="1:20" x14ac:dyDescent="0.25">
      <c r="A90" s="14">
        <f t="shared" si="18"/>
        <v>0.64033119658119653</v>
      </c>
      <c r="B90" s="2">
        <f t="shared" si="11"/>
        <v>85</v>
      </c>
      <c r="C90" s="4">
        <f t="shared" si="12"/>
        <v>46.83</v>
      </c>
      <c r="D90" s="2">
        <v>8.5</v>
      </c>
      <c r="E90" s="2">
        <v>50.26548245743669</v>
      </c>
      <c r="F90" s="11">
        <f t="shared" si="0"/>
        <v>1.6910212703513881</v>
      </c>
      <c r="G90" s="2">
        <f t="shared" si="1"/>
        <v>79.190526090555494</v>
      </c>
      <c r="H90" s="2">
        <f t="shared" si="2"/>
        <v>1.7549434866490268</v>
      </c>
      <c r="I90" s="2">
        <f t="shared" si="3"/>
        <v>82.184003479773921</v>
      </c>
      <c r="J90" s="2">
        <f t="shared" si="4"/>
        <v>2.9934773892184268</v>
      </c>
      <c r="K90" s="15">
        <f t="shared" si="19"/>
        <v>0.61684472934472934</v>
      </c>
      <c r="L90" s="2">
        <f t="shared" si="14"/>
        <v>85</v>
      </c>
      <c r="M90" s="2">
        <f t="shared" si="15"/>
        <v>46.65</v>
      </c>
      <c r="N90" s="2">
        <v>9</v>
      </c>
      <c r="O90" s="2">
        <v>50.26548245743669</v>
      </c>
      <c r="P90" s="11">
        <f t="shared" si="5"/>
        <v>1.7904931097838226</v>
      </c>
      <c r="Q90" s="2">
        <f t="shared" si="6"/>
        <v>83.526503571415319</v>
      </c>
      <c r="R90" s="2">
        <f t="shared" si="7"/>
        <v>2.0441437437011936</v>
      </c>
      <c r="S90" s="2">
        <f t="shared" si="8"/>
        <v>95.359305643660676</v>
      </c>
      <c r="T90" s="2">
        <f t="shared" si="9"/>
        <v>11.832802072245357</v>
      </c>
    </row>
    <row r="91" spans="1:20" x14ac:dyDescent="0.25">
      <c r="A91" s="14">
        <f t="shared" si="18"/>
        <v>0.64043803418803413</v>
      </c>
      <c r="B91" s="2">
        <f t="shared" si="11"/>
        <v>86</v>
      </c>
      <c r="C91" s="4">
        <f t="shared" si="12"/>
        <v>47.33</v>
      </c>
      <c r="D91" s="2">
        <v>8</v>
      </c>
      <c r="E91" s="2">
        <v>50.26548245743669</v>
      </c>
      <c r="F91" s="11">
        <f t="shared" si="0"/>
        <v>1.5915494309189535</v>
      </c>
      <c r="G91" s="2">
        <f t="shared" si="1"/>
        <v>75.328034565394063</v>
      </c>
      <c r="H91" s="2">
        <f t="shared" si="2"/>
        <v>1.7549434866490268</v>
      </c>
      <c r="I91" s="2">
        <f t="shared" si="3"/>
        <v>83.061475223098441</v>
      </c>
      <c r="J91" s="2">
        <f t="shared" si="4"/>
        <v>7.7334406577043779</v>
      </c>
      <c r="K91" s="15">
        <f t="shared" si="19"/>
        <v>0.61696937321937328</v>
      </c>
      <c r="L91" s="2">
        <f t="shared" si="14"/>
        <v>86</v>
      </c>
      <c r="M91" s="2">
        <f t="shared" si="15"/>
        <v>47.15</v>
      </c>
      <c r="N91" s="2">
        <v>10</v>
      </c>
      <c r="O91" s="2">
        <v>50.26548245743669</v>
      </c>
      <c r="P91" s="11">
        <f t="shared" si="5"/>
        <v>1.9894367886486919</v>
      </c>
      <c r="Q91" s="2">
        <f t="shared" si="6"/>
        <v>93.801944584785815</v>
      </c>
      <c r="R91" s="2">
        <f t="shared" si="7"/>
        <v>2.0441437437011936</v>
      </c>
      <c r="S91" s="2">
        <f t="shared" si="8"/>
        <v>96.381377515511275</v>
      </c>
      <c r="T91" s="2">
        <f t="shared" si="9"/>
        <v>2.57943293072546</v>
      </c>
    </row>
    <row r="92" spans="1:20" x14ac:dyDescent="0.25">
      <c r="A92" s="14">
        <f t="shared" si="18"/>
        <v>0.64054487179487174</v>
      </c>
      <c r="B92" s="2">
        <f t="shared" si="11"/>
        <v>87</v>
      </c>
      <c r="C92" s="4">
        <f t="shared" si="12"/>
        <v>47.83</v>
      </c>
      <c r="D92" s="2">
        <v>8.5</v>
      </c>
      <c r="E92" s="2">
        <v>50.26548245743669</v>
      </c>
      <c r="F92" s="11">
        <f t="shared" si="0"/>
        <v>1.6910212703513881</v>
      </c>
      <c r="G92" s="2">
        <f t="shared" si="1"/>
        <v>80.881547360906893</v>
      </c>
      <c r="H92" s="2">
        <f t="shared" si="2"/>
        <v>1.7549434866490268</v>
      </c>
      <c r="I92" s="2">
        <f t="shared" si="3"/>
        <v>83.938946966422947</v>
      </c>
      <c r="J92" s="2">
        <f t="shared" si="4"/>
        <v>3.0573996055160535</v>
      </c>
      <c r="K92" s="15">
        <f t="shared" si="19"/>
        <v>0.61709401709401712</v>
      </c>
      <c r="L92" s="2">
        <f t="shared" si="14"/>
        <v>87</v>
      </c>
      <c r="M92" s="2">
        <f t="shared" si="15"/>
        <v>47.65</v>
      </c>
      <c r="N92" s="2">
        <v>10.5</v>
      </c>
      <c r="O92" s="2">
        <v>50.26548245743669</v>
      </c>
      <c r="P92" s="11">
        <f t="shared" si="5"/>
        <v>2.0889086280811267</v>
      </c>
      <c r="Q92" s="2">
        <f t="shared" si="6"/>
        <v>99.536496128065679</v>
      </c>
      <c r="R92" s="2">
        <f t="shared" si="7"/>
        <v>2.0441437437011936</v>
      </c>
      <c r="S92" s="2">
        <f t="shared" si="8"/>
        <v>97.403449387361874</v>
      </c>
      <c r="T92" s="2">
        <f t="shared" si="9"/>
        <v>2.1330467407038043</v>
      </c>
    </row>
    <row r="93" spans="1:20" x14ac:dyDescent="0.25">
      <c r="A93" s="14">
        <f t="shared" si="18"/>
        <v>0.64065170940170935</v>
      </c>
      <c r="B93" s="2">
        <f t="shared" si="11"/>
        <v>88</v>
      </c>
      <c r="C93" s="4">
        <f t="shared" si="12"/>
        <v>48.33</v>
      </c>
      <c r="D93" s="2">
        <v>13.5</v>
      </c>
      <c r="E93" s="2">
        <v>50.26548245743669</v>
      </c>
      <c r="F93" s="11">
        <f t="shared" si="0"/>
        <v>2.6857396646757339</v>
      </c>
      <c r="G93" s="2">
        <f t="shared" si="1"/>
        <v>129.80179799377822</v>
      </c>
      <c r="H93" s="2">
        <f t="shared" si="2"/>
        <v>1.7549434866490268</v>
      </c>
      <c r="I93" s="2">
        <f t="shared" si="3"/>
        <v>84.816418709747467</v>
      </c>
      <c r="J93" s="2">
        <f t="shared" si="4"/>
        <v>44.985379284030756</v>
      </c>
      <c r="K93" s="15">
        <f t="shared" si="19"/>
        <v>0.61721866096866096</v>
      </c>
      <c r="L93" s="2">
        <f t="shared" si="14"/>
        <v>88</v>
      </c>
      <c r="M93" s="2">
        <f t="shared" si="15"/>
        <v>48.15</v>
      </c>
      <c r="N93" s="2">
        <v>13</v>
      </c>
      <c r="O93" s="2">
        <v>50.26548245743669</v>
      </c>
      <c r="P93" s="11">
        <f t="shared" si="5"/>
        <v>2.5862678252432989</v>
      </c>
      <c r="Q93" s="2">
        <f t="shared" si="6"/>
        <v>124.52879578546484</v>
      </c>
      <c r="R93" s="2">
        <f t="shared" si="7"/>
        <v>2.0441437437011936</v>
      </c>
      <c r="S93" s="2">
        <f t="shared" si="8"/>
        <v>98.425521259212474</v>
      </c>
      <c r="T93" s="2">
        <f t="shared" si="9"/>
        <v>26.103274526252363</v>
      </c>
    </row>
    <row r="94" spans="1:20" x14ac:dyDescent="0.25">
      <c r="A94" s="14">
        <f t="shared" si="18"/>
        <v>0.64075854700854695</v>
      </c>
      <c r="B94" s="2">
        <f t="shared" si="11"/>
        <v>89</v>
      </c>
      <c r="C94" s="4">
        <f t="shared" si="12"/>
        <v>48.83</v>
      </c>
      <c r="D94" s="2">
        <v>10</v>
      </c>
      <c r="E94" s="2">
        <v>50.26548245743669</v>
      </c>
      <c r="F94" s="11">
        <f t="shared" si="0"/>
        <v>1.9894367886486919</v>
      </c>
      <c r="G94" s="2">
        <f t="shared" si="1"/>
        <v>97.144198389715626</v>
      </c>
      <c r="H94" s="2">
        <f t="shared" si="2"/>
        <v>1.7549434866490268</v>
      </c>
      <c r="I94" s="2">
        <f t="shared" si="3"/>
        <v>85.693890453071973</v>
      </c>
      <c r="J94" s="2">
        <f t="shared" si="4"/>
        <v>11.450307936643654</v>
      </c>
      <c r="K94" s="15">
        <f t="shared" si="19"/>
        <v>0.61734330484330491</v>
      </c>
      <c r="L94" s="2">
        <f t="shared" si="14"/>
        <v>89</v>
      </c>
      <c r="M94" s="2">
        <f t="shared" si="15"/>
        <v>48.65</v>
      </c>
      <c r="N94" s="2">
        <v>11</v>
      </c>
      <c r="O94" s="2">
        <v>50.26548245743669</v>
      </c>
      <c r="P94" s="11">
        <f t="shared" si="5"/>
        <v>2.1883804675135607</v>
      </c>
      <c r="Q94" s="2">
        <f t="shared" si="6"/>
        <v>106.46470974453473</v>
      </c>
      <c r="R94" s="2">
        <f t="shared" si="7"/>
        <v>2.0441437437011936</v>
      </c>
      <c r="S94" s="2">
        <f t="shared" si="8"/>
        <v>99.447593131063059</v>
      </c>
      <c r="T94" s="2">
        <f t="shared" si="9"/>
        <v>7.0171166134716714</v>
      </c>
    </row>
    <row r="95" spans="1:20" x14ac:dyDescent="0.25">
      <c r="A95" s="14">
        <f t="shared" si="18"/>
        <v>0.64086538461538456</v>
      </c>
      <c r="B95" s="2">
        <f t="shared" si="11"/>
        <v>90</v>
      </c>
      <c r="C95" s="4">
        <f t="shared" si="12"/>
        <v>49.33</v>
      </c>
      <c r="D95" s="2">
        <v>10</v>
      </c>
      <c r="E95" s="2">
        <v>50.26548245743669</v>
      </c>
      <c r="F95" s="11">
        <f t="shared" si="0"/>
        <v>1.9894367886486919</v>
      </c>
      <c r="G95" s="2">
        <f t="shared" si="1"/>
        <v>98.138916784039964</v>
      </c>
      <c r="H95" s="2">
        <f t="shared" si="2"/>
        <v>1.7549434866490268</v>
      </c>
      <c r="I95" s="2">
        <f t="shared" si="3"/>
        <v>86.571362196396493</v>
      </c>
      <c r="J95" s="2">
        <f t="shared" si="4"/>
        <v>11.567554587643471</v>
      </c>
      <c r="K95" s="15">
        <f t="shared" si="19"/>
        <v>0.61746794871794874</v>
      </c>
      <c r="L95" s="2">
        <f t="shared" si="14"/>
        <v>90</v>
      </c>
      <c r="M95" s="2">
        <f t="shared" si="15"/>
        <v>49.15</v>
      </c>
      <c r="N95" s="2">
        <v>11</v>
      </c>
      <c r="O95" s="2">
        <v>50.26548245743669</v>
      </c>
      <c r="P95" s="11">
        <f t="shared" si="5"/>
        <v>2.1883804675135607</v>
      </c>
      <c r="Q95" s="2">
        <f t="shared" si="6"/>
        <v>107.55889997829151</v>
      </c>
      <c r="R95" s="2">
        <f t="shared" si="7"/>
        <v>2.0441437437011936</v>
      </c>
      <c r="S95" s="2">
        <f t="shared" si="8"/>
        <v>100.46966500291366</v>
      </c>
      <c r="T95" s="2">
        <f t="shared" si="9"/>
        <v>7.089234975377849</v>
      </c>
    </row>
    <row r="96" spans="1:20" x14ac:dyDescent="0.25">
      <c r="A96" s="14">
        <f t="shared" si="18"/>
        <v>0.64097222222222217</v>
      </c>
      <c r="B96" s="2">
        <f t="shared" si="11"/>
        <v>91</v>
      </c>
      <c r="C96" s="4">
        <f t="shared" si="12"/>
        <v>49.83</v>
      </c>
      <c r="D96" s="2">
        <v>11</v>
      </c>
      <c r="E96" s="2">
        <v>50.26548245743669</v>
      </c>
      <c r="F96" s="11">
        <f t="shared" si="0"/>
        <v>2.1883804675135607</v>
      </c>
      <c r="G96" s="2">
        <f t="shared" si="1"/>
        <v>109.04699869620073</v>
      </c>
      <c r="H96" s="2">
        <f t="shared" si="2"/>
        <v>1.7549434866490268</v>
      </c>
      <c r="I96" s="2">
        <f t="shared" si="3"/>
        <v>87.448833939720998</v>
      </c>
      <c r="J96" s="2">
        <f t="shared" si="4"/>
        <v>21.598164756479733</v>
      </c>
      <c r="K96" s="15">
        <f t="shared" si="19"/>
        <v>0.61759259259259258</v>
      </c>
      <c r="L96" s="2">
        <f t="shared" si="14"/>
        <v>91</v>
      </c>
      <c r="M96" s="2">
        <f t="shared" si="15"/>
        <v>49.65</v>
      </c>
      <c r="N96" s="2">
        <v>11</v>
      </c>
      <c r="O96" s="2">
        <v>50.26548245743669</v>
      </c>
      <c r="P96" s="11">
        <f t="shared" si="5"/>
        <v>2.1883804675135607</v>
      </c>
      <c r="Q96" s="2">
        <f t="shared" si="6"/>
        <v>108.65309021204828</v>
      </c>
      <c r="R96" s="2">
        <f t="shared" si="7"/>
        <v>2.0441437437011936</v>
      </c>
      <c r="S96" s="2">
        <f t="shared" si="8"/>
        <v>101.49173687476426</v>
      </c>
      <c r="T96" s="2">
        <f t="shared" si="9"/>
        <v>7.1613533372840266</v>
      </c>
    </row>
    <row r="97" spans="1:20" x14ac:dyDescent="0.25">
      <c r="A97" s="14">
        <f t="shared" si="18"/>
        <v>0.64107905982905977</v>
      </c>
      <c r="B97" s="2">
        <f t="shared" si="11"/>
        <v>92</v>
      </c>
      <c r="C97" s="4">
        <f t="shared" si="12"/>
        <v>50.33</v>
      </c>
      <c r="D97" s="2">
        <v>10</v>
      </c>
      <c r="E97" s="2">
        <v>50.26548245743669</v>
      </c>
      <c r="F97" s="11">
        <f t="shared" si="0"/>
        <v>1.9894367886486919</v>
      </c>
      <c r="G97" s="2">
        <f t="shared" si="1"/>
        <v>100.12835357268865</v>
      </c>
      <c r="H97" s="2">
        <f t="shared" si="2"/>
        <v>1.7549434866490268</v>
      </c>
      <c r="I97" s="2">
        <f t="shared" si="3"/>
        <v>88.326305683045518</v>
      </c>
      <c r="J97" s="2">
        <f t="shared" si="4"/>
        <v>11.802047889643134</v>
      </c>
      <c r="K97" s="15">
        <f t="shared" si="19"/>
        <v>0.61771723646723653</v>
      </c>
      <c r="L97" s="2">
        <f t="shared" si="14"/>
        <v>92</v>
      </c>
      <c r="M97" s="2">
        <f t="shared" si="15"/>
        <v>50.15</v>
      </c>
      <c r="N97" s="2">
        <v>12.5</v>
      </c>
      <c r="O97" s="2">
        <v>50.26548245743669</v>
      </c>
      <c r="P97" s="11">
        <f t="shared" si="5"/>
        <v>2.4867959858108648</v>
      </c>
      <c r="Q97" s="2">
        <f t="shared" si="6"/>
        <v>124.71281868841487</v>
      </c>
      <c r="R97" s="2">
        <f t="shared" si="7"/>
        <v>2.0441437437011936</v>
      </c>
      <c r="S97" s="2">
        <f t="shared" si="8"/>
        <v>102.51380874661486</v>
      </c>
      <c r="T97" s="2">
        <f t="shared" si="9"/>
        <v>22.199009941800014</v>
      </c>
    </row>
    <row r="98" spans="1:20" x14ac:dyDescent="0.25">
      <c r="A98" s="14">
        <f t="shared" si="18"/>
        <v>0.64118589743589738</v>
      </c>
      <c r="B98" s="2">
        <f t="shared" si="11"/>
        <v>93</v>
      </c>
      <c r="C98" s="4">
        <f t="shared" si="12"/>
        <v>50.83</v>
      </c>
      <c r="D98" s="2">
        <v>10</v>
      </c>
      <c r="E98" s="2">
        <v>50.26548245743669</v>
      </c>
      <c r="F98" s="11">
        <f t="shared" si="0"/>
        <v>1.9894367886486919</v>
      </c>
      <c r="G98" s="2">
        <f t="shared" si="1"/>
        <v>101.123071967013</v>
      </c>
      <c r="H98" s="2">
        <f t="shared" si="2"/>
        <v>1.7549434866490268</v>
      </c>
      <c r="I98" s="2">
        <f t="shared" si="3"/>
        <v>89.203777426370024</v>
      </c>
      <c r="J98" s="2">
        <f t="shared" si="4"/>
        <v>11.91929454064298</v>
      </c>
      <c r="K98" s="15">
        <f t="shared" si="19"/>
        <v>0.61784188034188037</v>
      </c>
      <c r="L98" s="2">
        <f t="shared" si="14"/>
        <v>93</v>
      </c>
      <c r="M98" s="2">
        <f t="shared" si="15"/>
        <v>50.65</v>
      </c>
      <c r="N98" s="2">
        <v>10.5</v>
      </c>
      <c r="O98" s="2">
        <v>50.26548245743669</v>
      </c>
      <c r="P98" s="11">
        <f t="shared" si="5"/>
        <v>2.0889086280811267</v>
      </c>
      <c r="Q98" s="2">
        <f t="shared" si="6"/>
        <v>105.80322201230906</v>
      </c>
      <c r="R98" s="2">
        <f t="shared" si="7"/>
        <v>2.0441437437011936</v>
      </c>
      <c r="S98" s="2">
        <f t="shared" si="8"/>
        <v>103.53588061846546</v>
      </c>
      <c r="T98" s="2">
        <f t="shared" si="9"/>
        <v>2.2673413938436084</v>
      </c>
    </row>
    <row r="99" spans="1:20" x14ac:dyDescent="0.25">
      <c r="A99" s="14">
        <f t="shared" si="18"/>
        <v>0.64129273504273498</v>
      </c>
      <c r="B99" s="2">
        <f t="shared" si="11"/>
        <v>94</v>
      </c>
      <c r="C99" s="4">
        <f t="shared" si="12"/>
        <v>51.33</v>
      </c>
      <c r="D99" s="2">
        <v>8.5</v>
      </c>
      <c r="E99" s="2">
        <v>50.26548245743669</v>
      </c>
      <c r="F99" s="11">
        <f t="shared" si="0"/>
        <v>1.6910212703513881</v>
      </c>
      <c r="G99" s="2">
        <f t="shared" si="1"/>
        <v>86.800121807136748</v>
      </c>
      <c r="H99" s="2">
        <f t="shared" si="2"/>
        <v>1.7549434866490268</v>
      </c>
      <c r="I99" s="2">
        <f t="shared" si="3"/>
        <v>90.081249169694544</v>
      </c>
      <c r="J99" s="2">
        <f t="shared" si="4"/>
        <v>3.2811273625577968</v>
      </c>
      <c r="K99" s="15">
        <f t="shared" si="19"/>
        <v>0.6179665242165242</v>
      </c>
      <c r="L99" s="2">
        <f t="shared" si="14"/>
        <v>94</v>
      </c>
      <c r="M99" s="2">
        <f t="shared" si="15"/>
        <v>51.15</v>
      </c>
      <c r="N99" s="2">
        <v>10.5</v>
      </c>
      <c r="O99" s="2">
        <v>50.26548245743669</v>
      </c>
      <c r="P99" s="11">
        <f t="shared" si="5"/>
        <v>2.0889086280811267</v>
      </c>
      <c r="Q99" s="2">
        <f t="shared" si="6"/>
        <v>106.84767632634963</v>
      </c>
      <c r="R99" s="2">
        <f t="shared" si="7"/>
        <v>2.0441437437011936</v>
      </c>
      <c r="S99" s="2">
        <f t="shared" si="8"/>
        <v>104.55795249031605</v>
      </c>
      <c r="T99" s="2">
        <f t="shared" si="9"/>
        <v>2.2897238360335734</v>
      </c>
    </row>
    <row r="100" spans="1:20" x14ac:dyDescent="0.25">
      <c r="A100" s="14">
        <f t="shared" si="18"/>
        <v>0.64139957264957259</v>
      </c>
      <c r="B100" s="2">
        <f t="shared" si="11"/>
        <v>95</v>
      </c>
      <c r="C100" s="4">
        <f t="shared" si="12"/>
        <v>51.83</v>
      </c>
      <c r="D100" s="2">
        <v>8.5</v>
      </c>
      <c r="E100" s="2">
        <v>50.26548245743669</v>
      </c>
      <c r="F100" s="11">
        <f t="shared" si="0"/>
        <v>1.6910212703513881</v>
      </c>
      <c r="G100" s="2">
        <f t="shared" si="1"/>
        <v>87.645632442312433</v>
      </c>
      <c r="H100" s="2">
        <f t="shared" si="2"/>
        <v>1.7549434866490268</v>
      </c>
      <c r="I100" s="2">
        <f t="shared" si="3"/>
        <v>90.95872091301905</v>
      </c>
      <c r="J100" s="2">
        <f t="shared" si="4"/>
        <v>3.3130884707066173</v>
      </c>
      <c r="K100" s="15">
        <f t="shared" si="19"/>
        <v>0.61809116809116815</v>
      </c>
      <c r="L100" s="2">
        <f t="shared" si="14"/>
        <v>95</v>
      </c>
      <c r="M100" s="2">
        <f t="shared" si="15"/>
        <v>51.65</v>
      </c>
      <c r="N100" s="2">
        <v>10</v>
      </c>
      <c r="O100" s="2">
        <v>50.26548245743669</v>
      </c>
      <c r="P100" s="11">
        <f t="shared" si="5"/>
        <v>1.9894367886486919</v>
      </c>
      <c r="Q100" s="2">
        <f t="shared" si="6"/>
        <v>102.75441013370494</v>
      </c>
      <c r="R100" s="2">
        <f t="shared" si="7"/>
        <v>2.0441437437011936</v>
      </c>
      <c r="S100" s="2">
        <f t="shared" si="8"/>
        <v>105.58002436216664</v>
      </c>
      <c r="T100" s="2">
        <f t="shared" si="9"/>
        <v>2.8256142284617027</v>
      </c>
    </row>
    <row r="101" spans="1:20" x14ac:dyDescent="0.25">
      <c r="A101" s="14">
        <f t="shared" si="18"/>
        <v>0.6415064102564102</v>
      </c>
      <c r="B101" s="2">
        <f t="shared" si="11"/>
        <v>96</v>
      </c>
      <c r="C101" s="4">
        <f t="shared" si="12"/>
        <v>52.33</v>
      </c>
      <c r="D101" s="2">
        <v>9</v>
      </c>
      <c r="E101" s="2">
        <v>50.26548245743669</v>
      </c>
      <c r="F101" s="11">
        <f t="shared" si="0"/>
        <v>1.7904931097838226</v>
      </c>
      <c r="G101" s="2">
        <f t="shared" si="1"/>
        <v>93.696504434987432</v>
      </c>
      <c r="H101" s="2">
        <f t="shared" si="2"/>
        <v>1.7549434866490268</v>
      </c>
      <c r="I101" s="2">
        <f t="shared" si="3"/>
        <v>91.83619265634357</v>
      </c>
      <c r="J101" s="2">
        <f t="shared" si="4"/>
        <v>1.8603117786438617</v>
      </c>
      <c r="K101" s="15">
        <f t="shared" si="19"/>
        <v>0.61821581196581199</v>
      </c>
      <c r="L101" s="2">
        <f t="shared" si="14"/>
        <v>96</v>
      </c>
      <c r="M101" s="2">
        <f t="shared" si="15"/>
        <v>52.15</v>
      </c>
      <c r="N101" s="2">
        <v>10.5</v>
      </c>
      <c r="O101" s="2">
        <v>50.26548245743669</v>
      </c>
      <c r="P101" s="11">
        <f t="shared" si="5"/>
        <v>2.0889086280811267</v>
      </c>
      <c r="Q101" s="2">
        <f t="shared" si="6"/>
        <v>108.93658495443076</v>
      </c>
      <c r="R101" s="2">
        <f t="shared" si="7"/>
        <v>2.0441437437011936</v>
      </c>
      <c r="S101" s="2">
        <f t="shared" si="8"/>
        <v>106.60209623401724</v>
      </c>
      <c r="T101" s="2">
        <f t="shared" si="9"/>
        <v>2.3344887204135176</v>
      </c>
    </row>
    <row r="102" spans="1:20" x14ac:dyDescent="0.25">
      <c r="A102" s="14">
        <f t="shared" si="18"/>
        <v>0.6416132478632478</v>
      </c>
      <c r="B102" s="2">
        <f t="shared" si="11"/>
        <v>97</v>
      </c>
      <c r="C102" s="4">
        <f t="shared" si="12"/>
        <v>52.83</v>
      </c>
      <c r="D102" s="2">
        <v>8</v>
      </c>
      <c r="E102" s="2">
        <v>50.26548245743669</v>
      </c>
      <c r="F102" s="11">
        <f t="shared" si="0"/>
        <v>1.5915494309189535</v>
      </c>
      <c r="G102" s="2">
        <f t="shared" si="1"/>
        <v>84.081556435448306</v>
      </c>
      <c r="H102" s="2">
        <f t="shared" si="2"/>
        <v>1.7549434866490268</v>
      </c>
      <c r="I102" s="2">
        <f t="shared" si="3"/>
        <v>92.713664399668076</v>
      </c>
      <c r="J102" s="2">
        <f t="shared" si="4"/>
        <v>8.6321079642197702</v>
      </c>
      <c r="K102" s="15">
        <f t="shared" si="19"/>
        <v>0.61834045584045583</v>
      </c>
      <c r="L102" s="2">
        <f t="shared" si="14"/>
        <v>97</v>
      </c>
      <c r="M102" s="2">
        <f t="shared" si="15"/>
        <v>52.65</v>
      </c>
      <c r="N102" s="2">
        <v>10</v>
      </c>
      <c r="O102" s="2">
        <v>50.26548245743669</v>
      </c>
      <c r="P102" s="11">
        <f t="shared" si="5"/>
        <v>1.9894367886486919</v>
      </c>
      <c r="Q102" s="2">
        <f t="shared" si="6"/>
        <v>104.74384692235363</v>
      </c>
      <c r="R102" s="2">
        <f t="shared" si="7"/>
        <v>2.0441437437011936</v>
      </c>
      <c r="S102" s="2">
        <f t="shared" si="8"/>
        <v>107.62416810586784</v>
      </c>
      <c r="T102" s="2">
        <f t="shared" si="9"/>
        <v>2.8803211835142122</v>
      </c>
    </row>
    <row r="103" spans="1:20" x14ac:dyDescent="0.25">
      <c r="A103" s="14">
        <f t="shared" si="18"/>
        <v>0.64172008547008552</v>
      </c>
      <c r="B103" s="2">
        <f t="shared" si="11"/>
        <v>98</v>
      </c>
      <c r="C103" s="4">
        <f t="shared" si="12"/>
        <v>53.33</v>
      </c>
      <c r="D103" s="2">
        <v>8</v>
      </c>
      <c r="E103" s="2">
        <v>50.26548245743669</v>
      </c>
      <c r="F103" s="11">
        <f t="shared" si="0"/>
        <v>1.5915494309189535</v>
      </c>
      <c r="G103" s="2">
        <f t="shared" si="1"/>
        <v>84.877331150907793</v>
      </c>
      <c r="H103" s="2">
        <f t="shared" si="2"/>
        <v>1.7549434866490268</v>
      </c>
      <c r="I103" s="2">
        <f t="shared" si="3"/>
        <v>93.591136142992596</v>
      </c>
      <c r="J103" s="2">
        <f t="shared" si="4"/>
        <v>8.7138049920848033</v>
      </c>
      <c r="K103" s="15">
        <f t="shared" si="19"/>
        <v>0.61846509971509978</v>
      </c>
      <c r="L103" s="2">
        <f t="shared" si="14"/>
        <v>98</v>
      </c>
      <c r="M103" s="2">
        <f t="shared" si="15"/>
        <v>53.15</v>
      </c>
      <c r="N103" s="2">
        <v>8.5</v>
      </c>
      <c r="O103" s="2">
        <v>50.26548245743669</v>
      </c>
      <c r="P103" s="11">
        <f t="shared" si="5"/>
        <v>1.6910212703513881</v>
      </c>
      <c r="Q103" s="2">
        <f t="shared" si="6"/>
        <v>89.87778051917627</v>
      </c>
      <c r="R103" s="2">
        <f t="shared" si="7"/>
        <v>2.0441437437011936</v>
      </c>
      <c r="S103" s="2">
        <f t="shared" si="8"/>
        <v>108.64623997771844</v>
      </c>
      <c r="T103" s="2">
        <f t="shared" si="9"/>
        <v>18.768459458542168</v>
      </c>
    </row>
    <row r="104" spans="1:20" x14ac:dyDescent="0.25">
      <c r="A104" s="14">
        <f t="shared" si="18"/>
        <v>0.64182692307692313</v>
      </c>
      <c r="B104" s="2">
        <f t="shared" si="11"/>
        <v>99</v>
      </c>
      <c r="C104" s="4">
        <f t="shared" si="12"/>
        <v>53.83</v>
      </c>
      <c r="D104" s="2">
        <v>7.5</v>
      </c>
      <c r="E104" s="2">
        <v>50.26548245743669</v>
      </c>
      <c r="F104" s="11">
        <f t="shared" si="0"/>
        <v>1.492077591486519</v>
      </c>
      <c r="G104" s="2">
        <f t="shared" si="1"/>
        <v>80.318536749719314</v>
      </c>
      <c r="H104" s="2">
        <f t="shared" si="2"/>
        <v>1.7549434866490268</v>
      </c>
      <c r="I104" s="2">
        <f t="shared" si="3"/>
        <v>94.468607886317102</v>
      </c>
      <c r="J104" s="2">
        <f t="shared" si="4"/>
        <v>14.150071136597788</v>
      </c>
      <c r="K104" s="15">
        <f t="shared" si="19"/>
        <v>0.61858974358974361</v>
      </c>
      <c r="L104" s="2">
        <f t="shared" si="14"/>
        <v>99</v>
      </c>
      <c r="M104" s="2">
        <f t="shared" si="15"/>
        <v>53.65</v>
      </c>
      <c r="N104" s="2">
        <v>9.5</v>
      </c>
      <c r="O104" s="2">
        <v>50.26548245743669</v>
      </c>
      <c r="P104" s="11">
        <f t="shared" si="5"/>
        <v>1.8899649492162571</v>
      </c>
      <c r="Q104" s="2">
        <f t="shared" si="6"/>
        <v>101.39661952545219</v>
      </c>
      <c r="R104" s="2">
        <f t="shared" si="7"/>
        <v>2.0441437437011936</v>
      </c>
      <c r="S104" s="2">
        <f t="shared" si="8"/>
        <v>109.66831184956904</v>
      </c>
      <c r="T104" s="2">
        <f t="shared" si="9"/>
        <v>8.2716923241168416</v>
      </c>
    </row>
    <row r="105" spans="1:20" x14ac:dyDescent="0.25">
      <c r="A105" s="14">
        <f t="shared" si="18"/>
        <v>0.64193376068376073</v>
      </c>
      <c r="B105" s="2">
        <f t="shared" si="11"/>
        <v>100</v>
      </c>
      <c r="C105" s="4">
        <f t="shared" si="12"/>
        <v>54.33</v>
      </c>
      <c r="D105" s="2">
        <v>6.5</v>
      </c>
      <c r="E105" s="2">
        <v>50.26548245743669</v>
      </c>
      <c r="F105" s="11">
        <f t="shared" si="0"/>
        <v>1.2931339126216495</v>
      </c>
      <c r="G105" s="2">
        <f t="shared" si="1"/>
        <v>70.255965472734218</v>
      </c>
      <c r="H105" s="2">
        <f t="shared" si="2"/>
        <v>1.7549434866490268</v>
      </c>
      <c r="I105" s="2">
        <f t="shared" si="3"/>
        <v>95.346079629641622</v>
      </c>
      <c r="J105" s="2">
        <f t="shared" si="4"/>
        <v>25.090114156907404</v>
      </c>
      <c r="K105" s="15">
        <f t="shared" si="19"/>
        <v>0.61871438746438745</v>
      </c>
      <c r="L105" s="2">
        <f t="shared" si="14"/>
        <v>100</v>
      </c>
      <c r="M105" s="2">
        <f t="shared" si="15"/>
        <v>54.15</v>
      </c>
      <c r="N105" s="2">
        <v>9</v>
      </c>
      <c r="O105" s="2">
        <v>50.26548245743669</v>
      </c>
      <c r="P105" s="11">
        <f t="shared" si="5"/>
        <v>1.7904931097838226</v>
      </c>
      <c r="Q105" s="2">
        <f t="shared" si="6"/>
        <v>96.955201894793987</v>
      </c>
      <c r="R105" s="2">
        <f t="shared" si="7"/>
        <v>2.0441437437011936</v>
      </c>
      <c r="S105" s="2">
        <f t="shared" si="8"/>
        <v>110.69038372141962</v>
      </c>
      <c r="T105" s="2">
        <f t="shared" si="9"/>
        <v>13.735181826625634</v>
      </c>
    </row>
    <row r="106" spans="1:20" x14ac:dyDescent="0.25">
      <c r="A106" s="14">
        <f t="shared" si="18"/>
        <v>0.64204059829059834</v>
      </c>
      <c r="B106" s="2">
        <f t="shared" si="11"/>
        <v>101</v>
      </c>
      <c r="C106" s="4">
        <f t="shared" si="12"/>
        <v>54.83</v>
      </c>
      <c r="D106" s="2">
        <v>7</v>
      </c>
      <c r="E106" s="2">
        <v>50.26548245743669</v>
      </c>
      <c r="F106" s="11">
        <f t="shared" si="0"/>
        <v>1.3926057520540844</v>
      </c>
      <c r="G106" s="2">
        <f t="shared" si="1"/>
        <v>76.356573385125444</v>
      </c>
      <c r="H106" s="2">
        <f t="shared" si="2"/>
        <v>1.7549434866490268</v>
      </c>
      <c r="I106" s="2">
        <f t="shared" si="3"/>
        <v>96.223551372966142</v>
      </c>
      <c r="J106" s="2">
        <f t="shared" si="4"/>
        <v>19.866977987840698</v>
      </c>
      <c r="K106" s="15">
        <f t="shared" si="19"/>
        <v>0.6188390313390314</v>
      </c>
      <c r="L106" s="2">
        <f t="shared" si="14"/>
        <v>101</v>
      </c>
      <c r="M106" s="2">
        <f t="shared" si="15"/>
        <v>54.65</v>
      </c>
      <c r="N106" s="2">
        <v>8.5</v>
      </c>
      <c r="O106" s="2">
        <v>50.26548245743669</v>
      </c>
      <c r="P106" s="11">
        <f t="shared" si="5"/>
        <v>1.6910212703513881</v>
      </c>
      <c r="Q106" s="2">
        <f t="shared" si="6"/>
        <v>92.414312424703354</v>
      </c>
      <c r="R106" s="2">
        <f t="shared" si="7"/>
        <v>2.0441437437011936</v>
      </c>
      <c r="S106" s="2">
        <f t="shared" si="8"/>
        <v>111.71245559327022</v>
      </c>
      <c r="T106" s="2">
        <f t="shared" si="9"/>
        <v>19.298143168566867</v>
      </c>
    </row>
    <row r="107" spans="1:20" x14ac:dyDescent="0.25">
      <c r="A107" s="14">
        <f t="shared" si="18"/>
        <v>0.64214743589743595</v>
      </c>
      <c r="B107" s="2">
        <f t="shared" si="11"/>
        <v>102</v>
      </c>
      <c r="C107" s="4">
        <f t="shared" si="12"/>
        <v>55.33</v>
      </c>
      <c r="D107" s="2">
        <v>7</v>
      </c>
      <c r="E107" s="2">
        <v>50.26548245743669</v>
      </c>
      <c r="F107" s="11">
        <f t="shared" si="0"/>
        <v>1.3926057520540844</v>
      </c>
      <c r="G107" s="2">
        <f t="shared" si="1"/>
        <v>77.052876261152491</v>
      </c>
      <c r="H107" s="2">
        <f t="shared" si="2"/>
        <v>1.7549434866490268</v>
      </c>
      <c r="I107" s="2">
        <f t="shared" si="3"/>
        <v>97.101023116290648</v>
      </c>
      <c r="J107" s="2">
        <f t="shared" si="4"/>
        <v>20.048146855138157</v>
      </c>
      <c r="K107" s="15">
        <f t="shared" si="19"/>
        <v>0.61896367521367524</v>
      </c>
      <c r="L107" s="2">
        <f t="shared" si="14"/>
        <v>102</v>
      </c>
      <c r="M107" s="2">
        <f t="shared" si="15"/>
        <v>55.15</v>
      </c>
      <c r="N107" s="2">
        <v>8.5</v>
      </c>
      <c r="O107" s="2">
        <v>50.26548245743669</v>
      </c>
      <c r="P107" s="11">
        <f t="shared" si="5"/>
        <v>1.6910212703513881</v>
      </c>
      <c r="Q107" s="2">
        <f t="shared" si="6"/>
        <v>93.259823059879054</v>
      </c>
      <c r="R107" s="2">
        <f t="shared" si="7"/>
        <v>2.0441437437011936</v>
      </c>
      <c r="S107" s="2">
        <f t="shared" si="8"/>
        <v>112.73452746512082</v>
      </c>
      <c r="T107" s="2">
        <f t="shared" si="9"/>
        <v>19.474704405241766</v>
      </c>
    </row>
    <row r="108" spans="1:20" x14ac:dyDescent="0.25">
      <c r="A108" s="14">
        <f t="shared" si="18"/>
        <v>0.64225427350427355</v>
      </c>
      <c r="B108" s="2">
        <f t="shared" si="11"/>
        <v>103</v>
      </c>
      <c r="C108" s="4">
        <f t="shared" si="12"/>
        <v>55.83</v>
      </c>
      <c r="D108" s="2">
        <v>7</v>
      </c>
      <c r="E108" s="2">
        <v>50.26548245743669</v>
      </c>
      <c r="F108" s="11">
        <f t="shared" si="0"/>
        <v>1.3926057520540844</v>
      </c>
      <c r="G108" s="2">
        <f t="shared" si="1"/>
        <v>77.749179137179539</v>
      </c>
      <c r="H108" s="2">
        <f t="shared" si="2"/>
        <v>1.7549434866490268</v>
      </c>
      <c r="I108" s="2">
        <f t="shared" si="3"/>
        <v>97.978494859615168</v>
      </c>
      <c r="J108" s="2">
        <f t="shared" si="4"/>
        <v>20.229315722435629</v>
      </c>
      <c r="K108" s="15">
        <f t="shared" si="19"/>
        <v>0.61908831908831907</v>
      </c>
      <c r="L108" s="2">
        <f t="shared" si="14"/>
        <v>103</v>
      </c>
      <c r="M108" s="2">
        <f t="shared" si="15"/>
        <v>55.65</v>
      </c>
      <c r="N108" s="2">
        <v>9</v>
      </c>
      <c r="O108" s="2">
        <v>50.26548245743669</v>
      </c>
      <c r="P108" s="11">
        <f t="shared" si="5"/>
        <v>1.7904931097838226</v>
      </c>
      <c r="Q108" s="2">
        <f t="shared" si="6"/>
        <v>99.640941559469724</v>
      </c>
      <c r="R108" s="2">
        <f t="shared" si="7"/>
        <v>2.0441437437011936</v>
      </c>
      <c r="S108" s="2">
        <f t="shared" si="8"/>
        <v>113.75659933697142</v>
      </c>
      <c r="T108" s="2">
        <f t="shared" si="9"/>
        <v>14.115657777501696</v>
      </c>
    </row>
    <row r="109" spans="1:20" x14ac:dyDescent="0.25">
      <c r="A109" s="14">
        <f t="shared" si="18"/>
        <v>0.64236111111111116</v>
      </c>
      <c r="B109" s="21">
        <f t="shared" si="11"/>
        <v>104</v>
      </c>
      <c r="C109" s="22">
        <f t="shared" si="12"/>
        <v>56.33</v>
      </c>
      <c r="D109" s="21">
        <v>7</v>
      </c>
      <c r="E109" s="2">
        <v>50.26548245743669</v>
      </c>
      <c r="F109" s="11">
        <f t="shared" si="0"/>
        <v>1.3926057520540844</v>
      </c>
      <c r="G109" s="2">
        <f t="shared" si="1"/>
        <v>78.445482013206572</v>
      </c>
      <c r="H109" s="2">
        <f t="shared" si="2"/>
        <v>1.7549434866490268</v>
      </c>
      <c r="I109" s="2">
        <f t="shared" si="3"/>
        <v>98.855966602939674</v>
      </c>
      <c r="J109" s="2">
        <f t="shared" si="4"/>
        <v>20.410484589733102</v>
      </c>
      <c r="K109" s="15">
        <f t="shared" si="19"/>
        <v>0.61921296296296302</v>
      </c>
      <c r="L109" s="21">
        <f t="shared" si="14"/>
        <v>104</v>
      </c>
      <c r="M109" s="21">
        <f t="shared" si="15"/>
        <v>56.15</v>
      </c>
      <c r="N109" s="21">
        <v>9</v>
      </c>
      <c r="O109" s="2">
        <v>50.26548245743669</v>
      </c>
      <c r="P109" s="11">
        <f t="shared" si="5"/>
        <v>1.7904931097838226</v>
      </c>
      <c r="Q109" s="2">
        <f t="shared" si="6"/>
        <v>100.53618811436164</v>
      </c>
      <c r="R109" s="2">
        <f t="shared" si="7"/>
        <v>2.0441437437011936</v>
      </c>
      <c r="S109" s="2">
        <f t="shared" si="8"/>
        <v>114.77867120882202</v>
      </c>
      <c r="T109" s="2">
        <f t="shared" si="9"/>
        <v>14.242483094460383</v>
      </c>
    </row>
    <row r="110" spans="1:20" x14ac:dyDescent="0.25">
      <c r="A110" s="14">
        <f t="shared" si="18"/>
        <v>0.64246794871794877</v>
      </c>
      <c r="B110" s="21">
        <f t="shared" si="11"/>
        <v>105</v>
      </c>
      <c r="C110" s="22">
        <f>C109+1.5</f>
        <v>57.83</v>
      </c>
      <c r="D110" s="21">
        <v>8</v>
      </c>
      <c r="E110" s="2">
        <v>50.26548245743669</v>
      </c>
      <c r="F110" s="11">
        <f t="shared" si="0"/>
        <v>1.5915494309189535</v>
      </c>
      <c r="G110" s="2">
        <f t="shared" si="1"/>
        <v>92.039303590043076</v>
      </c>
      <c r="H110" s="2">
        <f t="shared" si="2"/>
        <v>1.7549434866490268</v>
      </c>
      <c r="I110" s="2">
        <f t="shared" si="3"/>
        <v>101.48838183291322</v>
      </c>
      <c r="J110" s="2">
        <f t="shared" si="4"/>
        <v>9.4490782428701436</v>
      </c>
      <c r="K110" s="15">
        <f t="shared" si="19"/>
        <v>0.61933760683760686</v>
      </c>
      <c r="L110" s="21">
        <f t="shared" si="14"/>
        <v>105</v>
      </c>
      <c r="M110" s="21">
        <f>M109+1.5</f>
        <v>57.65</v>
      </c>
      <c r="N110" s="21">
        <v>9.5</v>
      </c>
      <c r="O110" s="2">
        <v>50.26548245743669</v>
      </c>
      <c r="P110" s="11">
        <f t="shared" si="5"/>
        <v>1.8899649492162571</v>
      </c>
      <c r="Q110" s="2">
        <f t="shared" si="6"/>
        <v>108.95647932231722</v>
      </c>
      <c r="R110" s="2">
        <f t="shared" si="7"/>
        <v>2.0441437437011936</v>
      </c>
      <c r="S110" s="2">
        <f t="shared" si="8"/>
        <v>117.8448868243738</v>
      </c>
      <c r="T110" s="2">
        <f t="shared" si="9"/>
        <v>8.8884075020565803</v>
      </c>
    </row>
    <row r="111" spans="1:20" x14ac:dyDescent="0.25">
      <c r="A111" s="14">
        <f t="shared" si="18"/>
        <v>0.64257478632478637</v>
      </c>
      <c r="B111" s="21">
        <f t="shared" si="11"/>
        <v>106</v>
      </c>
      <c r="C111" s="22">
        <f t="shared" ref="C111:C162" si="20">C110+0.5</f>
        <v>58.33</v>
      </c>
      <c r="D111" s="21">
        <v>8</v>
      </c>
      <c r="E111" s="2">
        <v>50.26548245743669</v>
      </c>
      <c r="F111" s="11">
        <f t="shared" si="0"/>
        <v>1.5915494309189535</v>
      </c>
      <c r="G111" s="2">
        <f t="shared" si="1"/>
        <v>92.835078305502549</v>
      </c>
      <c r="H111" s="2">
        <f t="shared" si="2"/>
        <v>1.7549434866490268</v>
      </c>
      <c r="I111" s="2">
        <f t="shared" si="3"/>
        <v>102.36585357623773</v>
      </c>
      <c r="J111" s="2">
        <f t="shared" si="4"/>
        <v>9.5307752707351767</v>
      </c>
      <c r="K111" s="15">
        <f t="shared" si="19"/>
        <v>0.61946225071225069</v>
      </c>
      <c r="L111" s="21">
        <f t="shared" si="14"/>
        <v>106</v>
      </c>
      <c r="M111" s="21">
        <f t="shared" ref="M111:M162" si="21">M110+0.5</f>
        <v>58.15</v>
      </c>
      <c r="N111" s="21">
        <v>9.5</v>
      </c>
      <c r="O111" s="2">
        <v>50.26548245743669</v>
      </c>
      <c r="P111" s="11">
        <f t="shared" si="5"/>
        <v>1.8899649492162571</v>
      </c>
      <c r="Q111" s="2">
        <f t="shared" si="6"/>
        <v>109.90146179692535</v>
      </c>
      <c r="R111" s="2">
        <f t="shared" si="7"/>
        <v>2.0441437437011936</v>
      </c>
      <c r="S111" s="2">
        <f t="shared" si="8"/>
        <v>118.8669586962244</v>
      </c>
      <c r="T111" s="2">
        <f t="shared" si="9"/>
        <v>8.9654968992990547</v>
      </c>
    </row>
    <row r="112" spans="1:20" x14ac:dyDescent="0.25">
      <c r="A112" s="14">
        <f t="shared" si="18"/>
        <v>0.64268162393162398</v>
      </c>
      <c r="B112" s="2">
        <f t="shared" si="11"/>
        <v>107</v>
      </c>
      <c r="C112" s="4">
        <f t="shared" si="20"/>
        <v>58.83</v>
      </c>
      <c r="D112" s="2">
        <v>8</v>
      </c>
      <c r="E112" s="2">
        <v>50.26548245743669</v>
      </c>
      <c r="F112" s="11">
        <f t="shared" si="0"/>
        <v>1.5915494309189535</v>
      </c>
      <c r="G112" s="2">
        <f t="shared" si="1"/>
        <v>93.630853020962036</v>
      </c>
      <c r="H112" s="2">
        <f t="shared" si="2"/>
        <v>1.7549434866490268</v>
      </c>
      <c r="I112" s="2">
        <f t="shared" si="3"/>
        <v>103.24332531956225</v>
      </c>
      <c r="J112" s="2">
        <f t="shared" si="4"/>
        <v>9.6124722986002098</v>
      </c>
      <c r="K112" s="15">
        <f t="shared" si="19"/>
        <v>0.61958689458689464</v>
      </c>
      <c r="L112" s="2">
        <f t="shared" si="14"/>
        <v>107</v>
      </c>
      <c r="M112" s="2">
        <f t="shared" si="21"/>
        <v>58.65</v>
      </c>
      <c r="N112" s="2">
        <v>9.5</v>
      </c>
      <c r="O112" s="2">
        <v>50.26548245743669</v>
      </c>
      <c r="P112" s="11">
        <f t="shared" si="5"/>
        <v>1.8899649492162571</v>
      </c>
      <c r="Q112" s="2">
        <f t="shared" si="6"/>
        <v>110.84644427153347</v>
      </c>
      <c r="R112" s="2">
        <f t="shared" si="7"/>
        <v>2.0441437437011936</v>
      </c>
      <c r="S112" s="2">
        <f t="shared" si="8"/>
        <v>119.889030568075</v>
      </c>
      <c r="T112" s="2">
        <f t="shared" si="9"/>
        <v>9.0425862965415291</v>
      </c>
    </row>
    <row r="113" spans="1:20" x14ac:dyDescent="0.25">
      <c r="A113" s="14">
        <f t="shared" si="18"/>
        <v>0.64278846153846159</v>
      </c>
      <c r="B113" s="2">
        <f t="shared" si="11"/>
        <v>108</v>
      </c>
      <c r="C113" s="4">
        <f t="shared" si="20"/>
        <v>59.33</v>
      </c>
      <c r="D113" s="2">
        <v>9</v>
      </c>
      <c r="E113" s="2">
        <v>50.26548245743669</v>
      </c>
      <c r="F113" s="11">
        <f t="shared" si="0"/>
        <v>1.7904931097838226</v>
      </c>
      <c r="G113" s="2">
        <f t="shared" si="1"/>
        <v>106.22995620347419</v>
      </c>
      <c r="H113" s="2">
        <f t="shared" si="2"/>
        <v>1.7549434866490268</v>
      </c>
      <c r="I113" s="2">
        <f t="shared" si="3"/>
        <v>104.12079706288675</v>
      </c>
      <c r="J113" s="2">
        <f t="shared" si="4"/>
        <v>2.1091591405874368</v>
      </c>
      <c r="K113" s="15">
        <f t="shared" si="19"/>
        <v>0.61971153846153848</v>
      </c>
      <c r="L113" s="2">
        <f t="shared" si="14"/>
        <v>108</v>
      </c>
      <c r="M113" s="2">
        <f t="shared" si="21"/>
        <v>59.15</v>
      </c>
      <c r="N113" s="2">
        <v>9</v>
      </c>
      <c r="O113" s="2">
        <v>50.26548245743669</v>
      </c>
      <c r="P113" s="11">
        <f t="shared" si="5"/>
        <v>1.7904931097838226</v>
      </c>
      <c r="Q113" s="2">
        <f t="shared" si="6"/>
        <v>105.90766744371311</v>
      </c>
      <c r="R113" s="2">
        <f t="shared" si="7"/>
        <v>2.0441437437011936</v>
      </c>
      <c r="S113" s="2">
        <f t="shared" si="8"/>
        <v>120.9111024399256</v>
      </c>
      <c r="T113" s="2">
        <f t="shared" si="9"/>
        <v>15.003434996212491</v>
      </c>
    </row>
    <row r="114" spans="1:20" x14ac:dyDescent="0.25">
      <c r="A114" s="14">
        <f t="shared" si="18"/>
        <v>0.64289529914529919</v>
      </c>
      <c r="B114" s="2">
        <f t="shared" si="11"/>
        <v>109</v>
      </c>
      <c r="C114" s="4">
        <f t="shared" si="20"/>
        <v>59.83</v>
      </c>
      <c r="D114" s="2">
        <v>9</v>
      </c>
      <c r="E114" s="2">
        <v>50.26548245743669</v>
      </c>
      <c r="F114" s="11">
        <f t="shared" si="0"/>
        <v>1.7904931097838226</v>
      </c>
      <c r="G114" s="2">
        <f t="shared" si="1"/>
        <v>107.1252027583661</v>
      </c>
      <c r="H114" s="2">
        <f t="shared" si="2"/>
        <v>1.7549434866490268</v>
      </c>
      <c r="I114" s="2">
        <f t="shared" si="3"/>
        <v>104.99826880621127</v>
      </c>
      <c r="J114" s="2">
        <f t="shared" si="4"/>
        <v>2.1269339521548289</v>
      </c>
      <c r="K114" s="15">
        <f t="shared" si="19"/>
        <v>0.61983618233618232</v>
      </c>
      <c r="L114" s="2">
        <f t="shared" si="14"/>
        <v>109</v>
      </c>
      <c r="M114" s="2">
        <f t="shared" si="21"/>
        <v>59.65</v>
      </c>
      <c r="N114" s="2">
        <v>9.5</v>
      </c>
      <c r="O114" s="2">
        <v>50.26548245743669</v>
      </c>
      <c r="P114" s="11">
        <f t="shared" si="5"/>
        <v>1.8899649492162571</v>
      </c>
      <c r="Q114" s="2">
        <f t="shared" si="6"/>
        <v>112.73640922074974</v>
      </c>
      <c r="R114" s="2">
        <f t="shared" si="7"/>
        <v>2.0441437437011936</v>
      </c>
      <c r="S114" s="2">
        <f t="shared" si="8"/>
        <v>121.9331743117762</v>
      </c>
      <c r="T114" s="2">
        <f t="shared" si="9"/>
        <v>9.1967650910264638</v>
      </c>
    </row>
    <row r="115" spans="1:20" x14ac:dyDescent="0.25">
      <c r="A115" s="14">
        <f t="shared" si="18"/>
        <v>0.6430021367521368</v>
      </c>
      <c r="B115" s="2">
        <f t="shared" si="11"/>
        <v>110</v>
      </c>
      <c r="C115" s="4">
        <f t="shared" si="20"/>
        <v>60.33</v>
      </c>
      <c r="D115" s="2">
        <v>8</v>
      </c>
      <c r="E115" s="2">
        <v>50.26548245743669</v>
      </c>
      <c r="F115" s="11">
        <f t="shared" si="0"/>
        <v>1.5915494309189535</v>
      </c>
      <c r="G115" s="2">
        <f t="shared" si="1"/>
        <v>96.018177167340468</v>
      </c>
      <c r="H115" s="2">
        <f t="shared" si="2"/>
        <v>1.7549434866490268</v>
      </c>
      <c r="I115" s="2">
        <f t="shared" si="3"/>
        <v>105.87574054953578</v>
      </c>
      <c r="J115" s="2">
        <f t="shared" si="4"/>
        <v>9.857563382195309</v>
      </c>
      <c r="K115" s="15">
        <f t="shared" si="19"/>
        <v>0.61996082621082627</v>
      </c>
      <c r="L115" s="2">
        <f t="shared" si="14"/>
        <v>110</v>
      </c>
      <c r="M115" s="2">
        <f t="shared" si="21"/>
        <v>60.15</v>
      </c>
      <c r="N115" s="2">
        <v>9.5</v>
      </c>
      <c r="O115" s="2">
        <v>50.26548245743669</v>
      </c>
      <c r="P115" s="11">
        <f t="shared" si="5"/>
        <v>1.8899649492162571</v>
      </c>
      <c r="Q115" s="2">
        <f t="shared" si="6"/>
        <v>113.68139169535786</v>
      </c>
      <c r="R115" s="2">
        <f t="shared" si="7"/>
        <v>2.0441437437011936</v>
      </c>
      <c r="S115" s="2">
        <f t="shared" si="8"/>
        <v>122.95524618362678</v>
      </c>
      <c r="T115" s="2">
        <f t="shared" si="9"/>
        <v>9.273854488268924</v>
      </c>
    </row>
    <row r="116" spans="1:20" x14ac:dyDescent="0.25">
      <c r="A116" s="14">
        <f t="shared" si="18"/>
        <v>0.64310897435897441</v>
      </c>
      <c r="B116" s="2">
        <f t="shared" si="11"/>
        <v>111</v>
      </c>
      <c r="C116" s="4">
        <f t="shared" si="20"/>
        <v>60.83</v>
      </c>
      <c r="D116" s="2">
        <v>7.5</v>
      </c>
      <c r="E116" s="2">
        <v>50.26548245743669</v>
      </c>
      <c r="F116" s="11">
        <f t="shared" si="0"/>
        <v>1.492077591486519</v>
      </c>
      <c r="G116" s="2">
        <f t="shared" si="1"/>
        <v>90.763079890124942</v>
      </c>
      <c r="H116" s="2">
        <f t="shared" si="2"/>
        <v>1.7549434866490268</v>
      </c>
      <c r="I116" s="2">
        <f t="shared" si="3"/>
        <v>106.7532122928603</v>
      </c>
      <c r="J116" s="2">
        <f t="shared" si="4"/>
        <v>15.990132402735355</v>
      </c>
      <c r="K116" s="15">
        <f t="shared" si="19"/>
        <v>0.6200854700854701</v>
      </c>
      <c r="L116" s="2">
        <f t="shared" si="14"/>
        <v>111</v>
      </c>
      <c r="M116" s="2">
        <f t="shared" si="21"/>
        <v>60.65</v>
      </c>
      <c r="N116" s="2">
        <v>10.5</v>
      </c>
      <c r="O116" s="2">
        <v>50.26548245743669</v>
      </c>
      <c r="P116" s="11">
        <f t="shared" si="5"/>
        <v>2.0889086280811267</v>
      </c>
      <c r="Q116" s="2">
        <f t="shared" si="6"/>
        <v>126.69230829312033</v>
      </c>
      <c r="R116" s="2">
        <f t="shared" si="7"/>
        <v>2.0441437437011936</v>
      </c>
      <c r="S116" s="2">
        <f t="shared" si="8"/>
        <v>123.97731805547738</v>
      </c>
      <c r="T116" s="2">
        <f t="shared" si="9"/>
        <v>2.7149902376429509</v>
      </c>
    </row>
    <row r="117" spans="1:20" x14ac:dyDescent="0.25">
      <c r="A117" s="14">
        <f t="shared" si="18"/>
        <v>0.64321581196581201</v>
      </c>
      <c r="B117" s="2">
        <f t="shared" si="11"/>
        <v>112</v>
      </c>
      <c r="C117" s="4">
        <f t="shared" si="20"/>
        <v>61.33</v>
      </c>
      <c r="D117" s="2">
        <v>8</v>
      </c>
      <c r="E117" s="2">
        <v>50.26548245743669</v>
      </c>
      <c r="F117" s="11">
        <f t="shared" si="0"/>
        <v>1.5915494309189535</v>
      </c>
      <c r="G117" s="2">
        <f t="shared" si="1"/>
        <v>97.609726598259414</v>
      </c>
      <c r="H117" s="2">
        <f t="shared" si="2"/>
        <v>1.7549434866490268</v>
      </c>
      <c r="I117" s="2">
        <f t="shared" si="3"/>
        <v>107.6306840361848</v>
      </c>
      <c r="J117" s="2">
        <f t="shared" si="4"/>
        <v>10.020957437925389</v>
      </c>
      <c r="K117" s="15">
        <f t="shared" si="19"/>
        <v>0.62021011396011394</v>
      </c>
      <c r="L117" s="2">
        <f t="shared" si="14"/>
        <v>112</v>
      </c>
      <c r="M117" s="2">
        <f t="shared" si="21"/>
        <v>61.15</v>
      </c>
      <c r="N117" s="2">
        <v>10</v>
      </c>
      <c r="O117" s="2">
        <v>50.26548245743669</v>
      </c>
      <c r="P117" s="11">
        <f t="shared" si="5"/>
        <v>1.9894367886486919</v>
      </c>
      <c r="Q117" s="2">
        <f t="shared" si="6"/>
        <v>121.6540596258675</v>
      </c>
      <c r="R117" s="2">
        <f t="shared" si="7"/>
        <v>2.0441437437011936</v>
      </c>
      <c r="S117" s="2">
        <f t="shared" si="8"/>
        <v>124.99938992732798</v>
      </c>
      <c r="T117" s="2">
        <f t="shared" si="9"/>
        <v>3.3453303014604785</v>
      </c>
    </row>
    <row r="118" spans="1:20" x14ac:dyDescent="0.25">
      <c r="A118" s="14">
        <f t="shared" si="18"/>
        <v>0.64332264957264962</v>
      </c>
      <c r="B118" s="2">
        <f t="shared" si="11"/>
        <v>113</v>
      </c>
      <c r="C118" s="4">
        <f t="shared" si="20"/>
        <v>61.83</v>
      </c>
      <c r="D118" s="2">
        <v>10</v>
      </c>
      <c r="E118" s="2">
        <v>50.26548245743669</v>
      </c>
      <c r="F118" s="11">
        <f t="shared" si="0"/>
        <v>1.9894367886486919</v>
      </c>
      <c r="G118" s="2">
        <f t="shared" si="1"/>
        <v>123.00687664214861</v>
      </c>
      <c r="H118" s="2">
        <f t="shared" si="2"/>
        <v>1.7549434866490268</v>
      </c>
      <c r="I118" s="2">
        <f t="shared" si="3"/>
        <v>108.50815577950932</v>
      </c>
      <c r="J118" s="2">
        <f t="shared" si="4"/>
        <v>14.498720862639288</v>
      </c>
      <c r="K118" s="15">
        <f t="shared" si="19"/>
        <v>0.62033475783475789</v>
      </c>
      <c r="L118" s="2">
        <f t="shared" si="14"/>
        <v>113</v>
      </c>
      <c r="M118" s="2">
        <f t="shared" si="21"/>
        <v>61.65</v>
      </c>
      <c r="N118" s="2">
        <v>10</v>
      </c>
      <c r="O118" s="2">
        <v>50.26548245743669</v>
      </c>
      <c r="P118" s="11">
        <f t="shared" si="5"/>
        <v>1.9894367886486919</v>
      </c>
      <c r="Q118" s="2">
        <f t="shared" si="6"/>
        <v>122.64877802019186</v>
      </c>
      <c r="R118" s="2">
        <f t="shared" si="7"/>
        <v>2.0441437437011936</v>
      </c>
      <c r="S118" s="2">
        <f t="shared" si="8"/>
        <v>126.02146179917858</v>
      </c>
      <c r="T118" s="2">
        <f t="shared" si="9"/>
        <v>3.3726837789867261</v>
      </c>
    </row>
    <row r="119" spans="1:20" x14ac:dyDescent="0.25">
      <c r="A119" s="14">
        <f t="shared" si="18"/>
        <v>0.64342948717948723</v>
      </c>
      <c r="B119" s="2">
        <f t="shared" si="11"/>
        <v>114</v>
      </c>
      <c r="C119" s="4">
        <f t="shared" si="20"/>
        <v>62.33</v>
      </c>
      <c r="D119" s="2">
        <v>11</v>
      </c>
      <c r="E119" s="2">
        <v>50.26548245743669</v>
      </c>
      <c r="F119" s="11">
        <f t="shared" si="0"/>
        <v>2.1883804675135607</v>
      </c>
      <c r="G119" s="2">
        <f t="shared" si="1"/>
        <v>136.40175454012024</v>
      </c>
      <c r="H119" s="2">
        <f t="shared" si="2"/>
        <v>1.7549434866490268</v>
      </c>
      <c r="I119" s="2">
        <f t="shared" si="3"/>
        <v>109.38562752283383</v>
      </c>
      <c r="J119" s="2">
        <f t="shared" si="4"/>
        <v>27.016127017286408</v>
      </c>
      <c r="K119" s="15">
        <f t="shared" si="19"/>
        <v>0.62045940170940173</v>
      </c>
      <c r="L119" s="2">
        <f t="shared" si="14"/>
        <v>114</v>
      </c>
      <c r="M119" s="2">
        <f t="shared" si="21"/>
        <v>62.15</v>
      </c>
      <c r="N119" s="2">
        <v>11.5</v>
      </c>
      <c r="O119" s="2">
        <v>50.26548245743669</v>
      </c>
      <c r="P119" s="11">
        <f t="shared" si="5"/>
        <v>2.2878523069459957</v>
      </c>
      <c r="Q119" s="2">
        <f t="shared" si="6"/>
        <v>142.19002087669364</v>
      </c>
      <c r="R119" s="2">
        <f t="shared" si="7"/>
        <v>2.0441437437011936</v>
      </c>
      <c r="S119" s="2">
        <f t="shared" si="8"/>
        <v>127.04353367102918</v>
      </c>
      <c r="T119" s="2">
        <f t="shared" si="9"/>
        <v>15.146487205664457</v>
      </c>
    </row>
    <row r="120" spans="1:20" x14ac:dyDescent="0.25">
      <c r="A120" s="14">
        <f t="shared" si="18"/>
        <v>0.64353632478632483</v>
      </c>
      <c r="B120" s="2">
        <f t="shared" si="11"/>
        <v>115</v>
      </c>
      <c r="C120" s="4">
        <f t="shared" si="20"/>
        <v>62.83</v>
      </c>
      <c r="D120" s="2">
        <v>11.5</v>
      </c>
      <c r="E120" s="2">
        <v>50.26548245743669</v>
      </c>
      <c r="F120" s="11">
        <f t="shared" si="0"/>
        <v>2.2878523069459957</v>
      </c>
      <c r="G120" s="2">
        <f t="shared" si="1"/>
        <v>143.74576044541692</v>
      </c>
      <c r="H120" s="2">
        <f t="shared" si="2"/>
        <v>1.7549434866490268</v>
      </c>
      <c r="I120" s="2">
        <f t="shared" si="3"/>
        <v>110.26309926615835</v>
      </c>
      <c r="J120" s="2">
        <f t="shared" si="4"/>
        <v>33.482661179258571</v>
      </c>
      <c r="K120" s="15">
        <f t="shared" si="19"/>
        <v>0.62058404558404556</v>
      </c>
      <c r="L120" s="2">
        <f t="shared" si="14"/>
        <v>115</v>
      </c>
      <c r="M120" s="2">
        <f t="shared" si="21"/>
        <v>62.65</v>
      </c>
      <c r="N120" s="2">
        <v>12</v>
      </c>
      <c r="O120" s="2">
        <v>50.26548245743669</v>
      </c>
      <c r="P120" s="11">
        <f t="shared" si="5"/>
        <v>2.3873241463784298</v>
      </c>
      <c r="Q120" s="2">
        <f t="shared" si="6"/>
        <v>149.56585777060863</v>
      </c>
      <c r="R120" s="2">
        <f t="shared" si="7"/>
        <v>2.0441437437011936</v>
      </c>
      <c r="S120" s="2">
        <f t="shared" si="8"/>
        <v>128.06560554287978</v>
      </c>
      <c r="T120" s="2">
        <f t="shared" si="9"/>
        <v>21.500252227728851</v>
      </c>
    </row>
    <row r="121" spans="1:20" x14ac:dyDescent="0.25">
      <c r="A121" s="14">
        <f t="shared" si="18"/>
        <v>0.64364316239316244</v>
      </c>
      <c r="B121" s="2">
        <f t="shared" si="11"/>
        <v>116</v>
      </c>
      <c r="C121" s="4">
        <f t="shared" si="20"/>
        <v>63.33</v>
      </c>
      <c r="D121" s="2">
        <v>11.5</v>
      </c>
      <c r="E121" s="2">
        <v>50.26548245743669</v>
      </c>
      <c r="F121" s="11">
        <f t="shared" si="0"/>
        <v>2.2878523069459957</v>
      </c>
      <c r="G121" s="2">
        <f t="shared" si="1"/>
        <v>144.88968659888991</v>
      </c>
      <c r="H121" s="2">
        <f t="shared" si="2"/>
        <v>1.7549434866490268</v>
      </c>
      <c r="I121" s="2">
        <f t="shared" si="3"/>
        <v>111.14057100948287</v>
      </c>
      <c r="J121" s="2">
        <f t="shared" si="4"/>
        <v>33.74911558940704</v>
      </c>
      <c r="K121" s="15">
        <f t="shared" si="19"/>
        <v>0.62070868945868951</v>
      </c>
      <c r="L121" s="2">
        <f t="shared" si="14"/>
        <v>116</v>
      </c>
      <c r="M121" s="2">
        <f t="shared" si="21"/>
        <v>63.15</v>
      </c>
      <c r="N121" s="2">
        <v>13</v>
      </c>
      <c r="O121" s="2">
        <v>50.26548245743669</v>
      </c>
      <c r="P121" s="11">
        <f t="shared" si="5"/>
        <v>2.5862678252432989</v>
      </c>
      <c r="Q121" s="2">
        <f t="shared" si="6"/>
        <v>163.32281316411431</v>
      </c>
      <c r="R121" s="2">
        <f t="shared" si="7"/>
        <v>2.0441437437011936</v>
      </c>
      <c r="S121" s="2">
        <f t="shared" si="8"/>
        <v>129.08767741473036</v>
      </c>
      <c r="T121" s="2">
        <f t="shared" si="9"/>
        <v>34.235135749383943</v>
      </c>
    </row>
    <row r="122" spans="1:20" x14ac:dyDescent="0.25">
      <c r="A122" s="10">
        <v>0.64375000000000004</v>
      </c>
      <c r="B122" s="2">
        <f t="shared" si="11"/>
        <v>117</v>
      </c>
      <c r="C122" s="4">
        <f t="shared" si="20"/>
        <v>63.83</v>
      </c>
      <c r="D122" s="2">
        <v>12</v>
      </c>
      <c r="E122" s="2">
        <v>50.26548245743669</v>
      </c>
      <c r="F122" s="11">
        <f t="shared" si="0"/>
        <v>2.3873241463784298</v>
      </c>
      <c r="G122" s="2">
        <f t="shared" si="1"/>
        <v>152.38290026333516</v>
      </c>
      <c r="H122" s="2">
        <f t="shared" si="2"/>
        <v>1.7549434866490268</v>
      </c>
      <c r="I122" s="2">
        <f t="shared" si="3"/>
        <v>112.01804275280737</v>
      </c>
      <c r="J122" s="2">
        <f t="shared" si="4"/>
        <v>40.364857510527784</v>
      </c>
      <c r="K122" s="12">
        <v>0.62083333333333335</v>
      </c>
      <c r="L122" s="2">
        <f t="shared" si="14"/>
        <v>117</v>
      </c>
      <c r="M122" s="2">
        <f t="shared" si="21"/>
        <v>63.65</v>
      </c>
      <c r="N122" s="2">
        <v>13.5</v>
      </c>
      <c r="O122" s="2">
        <v>50.26548245743669</v>
      </c>
      <c r="P122" s="11">
        <f t="shared" si="5"/>
        <v>2.6857396646757339</v>
      </c>
      <c r="Q122" s="2">
        <f t="shared" si="6"/>
        <v>170.94732965661046</v>
      </c>
      <c r="R122" s="2">
        <f t="shared" si="7"/>
        <v>2.0441437437011936</v>
      </c>
      <c r="S122" s="2">
        <f t="shared" si="8"/>
        <v>130.10974928658098</v>
      </c>
      <c r="T122" s="2">
        <f t="shared" si="9"/>
        <v>40.837580370029485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0.64387464387464388</v>
      </c>
      <c r="B123" s="2">
        <f t="shared" si="11"/>
        <v>118</v>
      </c>
      <c r="C123" s="4">
        <f t="shared" si="20"/>
        <v>64.33</v>
      </c>
      <c r="D123" s="2">
        <v>11.5</v>
      </c>
      <c r="E123" s="2">
        <v>50.26548245743669</v>
      </c>
      <c r="F123" s="11">
        <f t="shared" si="0"/>
        <v>2.2878523069459957</v>
      </c>
      <c r="G123" s="2">
        <f t="shared" si="1"/>
        <v>147.17753890583589</v>
      </c>
      <c r="H123" s="2">
        <f t="shared" si="2"/>
        <v>1.7549434866490268</v>
      </c>
      <c r="I123" s="2">
        <f t="shared" si="3"/>
        <v>112.8955144961319</v>
      </c>
      <c r="J123" s="2">
        <f t="shared" si="4"/>
        <v>34.282024409703993</v>
      </c>
      <c r="K123" s="15">
        <f t="shared" ref="K123:K160" si="23">IF(AND($K$122&lt;&gt;"",$K$161&lt;&gt;""), $K$122 + (L123 - $L$122) * (($K$161 - $K$122) / ($L$161 - $L$122)), "")</f>
        <v>0.62094017094017095</v>
      </c>
      <c r="L123" s="2">
        <f t="shared" si="14"/>
        <v>118</v>
      </c>
      <c r="M123" s="2">
        <f t="shared" si="21"/>
        <v>64.150000000000006</v>
      </c>
      <c r="N123" s="2">
        <v>13</v>
      </c>
      <c r="O123" s="2">
        <v>50.26548245743669</v>
      </c>
      <c r="P123" s="11">
        <f t="shared" si="5"/>
        <v>2.5862678252432989</v>
      </c>
      <c r="Q123" s="2">
        <f t="shared" si="6"/>
        <v>165.90908098935765</v>
      </c>
      <c r="R123" s="2">
        <f t="shared" si="7"/>
        <v>2.0441437437011936</v>
      </c>
      <c r="S123" s="2">
        <f t="shared" si="8"/>
        <v>131.13182115843159</v>
      </c>
      <c r="T123" s="2">
        <f t="shared" si="9"/>
        <v>34.777259830926056</v>
      </c>
    </row>
    <row r="124" spans="1:20" x14ac:dyDescent="0.25">
      <c r="A124" s="14">
        <f t="shared" si="22"/>
        <v>0.64399928774928783</v>
      </c>
      <c r="B124" s="2">
        <f t="shared" si="11"/>
        <v>119</v>
      </c>
      <c r="C124" s="4">
        <f t="shared" si="20"/>
        <v>64.83</v>
      </c>
      <c r="D124" s="2">
        <v>11.5</v>
      </c>
      <c r="E124" s="2">
        <v>50.26548245743669</v>
      </c>
      <c r="F124" s="11">
        <f t="shared" si="0"/>
        <v>2.2878523069459957</v>
      </c>
      <c r="G124" s="2">
        <f t="shared" si="1"/>
        <v>148.32146505930891</v>
      </c>
      <c r="H124" s="2">
        <f t="shared" si="2"/>
        <v>1.7549434866490268</v>
      </c>
      <c r="I124" s="2">
        <f t="shared" si="3"/>
        <v>113.7729862394564</v>
      </c>
      <c r="J124" s="2">
        <f t="shared" si="4"/>
        <v>34.548478819852505</v>
      </c>
      <c r="K124" s="15">
        <f t="shared" si="23"/>
        <v>0.62104700854700856</v>
      </c>
      <c r="L124" s="2">
        <f t="shared" si="14"/>
        <v>119</v>
      </c>
      <c r="M124" s="2">
        <f t="shared" si="21"/>
        <v>64.650000000000006</v>
      </c>
      <c r="N124" s="2">
        <v>13</v>
      </c>
      <c r="O124" s="2">
        <v>50.26548245743669</v>
      </c>
      <c r="P124" s="11">
        <f t="shared" si="5"/>
        <v>2.5862678252432989</v>
      </c>
      <c r="Q124" s="2">
        <f t="shared" si="6"/>
        <v>167.20221490197929</v>
      </c>
      <c r="R124" s="2">
        <f t="shared" si="7"/>
        <v>2.0441437437011936</v>
      </c>
      <c r="S124" s="2">
        <f t="shared" si="8"/>
        <v>132.15389303028218</v>
      </c>
      <c r="T124" s="2">
        <f t="shared" si="9"/>
        <v>35.048321871697112</v>
      </c>
    </row>
    <row r="125" spans="1:20" x14ac:dyDescent="0.25">
      <c r="A125" s="14">
        <f t="shared" si="22"/>
        <v>0.64412393162393167</v>
      </c>
      <c r="B125" s="2">
        <f t="shared" si="11"/>
        <v>120</v>
      </c>
      <c r="C125" s="4">
        <f t="shared" si="20"/>
        <v>65.33</v>
      </c>
      <c r="D125" s="2">
        <v>10.5</v>
      </c>
      <c r="E125" s="2">
        <v>50.26548245743669</v>
      </c>
      <c r="F125" s="11">
        <f t="shared" si="0"/>
        <v>2.0889086280811267</v>
      </c>
      <c r="G125" s="2">
        <f t="shared" si="1"/>
        <v>136.46840067254001</v>
      </c>
      <c r="H125" s="2">
        <f t="shared" si="2"/>
        <v>1.7549434866490268</v>
      </c>
      <c r="I125" s="2">
        <f t="shared" si="3"/>
        <v>114.65045798278092</v>
      </c>
      <c r="J125" s="2">
        <f t="shared" si="4"/>
        <v>21.817942689759093</v>
      </c>
      <c r="K125" s="15">
        <f t="shared" si="23"/>
        <v>0.62115384615384617</v>
      </c>
      <c r="L125" s="2">
        <f t="shared" si="14"/>
        <v>120</v>
      </c>
      <c r="M125" s="2">
        <f t="shared" si="21"/>
        <v>65.150000000000006</v>
      </c>
      <c r="N125" s="2">
        <v>13.5</v>
      </c>
      <c r="O125" s="2">
        <v>50.26548245743669</v>
      </c>
      <c r="P125" s="11">
        <f t="shared" si="5"/>
        <v>2.6857396646757339</v>
      </c>
      <c r="Q125" s="2">
        <f t="shared" si="6"/>
        <v>174.97593915362407</v>
      </c>
      <c r="R125" s="2">
        <f t="shared" si="7"/>
        <v>2.0441437437011936</v>
      </c>
      <c r="S125" s="2">
        <f t="shared" si="8"/>
        <v>133.17596490213276</v>
      </c>
      <c r="T125" s="2">
        <f t="shared" si="9"/>
        <v>41.799974251491307</v>
      </c>
    </row>
    <row r="126" spans="1:20" x14ac:dyDescent="0.25">
      <c r="A126" s="14">
        <f t="shared" si="22"/>
        <v>0.6442485754985755</v>
      </c>
      <c r="B126" s="2">
        <f t="shared" si="11"/>
        <v>121</v>
      </c>
      <c r="C126" s="4">
        <f t="shared" si="20"/>
        <v>65.83</v>
      </c>
      <c r="D126" s="2">
        <v>10.5</v>
      </c>
      <c r="E126" s="2">
        <v>50.26548245743669</v>
      </c>
      <c r="F126" s="11">
        <f t="shared" si="0"/>
        <v>2.0889086280811267</v>
      </c>
      <c r="G126" s="2">
        <f t="shared" si="1"/>
        <v>137.51285498658058</v>
      </c>
      <c r="H126" s="2">
        <f t="shared" si="2"/>
        <v>1.7549434866490268</v>
      </c>
      <c r="I126" s="2">
        <f t="shared" si="3"/>
        <v>115.52792972610543</v>
      </c>
      <c r="J126" s="2">
        <f t="shared" si="4"/>
        <v>21.984925260475151</v>
      </c>
      <c r="K126" s="15">
        <f t="shared" si="23"/>
        <v>0.62126068376068377</v>
      </c>
      <c r="L126" s="2">
        <f t="shared" si="14"/>
        <v>121</v>
      </c>
      <c r="M126" s="2">
        <f t="shared" si="21"/>
        <v>65.650000000000006</v>
      </c>
      <c r="N126" s="2">
        <v>12.5</v>
      </c>
      <c r="O126" s="2">
        <v>50.26548245743669</v>
      </c>
      <c r="P126" s="11">
        <f t="shared" si="5"/>
        <v>2.4867959858108648</v>
      </c>
      <c r="Q126" s="2">
        <f t="shared" si="6"/>
        <v>163.25815646848329</v>
      </c>
      <c r="R126" s="2">
        <f t="shared" si="7"/>
        <v>2.0441437437011936</v>
      </c>
      <c r="S126" s="2">
        <f t="shared" si="8"/>
        <v>134.19803677398338</v>
      </c>
      <c r="T126" s="2">
        <f t="shared" si="9"/>
        <v>29.060119694499917</v>
      </c>
    </row>
    <row r="127" spans="1:20" x14ac:dyDescent="0.25">
      <c r="A127" s="14">
        <f t="shared" si="22"/>
        <v>0.64437321937321945</v>
      </c>
      <c r="B127" s="2">
        <f t="shared" si="11"/>
        <v>122</v>
      </c>
      <c r="C127" s="4">
        <f t="shared" si="20"/>
        <v>66.33</v>
      </c>
      <c r="D127" s="2">
        <v>11</v>
      </c>
      <c r="E127" s="2">
        <v>50.26548245743669</v>
      </c>
      <c r="F127" s="11">
        <f t="shared" si="0"/>
        <v>2.1883804675135607</v>
      </c>
      <c r="G127" s="2">
        <f t="shared" si="1"/>
        <v>145.15527641017448</v>
      </c>
      <c r="H127" s="2">
        <f t="shared" si="2"/>
        <v>1.7549434866490268</v>
      </c>
      <c r="I127" s="2">
        <f t="shared" si="3"/>
        <v>116.40540146942995</v>
      </c>
      <c r="J127" s="2">
        <f t="shared" si="4"/>
        <v>28.749874940744533</v>
      </c>
      <c r="K127" s="15">
        <f t="shared" si="23"/>
        <v>0.62136752136752138</v>
      </c>
      <c r="L127" s="2">
        <f t="shared" si="14"/>
        <v>122</v>
      </c>
      <c r="M127" s="2">
        <f t="shared" si="21"/>
        <v>66.150000000000006</v>
      </c>
      <c r="N127" s="2">
        <v>11</v>
      </c>
      <c r="O127" s="2">
        <v>50.26548245743669</v>
      </c>
      <c r="P127" s="11">
        <f t="shared" si="5"/>
        <v>2.1883804675135607</v>
      </c>
      <c r="Q127" s="2">
        <f t="shared" si="6"/>
        <v>144.76136792602205</v>
      </c>
      <c r="R127" s="2">
        <f t="shared" si="7"/>
        <v>2.0441437437011936</v>
      </c>
      <c r="S127" s="2">
        <f t="shared" si="8"/>
        <v>135.22010864583396</v>
      </c>
      <c r="T127" s="2">
        <f t="shared" si="9"/>
        <v>9.5412592801880862</v>
      </c>
    </row>
    <row r="128" spans="1:20" x14ac:dyDescent="0.25">
      <c r="A128" s="14">
        <f t="shared" si="22"/>
        <v>0.64449786324786329</v>
      </c>
      <c r="B128" s="2">
        <f t="shared" si="11"/>
        <v>123</v>
      </c>
      <c r="C128" s="4">
        <f t="shared" si="20"/>
        <v>66.83</v>
      </c>
      <c r="D128" s="2">
        <v>10</v>
      </c>
      <c r="E128" s="2">
        <v>50.26548245743669</v>
      </c>
      <c r="F128" s="11">
        <f t="shared" si="0"/>
        <v>1.9894367886486919</v>
      </c>
      <c r="G128" s="2">
        <f t="shared" si="1"/>
        <v>132.95406058539209</v>
      </c>
      <c r="H128" s="2">
        <f t="shared" si="2"/>
        <v>1.7549434866490268</v>
      </c>
      <c r="I128" s="2">
        <f t="shared" si="3"/>
        <v>117.28287321275445</v>
      </c>
      <c r="J128" s="2">
        <f t="shared" si="4"/>
        <v>15.671187372637633</v>
      </c>
      <c r="K128" s="15">
        <f t="shared" si="23"/>
        <v>0.62147435897435899</v>
      </c>
      <c r="L128" s="2">
        <f t="shared" si="14"/>
        <v>123</v>
      </c>
      <c r="M128" s="2">
        <f t="shared" si="21"/>
        <v>66.650000000000006</v>
      </c>
      <c r="N128" s="2">
        <v>13</v>
      </c>
      <c r="O128" s="2">
        <v>50.26548245743669</v>
      </c>
      <c r="P128" s="11">
        <f t="shared" si="5"/>
        <v>2.5862678252432989</v>
      </c>
      <c r="Q128" s="2">
        <f t="shared" si="6"/>
        <v>172.37475055246588</v>
      </c>
      <c r="R128" s="2">
        <f t="shared" si="7"/>
        <v>2.0441437437011936</v>
      </c>
      <c r="S128" s="2">
        <f t="shared" si="8"/>
        <v>136.24218051768457</v>
      </c>
      <c r="T128" s="2">
        <f t="shared" si="9"/>
        <v>36.13257003478131</v>
      </c>
    </row>
    <row r="129" spans="1:20" x14ac:dyDescent="0.25">
      <c r="A129" s="14">
        <f t="shared" si="22"/>
        <v>0.64462250712250713</v>
      </c>
      <c r="B129" s="2">
        <f t="shared" si="11"/>
        <v>124</v>
      </c>
      <c r="C129" s="4">
        <f t="shared" si="20"/>
        <v>67.33</v>
      </c>
      <c r="D129" s="2">
        <v>11</v>
      </c>
      <c r="E129" s="2">
        <v>50.26548245743669</v>
      </c>
      <c r="F129" s="11">
        <f t="shared" si="0"/>
        <v>2.1883804675135607</v>
      </c>
      <c r="G129" s="2">
        <f t="shared" si="1"/>
        <v>147.34365687768803</v>
      </c>
      <c r="H129" s="2">
        <f t="shared" si="2"/>
        <v>1.7549434866490268</v>
      </c>
      <c r="I129" s="2">
        <f t="shared" si="3"/>
        <v>118.16034495607897</v>
      </c>
      <c r="J129" s="2">
        <f t="shared" si="4"/>
        <v>29.183311921609061</v>
      </c>
      <c r="K129" s="15">
        <f t="shared" si="23"/>
        <v>0.62158119658119659</v>
      </c>
      <c r="L129" s="2">
        <f t="shared" si="14"/>
        <v>124</v>
      </c>
      <c r="M129" s="2">
        <f t="shared" si="21"/>
        <v>67.150000000000006</v>
      </c>
      <c r="N129" s="2">
        <v>12.5</v>
      </c>
      <c r="O129" s="2">
        <v>50.26548245743669</v>
      </c>
      <c r="P129" s="11">
        <f t="shared" si="5"/>
        <v>2.4867959858108648</v>
      </c>
      <c r="Q129" s="2">
        <f t="shared" si="6"/>
        <v>166.98835044719959</v>
      </c>
      <c r="R129" s="2">
        <f t="shared" si="7"/>
        <v>2.0441437437011936</v>
      </c>
      <c r="S129" s="2">
        <f t="shared" si="8"/>
        <v>137.26425238953516</v>
      </c>
      <c r="T129" s="2">
        <f t="shared" si="9"/>
        <v>29.724098057664435</v>
      </c>
    </row>
    <row r="130" spans="1:20" x14ac:dyDescent="0.25">
      <c r="A130" s="14">
        <f t="shared" si="22"/>
        <v>0.64474715099715108</v>
      </c>
      <c r="B130" s="2">
        <f t="shared" si="11"/>
        <v>125</v>
      </c>
      <c r="C130" s="4">
        <f t="shared" si="20"/>
        <v>67.83</v>
      </c>
      <c r="D130" s="2">
        <v>11</v>
      </c>
      <c r="E130" s="2">
        <v>50.26548245743669</v>
      </c>
      <c r="F130" s="11">
        <f t="shared" si="0"/>
        <v>2.1883804675135607</v>
      </c>
      <c r="G130" s="2">
        <f t="shared" si="1"/>
        <v>148.43784711144482</v>
      </c>
      <c r="H130" s="2">
        <f t="shared" si="2"/>
        <v>1.7549434866490268</v>
      </c>
      <c r="I130" s="2">
        <f t="shared" si="3"/>
        <v>119.03781669940348</v>
      </c>
      <c r="J130" s="2">
        <f t="shared" si="4"/>
        <v>29.400030412041346</v>
      </c>
      <c r="K130" s="15">
        <f t="shared" si="23"/>
        <v>0.6216880341880342</v>
      </c>
      <c r="L130" s="2">
        <f t="shared" si="14"/>
        <v>125</v>
      </c>
      <c r="M130" s="2">
        <f t="shared" si="21"/>
        <v>67.650000000000006</v>
      </c>
      <c r="N130" s="2">
        <v>12.5</v>
      </c>
      <c r="O130" s="2">
        <v>50.26548245743669</v>
      </c>
      <c r="P130" s="11">
        <f t="shared" si="5"/>
        <v>2.4867959858108648</v>
      </c>
      <c r="Q130" s="2">
        <f t="shared" si="6"/>
        <v>168.23174844010501</v>
      </c>
      <c r="R130" s="2">
        <f t="shared" si="7"/>
        <v>2.0441437437011936</v>
      </c>
      <c r="S130" s="2">
        <f t="shared" si="8"/>
        <v>138.28632426138574</v>
      </c>
      <c r="T130" s="2">
        <f t="shared" si="9"/>
        <v>29.945424178719264</v>
      </c>
    </row>
    <row r="131" spans="1:20" x14ac:dyDescent="0.25">
      <c r="A131" s="14">
        <f t="shared" si="22"/>
        <v>0.64487179487179491</v>
      </c>
      <c r="B131" s="2">
        <f t="shared" si="11"/>
        <v>126</v>
      </c>
      <c r="C131" s="4">
        <f t="shared" si="20"/>
        <v>68.33</v>
      </c>
      <c r="D131" s="2">
        <v>10.5</v>
      </c>
      <c r="E131" s="2">
        <v>50.26548245743669</v>
      </c>
      <c r="F131" s="11">
        <f t="shared" si="0"/>
        <v>2.0889086280811267</v>
      </c>
      <c r="G131" s="2">
        <f t="shared" si="1"/>
        <v>142.73512655678337</v>
      </c>
      <c r="H131" s="2">
        <f t="shared" si="2"/>
        <v>1.7549434866490268</v>
      </c>
      <c r="I131" s="2">
        <f t="shared" si="3"/>
        <v>119.915288442728</v>
      </c>
      <c r="J131" s="2">
        <f t="shared" si="4"/>
        <v>22.819838114055372</v>
      </c>
      <c r="K131" s="15">
        <f t="shared" si="23"/>
        <v>0.62179487179487181</v>
      </c>
      <c r="L131" s="2">
        <f t="shared" si="14"/>
        <v>126</v>
      </c>
      <c r="M131" s="2">
        <f t="shared" si="21"/>
        <v>68.150000000000006</v>
      </c>
      <c r="N131" s="2">
        <v>12.5</v>
      </c>
      <c r="O131" s="2">
        <v>50.26548245743669</v>
      </c>
      <c r="P131" s="11">
        <f t="shared" si="5"/>
        <v>2.4867959858108648</v>
      </c>
      <c r="Q131" s="2">
        <f t="shared" si="6"/>
        <v>169.47514643301045</v>
      </c>
      <c r="R131" s="2">
        <f t="shared" si="7"/>
        <v>2.0441437437011936</v>
      </c>
      <c r="S131" s="2">
        <f t="shared" si="8"/>
        <v>139.30839613323636</v>
      </c>
      <c r="T131" s="2">
        <f t="shared" si="9"/>
        <v>30.166750299774094</v>
      </c>
    </row>
    <row r="132" spans="1:20" x14ac:dyDescent="0.25">
      <c r="A132" s="14">
        <f t="shared" si="22"/>
        <v>0.64499643874643875</v>
      </c>
      <c r="B132" s="2">
        <f t="shared" si="11"/>
        <v>127</v>
      </c>
      <c r="C132" s="4">
        <f t="shared" si="20"/>
        <v>68.83</v>
      </c>
      <c r="D132" s="2">
        <v>10</v>
      </c>
      <c r="E132" s="2">
        <v>50.26548245743669</v>
      </c>
      <c r="F132" s="11">
        <f t="shared" si="0"/>
        <v>1.9894367886486919</v>
      </c>
      <c r="G132" s="2">
        <f t="shared" si="1"/>
        <v>136.93293416268946</v>
      </c>
      <c r="H132" s="2">
        <f t="shared" si="2"/>
        <v>1.7549434866490268</v>
      </c>
      <c r="I132" s="2">
        <f t="shared" si="3"/>
        <v>120.7927601860525</v>
      </c>
      <c r="J132" s="2">
        <f t="shared" si="4"/>
        <v>16.140173976636959</v>
      </c>
      <c r="K132" s="15">
        <f t="shared" si="23"/>
        <v>0.62190170940170941</v>
      </c>
      <c r="L132" s="2">
        <f t="shared" si="14"/>
        <v>127</v>
      </c>
      <c r="M132" s="2">
        <f t="shared" si="21"/>
        <v>68.650000000000006</v>
      </c>
      <c r="N132" s="2">
        <v>12.5</v>
      </c>
      <c r="O132" s="2">
        <v>50.26548245743669</v>
      </c>
      <c r="P132" s="11">
        <f t="shared" si="5"/>
        <v>2.4867959858108648</v>
      </c>
      <c r="Q132" s="2">
        <f t="shared" si="6"/>
        <v>170.71854442591589</v>
      </c>
      <c r="R132" s="2">
        <f t="shared" si="7"/>
        <v>2.0441437437011936</v>
      </c>
      <c r="S132" s="2">
        <f t="shared" si="8"/>
        <v>140.33046800508694</v>
      </c>
      <c r="T132" s="2">
        <f t="shared" si="9"/>
        <v>30.388076420828952</v>
      </c>
    </row>
    <row r="133" spans="1:20" x14ac:dyDescent="0.25">
      <c r="A133" s="14">
        <f t="shared" si="22"/>
        <v>0.6451210826210827</v>
      </c>
      <c r="B133" s="2">
        <f t="shared" si="11"/>
        <v>128</v>
      </c>
      <c r="C133" s="4">
        <f t="shared" si="20"/>
        <v>69.33</v>
      </c>
      <c r="D133" s="2">
        <v>10</v>
      </c>
      <c r="E133" s="2">
        <v>50.26548245743669</v>
      </c>
      <c r="F133" s="11">
        <f t="shared" si="0"/>
        <v>1.9894367886486919</v>
      </c>
      <c r="G133" s="2">
        <f t="shared" si="1"/>
        <v>137.9276525570138</v>
      </c>
      <c r="H133" s="2">
        <f t="shared" si="2"/>
        <v>1.7549434866490268</v>
      </c>
      <c r="I133" s="2">
        <f t="shared" si="3"/>
        <v>121.67023192937702</v>
      </c>
      <c r="J133" s="2">
        <f t="shared" si="4"/>
        <v>16.257420627636776</v>
      </c>
      <c r="K133" s="15">
        <f t="shared" si="23"/>
        <v>0.62200854700854702</v>
      </c>
      <c r="L133" s="2">
        <f t="shared" si="14"/>
        <v>128</v>
      </c>
      <c r="M133" s="2">
        <f t="shared" si="21"/>
        <v>69.150000000000006</v>
      </c>
      <c r="N133" s="2">
        <v>12.5</v>
      </c>
      <c r="O133" s="2">
        <v>50.26548245743669</v>
      </c>
      <c r="P133" s="11">
        <f t="shared" si="5"/>
        <v>2.4867959858108648</v>
      </c>
      <c r="Q133" s="2">
        <f t="shared" si="6"/>
        <v>171.96194241882131</v>
      </c>
      <c r="R133" s="2">
        <f t="shared" si="7"/>
        <v>2.0441437437011936</v>
      </c>
      <c r="S133" s="2">
        <f t="shared" si="8"/>
        <v>141.35253987693756</v>
      </c>
      <c r="T133" s="2">
        <f t="shared" si="9"/>
        <v>30.609402541883753</v>
      </c>
    </row>
    <row r="134" spans="1:20" x14ac:dyDescent="0.25">
      <c r="A134" s="14">
        <f t="shared" si="22"/>
        <v>0.64524572649572653</v>
      </c>
      <c r="B134" s="2">
        <f t="shared" si="11"/>
        <v>129</v>
      </c>
      <c r="C134" s="4">
        <f t="shared" si="20"/>
        <v>69.83</v>
      </c>
      <c r="D134" s="2">
        <v>10.5</v>
      </c>
      <c r="E134" s="2">
        <v>50.26548245743669</v>
      </c>
      <c r="F134" s="11">
        <f t="shared" si="0"/>
        <v>2.0889086280811267</v>
      </c>
      <c r="G134" s="2">
        <f t="shared" si="1"/>
        <v>145.86848949890506</v>
      </c>
      <c r="H134" s="2">
        <f t="shared" si="2"/>
        <v>1.7549434866490268</v>
      </c>
      <c r="I134" s="2">
        <f t="shared" si="3"/>
        <v>122.54770367270153</v>
      </c>
      <c r="J134" s="2">
        <f t="shared" si="4"/>
        <v>23.320785826203533</v>
      </c>
      <c r="K134" s="15">
        <f t="shared" si="23"/>
        <v>0.62211538461538463</v>
      </c>
      <c r="L134" s="2">
        <f t="shared" si="14"/>
        <v>129</v>
      </c>
      <c r="M134" s="2">
        <f t="shared" si="21"/>
        <v>69.650000000000006</v>
      </c>
      <c r="N134" s="2">
        <v>13.5</v>
      </c>
      <c r="O134" s="2">
        <v>50.26548245743669</v>
      </c>
      <c r="P134" s="11">
        <f t="shared" si="5"/>
        <v>2.6857396646757339</v>
      </c>
      <c r="Q134" s="2">
        <f t="shared" si="6"/>
        <v>187.06176764466488</v>
      </c>
      <c r="R134" s="2">
        <f t="shared" si="7"/>
        <v>2.0441437437011936</v>
      </c>
      <c r="S134" s="2">
        <f t="shared" si="8"/>
        <v>142.37461174878814</v>
      </c>
      <c r="T134" s="2">
        <f t="shared" si="9"/>
        <v>44.687155895876742</v>
      </c>
    </row>
    <row r="135" spans="1:20" x14ac:dyDescent="0.25">
      <c r="A135" s="14">
        <f t="shared" si="22"/>
        <v>0.64537037037037037</v>
      </c>
      <c r="B135" s="2">
        <f t="shared" si="11"/>
        <v>130</v>
      </c>
      <c r="C135" s="4">
        <f t="shared" si="20"/>
        <v>70.33</v>
      </c>
      <c r="D135" s="2">
        <v>10.5</v>
      </c>
      <c r="E135" s="2">
        <v>50.26548245743669</v>
      </c>
      <c r="F135" s="11">
        <f t="shared" si="0"/>
        <v>2.0889086280811267</v>
      </c>
      <c r="G135" s="2">
        <f t="shared" si="1"/>
        <v>146.91294381294563</v>
      </c>
      <c r="H135" s="2">
        <f t="shared" si="2"/>
        <v>1.7549434866490268</v>
      </c>
      <c r="I135" s="2">
        <f t="shared" si="3"/>
        <v>123.42517541602605</v>
      </c>
      <c r="J135" s="2">
        <f t="shared" si="4"/>
        <v>23.487768396919577</v>
      </c>
      <c r="K135" s="15">
        <f t="shared" si="23"/>
        <v>0.62222222222222223</v>
      </c>
      <c r="L135" s="2">
        <f t="shared" si="14"/>
        <v>130</v>
      </c>
      <c r="M135" s="2">
        <f t="shared" si="21"/>
        <v>70.150000000000006</v>
      </c>
      <c r="N135" s="2">
        <v>12.5</v>
      </c>
      <c r="O135" s="2">
        <v>50.26548245743669</v>
      </c>
      <c r="P135" s="11">
        <f t="shared" si="5"/>
        <v>2.4867959858108648</v>
      </c>
      <c r="Q135" s="2">
        <f t="shared" si="6"/>
        <v>174.44873840463217</v>
      </c>
      <c r="R135" s="2">
        <f t="shared" si="7"/>
        <v>2.0441437437011936</v>
      </c>
      <c r="S135" s="2">
        <f t="shared" si="8"/>
        <v>143.39668362063875</v>
      </c>
      <c r="T135" s="2">
        <f t="shared" si="9"/>
        <v>31.052054783993412</v>
      </c>
    </row>
    <row r="136" spans="1:20" x14ac:dyDescent="0.25">
      <c r="A136" s="14">
        <f t="shared" si="22"/>
        <v>0.64549501424501432</v>
      </c>
      <c r="B136" s="2">
        <f t="shared" si="11"/>
        <v>131</v>
      </c>
      <c r="C136" s="4">
        <f t="shared" si="20"/>
        <v>70.83</v>
      </c>
      <c r="D136" s="2">
        <v>11.5</v>
      </c>
      <c r="E136" s="2">
        <v>50.26548245743669</v>
      </c>
      <c r="F136" s="11">
        <f t="shared" si="0"/>
        <v>2.2878523069459957</v>
      </c>
      <c r="G136" s="2">
        <f t="shared" si="1"/>
        <v>162.04857890098486</v>
      </c>
      <c r="H136" s="2">
        <f t="shared" si="2"/>
        <v>1.7549434866490268</v>
      </c>
      <c r="I136" s="2">
        <f t="shared" si="3"/>
        <v>124.30264715935057</v>
      </c>
      <c r="J136" s="2">
        <f t="shared" si="4"/>
        <v>37.745931741634294</v>
      </c>
      <c r="K136" s="15">
        <f t="shared" si="23"/>
        <v>0.62232905982905984</v>
      </c>
      <c r="L136" s="2">
        <f t="shared" si="14"/>
        <v>131</v>
      </c>
      <c r="M136" s="2">
        <f t="shared" si="21"/>
        <v>70.650000000000006</v>
      </c>
      <c r="N136" s="2">
        <v>12.5</v>
      </c>
      <c r="O136" s="2">
        <v>50.26548245743669</v>
      </c>
      <c r="P136" s="11">
        <f t="shared" si="5"/>
        <v>2.4867959858108648</v>
      </c>
      <c r="Q136" s="2">
        <f t="shared" si="6"/>
        <v>175.69213639753761</v>
      </c>
      <c r="R136" s="2">
        <f t="shared" si="7"/>
        <v>2.0441437437011936</v>
      </c>
      <c r="S136" s="2">
        <f t="shared" si="8"/>
        <v>144.41875549248934</v>
      </c>
      <c r="T136" s="2">
        <f t="shared" si="9"/>
        <v>31.273380905048271</v>
      </c>
    </row>
    <row r="137" spans="1:20" x14ac:dyDescent="0.25">
      <c r="A137" s="14">
        <f t="shared" si="22"/>
        <v>0.64561965811965816</v>
      </c>
      <c r="B137" s="2">
        <f t="shared" si="11"/>
        <v>132</v>
      </c>
      <c r="C137" s="4">
        <f t="shared" si="20"/>
        <v>71.33</v>
      </c>
      <c r="D137" s="2">
        <v>11</v>
      </c>
      <c r="E137" s="2">
        <v>50.26548245743669</v>
      </c>
      <c r="F137" s="11">
        <f t="shared" si="0"/>
        <v>2.1883804675135607</v>
      </c>
      <c r="G137" s="2">
        <f t="shared" si="1"/>
        <v>156.09717874774228</v>
      </c>
      <c r="H137" s="2">
        <f t="shared" si="2"/>
        <v>1.7549434866490268</v>
      </c>
      <c r="I137" s="2">
        <f t="shared" si="3"/>
        <v>125.18011890267508</v>
      </c>
      <c r="J137" s="2">
        <f t="shared" si="4"/>
        <v>30.9170598450672</v>
      </c>
      <c r="K137" s="15">
        <f t="shared" si="23"/>
        <v>0.62243589743589745</v>
      </c>
      <c r="L137" s="2">
        <f t="shared" si="14"/>
        <v>132</v>
      </c>
      <c r="M137" s="2">
        <f t="shared" si="21"/>
        <v>71.150000000000006</v>
      </c>
      <c r="N137" s="2">
        <v>12</v>
      </c>
      <c r="O137" s="2">
        <v>50.26548245743669</v>
      </c>
      <c r="P137" s="11">
        <f t="shared" si="5"/>
        <v>2.3873241463784298</v>
      </c>
      <c r="Q137" s="2">
        <f t="shared" si="6"/>
        <v>169.85811301482531</v>
      </c>
      <c r="R137" s="2">
        <f t="shared" si="7"/>
        <v>2.0441437437011936</v>
      </c>
      <c r="S137" s="2">
        <f t="shared" si="8"/>
        <v>145.44082736433992</v>
      </c>
      <c r="T137" s="2">
        <f t="shared" si="9"/>
        <v>24.417285650485383</v>
      </c>
    </row>
    <row r="138" spans="1:20" x14ac:dyDescent="0.25">
      <c r="A138" s="14">
        <f t="shared" si="22"/>
        <v>0.64574430199430199</v>
      </c>
      <c r="B138" s="2">
        <f t="shared" si="11"/>
        <v>133</v>
      </c>
      <c r="C138" s="4">
        <f t="shared" si="20"/>
        <v>71.83</v>
      </c>
      <c r="D138" s="2">
        <v>12</v>
      </c>
      <c r="E138" s="2">
        <v>50.26548245743669</v>
      </c>
      <c r="F138" s="11">
        <f t="shared" si="0"/>
        <v>2.3873241463784298</v>
      </c>
      <c r="G138" s="2">
        <f t="shared" si="1"/>
        <v>171.48149343436262</v>
      </c>
      <c r="H138" s="2">
        <f t="shared" si="2"/>
        <v>1.7549434866490268</v>
      </c>
      <c r="I138" s="2">
        <f t="shared" si="3"/>
        <v>126.0575906459996</v>
      </c>
      <c r="J138" s="2">
        <f t="shared" si="4"/>
        <v>45.423902788363023</v>
      </c>
      <c r="K138" s="15">
        <f t="shared" si="23"/>
        <v>0.62254273504273505</v>
      </c>
      <c r="L138" s="2">
        <f t="shared" si="14"/>
        <v>133</v>
      </c>
      <c r="M138" s="2">
        <f t="shared" si="21"/>
        <v>71.650000000000006</v>
      </c>
      <c r="N138" s="2">
        <v>13.5</v>
      </c>
      <c r="O138" s="2">
        <v>50.26548245743669</v>
      </c>
      <c r="P138" s="11">
        <f t="shared" si="5"/>
        <v>2.6857396646757339</v>
      </c>
      <c r="Q138" s="2">
        <f t="shared" si="6"/>
        <v>192.43324697401636</v>
      </c>
      <c r="R138" s="2">
        <f t="shared" si="7"/>
        <v>2.0441437437011936</v>
      </c>
      <c r="S138" s="2">
        <f t="shared" si="8"/>
        <v>146.46289923619054</v>
      </c>
      <c r="T138" s="2">
        <f t="shared" si="9"/>
        <v>45.970347737825819</v>
      </c>
    </row>
    <row r="139" spans="1:20" x14ac:dyDescent="0.25">
      <c r="A139" s="14">
        <f t="shared" si="22"/>
        <v>0.64586894586894594</v>
      </c>
      <c r="B139" s="2">
        <f t="shared" si="11"/>
        <v>134</v>
      </c>
      <c r="C139" s="4">
        <f t="shared" si="20"/>
        <v>72.33</v>
      </c>
      <c r="D139" s="2">
        <v>10.5</v>
      </c>
      <c r="E139" s="2">
        <v>50.26548245743669</v>
      </c>
      <c r="F139" s="11">
        <f t="shared" si="0"/>
        <v>2.0889086280811267</v>
      </c>
      <c r="G139" s="2">
        <f t="shared" si="1"/>
        <v>151.09076106910788</v>
      </c>
      <c r="H139" s="2">
        <f t="shared" si="2"/>
        <v>1.7549434866490268</v>
      </c>
      <c r="I139" s="2">
        <f t="shared" si="3"/>
        <v>126.9350623893241</v>
      </c>
      <c r="J139" s="2">
        <f t="shared" si="4"/>
        <v>24.155698679783782</v>
      </c>
      <c r="K139" s="15">
        <f t="shared" si="23"/>
        <v>0.62264957264957266</v>
      </c>
      <c r="L139" s="2">
        <f t="shared" si="14"/>
        <v>134</v>
      </c>
      <c r="M139" s="2">
        <f t="shared" si="21"/>
        <v>72.150000000000006</v>
      </c>
      <c r="N139" s="2">
        <v>12.5</v>
      </c>
      <c r="O139" s="2">
        <v>50.26548245743669</v>
      </c>
      <c r="P139" s="11">
        <f t="shared" si="5"/>
        <v>2.4867959858108648</v>
      </c>
      <c r="Q139" s="2">
        <f t="shared" si="6"/>
        <v>179.42233037625391</v>
      </c>
      <c r="R139" s="2">
        <f t="shared" si="7"/>
        <v>2.0441437437011936</v>
      </c>
      <c r="S139" s="2">
        <f t="shared" si="8"/>
        <v>147.48497110804112</v>
      </c>
      <c r="T139" s="2">
        <f t="shared" si="9"/>
        <v>31.937359268212788</v>
      </c>
    </row>
    <row r="140" spans="1:20" x14ac:dyDescent="0.25">
      <c r="A140" s="14">
        <f t="shared" si="22"/>
        <v>0.64599358974358978</v>
      </c>
      <c r="B140" s="2">
        <f t="shared" si="11"/>
        <v>135</v>
      </c>
      <c r="C140" s="4">
        <f t="shared" si="20"/>
        <v>72.83</v>
      </c>
      <c r="D140" s="2">
        <v>11.5</v>
      </c>
      <c r="E140" s="2">
        <v>50.26548245743669</v>
      </c>
      <c r="F140" s="11">
        <f t="shared" si="0"/>
        <v>2.2878523069459957</v>
      </c>
      <c r="G140" s="2">
        <f t="shared" si="1"/>
        <v>166.62428351487688</v>
      </c>
      <c r="H140" s="2">
        <f t="shared" si="2"/>
        <v>1.7549434866490268</v>
      </c>
      <c r="I140" s="2">
        <f t="shared" si="3"/>
        <v>127.81253413264862</v>
      </c>
      <c r="J140" s="2">
        <f t="shared" si="4"/>
        <v>38.811749382228257</v>
      </c>
      <c r="K140" s="15">
        <f t="shared" si="23"/>
        <v>0.62275641025641026</v>
      </c>
      <c r="L140" s="2">
        <f t="shared" si="14"/>
        <v>135</v>
      </c>
      <c r="M140" s="2">
        <f t="shared" si="21"/>
        <v>72.650000000000006</v>
      </c>
      <c r="N140" s="2">
        <v>12.5</v>
      </c>
      <c r="O140" s="2">
        <v>50.26548245743669</v>
      </c>
      <c r="P140" s="11">
        <f t="shared" si="5"/>
        <v>2.4867959858108648</v>
      </c>
      <c r="Q140" s="2">
        <f t="shared" si="6"/>
        <v>180.66572836915935</v>
      </c>
      <c r="R140" s="2">
        <f t="shared" si="7"/>
        <v>2.0441437437011936</v>
      </c>
      <c r="S140" s="2">
        <f t="shared" si="8"/>
        <v>148.50704297989174</v>
      </c>
      <c r="T140" s="2">
        <f t="shared" si="9"/>
        <v>32.158685389267617</v>
      </c>
    </row>
    <row r="141" spans="1:20" x14ac:dyDescent="0.25">
      <c r="A141" s="14">
        <f t="shared" si="22"/>
        <v>0.64611823361823362</v>
      </c>
      <c r="B141" s="2">
        <f t="shared" si="11"/>
        <v>136</v>
      </c>
      <c r="C141" s="4">
        <f t="shared" si="20"/>
        <v>73.33</v>
      </c>
      <c r="D141" s="2">
        <v>10.5</v>
      </c>
      <c r="E141" s="2">
        <v>50.26548245743669</v>
      </c>
      <c r="F141" s="11">
        <f t="shared" si="0"/>
        <v>2.0889086280811267</v>
      </c>
      <c r="G141" s="2">
        <f t="shared" si="1"/>
        <v>153.17966969718901</v>
      </c>
      <c r="H141" s="2">
        <f t="shared" si="2"/>
        <v>1.7549434866490268</v>
      </c>
      <c r="I141" s="2">
        <f t="shared" si="3"/>
        <v>128.69000587597313</v>
      </c>
      <c r="J141" s="2">
        <f t="shared" si="4"/>
        <v>24.489663821215885</v>
      </c>
      <c r="K141" s="15">
        <f t="shared" si="23"/>
        <v>0.62286324786324787</v>
      </c>
      <c r="L141" s="2">
        <f t="shared" si="14"/>
        <v>136</v>
      </c>
      <c r="M141" s="2">
        <f t="shared" si="21"/>
        <v>73.150000000000006</v>
      </c>
      <c r="N141" s="2">
        <v>13</v>
      </c>
      <c r="O141" s="2">
        <v>50.26548245743669</v>
      </c>
      <c r="P141" s="11">
        <f t="shared" si="5"/>
        <v>2.5862678252432989</v>
      </c>
      <c r="Q141" s="2">
        <f t="shared" si="6"/>
        <v>189.18549141654734</v>
      </c>
      <c r="R141" s="2">
        <f t="shared" si="7"/>
        <v>2.0441437437011936</v>
      </c>
      <c r="S141" s="2">
        <f t="shared" si="8"/>
        <v>149.52911485174232</v>
      </c>
      <c r="T141" s="2">
        <f t="shared" si="9"/>
        <v>39.656376564805015</v>
      </c>
    </row>
    <row r="142" spans="1:20" x14ac:dyDescent="0.25">
      <c r="A142" s="14">
        <f t="shared" si="22"/>
        <v>0.64624287749287757</v>
      </c>
      <c r="B142" s="2">
        <f t="shared" si="11"/>
        <v>137</v>
      </c>
      <c r="C142" s="4">
        <f t="shared" si="20"/>
        <v>73.83</v>
      </c>
      <c r="D142" s="2">
        <v>12</v>
      </c>
      <c r="E142" s="2">
        <v>50.26548245743669</v>
      </c>
      <c r="F142" s="11">
        <f t="shared" si="0"/>
        <v>2.3873241463784298</v>
      </c>
      <c r="G142" s="2">
        <f t="shared" si="1"/>
        <v>176.25614172711946</v>
      </c>
      <c r="H142" s="2">
        <f t="shared" si="2"/>
        <v>1.7549434866490268</v>
      </c>
      <c r="I142" s="2">
        <f t="shared" si="3"/>
        <v>129.56747761929765</v>
      </c>
      <c r="J142" s="2">
        <f t="shared" si="4"/>
        <v>46.688664107821808</v>
      </c>
      <c r="K142" s="15">
        <f t="shared" si="23"/>
        <v>0.62297008547008548</v>
      </c>
      <c r="L142" s="2">
        <f t="shared" si="14"/>
        <v>137</v>
      </c>
      <c r="M142" s="2">
        <f t="shared" si="21"/>
        <v>73.650000000000006</v>
      </c>
      <c r="N142" s="2">
        <v>14.5</v>
      </c>
      <c r="O142" s="2">
        <v>50.26548245743669</v>
      </c>
      <c r="P142" s="11">
        <f t="shared" si="5"/>
        <v>2.8846833435406034</v>
      </c>
      <c r="Q142" s="2">
        <f t="shared" si="6"/>
        <v>212.45692825176545</v>
      </c>
      <c r="R142" s="2">
        <f t="shared" si="7"/>
        <v>2.0441437437011936</v>
      </c>
      <c r="S142" s="2">
        <f t="shared" si="8"/>
        <v>150.55118672359291</v>
      </c>
      <c r="T142" s="2">
        <f t="shared" si="9"/>
        <v>61.905741528172541</v>
      </c>
    </row>
    <row r="143" spans="1:20" x14ac:dyDescent="0.25">
      <c r="A143" s="14">
        <f t="shared" si="22"/>
        <v>0.6463675213675214</v>
      </c>
      <c r="B143" s="2">
        <f t="shared" si="11"/>
        <v>138</v>
      </c>
      <c r="C143" s="4">
        <f t="shared" si="20"/>
        <v>74.33</v>
      </c>
      <c r="D143" s="2">
        <v>11</v>
      </c>
      <c r="E143" s="2">
        <v>50.26548245743669</v>
      </c>
      <c r="F143" s="11">
        <f t="shared" si="0"/>
        <v>2.1883804675135607</v>
      </c>
      <c r="G143" s="2">
        <f t="shared" si="1"/>
        <v>162.66232015028297</v>
      </c>
      <c r="H143" s="2">
        <f t="shared" si="2"/>
        <v>1.7549434866490268</v>
      </c>
      <c r="I143" s="2">
        <f t="shared" si="3"/>
        <v>130.44494936262217</v>
      </c>
      <c r="J143" s="2">
        <f t="shared" si="4"/>
        <v>32.217370787660798</v>
      </c>
      <c r="K143" s="15">
        <f t="shared" si="23"/>
        <v>0.62307692307692308</v>
      </c>
      <c r="L143" s="2">
        <f t="shared" si="14"/>
        <v>138</v>
      </c>
      <c r="M143" s="2">
        <f t="shared" si="21"/>
        <v>74.150000000000006</v>
      </c>
      <c r="N143" s="2">
        <v>13</v>
      </c>
      <c r="O143" s="2">
        <v>50.26548245743669</v>
      </c>
      <c r="P143" s="11">
        <f t="shared" si="5"/>
        <v>2.5862678252432989</v>
      </c>
      <c r="Q143" s="2">
        <f t="shared" si="6"/>
        <v>191.77175924179062</v>
      </c>
      <c r="R143" s="2">
        <f t="shared" si="7"/>
        <v>2.0441437437011936</v>
      </c>
      <c r="S143" s="2">
        <f t="shared" si="8"/>
        <v>151.57325859544352</v>
      </c>
      <c r="T143" s="2">
        <f t="shared" si="9"/>
        <v>40.1985006463471</v>
      </c>
    </row>
    <row r="144" spans="1:20" x14ac:dyDescent="0.25">
      <c r="A144" s="14">
        <f t="shared" si="22"/>
        <v>0.64649216524216524</v>
      </c>
      <c r="B144" s="2">
        <f t="shared" si="11"/>
        <v>139</v>
      </c>
      <c r="C144" s="4">
        <f t="shared" si="20"/>
        <v>74.83</v>
      </c>
      <c r="D144" s="2">
        <v>11.5</v>
      </c>
      <c r="E144" s="2">
        <v>50.26548245743669</v>
      </c>
      <c r="F144" s="11">
        <f t="shared" si="0"/>
        <v>2.2878523069459957</v>
      </c>
      <c r="G144" s="2">
        <f t="shared" si="1"/>
        <v>171.19998812876887</v>
      </c>
      <c r="H144" s="2">
        <f t="shared" si="2"/>
        <v>1.7549434866490268</v>
      </c>
      <c r="I144" s="2">
        <f t="shared" si="3"/>
        <v>131.32242110594666</v>
      </c>
      <c r="J144" s="2">
        <f t="shared" si="4"/>
        <v>39.877567022822205</v>
      </c>
      <c r="K144" s="15">
        <f t="shared" si="23"/>
        <v>0.62318376068376069</v>
      </c>
      <c r="L144" s="2">
        <f t="shared" si="14"/>
        <v>139</v>
      </c>
      <c r="M144" s="2">
        <f t="shared" si="21"/>
        <v>74.650000000000006</v>
      </c>
      <c r="N144" s="2">
        <v>12.5</v>
      </c>
      <c r="O144" s="2">
        <v>50.26548245743669</v>
      </c>
      <c r="P144" s="11">
        <f t="shared" si="5"/>
        <v>2.4867959858108648</v>
      </c>
      <c r="Q144" s="2">
        <f t="shared" si="6"/>
        <v>185.63932034078107</v>
      </c>
      <c r="R144" s="2">
        <f t="shared" si="7"/>
        <v>2.0441437437011936</v>
      </c>
      <c r="S144" s="2">
        <f t="shared" si="8"/>
        <v>152.5953304672941</v>
      </c>
      <c r="T144" s="2">
        <f t="shared" si="9"/>
        <v>33.043989873486964</v>
      </c>
    </row>
    <row r="145" spans="1:20" x14ac:dyDescent="0.25">
      <c r="A145" s="14">
        <f t="shared" si="22"/>
        <v>0.64661680911680919</v>
      </c>
      <c r="B145" s="2">
        <f t="shared" si="11"/>
        <v>140</v>
      </c>
      <c r="C145" s="4">
        <f t="shared" si="20"/>
        <v>75.33</v>
      </c>
      <c r="D145" s="2">
        <v>11</v>
      </c>
      <c r="E145" s="2">
        <v>50.26548245743669</v>
      </c>
      <c r="F145" s="11">
        <f t="shared" si="0"/>
        <v>2.1883804675135607</v>
      </c>
      <c r="G145" s="2">
        <f t="shared" si="1"/>
        <v>164.85070061779652</v>
      </c>
      <c r="H145" s="2">
        <f t="shared" si="2"/>
        <v>1.7549434866490268</v>
      </c>
      <c r="I145" s="2">
        <f t="shared" si="3"/>
        <v>132.19989284927118</v>
      </c>
      <c r="J145" s="2">
        <f t="shared" si="4"/>
        <v>32.65080776852534</v>
      </c>
      <c r="K145" s="15">
        <f t="shared" si="23"/>
        <v>0.6232905982905983</v>
      </c>
      <c r="L145" s="2">
        <f t="shared" si="14"/>
        <v>140</v>
      </c>
      <c r="M145" s="2">
        <f t="shared" si="21"/>
        <v>75.150000000000006</v>
      </c>
      <c r="N145" s="2">
        <v>13</v>
      </c>
      <c r="O145" s="2">
        <v>50.26548245743669</v>
      </c>
      <c r="P145" s="11">
        <f t="shared" si="5"/>
        <v>2.5862678252432989</v>
      </c>
      <c r="Q145" s="2">
        <f t="shared" si="6"/>
        <v>194.35802706703393</v>
      </c>
      <c r="R145" s="2">
        <f t="shared" si="7"/>
        <v>2.0441437437011936</v>
      </c>
      <c r="S145" s="2">
        <f t="shared" si="8"/>
        <v>153.61740233914472</v>
      </c>
      <c r="T145" s="2">
        <f t="shared" si="9"/>
        <v>40.740624727889212</v>
      </c>
    </row>
    <row r="146" spans="1:20" x14ac:dyDescent="0.25">
      <c r="A146" s="14">
        <f t="shared" si="22"/>
        <v>0.64674145299145303</v>
      </c>
      <c r="B146" s="2">
        <f t="shared" si="11"/>
        <v>141</v>
      </c>
      <c r="C146" s="4">
        <f t="shared" si="20"/>
        <v>75.83</v>
      </c>
      <c r="D146" s="2">
        <v>11</v>
      </c>
      <c r="E146" s="2">
        <v>50.26548245743669</v>
      </c>
      <c r="F146" s="11">
        <f t="shared" si="0"/>
        <v>2.1883804675135607</v>
      </c>
      <c r="G146" s="2">
        <f t="shared" si="1"/>
        <v>165.94489085155331</v>
      </c>
      <c r="H146" s="2">
        <f t="shared" si="2"/>
        <v>1.7549434866490268</v>
      </c>
      <c r="I146" s="2">
        <f t="shared" si="3"/>
        <v>133.0773645925957</v>
      </c>
      <c r="J146" s="2">
        <f t="shared" si="4"/>
        <v>32.867526258957611</v>
      </c>
      <c r="K146" s="15">
        <f t="shared" si="23"/>
        <v>0.6233974358974359</v>
      </c>
      <c r="L146" s="2">
        <f t="shared" si="14"/>
        <v>141</v>
      </c>
      <c r="M146" s="2">
        <f t="shared" si="21"/>
        <v>75.650000000000006</v>
      </c>
      <c r="N146" s="2">
        <v>12.5</v>
      </c>
      <c r="O146" s="2">
        <v>50.26548245743669</v>
      </c>
      <c r="P146" s="11">
        <f t="shared" si="5"/>
        <v>2.4867959858108648</v>
      </c>
      <c r="Q146" s="2">
        <f t="shared" si="6"/>
        <v>188.12611632659193</v>
      </c>
      <c r="R146" s="2">
        <f t="shared" si="7"/>
        <v>2.0441437437011936</v>
      </c>
      <c r="S146" s="2">
        <f t="shared" si="8"/>
        <v>154.6394742109953</v>
      </c>
      <c r="T146" s="2">
        <f t="shared" si="9"/>
        <v>33.486642115596624</v>
      </c>
    </row>
    <row r="147" spans="1:20" x14ac:dyDescent="0.25">
      <c r="A147" s="14">
        <f t="shared" si="22"/>
        <v>0.64686609686609686</v>
      </c>
      <c r="B147" s="2">
        <f t="shared" si="11"/>
        <v>142</v>
      </c>
      <c r="C147" s="4">
        <f t="shared" si="20"/>
        <v>76.33</v>
      </c>
      <c r="D147" s="2">
        <v>11</v>
      </c>
      <c r="E147" s="2">
        <v>50.26548245743669</v>
      </c>
      <c r="F147" s="11">
        <f t="shared" si="0"/>
        <v>2.1883804675135607</v>
      </c>
      <c r="G147" s="2">
        <f t="shared" si="1"/>
        <v>167.0390810853101</v>
      </c>
      <c r="H147" s="2">
        <f t="shared" si="2"/>
        <v>1.7549434866490268</v>
      </c>
      <c r="I147" s="2">
        <f t="shared" si="3"/>
        <v>133.95483633592022</v>
      </c>
      <c r="J147" s="2">
        <f t="shared" si="4"/>
        <v>33.084244749389882</v>
      </c>
      <c r="K147" s="15">
        <f t="shared" si="23"/>
        <v>0.62350427350427351</v>
      </c>
      <c r="L147" s="2">
        <f t="shared" si="14"/>
        <v>142</v>
      </c>
      <c r="M147" s="2">
        <f t="shared" si="21"/>
        <v>76.150000000000006</v>
      </c>
      <c r="N147" s="2">
        <v>12.5</v>
      </c>
      <c r="O147" s="2">
        <v>50.26548245743669</v>
      </c>
      <c r="P147" s="11">
        <f t="shared" si="5"/>
        <v>2.4867959858108648</v>
      </c>
      <c r="Q147" s="2">
        <f t="shared" si="6"/>
        <v>189.36951431949737</v>
      </c>
      <c r="R147" s="2">
        <f t="shared" si="7"/>
        <v>2.0441437437011936</v>
      </c>
      <c r="S147" s="2">
        <f t="shared" si="8"/>
        <v>155.66154608284589</v>
      </c>
      <c r="T147" s="2">
        <f t="shared" si="9"/>
        <v>33.707968236651482</v>
      </c>
    </row>
    <row r="148" spans="1:20" x14ac:dyDescent="0.25">
      <c r="A148" s="14">
        <f t="shared" si="22"/>
        <v>0.64699074074074081</v>
      </c>
      <c r="B148" s="2">
        <f t="shared" si="11"/>
        <v>143</v>
      </c>
      <c r="C148" s="4">
        <f t="shared" si="20"/>
        <v>76.83</v>
      </c>
      <c r="D148" s="21">
        <v>9.5</v>
      </c>
      <c r="E148" s="2">
        <v>50.26548245743669</v>
      </c>
      <c r="F148" s="11">
        <f t="shared" si="0"/>
        <v>1.8899649492162571</v>
      </c>
      <c r="G148" s="2">
        <f t="shared" si="1"/>
        <v>145.20600704828504</v>
      </c>
      <c r="H148" s="2">
        <f t="shared" si="2"/>
        <v>1.7549434866490268</v>
      </c>
      <c r="I148" s="2">
        <f t="shared" si="3"/>
        <v>134.83230807924471</v>
      </c>
      <c r="J148" s="2">
        <f t="shared" si="4"/>
        <v>10.373698969040333</v>
      </c>
      <c r="K148" s="15">
        <f t="shared" si="23"/>
        <v>0.62361111111111112</v>
      </c>
      <c r="L148" s="2">
        <f t="shared" si="14"/>
        <v>143</v>
      </c>
      <c r="M148" s="2">
        <f t="shared" si="21"/>
        <v>76.650000000000006</v>
      </c>
      <c r="N148" s="2">
        <v>11.5</v>
      </c>
      <c r="O148" s="2">
        <v>50.26548245743669</v>
      </c>
      <c r="P148" s="11">
        <f t="shared" si="5"/>
        <v>2.2878523069459957</v>
      </c>
      <c r="Q148" s="2">
        <f t="shared" si="6"/>
        <v>175.36387932741059</v>
      </c>
      <c r="R148" s="2">
        <f t="shared" si="7"/>
        <v>2.0441437437011936</v>
      </c>
      <c r="S148" s="2">
        <f t="shared" si="8"/>
        <v>156.6836179546965</v>
      </c>
      <c r="T148" s="2">
        <f t="shared" si="9"/>
        <v>18.680261372714085</v>
      </c>
    </row>
    <row r="149" spans="1:20" x14ac:dyDescent="0.25">
      <c r="A149" s="14">
        <f t="shared" si="22"/>
        <v>0.64711538461538465</v>
      </c>
      <c r="B149" s="2">
        <f t="shared" si="11"/>
        <v>144</v>
      </c>
      <c r="C149" s="4">
        <f t="shared" si="20"/>
        <v>77.33</v>
      </c>
      <c r="D149" s="21">
        <v>9.5</v>
      </c>
      <c r="E149" s="2">
        <v>50.26548245743669</v>
      </c>
      <c r="F149" s="11">
        <f t="shared" si="0"/>
        <v>1.8899649492162571</v>
      </c>
      <c r="G149" s="2">
        <f t="shared" si="1"/>
        <v>146.15098952289316</v>
      </c>
      <c r="H149" s="2">
        <f t="shared" si="2"/>
        <v>1.7549434866490268</v>
      </c>
      <c r="I149" s="2">
        <f t="shared" si="3"/>
        <v>135.70977982256923</v>
      </c>
      <c r="J149" s="2">
        <f t="shared" si="4"/>
        <v>10.441209700323924</v>
      </c>
      <c r="K149" s="15">
        <f t="shared" si="23"/>
        <v>0.62371794871794872</v>
      </c>
      <c r="L149" s="2">
        <f t="shared" si="14"/>
        <v>144</v>
      </c>
      <c r="M149" s="2">
        <f t="shared" si="21"/>
        <v>77.150000000000006</v>
      </c>
      <c r="N149" s="2">
        <v>12</v>
      </c>
      <c r="O149" s="2">
        <v>50.26548245743669</v>
      </c>
      <c r="P149" s="11">
        <f t="shared" si="5"/>
        <v>2.3873241463784298</v>
      </c>
      <c r="Q149" s="2">
        <f t="shared" si="6"/>
        <v>184.18205789309587</v>
      </c>
      <c r="R149" s="2">
        <f t="shared" si="7"/>
        <v>2.0441437437011936</v>
      </c>
      <c r="S149" s="2">
        <f t="shared" si="8"/>
        <v>157.70568982654709</v>
      </c>
      <c r="T149" s="2">
        <f t="shared" si="9"/>
        <v>26.476368066548787</v>
      </c>
    </row>
    <row r="150" spans="1:20" x14ac:dyDescent="0.25">
      <c r="A150" s="14">
        <f t="shared" si="22"/>
        <v>0.64724002849002849</v>
      </c>
      <c r="B150" s="2">
        <f t="shared" si="11"/>
        <v>145</v>
      </c>
      <c r="C150" s="4">
        <f t="shared" si="20"/>
        <v>77.83</v>
      </c>
      <c r="D150" s="21">
        <v>9.5</v>
      </c>
      <c r="E150" s="2">
        <v>50.26548245743669</v>
      </c>
      <c r="F150" s="11">
        <f t="shared" si="0"/>
        <v>1.8899649492162571</v>
      </c>
      <c r="G150" s="2">
        <f t="shared" si="1"/>
        <v>147.09597199750129</v>
      </c>
      <c r="H150" s="2">
        <f t="shared" si="2"/>
        <v>1.7549434866490268</v>
      </c>
      <c r="I150" s="2">
        <f t="shared" si="3"/>
        <v>136.58725156589375</v>
      </c>
      <c r="J150" s="2">
        <f t="shared" si="4"/>
        <v>10.508720431607543</v>
      </c>
      <c r="K150" s="15">
        <f t="shared" si="23"/>
        <v>0.62382478632478633</v>
      </c>
      <c r="L150" s="2">
        <f t="shared" si="14"/>
        <v>145</v>
      </c>
      <c r="M150" s="2">
        <f t="shared" si="21"/>
        <v>77.650000000000006</v>
      </c>
      <c r="N150" s="2">
        <v>10.5</v>
      </c>
      <c r="O150" s="2">
        <v>50.26548245743669</v>
      </c>
      <c r="P150" s="11">
        <f t="shared" si="5"/>
        <v>2.0889086280811267</v>
      </c>
      <c r="Q150" s="2">
        <f t="shared" si="6"/>
        <v>162.20375497049949</v>
      </c>
      <c r="R150" s="2">
        <f t="shared" si="7"/>
        <v>2.0441437437011936</v>
      </c>
      <c r="S150" s="2">
        <f t="shared" si="8"/>
        <v>158.7277616983977</v>
      </c>
      <c r="T150" s="2">
        <f t="shared" si="9"/>
        <v>3.475993272101789</v>
      </c>
    </row>
    <row r="151" spans="1:20" x14ac:dyDescent="0.25">
      <c r="A151" s="14">
        <f t="shared" si="22"/>
        <v>0.64736467236467243</v>
      </c>
      <c r="B151" s="2">
        <f t="shared" si="11"/>
        <v>146</v>
      </c>
      <c r="C151" s="4">
        <f t="shared" si="20"/>
        <v>78.33</v>
      </c>
      <c r="D151" s="2">
        <v>10</v>
      </c>
      <c r="E151" s="2">
        <v>50.26548245743669</v>
      </c>
      <c r="F151" s="11">
        <f t="shared" si="0"/>
        <v>1.9894367886486919</v>
      </c>
      <c r="G151" s="2">
        <f t="shared" si="1"/>
        <v>155.83258365485204</v>
      </c>
      <c r="H151" s="2">
        <f t="shared" si="2"/>
        <v>1.7549434866490268</v>
      </c>
      <c r="I151" s="2">
        <f t="shared" si="3"/>
        <v>137.46472330921827</v>
      </c>
      <c r="J151" s="2">
        <f t="shared" si="4"/>
        <v>18.367860345633773</v>
      </c>
      <c r="K151" s="15">
        <f t="shared" si="23"/>
        <v>0.62393162393162394</v>
      </c>
      <c r="L151" s="2">
        <f t="shared" si="14"/>
        <v>146</v>
      </c>
      <c r="M151" s="2">
        <f t="shared" si="21"/>
        <v>78.150000000000006</v>
      </c>
      <c r="N151" s="2">
        <v>11</v>
      </c>
      <c r="O151" s="2">
        <v>50.26548245743669</v>
      </c>
      <c r="P151" s="11">
        <f t="shared" si="5"/>
        <v>2.1883804675135607</v>
      </c>
      <c r="Q151" s="2">
        <f t="shared" si="6"/>
        <v>171.02193353618478</v>
      </c>
      <c r="R151" s="2">
        <f t="shared" si="7"/>
        <v>2.0441437437011936</v>
      </c>
      <c r="S151" s="2">
        <f t="shared" si="8"/>
        <v>159.74983357024828</v>
      </c>
      <c r="T151" s="2">
        <f t="shared" si="9"/>
        <v>11.272099965936491</v>
      </c>
    </row>
    <row r="152" spans="1:20" x14ac:dyDescent="0.25">
      <c r="A152" s="14">
        <f t="shared" si="22"/>
        <v>0.64748931623931627</v>
      </c>
      <c r="B152" s="2">
        <f t="shared" si="11"/>
        <v>147</v>
      </c>
      <c r="C152" s="4">
        <f t="shared" si="20"/>
        <v>78.83</v>
      </c>
      <c r="D152" s="2">
        <v>10.5</v>
      </c>
      <c r="E152" s="2">
        <v>50.26548245743669</v>
      </c>
      <c r="F152" s="11">
        <f t="shared" si="0"/>
        <v>2.0889086280811267</v>
      </c>
      <c r="G152" s="2">
        <f t="shared" si="1"/>
        <v>164.66866715163522</v>
      </c>
      <c r="H152" s="2">
        <f t="shared" si="2"/>
        <v>1.7549434866490268</v>
      </c>
      <c r="I152" s="2">
        <f t="shared" si="3"/>
        <v>138.34219505254279</v>
      </c>
      <c r="J152" s="2">
        <f t="shared" si="4"/>
        <v>26.326472099092427</v>
      </c>
      <c r="K152" s="15">
        <f t="shared" si="23"/>
        <v>0.62403846153846154</v>
      </c>
      <c r="L152" s="2">
        <f t="shared" si="14"/>
        <v>147</v>
      </c>
      <c r="M152" s="2">
        <f t="shared" si="21"/>
        <v>78.650000000000006</v>
      </c>
      <c r="N152" s="2">
        <v>12.5</v>
      </c>
      <c r="O152" s="2">
        <v>50.26548245743669</v>
      </c>
      <c r="P152" s="11">
        <f t="shared" si="5"/>
        <v>2.4867959858108648</v>
      </c>
      <c r="Q152" s="2">
        <f t="shared" si="6"/>
        <v>195.58650428402453</v>
      </c>
      <c r="R152" s="2">
        <f t="shared" si="7"/>
        <v>2.0441437437011936</v>
      </c>
      <c r="S152" s="2">
        <f t="shared" si="8"/>
        <v>160.7719054420989</v>
      </c>
      <c r="T152" s="2">
        <f t="shared" si="9"/>
        <v>34.81459884192563</v>
      </c>
    </row>
    <row r="153" spans="1:20" x14ac:dyDescent="0.25">
      <c r="A153" s="14">
        <f t="shared" si="22"/>
        <v>0.64761396011396011</v>
      </c>
      <c r="B153" s="2">
        <f t="shared" si="11"/>
        <v>148</v>
      </c>
      <c r="C153" s="4">
        <f t="shared" si="20"/>
        <v>79.33</v>
      </c>
      <c r="D153" s="2">
        <v>11</v>
      </c>
      <c r="E153" s="2">
        <v>50.26548245743669</v>
      </c>
      <c r="F153" s="11">
        <f t="shared" si="0"/>
        <v>2.1883804675135607</v>
      </c>
      <c r="G153" s="2">
        <f t="shared" si="1"/>
        <v>173.60422248785076</v>
      </c>
      <c r="H153" s="2">
        <f t="shared" si="2"/>
        <v>1.7549434866490268</v>
      </c>
      <c r="I153" s="2">
        <f t="shared" si="3"/>
        <v>139.21966679586728</v>
      </c>
      <c r="J153" s="2">
        <f t="shared" si="4"/>
        <v>34.384555691983479</v>
      </c>
      <c r="K153" s="15">
        <f t="shared" si="23"/>
        <v>0.62414529914529915</v>
      </c>
      <c r="L153" s="2">
        <f t="shared" si="14"/>
        <v>148</v>
      </c>
      <c r="M153" s="2">
        <f t="shared" si="21"/>
        <v>79.150000000000006</v>
      </c>
      <c r="N153" s="2">
        <v>13</v>
      </c>
      <c r="O153" s="2">
        <v>50.26548245743669</v>
      </c>
      <c r="P153" s="11">
        <f t="shared" si="5"/>
        <v>2.5862678252432989</v>
      </c>
      <c r="Q153" s="2">
        <f t="shared" si="6"/>
        <v>204.70309836800712</v>
      </c>
      <c r="R153" s="2">
        <f t="shared" si="7"/>
        <v>2.0441437437011936</v>
      </c>
      <c r="S153" s="2">
        <f t="shared" si="8"/>
        <v>161.79397731394948</v>
      </c>
      <c r="T153" s="2">
        <f t="shared" si="9"/>
        <v>42.909121054057636</v>
      </c>
    </row>
    <row r="154" spans="1:20" x14ac:dyDescent="0.25">
      <c r="A154" s="14">
        <f t="shared" si="22"/>
        <v>0.64773860398860406</v>
      </c>
      <c r="B154" s="2">
        <f t="shared" si="11"/>
        <v>149</v>
      </c>
      <c r="C154" s="4">
        <f t="shared" si="20"/>
        <v>79.83</v>
      </c>
      <c r="D154" s="2">
        <v>12</v>
      </c>
      <c r="E154" s="2">
        <v>50.26548245743669</v>
      </c>
      <c r="F154" s="11">
        <f t="shared" si="0"/>
        <v>2.3873241463784298</v>
      </c>
      <c r="G154" s="2">
        <f t="shared" si="1"/>
        <v>190.58008660539005</v>
      </c>
      <c r="H154" s="2">
        <f t="shared" si="2"/>
        <v>1.7549434866490268</v>
      </c>
      <c r="I154" s="2">
        <f t="shared" si="3"/>
        <v>140.0971385391918</v>
      </c>
      <c r="J154" s="2">
        <f t="shared" si="4"/>
        <v>50.482948066198247</v>
      </c>
      <c r="K154" s="15">
        <f t="shared" si="23"/>
        <v>0.62425213675213675</v>
      </c>
      <c r="L154" s="2">
        <f t="shared" si="14"/>
        <v>149</v>
      </c>
      <c r="M154" s="2">
        <f t="shared" si="21"/>
        <v>79.650000000000006</v>
      </c>
      <c r="N154" s="2">
        <v>12</v>
      </c>
      <c r="O154" s="2">
        <v>50.26548245743669</v>
      </c>
      <c r="P154" s="11">
        <f t="shared" si="5"/>
        <v>2.3873241463784298</v>
      </c>
      <c r="Q154" s="2">
        <f t="shared" si="6"/>
        <v>190.15036825904195</v>
      </c>
      <c r="R154" s="2">
        <f t="shared" si="7"/>
        <v>2.0441437437011936</v>
      </c>
      <c r="S154" s="2">
        <f t="shared" si="8"/>
        <v>162.81604918580007</v>
      </c>
      <c r="T154" s="2">
        <f t="shared" si="9"/>
        <v>27.334319073241886</v>
      </c>
    </row>
    <row r="155" spans="1:20" x14ac:dyDescent="0.25">
      <c r="A155" s="14">
        <f t="shared" si="22"/>
        <v>0.64786324786324789</v>
      </c>
      <c r="B155" s="2">
        <f t="shared" si="11"/>
        <v>150</v>
      </c>
      <c r="C155" s="4">
        <f t="shared" si="20"/>
        <v>80.33</v>
      </c>
      <c r="D155" s="2">
        <v>10.5</v>
      </c>
      <c r="E155" s="2">
        <v>50.26548245743669</v>
      </c>
      <c r="F155" s="11">
        <f t="shared" si="0"/>
        <v>2.0889086280811267</v>
      </c>
      <c r="G155" s="2">
        <f t="shared" si="1"/>
        <v>167.80203009375691</v>
      </c>
      <c r="H155" s="2">
        <f t="shared" si="2"/>
        <v>1.7549434866490268</v>
      </c>
      <c r="I155" s="2">
        <f t="shared" si="3"/>
        <v>140.97461028251632</v>
      </c>
      <c r="J155" s="2">
        <f t="shared" si="4"/>
        <v>26.827419811240588</v>
      </c>
      <c r="K155" s="15">
        <f t="shared" si="23"/>
        <v>0.62435897435897436</v>
      </c>
      <c r="L155" s="2">
        <f t="shared" si="14"/>
        <v>150</v>
      </c>
      <c r="M155" s="2">
        <f t="shared" si="21"/>
        <v>80.150000000000006</v>
      </c>
      <c r="N155" s="2">
        <v>13</v>
      </c>
      <c r="O155" s="2">
        <v>50.26548245743669</v>
      </c>
      <c r="P155" s="11">
        <f t="shared" si="5"/>
        <v>2.5862678252432989</v>
      </c>
      <c r="Q155" s="2">
        <f t="shared" si="6"/>
        <v>207.28936619325043</v>
      </c>
      <c r="R155" s="2">
        <f t="shared" si="7"/>
        <v>2.0441437437011936</v>
      </c>
      <c r="S155" s="2">
        <f t="shared" si="8"/>
        <v>163.83812105765068</v>
      </c>
      <c r="T155" s="2">
        <f t="shared" si="9"/>
        <v>43.451245135599748</v>
      </c>
    </row>
    <row r="156" spans="1:20" x14ac:dyDescent="0.25">
      <c r="A156" s="14">
        <f t="shared" si="22"/>
        <v>0.64798789173789173</v>
      </c>
      <c r="B156" s="2">
        <f t="shared" si="11"/>
        <v>151</v>
      </c>
      <c r="C156" s="4">
        <f t="shared" si="20"/>
        <v>80.83</v>
      </c>
      <c r="D156" s="2">
        <v>10.5</v>
      </c>
      <c r="E156" s="2">
        <v>50.26548245743669</v>
      </c>
      <c r="F156" s="11">
        <f t="shared" si="0"/>
        <v>2.0889086280811267</v>
      </c>
      <c r="G156" s="2">
        <f t="shared" si="1"/>
        <v>168.84648440779748</v>
      </c>
      <c r="H156" s="2">
        <f t="shared" si="2"/>
        <v>1.7549434866490268</v>
      </c>
      <c r="I156" s="2">
        <f t="shared" si="3"/>
        <v>141.85208202584084</v>
      </c>
      <c r="J156" s="2">
        <f t="shared" si="4"/>
        <v>26.994402381956633</v>
      </c>
      <c r="K156" s="15">
        <f t="shared" si="23"/>
        <v>0.62446581196581197</v>
      </c>
      <c r="L156" s="2">
        <f t="shared" si="14"/>
        <v>151</v>
      </c>
      <c r="M156" s="2">
        <f t="shared" si="21"/>
        <v>80.650000000000006</v>
      </c>
      <c r="N156" s="2">
        <v>12</v>
      </c>
      <c r="O156" s="2">
        <v>50.26548245743669</v>
      </c>
      <c r="P156" s="11">
        <f t="shared" si="5"/>
        <v>2.3873241463784298</v>
      </c>
      <c r="Q156" s="2">
        <f t="shared" si="6"/>
        <v>192.53769240542039</v>
      </c>
      <c r="R156" s="2">
        <f t="shared" si="7"/>
        <v>2.0441437437011936</v>
      </c>
      <c r="S156" s="2">
        <f t="shared" si="8"/>
        <v>164.86019292950127</v>
      </c>
      <c r="T156" s="2">
        <f t="shared" si="9"/>
        <v>27.67749947591912</v>
      </c>
    </row>
    <row r="157" spans="1:20" x14ac:dyDescent="0.25">
      <c r="A157" s="14">
        <f t="shared" si="22"/>
        <v>0.64811253561253568</v>
      </c>
      <c r="B157" s="2">
        <f t="shared" si="11"/>
        <v>152</v>
      </c>
      <c r="C157" s="4">
        <f t="shared" si="20"/>
        <v>81.33</v>
      </c>
      <c r="D157" s="2">
        <v>10.5</v>
      </c>
      <c r="E157" s="2">
        <v>50.26548245743669</v>
      </c>
      <c r="F157" s="11">
        <f t="shared" si="0"/>
        <v>2.0889086280811267</v>
      </c>
      <c r="G157" s="2">
        <f t="shared" si="1"/>
        <v>169.89093872183804</v>
      </c>
      <c r="H157" s="2">
        <f t="shared" si="2"/>
        <v>1.7549434866490268</v>
      </c>
      <c r="I157" s="2">
        <f t="shared" si="3"/>
        <v>142.72955376916534</v>
      </c>
      <c r="J157" s="2">
        <f t="shared" si="4"/>
        <v>27.161384952672705</v>
      </c>
      <c r="K157" s="15">
        <f t="shared" si="23"/>
        <v>0.62457264957264957</v>
      </c>
      <c r="L157" s="2">
        <f t="shared" si="14"/>
        <v>152</v>
      </c>
      <c r="M157" s="2">
        <f t="shared" si="21"/>
        <v>81.150000000000006</v>
      </c>
      <c r="N157" s="2">
        <v>11</v>
      </c>
      <c r="O157" s="2">
        <v>50.26548245743669</v>
      </c>
      <c r="P157" s="11">
        <f t="shared" si="5"/>
        <v>2.1883804675135607</v>
      </c>
      <c r="Q157" s="2">
        <f t="shared" si="6"/>
        <v>177.58707493872546</v>
      </c>
      <c r="R157" s="2">
        <f t="shared" si="7"/>
        <v>2.0441437437011936</v>
      </c>
      <c r="S157" s="2">
        <f t="shared" si="8"/>
        <v>165.88226480135188</v>
      </c>
      <c r="T157" s="2">
        <f t="shared" si="9"/>
        <v>11.704810137373585</v>
      </c>
    </row>
    <row r="158" spans="1:20" x14ac:dyDescent="0.25">
      <c r="A158" s="14">
        <f t="shared" si="22"/>
        <v>0.64823717948717952</v>
      </c>
      <c r="B158" s="2">
        <f t="shared" si="11"/>
        <v>153</v>
      </c>
      <c r="C158" s="4">
        <f t="shared" si="20"/>
        <v>81.83</v>
      </c>
      <c r="D158" s="2">
        <v>10</v>
      </c>
      <c r="E158" s="2">
        <v>50.26548245743669</v>
      </c>
      <c r="F158" s="11">
        <f t="shared" si="0"/>
        <v>1.9894367886486919</v>
      </c>
      <c r="G158" s="2">
        <f t="shared" si="1"/>
        <v>162.79561241512246</v>
      </c>
      <c r="H158" s="2">
        <f t="shared" si="2"/>
        <v>1.7549434866490268</v>
      </c>
      <c r="I158" s="2">
        <f t="shared" si="3"/>
        <v>143.60702551248986</v>
      </c>
      <c r="J158" s="2">
        <f t="shared" si="4"/>
        <v>19.188586902632608</v>
      </c>
      <c r="K158" s="15">
        <f t="shared" si="23"/>
        <v>0.62467948717948718</v>
      </c>
      <c r="L158" s="2">
        <f t="shared" si="14"/>
        <v>153</v>
      </c>
      <c r="M158" s="2">
        <f t="shared" si="21"/>
        <v>81.650000000000006</v>
      </c>
      <c r="N158" s="2">
        <v>11</v>
      </c>
      <c r="O158" s="2">
        <v>50.26548245743669</v>
      </c>
      <c r="P158" s="11">
        <f t="shared" si="5"/>
        <v>2.1883804675135607</v>
      </c>
      <c r="Q158" s="2">
        <f t="shared" si="6"/>
        <v>178.68126517248226</v>
      </c>
      <c r="R158" s="2">
        <f t="shared" si="7"/>
        <v>2.0441437437011936</v>
      </c>
      <c r="S158" s="2">
        <f t="shared" si="8"/>
        <v>166.90433667320247</v>
      </c>
      <c r="T158" s="2">
        <f t="shared" si="9"/>
        <v>11.776928499279791</v>
      </c>
    </row>
    <row r="159" spans="1:20" x14ac:dyDescent="0.25">
      <c r="A159" s="14">
        <f t="shared" si="22"/>
        <v>0.64836182336182335</v>
      </c>
      <c r="B159" s="2">
        <f t="shared" si="11"/>
        <v>154</v>
      </c>
      <c r="C159" s="4">
        <f t="shared" si="20"/>
        <v>82.33</v>
      </c>
      <c r="D159" s="2">
        <v>8.5</v>
      </c>
      <c r="E159" s="2">
        <v>50.26548245743669</v>
      </c>
      <c r="F159" s="11">
        <f t="shared" si="0"/>
        <v>1.6910212703513881</v>
      </c>
      <c r="G159" s="2">
        <f t="shared" si="1"/>
        <v>139.22178118802978</v>
      </c>
      <c r="H159" s="2">
        <f t="shared" si="2"/>
        <v>1.7549434866490268</v>
      </c>
      <c r="I159" s="2">
        <f t="shared" si="3"/>
        <v>144.48449725581438</v>
      </c>
      <c r="J159" s="2">
        <f t="shared" si="4"/>
        <v>5.262716067784595</v>
      </c>
      <c r="K159" s="15">
        <f t="shared" si="23"/>
        <v>0.62478632478632479</v>
      </c>
      <c r="L159" s="2">
        <f t="shared" si="14"/>
        <v>154</v>
      </c>
      <c r="M159" s="2">
        <f t="shared" si="21"/>
        <v>82.15</v>
      </c>
      <c r="N159" s="2">
        <v>10.5</v>
      </c>
      <c r="O159" s="2">
        <v>50.26548245743669</v>
      </c>
      <c r="P159" s="11">
        <f t="shared" si="5"/>
        <v>2.0889086280811267</v>
      </c>
      <c r="Q159" s="2">
        <f t="shared" si="6"/>
        <v>171.60384379686457</v>
      </c>
      <c r="R159" s="2">
        <f t="shared" si="7"/>
        <v>2.0441437437011936</v>
      </c>
      <c r="S159" s="2">
        <f t="shared" si="8"/>
        <v>167.92640854505305</v>
      </c>
      <c r="T159" s="2">
        <f t="shared" si="9"/>
        <v>3.6774352518115165</v>
      </c>
    </row>
    <row r="160" spans="1:20" x14ac:dyDescent="0.25">
      <c r="A160" s="14">
        <f t="shared" si="22"/>
        <v>0.6484864672364673</v>
      </c>
      <c r="B160" s="2">
        <f t="shared" si="11"/>
        <v>155</v>
      </c>
      <c r="C160" s="4">
        <f t="shared" si="20"/>
        <v>82.83</v>
      </c>
      <c r="D160" s="2">
        <v>7.5</v>
      </c>
      <c r="E160" s="2">
        <v>50.26548245743669</v>
      </c>
      <c r="F160" s="11">
        <f t="shared" si="0"/>
        <v>1.492077591486519</v>
      </c>
      <c r="G160" s="2">
        <f t="shared" si="1"/>
        <v>123.58878690282836</v>
      </c>
      <c r="H160" s="2">
        <f t="shared" si="2"/>
        <v>1.7549434866490268</v>
      </c>
      <c r="I160" s="2">
        <f t="shared" si="3"/>
        <v>145.3619689991389</v>
      </c>
      <c r="J160" s="2">
        <f t="shared" si="4"/>
        <v>21.773182096310535</v>
      </c>
      <c r="K160" s="15">
        <f t="shared" si="23"/>
        <v>0.62489316239316239</v>
      </c>
      <c r="L160" s="2">
        <f t="shared" si="14"/>
        <v>155</v>
      </c>
      <c r="M160" s="2">
        <f t="shared" si="21"/>
        <v>82.65</v>
      </c>
      <c r="N160" s="2">
        <v>10.5</v>
      </c>
      <c r="O160" s="2">
        <v>50.26548245743669</v>
      </c>
      <c r="P160" s="11">
        <f t="shared" si="5"/>
        <v>2.0889086280811267</v>
      </c>
      <c r="Q160" s="2">
        <f t="shared" si="6"/>
        <v>172.64829811090513</v>
      </c>
      <c r="R160" s="2">
        <f t="shared" si="7"/>
        <v>2.0441437437011936</v>
      </c>
      <c r="S160" s="2">
        <f t="shared" si="8"/>
        <v>168.94848041690366</v>
      </c>
      <c r="T160" s="2">
        <f t="shared" si="9"/>
        <v>3.6998176940014673</v>
      </c>
    </row>
    <row r="161" spans="1:20" x14ac:dyDescent="0.25">
      <c r="A161" s="10">
        <v>0.64861111111111114</v>
      </c>
      <c r="B161" s="2">
        <f t="shared" si="11"/>
        <v>156</v>
      </c>
      <c r="C161" s="4">
        <f t="shared" si="20"/>
        <v>83.33</v>
      </c>
      <c r="D161" s="2">
        <v>7.5</v>
      </c>
      <c r="E161" s="2">
        <v>50.26548245743669</v>
      </c>
      <c r="F161" s="11">
        <f t="shared" si="0"/>
        <v>1.492077591486519</v>
      </c>
      <c r="G161" s="2">
        <f t="shared" si="1"/>
        <v>124.33482569857162</v>
      </c>
      <c r="H161" s="2">
        <f t="shared" si="2"/>
        <v>1.7549434866490268</v>
      </c>
      <c r="I161" s="2">
        <f t="shared" si="3"/>
        <v>146.23944074246339</v>
      </c>
      <c r="J161" s="2">
        <f t="shared" si="4"/>
        <v>21.904615043891766</v>
      </c>
      <c r="K161" s="12">
        <v>0.625</v>
      </c>
      <c r="L161" s="2">
        <f t="shared" si="14"/>
        <v>156</v>
      </c>
      <c r="M161" s="2">
        <f t="shared" si="21"/>
        <v>83.15</v>
      </c>
      <c r="N161" s="2">
        <v>8.5</v>
      </c>
      <c r="O161" s="2">
        <v>50.26548245743669</v>
      </c>
      <c r="P161" s="11">
        <f t="shared" si="5"/>
        <v>1.6910212703513881</v>
      </c>
      <c r="Q161" s="2">
        <f t="shared" si="6"/>
        <v>140.60841862971793</v>
      </c>
      <c r="R161" s="2">
        <f t="shared" si="7"/>
        <v>2.0441437437011936</v>
      </c>
      <c r="S161" s="2">
        <f t="shared" si="8"/>
        <v>169.97055228875425</v>
      </c>
      <c r="T161" s="2">
        <f t="shared" si="9"/>
        <v>29.362133659036317</v>
      </c>
    </row>
    <row r="162" spans="1:20" x14ac:dyDescent="0.25">
      <c r="A162" s="10">
        <v>0.64861111111111114</v>
      </c>
      <c r="B162" s="2">
        <f t="shared" si="11"/>
        <v>157</v>
      </c>
      <c r="C162" s="4">
        <f t="shared" si="20"/>
        <v>83.83</v>
      </c>
      <c r="D162" s="2">
        <v>6</v>
      </c>
      <c r="E162" s="2">
        <v>50.26548245743669</v>
      </c>
      <c r="F162" s="11">
        <f t="shared" si="0"/>
        <v>1.1936620731892149</v>
      </c>
      <c r="G162" s="2">
        <f t="shared" si="1"/>
        <v>100.06469159545189</v>
      </c>
      <c r="H162" s="2">
        <f t="shared" si="2"/>
        <v>1.7549434866490268</v>
      </c>
      <c r="I162" s="2">
        <f t="shared" si="3"/>
        <v>147.11691248578791</v>
      </c>
      <c r="J162" s="2">
        <f t="shared" si="4"/>
        <v>47.052220890336017</v>
      </c>
      <c r="K162" s="12">
        <v>0.625</v>
      </c>
      <c r="L162" s="2">
        <f t="shared" si="14"/>
        <v>157</v>
      </c>
      <c r="M162" s="2">
        <f t="shared" si="21"/>
        <v>83.65</v>
      </c>
      <c r="N162" s="2">
        <v>8</v>
      </c>
      <c r="O162" s="2">
        <v>50.26548245743669</v>
      </c>
      <c r="P162" s="11">
        <f t="shared" si="5"/>
        <v>1.5915494309189535</v>
      </c>
      <c r="Q162" s="2">
        <f t="shared" si="6"/>
        <v>133.13310989637046</v>
      </c>
      <c r="R162" s="2">
        <f t="shared" si="7"/>
        <v>2.0441437437011936</v>
      </c>
      <c r="S162" s="2">
        <f t="shared" si="8"/>
        <v>170.99262416060486</v>
      </c>
      <c r="T162" s="2">
        <f t="shared" si="9"/>
        <v>37.859514264234406</v>
      </c>
    </row>
    <row r="163" spans="1:20" x14ac:dyDescent="0.25">
      <c r="A163" s="10"/>
      <c r="C163" s="4"/>
      <c r="F163" s="11"/>
      <c r="K163" s="12"/>
      <c r="P163" s="11"/>
    </row>
    <row r="164" spans="1:20" x14ac:dyDescent="0.25">
      <c r="A164" s="10"/>
      <c r="C164" s="4"/>
      <c r="F164" s="11"/>
      <c r="K164" s="12"/>
      <c r="P164" s="11"/>
    </row>
    <row r="165" spans="1:20" x14ac:dyDescent="0.25">
      <c r="A165" s="10"/>
      <c r="C165" s="4"/>
      <c r="F165" s="11"/>
      <c r="K165" s="12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28">
    <mergeCell ref="V23:X23"/>
    <mergeCell ref="V24:X24"/>
    <mergeCell ref="V25:X25"/>
    <mergeCell ref="V26:X26"/>
    <mergeCell ref="V12:W12"/>
    <mergeCell ref="V13:W13"/>
    <mergeCell ref="V14:W14"/>
    <mergeCell ref="V15:W15"/>
    <mergeCell ref="V16:W16"/>
    <mergeCell ref="V17:W17"/>
    <mergeCell ref="V18:W18"/>
    <mergeCell ref="V10:W10"/>
    <mergeCell ref="V11:W11"/>
    <mergeCell ref="V19:X19"/>
    <mergeCell ref="W20:X20"/>
    <mergeCell ref="V21:W21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X174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14084.691231194114</v>
      </c>
      <c r="G2" s="4">
        <f>SUM(C6:C174)</f>
        <v>6934.3099999999931</v>
      </c>
      <c r="H2" s="2">
        <f>F2/G2</f>
        <v>2.0311597305563391</v>
      </c>
      <c r="I2" s="2">
        <f>SUM(J6:J174)</f>
        <v>3435.9595112289753</v>
      </c>
      <c r="J2" s="2">
        <f>(1-(I2/(F2)))*100</f>
        <v>75.605006493722968</v>
      </c>
      <c r="K2" s="1"/>
      <c r="L2" s="1"/>
      <c r="M2" s="1"/>
      <c r="N2" s="1"/>
      <c r="O2" s="1"/>
      <c r="P2" s="2">
        <f>SUM(Q6:Q174)</f>
        <v>14269.096106007535</v>
      </c>
      <c r="Q2" s="2">
        <f>SUM(M6:M174)</f>
        <v>6906.0499999999911</v>
      </c>
      <c r="R2" s="2">
        <f>P2/Q2</f>
        <v>2.0661732981961545</v>
      </c>
      <c r="S2" s="2">
        <f>SUM(T6:T174)</f>
        <v>3459.1717966824126</v>
      </c>
      <c r="T2" s="2">
        <f>(1-(S2/(P2)))*100</f>
        <v>75.757596900436866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6" t="s">
        <v>95</v>
      </c>
      <c r="F4" s="26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50" t="s">
        <v>95</v>
      </c>
      <c r="P4" s="36"/>
      <c r="V4" s="34" t="s">
        <v>12</v>
      </c>
      <c r="W4" s="36"/>
      <c r="X4" s="6" t="s">
        <v>95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45937</v>
      </c>
    </row>
    <row r="6" spans="1:24" x14ac:dyDescent="0.25">
      <c r="A6" s="10">
        <v>0.72638888888888886</v>
      </c>
      <c r="B6" s="2">
        <v>1</v>
      </c>
      <c r="C6" s="4">
        <v>4.83</v>
      </c>
      <c r="D6" s="2">
        <v>5.5</v>
      </c>
      <c r="E6" s="2">
        <v>50.26548245743669</v>
      </c>
      <c r="F6" s="11">
        <f t="shared" ref="F6:F162" si="0">(D6/E6)*10</f>
        <v>1.0941902337567804</v>
      </c>
      <c r="G6" s="2">
        <f t="shared" ref="G6:G162" si="1">F6*C6</f>
        <v>5.2849388290452497</v>
      </c>
      <c r="H6" s="2">
        <f t="shared" ref="H6:H162" si="2">$H$2</f>
        <v>2.0311597305563391</v>
      </c>
      <c r="I6" s="2">
        <f t="shared" ref="I6:I162" si="3">H6*C6</f>
        <v>9.8105014985871186</v>
      </c>
      <c r="J6" s="2">
        <f t="shared" ref="J6:J162" si="4">ABS(G6-I6)</f>
        <v>4.5255626695418689</v>
      </c>
      <c r="K6" s="12">
        <v>0.70902777777777781</v>
      </c>
      <c r="L6" s="2">
        <v>1</v>
      </c>
      <c r="M6" s="2">
        <v>4.6500000000000004</v>
      </c>
      <c r="N6" s="2">
        <v>4.5</v>
      </c>
      <c r="O6" s="2">
        <v>50.26548245743669</v>
      </c>
      <c r="P6" s="11">
        <f t="shared" ref="P6:P162" si="5">(N6/O6)*10</f>
        <v>0.89524655489191129</v>
      </c>
      <c r="Q6" s="2">
        <f t="shared" ref="Q6:Q162" si="6">P6*M6</f>
        <v>4.1628964802473876</v>
      </c>
      <c r="R6" s="2">
        <f t="shared" ref="R6:R162" si="7">$R$2</f>
        <v>2.0661732981961545</v>
      </c>
      <c r="S6" s="2">
        <f t="shared" ref="S6:S162" si="8">R6*M6</f>
        <v>9.6077058366121193</v>
      </c>
      <c r="T6" s="2">
        <f t="shared" ref="T6:T162" si="9">ABS(Q6-S6)</f>
        <v>5.4448093563647317</v>
      </c>
      <c r="V6" s="37" t="s">
        <v>23</v>
      </c>
      <c r="W6" s="36"/>
      <c r="X6" s="13" t="s">
        <v>96</v>
      </c>
    </row>
    <row r="7" spans="1:24" x14ac:dyDescent="0.25">
      <c r="A7" s="30">
        <f t="shared" ref="A7:A43" si="10">IF(AND($A$6&lt;&gt;"",$A$44&lt;&gt;""), $A$6 + (B7 - $B$6) * (($A$44 - $A$6) / ($B$44 - $B$6)), "")</f>
        <v>0.72649853801169584</v>
      </c>
      <c r="B7" s="2">
        <f t="shared" ref="B7:B162" si="11">B6+1</f>
        <v>2</v>
      </c>
      <c r="C7" s="4">
        <f t="shared" ref="C7:C109" si="12">C6+0.5</f>
        <v>5.33</v>
      </c>
      <c r="D7" s="2">
        <v>8.5</v>
      </c>
      <c r="E7" s="2">
        <v>50.26548245743669</v>
      </c>
      <c r="F7" s="11">
        <f t="shared" si="0"/>
        <v>1.6910212703513881</v>
      </c>
      <c r="G7" s="2">
        <f t="shared" si="1"/>
        <v>9.0131433709728981</v>
      </c>
      <c r="H7" s="2">
        <f t="shared" si="2"/>
        <v>2.0311597305563391</v>
      </c>
      <c r="I7" s="2">
        <f t="shared" si="3"/>
        <v>10.826081363865288</v>
      </c>
      <c r="J7" s="2">
        <f t="shared" si="4"/>
        <v>1.8129379928923903</v>
      </c>
      <c r="K7" s="15">
        <f t="shared" ref="K7:K43" si="13">IF(AND($K$6&lt;&gt;"",$K$44&lt;&gt;""), $K$6 + (L7 - $L$6) * (($K$44 - $K$6) / ($L$44 - $L$6)), "")</f>
        <v>0.70911915204678366</v>
      </c>
      <c r="L7" s="2">
        <f t="shared" ref="L7:L162" si="14">L6+1</f>
        <v>2</v>
      </c>
      <c r="M7" s="2">
        <f t="shared" ref="M7:M109" si="15">M6+0.5</f>
        <v>5.15</v>
      </c>
      <c r="N7" s="2">
        <v>7</v>
      </c>
      <c r="O7" s="2">
        <v>50.26548245743669</v>
      </c>
      <c r="P7" s="11">
        <f t="shared" si="5"/>
        <v>1.3926057520540844</v>
      </c>
      <c r="Q7" s="2">
        <f t="shared" si="6"/>
        <v>7.1719196230785354</v>
      </c>
      <c r="R7" s="2">
        <f t="shared" si="7"/>
        <v>2.0661732981961545</v>
      </c>
      <c r="S7" s="2">
        <f t="shared" si="8"/>
        <v>10.640792485710197</v>
      </c>
      <c r="T7" s="2">
        <f t="shared" si="9"/>
        <v>3.4688728626316614</v>
      </c>
      <c r="V7" s="37" t="s">
        <v>24</v>
      </c>
      <c r="W7" s="36"/>
      <c r="X7" s="6" t="s">
        <v>97</v>
      </c>
    </row>
    <row r="8" spans="1:24" x14ac:dyDescent="0.25">
      <c r="A8" s="30">
        <f t="shared" si="10"/>
        <v>0.72660818713450293</v>
      </c>
      <c r="B8" s="2">
        <f t="shared" si="11"/>
        <v>3</v>
      </c>
      <c r="C8" s="4">
        <f t="shared" si="12"/>
        <v>5.83</v>
      </c>
      <c r="D8" s="2">
        <v>7</v>
      </c>
      <c r="E8" s="2">
        <v>50.26548245743669</v>
      </c>
      <c r="F8" s="11">
        <f t="shared" si="0"/>
        <v>1.3926057520540844</v>
      </c>
      <c r="G8" s="2">
        <f t="shared" si="1"/>
        <v>8.1188915344753116</v>
      </c>
      <c r="H8" s="2">
        <f t="shared" si="2"/>
        <v>2.0311597305563391</v>
      </c>
      <c r="I8" s="2">
        <f t="shared" si="3"/>
        <v>11.841661229143458</v>
      </c>
      <c r="J8" s="2">
        <f t="shared" si="4"/>
        <v>3.7227696946681466</v>
      </c>
      <c r="K8" s="15">
        <f t="shared" si="13"/>
        <v>0.70921052631578951</v>
      </c>
      <c r="L8" s="2">
        <f t="shared" si="14"/>
        <v>3</v>
      </c>
      <c r="M8" s="2">
        <f t="shared" si="15"/>
        <v>5.65</v>
      </c>
      <c r="N8" s="2">
        <v>8</v>
      </c>
      <c r="O8" s="2">
        <v>50.26548245743669</v>
      </c>
      <c r="P8" s="11">
        <f t="shared" si="5"/>
        <v>1.5915494309189535</v>
      </c>
      <c r="Q8" s="2">
        <f t="shared" si="6"/>
        <v>8.9922542846920877</v>
      </c>
      <c r="R8" s="2">
        <f t="shared" si="7"/>
        <v>2.0661732981961545</v>
      </c>
      <c r="S8" s="2">
        <f t="shared" si="8"/>
        <v>11.673879134808274</v>
      </c>
      <c r="T8" s="2">
        <f t="shared" si="9"/>
        <v>2.6816248501161866</v>
      </c>
      <c r="V8" s="34" t="s">
        <v>25</v>
      </c>
      <c r="W8" s="35"/>
      <c r="X8" s="36"/>
    </row>
    <row r="9" spans="1:24" x14ac:dyDescent="0.25">
      <c r="A9" s="30">
        <f t="shared" si="10"/>
        <v>0.7267178362573099</v>
      </c>
      <c r="B9" s="2">
        <f t="shared" si="11"/>
        <v>4</v>
      </c>
      <c r="C9" s="4">
        <f t="shared" si="12"/>
        <v>6.33</v>
      </c>
      <c r="D9" s="2">
        <v>8.5</v>
      </c>
      <c r="E9" s="2">
        <v>50.26548245743669</v>
      </c>
      <c r="F9" s="11">
        <f t="shared" si="0"/>
        <v>1.6910212703513881</v>
      </c>
      <c r="G9" s="2">
        <f t="shared" si="1"/>
        <v>10.704164641324287</v>
      </c>
      <c r="H9" s="2">
        <f t="shared" si="2"/>
        <v>2.0311597305563391</v>
      </c>
      <c r="I9" s="2">
        <f t="shared" si="3"/>
        <v>12.857241094421626</v>
      </c>
      <c r="J9" s="2">
        <f t="shared" si="4"/>
        <v>2.1530764530973396</v>
      </c>
      <c r="K9" s="15">
        <f t="shared" si="13"/>
        <v>0.70930190058479536</v>
      </c>
      <c r="L9" s="2">
        <f t="shared" si="14"/>
        <v>4</v>
      </c>
      <c r="M9" s="2">
        <f t="shared" si="15"/>
        <v>6.15</v>
      </c>
      <c r="N9" s="2">
        <v>8.5</v>
      </c>
      <c r="O9" s="2">
        <v>50.26548245743669</v>
      </c>
      <c r="P9" s="11">
        <f t="shared" si="5"/>
        <v>1.6910212703513881</v>
      </c>
      <c r="Q9" s="2">
        <f t="shared" si="6"/>
        <v>10.399780812661037</v>
      </c>
      <c r="R9" s="2">
        <f t="shared" si="7"/>
        <v>2.0661732981961545</v>
      </c>
      <c r="S9" s="2">
        <f t="shared" si="8"/>
        <v>12.70696578390635</v>
      </c>
      <c r="T9" s="2">
        <f t="shared" si="9"/>
        <v>2.307184971245313</v>
      </c>
      <c r="V9" s="34" t="s">
        <v>26</v>
      </c>
      <c r="W9" s="36"/>
      <c r="X9" s="16">
        <v>0.65347222222222223</v>
      </c>
    </row>
    <row r="10" spans="1:24" x14ac:dyDescent="0.25">
      <c r="A10" s="30">
        <f t="shared" si="10"/>
        <v>0.72682748538011688</v>
      </c>
      <c r="B10" s="2">
        <f t="shared" si="11"/>
        <v>5</v>
      </c>
      <c r="C10" s="4">
        <f t="shared" si="12"/>
        <v>6.83</v>
      </c>
      <c r="D10" s="2">
        <v>10.5</v>
      </c>
      <c r="E10" s="2">
        <v>50.26548245743669</v>
      </c>
      <c r="F10" s="11">
        <f t="shared" si="0"/>
        <v>2.0889086280811267</v>
      </c>
      <c r="G10" s="2">
        <f t="shared" si="1"/>
        <v>14.267245929794095</v>
      </c>
      <c r="H10" s="2">
        <f t="shared" si="2"/>
        <v>2.0311597305563391</v>
      </c>
      <c r="I10" s="2">
        <f t="shared" si="3"/>
        <v>13.872820959699796</v>
      </c>
      <c r="J10" s="2">
        <f t="shared" si="4"/>
        <v>0.394424970094299</v>
      </c>
      <c r="K10" s="15">
        <f t="shared" si="13"/>
        <v>0.70939327485380121</v>
      </c>
      <c r="L10" s="2">
        <f t="shared" si="14"/>
        <v>5</v>
      </c>
      <c r="M10" s="2">
        <f t="shared" si="15"/>
        <v>6.65</v>
      </c>
      <c r="N10" s="2">
        <v>10.5</v>
      </c>
      <c r="O10" s="2">
        <v>50.26548245743669</v>
      </c>
      <c r="P10" s="11">
        <f t="shared" si="5"/>
        <v>2.0889086280811267</v>
      </c>
      <c r="Q10" s="2">
        <f t="shared" si="6"/>
        <v>13.891242376739493</v>
      </c>
      <c r="R10" s="2">
        <f t="shared" si="7"/>
        <v>2.0661732981961545</v>
      </c>
      <c r="S10" s="2">
        <f t="shared" si="8"/>
        <v>13.740052433004427</v>
      </c>
      <c r="T10" s="2">
        <f t="shared" si="9"/>
        <v>0.15118994373506567</v>
      </c>
      <c r="V10" s="34" t="s">
        <v>27</v>
      </c>
      <c r="W10" s="36"/>
      <c r="X10" s="6">
        <v>50</v>
      </c>
    </row>
    <row r="11" spans="1:24" x14ac:dyDescent="0.25">
      <c r="A11" s="30">
        <f t="shared" si="10"/>
        <v>0.72693713450292397</v>
      </c>
      <c r="B11" s="2">
        <f t="shared" si="11"/>
        <v>6</v>
      </c>
      <c r="C11" s="4">
        <f t="shared" si="12"/>
        <v>7.33</v>
      </c>
      <c r="D11" s="2">
        <v>16</v>
      </c>
      <c r="E11" s="2">
        <v>50.26548245743669</v>
      </c>
      <c r="F11" s="11">
        <f t="shared" si="0"/>
        <v>3.183098861837907</v>
      </c>
      <c r="G11" s="2">
        <f t="shared" si="1"/>
        <v>23.332114657271859</v>
      </c>
      <c r="H11" s="2">
        <f t="shared" si="2"/>
        <v>2.0311597305563391</v>
      </c>
      <c r="I11" s="2">
        <f t="shared" si="3"/>
        <v>14.888400824977966</v>
      </c>
      <c r="J11" s="2">
        <f t="shared" si="4"/>
        <v>8.4437138322938932</v>
      </c>
      <c r="K11" s="15">
        <f t="shared" si="13"/>
        <v>0.70948464912280707</v>
      </c>
      <c r="L11" s="2">
        <f t="shared" si="14"/>
        <v>6</v>
      </c>
      <c r="M11" s="2">
        <f t="shared" si="15"/>
        <v>7.15</v>
      </c>
      <c r="N11" s="2">
        <v>13</v>
      </c>
      <c r="O11" s="2">
        <v>50.26548245743669</v>
      </c>
      <c r="P11" s="11">
        <f t="shared" si="5"/>
        <v>2.5862678252432989</v>
      </c>
      <c r="Q11" s="2">
        <f t="shared" si="6"/>
        <v>18.491814950489587</v>
      </c>
      <c r="R11" s="2">
        <f t="shared" si="7"/>
        <v>2.0661732981961545</v>
      </c>
      <c r="S11" s="2">
        <f t="shared" si="8"/>
        <v>14.773139082102505</v>
      </c>
      <c r="T11" s="2">
        <f t="shared" si="9"/>
        <v>3.7186758683870824</v>
      </c>
      <c r="V11" s="34" t="s">
        <v>28</v>
      </c>
      <c r="W11" s="36"/>
      <c r="X11" s="6">
        <v>50</v>
      </c>
    </row>
    <row r="12" spans="1:24" x14ac:dyDescent="0.25">
      <c r="A12" s="30">
        <f t="shared" si="10"/>
        <v>0.72704678362573094</v>
      </c>
      <c r="B12" s="2">
        <f t="shared" si="11"/>
        <v>7</v>
      </c>
      <c r="C12" s="4">
        <f t="shared" si="12"/>
        <v>7.83</v>
      </c>
      <c r="D12" s="23">
        <v>15</v>
      </c>
      <c r="E12" s="2">
        <v>50.26548245743669</v>
      </c>
      <c r="F12" s="11">
        <f t="shared" si="0"/>
        <v>2.9841551829730379</v>
      </c>
      <c r="G12" s="2">
        <f t="shared" si="1"/>
        <v>23.365935082678888</v>
      </c>
      <c r="H12" s="2">
        <f t="shared" si="2"/>
        <v>2.0311597305563391</v>
      </c>
      <c r="I12" s="2">
        <f t="shared" si="3"/>
        <v>15.903980690256136</v>
      </c>
      <c r="J12" s="2">
        <f t="shared" si="4"/>
        <v>7.4619543924227525</v>
      </c>
      <c r="K12" s="15">
        <f t="shared" si="13"/>
        <v>0.70957602339181292</v>
      </c>
      <c r="L12" s="2">
        <f t="shared" si="14"/>
        <v>7</v>
      </c>
      <c r="M12" s="2">
        <f t="shared" si="15"/>
        <v>7.65</v>
      </c>
      <c r="N12" s="23">
        <v>15.5</v>
      </c>
      <c r="O12" s="2">
        <v>50.26548245743669</v>
      </c>
      <c r="P12" s="11">
        <f t="shared" si="5"/>
        <v>3.0836270224054725</v>
      </c>
      <c r="Q12" s="2">
        <f t="shared" si="6"/>
        <v>23.589746721401866</v>
      </c>
      <c r="R12" s="2">
        <f t="shared" si="7"/>
        <v>2.0661732981961545</v>
      </c>
      <c r="S12" s="2">
        <f t="shared" si="8"/>
        <v>15.806225731200582</v>
      </c>
      <c r="T12" s="2">
        <f t="shared" si="9"/>
        <v>7.7835209902012839</v>
      </c>
      <c r="V12" s="34" t="s">
        <v>29</v>
      </c>
      <c r="W12" s="36"/>
      <c r="X12" s="6">
        <v>50</v>
      </c>
    </row>
    <row r="13" spans="1:24" x14ac:dyDescent="0.25">
      <c r="A13" s="30">
        <f t="shared" si="10"/>
        <v>0.72715643274853803</v>
      </c>
      <c r="B13" s="2">
        <f t="shared" si="11"/>
        <v>8</v>
      </c>
      <c r="C13" s="4">
        <f t="shared" si="12"/>
        <v>8.33</v>
      </c>
      <c r="D13" s="2">
        <v>16</v>
      </c>
      <c r="E13" s="2">
        <v>50.26548245743669</v>
      </c>
      <c r="F13" s="11">
        <f t="shared" si="0"/>
        <v>3.183098861837907</v>
      </c>
      <c r="G13" s="2">
        <f t="shared" si="1"/>
        <v>26.515213519109764</v>
      </c>
      <c r="H13" s="2">
        <f t="shared" si="2"/>
        <v>2.0311597305563391</v>
      </c>
      <c r="I13" s="2">
        <f t="shared" si="3"/>
        <v>16.919560555534304</v>
      </c>
      <c r="J13" s="2">
        <f t="shared" si="4"/>
        <v>9.5956529635754606</v>
      </c>
      <c r="K13" s="15">
        <f t="shared" si="13"/>
        <v>0.70966739766081877</v>
      </c>
      <c r="L13" s="2">
        <f t="shared" si="14"/>
        <v>8</v>
      </c>
      <c r="M13" s="2">
        <f t="shared" si="15"/>
        <v>8.15</v>
      </c>
      <c r="N13" s="2">
        <v>15.5</v>
      </c>
      <c r="O13" s="2">
        <v>50.26548245743669</v>
      </c>
      <c r="P13" s="11">
        <f t="shared" si="5"/>
        <v>3.0836270224054725</v>
      </c>
      <c r="Q13" s="2">
        <f t="shared" si="6"/>
        <v>25.131560232604603</v>
      </c>
      <c r="R13" s="2">
        <f t="shared" si="7"/>
        <v>2.0661732981961545</v>
      </c>
      <c r="S13" s="2">
        <f t="shared" si="8"/>
        <v>16.839312380298658</v>
      </c>
      <c r="T13" s="2">
        <f t="shared" si="9"/>
        <v>8.2922478523059446</v>
      </c>
      <c r="V13" s="34" t="s">
        <v>30</v>
      </c>
      <c r="W13" s="36"/>
      <c r="X13" s="16">
        <v>0.74513888888888891</v>
      </c>
    </row>
    <row r="14" spans="1:24" x14ac:dyDescent="0.25">
      <c r="A14" s="30">
        <f t="shared" si="10"/>
        <v>0.727266081871345</v>
      </c>
      <c r="B14" s="2">
        <f t="shared" si="11"/>
        <v>9</v>
      </c>
      <c r="C14" s="4">
        <f t="shared" si="12"/>
        <v>8.83</v>
      </c>
      <c r="D14" s="2">
        <v>18</v>
      </c>
      <c r="E14" s="2">
        <v>50.26548245743669</v>
      </c>
      <c r="F14" s="11">
        <f t="shared" si="0"/>
        <v>3.5809862195676452</v>
      </c>
      <c r="G14" s="2">
        <f t="shared" si="1"/>
        <v>31.620108318782307</v>
      </c>
      <c r="H14" s="2">
        <f t="shared" si="2"/>
        <v>2.0311597305563391</v>
      </c>
      <c r="I14" s="2">
        <f t="shared" si="3"/>
        <v>17.935140420812473</v>
      </c>
      <c r="J14" s="2">
        <f t="shared" si="4"/>
        <v>13.684967897969834</v>
      </c>
      <c r="K14" s="15">
        <f t="shared" si="13"/>
        <v>0.70975877192982462</v>
      </c>
      <c r="L14" s="2">
        <f t="shared" si="14"/>
        <v>9</v>
      </c>
      <c r="M14" s="2">
        <f t="shared" si="15"/>
        <v>8.65</v>
      </c>
      <c r="N14" s="2">
        <v>16.5</v>
      </c>
      <c r="O14" s="2">
        <v>50.26548245743669</v>
      </c>
      <c r="P14" s="11">
        <f t="shared" si="5"/>
        <v>3.2825707012703416</v>
      </c>
      <c r="Q14" s="2">
        <f t="shared" si="6"/>
        <v>28.394236565988457</v>
      </c>
      <c r="R14" s="2">
        <f t="shared" si="7"/>
        <v>2.0661732981961545</v>
      </c>
      <c r="S14" s="2">
        <f t="shared" si="8"/>
        <v>17.872399029396735</v>
      </c>
      <c r="T14" s="2">
        <f t="shared" si="9"/>
        <v>10.521837536591722</v>
      </c>
      <c r="V14" s="34" t="s">
        <v>31</v>
      </c>
      <c r="W14" s="36"/>
      <c r="X14" s="6">
        <v>45</v>
      </c>
    </row>
    <row r="15" spans="1:24" x14ac:dyDescent="0.25">
      <c r="A15" s="30">
        <f t="shared" si="10"/>
        <v>0.72737573099415198</v>
      </c>
      <c r="B15" s="2">
        <f t="shared" si="11"/>
        <v>10</v>
      </c>
      <c r="C15" s="4">
        <f t="shared" si="12"/>
        <v>9.33</v>
      </c>
      <c r="D15" s="2">
        <v>18.5</v>
      </c>
      <c r="E15" s="2">
        <v>50.26548245743669</v>
      </c>
      <c r="F15" s="11">
        <f t="shared" si="0"/>
        <v>3.6804580590000797</v>
      </c>
      <c r="G15" s="2">
        <f t="shared" si="1"/>
        <v>34.338673690470742</v>
      </c>
      <c r="H15" s="2">
        <f t="shared" si="2"/>
        <v>2.0311597305563391</v>
      </c>
      <c r="I15" s="2">
        <f t="shared" si="3"/>
        <v>18.950720286090643</v>
      </c>
      <c r="J15" s="2">
        <f t="shared" si="4"/>
        <v>15.387953404380099</v>
      </c>
      <c r="K15" s="15">
        <f t="shared" si="13"/>
        <v>0.70985014619883047</v>
      </c>
      <c r="L15" s="2">
        <f t="shared" si="14"/>
        <v>10</v>
      </c>
      <c r="M15" s="2">
        <f t="shared" si="15"/>
        <v>9.15</v>
      </c>
      <c r="N15" s="2">
        <v>18</v>
      </c>
      <c r="O15" s="2">
        <v>50.26548245743669</v>
      </c>
      <c r="P15" s="11">
        <f t="shared" si="5"/>
        <v>3.5809862195676452</v>
      </c>
      <c r="Q15" s="2">
        <f t="shared" si="6"/>
        <v>32.766023909043952</v>
      </c>
      <c r="R15" s="2">
        <f t="shared" si="7"/>
        <v>2.0661732981961545</v>
      </c>
      <c r="S15" s="2">
        <f t="shared" si="8"/>
        <v>18.905485678494813</v>
      </c>
      <c r="T15" s="2">
        <f t="shared" si="9"/>
        <v>13.860538230549139</v>
      </c>
      <c r="V15" s="34" t="s">
        <v>32</v>
      </c>
      <c r="W15" s="36"/>
      <c r="X15" s="6">
        <v>46</v>
      </c>
    </row>
    <row r="16" spans="1:24" x14ac:dyDescent="0.25">
      <c r="A16" s="30">
        <f t="shared" si="10"/>
        <v>0.72748538011695907</v>
      </c>
      <c r="B16" s="2">
        <f t="shared" si="11"/>
        <v>11</v>
      </c>
      <c r="C16" s="4">
        <f t="shared" si="12"/>
        <v>9.83</v>
      </c>
      <c r="D16" s="2">
        <v>22.5</v>
      </c>
      <c r="E16" s="2">
        <v>50.26548245743669</v>
      </c>
      <c r="F16" s="11">
        <f t="shared" si="0"/>
        <v>4.4762327744595565</v>
      </c>
      <c r="G16" s="2">
        <f t="shared" si="1"/>
        <v>44.00136817293744</v>
      </c>
      <c r="H16" s="2">
        <f t="shared" si="2"/>
        <v>2.0311597305563391</v>
      </c>
      <c r="I16" s="2">
        <f t="shared" si="3"/>
        <v>19.966300151368813</v>
      </c>
      <c r="J16" s="2">
        <f t="shared" si="4"/>
        <v>24.035068021568627</v>
      </c>
      <c r="K16" s="15">
        <f t="shared" si="13"/>
        <v>0.70994152046783632</v>
      </c>
      <c r="L16" s="2">
        <f t="shared" si="14"/>
        <v>11</v>
      </c>
      <c r="M16" s="2">
        <f t="shared" si="15"/>
        <v>9.65</v>
      </c>
      <c r="N16" s="2">
        <v>20.5</v>
      </c>
      <c r="O16" s="2">
        <v>50.26548245743669</v>
      </c>
      <c r="P16" s="11">
        <f t="shared" si="5"/>
        <v>4.0783454167298183</v>
      </c>
      <c r="Q16" s="2">
        <f t="shared" si="6"/>
        <v>39.356033271442747</v>
      </c>
      <c r="R16" s="2">
        <f t="shared" si="7"/>
        <v>2.0661732981961545</v>
      </c>
      <c r="S16" s="2">
        <f t="shared" si="8"/>
        <v>19.93857232759289</v>
      </c>
      <c r="T16" s="2">
        <f t="shared" si="9"/>
        <v>19.417460943849857</v>
      </c>
      <c r="V16" s="34" t="s">
        <v>33</v>
      </c>
      <c r="W16" s="36"/>
      <c r="X16" s="6">
        <v>46</v>
      </c>
    </row>
    <row r="17" spans="1:24" x14ac:dyDescent="0.25">
      <c r="A17" s="30">
        <f t="shared" si="10"/>
        <v>0.72759502923976604</v>
      </c>
      <c r="B17" s="2">
        <f t="shared" si="11"/>
        <v>12</v>
      </c>
      <c r="C17" s="4">
        <f t="shared" si="12"/>
        <v>10.33</v>
      </c>
      <c r="D17" s="2">
        <v>21.5</v>
      </c>
      <c r="E17" s="2">
        <v>50.26548245743669</v>
      </c>
      <c r="F17" s="11">
        <f t="shared" si="0"/>
        <v>4.2772890955946874</v>
      </c>
      <c r="G17" s="2">
        <f t="shared" si="1"/>
        <v>44.184396357493121</v>
      </c>
      <c r="H17" s="2">
        <f t="shared" si="2"/>
        <v>2.0311597305563391</v>
      </c>
      <c r="I17" s="2">
        <f t="shared" si="3"/>
        <v>20.981880016646983</v>
      </c>
      <c r="J17" s="2">
        <f t="shared" si="4"/>
        <v>23.202516340846138</v>
      </c>
      <c r="K17" s="15">
        <f t="shared" si="13"/>
        <v>0.71003289473684217</v>
      </c>
      <c r="L17" s="2">
        <f t="shared" si="14"/>
        <v>12</v>
      </c>
      <c r="M17" s="2">
        <f t="shared" si="15"/>
        <v>10.15</v>
      </c>
      <c r="N17" s="2">
        <v>20</v>
      </c>
      <c r="O17" s="2">
        <v>50.26548245743669</v>
      </c>
      <c r="P17" s="11">
        <f t="shared" si="5"/>
        <v>3.9788735772973838</v>
      </c>
      <c r="Q17" s="2">
        <f t="shared" si="6"/>
        <v>40.385566809568445</v>
      </c>
      <c r="R17" s="2">
        <f t="shared" si="7"/>
        <v>2.0661732981961545</v>
      </c>
      <c r="S17" s="2">
        <f t="shared" si="8"/>
        <v>20.971658976690968</v>
      </c>
      <c r="T17" s="2">
        <f t="shared" si="9"/>
        <v>19.413907832877477</v>
      </c>
      <c r="V17" s="38" t="s">
        <v>34</v>
      </c>
      <c r="W17" s="36"/>
      <c r="X17" s="17">
        <f>((X10-X14)+(X11-X15)+(X12-X16))/3</f>
        <v>4.333333333333333</v>
      </c>
    </row>
    <row r="18" spans="1:24" x14ac:dyDescent="0.25">
      <c r="A18" s="30">
        <f t="shared" si="10"/>
        <v>0.72770467836257302</v>
      </c>
      <c r="B18" s="2">
        <f t="shared" si="11"/>
        <v>13</v>
      </c>
      <c r="C18" s="4">
        <f t="shared" si="12"/>
        <v>10.83</v>
      </c>
      <c r="D18" s="2">
        <v>18</v>
      </c>
      <c r="E18" s="2">
        <v>50.26548245743669</v>
      </c>
      <c r="F18" s="11">
        <f t="shared" si="0"/>
        <v>3.5809862195676452</v>
      </c>
      <c r="G18" s="2">
        <f t="shared" si="1"/>
        <v>38.782080757917598</v>
      </c>
      <c r="H18" s="2">
        <f t="shared" si="2"/>
        <v>2.0311597305563391</v>
      </c>
      <c r="I18" s="2">
        <f t="shared" si="3"/>
        <v>21.997459881925153</v>
      </c>
      <c r="J18" s="2">
        <f t="shared" si="4"/>
        <v>16.784620875992445</v>
      </c>
      <c r="K18" s="15">
        <f t="shared" si="13"/>
        <v>0.71012426900584802</v>
      </c>
      <c r="L18" s="2">
        <f t="shared" si="14"/>
        <v>13</v>
      </c>
      <c r="M18" s="2">
        <f t="shared" si="15"/>
        <v>10.65</v>
      </c>
      <c r="N18" s="2">
        <v>20</v>
      </c>
      <c r="O18" s="2">
        <v>50.26548245743669</v>
      </c>
      <c r="P18" s="11">
        <f t="shared" si="5"/>
        <v>3.9788735772973838</v>
      </c>
      <c r="Q18" s="2">
        <f t="shared" si="6"/>
        <v>42.375003598217141</v>
      </c>
      <c r="R18" s="2">
        <f t="shared" si="7"/>
        <v>2.0661732981961545</v>
      </c>
      <c r="S18" s="2">
        <f t="shared" si="8"/>
        <v>22.004745625789045</v>
      </c>
      <c r="T18" s="2">
        <f t="shared" si="9"/>
        <v>20.370257972428096</v>
      </c>
      <c r="V18" s="38" t="s">
        <v>35</v>
      </c>
      <c r="W18" s="36"/>
      <c r="X18" s="18" t="s">
        <v>41</v>
      </c>
    </row>
    <row r="19" spans="1:24" x14ac:dyDescent="0.25">
      <c r="A19" s="30">
        <f t="shared" si="10"/>
        <v>0.72781432748538011</v>
      </c>
      <c r="B19" s="2">
        <f t="shared" si="11"/>
        <v>14</v>
      </c>
      <c r="C19" s="4">
        <f t="shared" si="12"/>
        <v>11.33</v>
      </c>
      <c r="D19" s="2">
        <v>19</v>
      </c>
      <c r="E19" s="2">
        <v>50.26548245743669</v>
      </c>
      <c r="F19" s="11">
        <f t="shared" si="0"/>
        <v>3.7799298984325143</v>
      </c>
      <c r="G19" s="2">
        <f t="shared" si="1"/>
        <v>42.826605749240386</v>
      </c>
      <c r="H19" s="2">
        <f t="shared" si="2"/>
        <v>2.0311597305563391</v>
      </c>
      <c r="I19" s="2">
        <f t="shared" si="3"/>
        <v>23.013039747203322</v>
      </c>
      <c r="J19" s="2">
        <f t="shared" si="4"/>
        <v>19.813566002037064</v>
      </c>
      <c r="K19" s="15">
        <f t="shared" si="13"/>
        <v>0.71021564327485387</v>
      </c>
      <c r="L19" s="2">
        <f t="shared" si="14"/>
        <v>14</v>
      </c>
      <c r="M19" s="2">
        <f t="shared" si="15"/>
        <v>11.15</v>
      </c>
      <c r="N19" s="2">
        <v>20</v>
      </c>
      <c r="O19" s="2">
        <v>50.26548245743669</v>
      </c>
      <c r="P19" s="11">
        <f t="shared" si="5"/>
        <v>3.9788735772973838</v>
      </c>
      <c r="Q19" s="2">
        <f t="shared" si="6"/>
        <v>44.36444038686583</v>
      </c>
      <c r="R19" s="2">
        <f t="shared" si="7"/>
        <v>2.0661732981961545</v>
      </c>
      <c r="S19" s="2">
        <f t="shared" si="8"/>
        <v>23.037832274887123</v>
      </c>
      <c r="T19" s="2">
        <f t="shared" si="9"/>
        <v>21.326608111978707</v>
      </c>
      <c r="V19" s="39" t="s">
        <v>37</v>
      </c>
      <c r="W19" s="35"/>
      <c r="X19" s="36"/>
    </row>
    <row r="20" spans="1:24" x14ac:dyDescent="0.25">
      <c r="A20" s="30">
        <f t="shared" si="10"/>
        <v>0.72792397660818708</v>
      </c>
      <c r="B20" s="2">
        <f t="shared" si="11"/>
        <v>15</v>
      </c>
      <c r="C20" s="4">
        <f t="shared" si="12"/>
        <v>11.83</v>
      </c>
      <c r="D20" s="2">
        <v>18</v>
      </c>
      <c r="E20" s="2">
        <v>50.26548245743669</v>
      </c>
      <c r="F20" s="11">
        <f t="shared" si="0"/>
        <v>3.5809862195676452</v>
      </c>
      <c r="G20" s="2">
        <f t="shared" si="1"/>
        <v>42.363066977485239</v>
      </c>
      <c r="H20" s="2">
        <f t="shared" si="2"/>
        <v>2.0311597305563391</v>
      </c>
      <c r="I20" s="2">
        <f t="shared" si="3"/>
        <v>24.028619612481492</v>
      </c>
      <c r="J20" s="2">
        <f t="shared" si="4"/>
        <v>18.334447365003747</v>
      </c>
      <c r="K20" s="15">
        <f t="shared" si="13"/>
        <v>0.71030701754385972</v>
      </c>
      <c r="L20" s="2">
        <f t="shared" si="14"/>
        <v>15</v>
      </c>
      <c r="M20" s="2">
        <f t="shared" si="15"/>
        <v>11.65</v>
      </c>
      <c r="N20" s="2">
        <v>19</v>
      </c>
      <c r="O20" s="2">
        <v>50.26548245743669</v>
      </c>
      <c r="P20" s="11">
        <f t="shared" si="5"/>
        <v>3.7799298984325143</v>
      </c>
      <c r="Q20" s="2">
        <f t="shared" si="6"/>
        <v>44.036183316738793</v>
      </c>
      <c r="R20" s="2">
        <f t="shared" si="7"/>
        <v>2.0661732981961545</v>
      </c>
      <c r="S20" s="2">
        <f t="shared" si="8"/>
        <v>24.0709189239852</v>
      </c>
      <c r="T20" s="2">
        <f t="shared" si="9"/>
        <v>19.965264392753593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30">
        <f t="shared" si="10"/>
        <v>0.72803362573099417</v>
      </c>
      <c r="B21" s="2">
        <f t="shared" si="11"/>
        <v>16</v>
      </c>
      <c r="C21" s="4">
        <f t="shared" si="12"/>
        <v>12.33</v>
      </c>
      <c r="D21" s="2">
        <v>18</v>
      </c>
      <c r="E21" s="2">
        <v>50.26548245743669</v>
      </c>
      <c r="F21" s="11">
        <f t="shared" si="0"/>
        <v>3.5809862195676452</v>
      </c>
      <c r="G21" s="2">
        <f t="shared" si="1"/>
        <v>44.153560087269064</v>
      </c>
      <c r="H21" s="2">
        <f t="shared" si="2"/>
        <v>2.0311597305563391</v>
      </c>
      <c r="I21" s="2">
        <f t="shared" si="3"/>
        <v>25.044199477759662</v>
      </c>
      <c r="J21" s="2">
        <f t="shared" si="4"/>
        <v>19.109360609509402</v>
      </c>
      <c r="K21" s="15">
        <f t="shared" si="13"/>
        <v>0.71039839181286557</v>
      </c>
      <c r="L21" s="2">
        <f t="shared" si="14"/>
        <v>16</v>
      </c>
      <c r="M21" s="2">
        <f t="shared" si="15"/>
        <v>12.15</v>
      </c>
      <c r="N21" s="2">
        <v>17</v>
      </c>
      <c r="O21" s="2">
        <v>50.26548245743669</v>
      </c>
      <c r="P21" s="11">
        <f t="shared" si="5"/>
        <v>3.3820425407027761</v>
      </c>
      <c r="Q21" s="2">
        <f t="shared" si="6"/>
        <v>41.091816869538732</v>
      </c>
      <c r="R21" s="2">
        <f t="shared" si="7"/>
        <v>2.0661732981961545</v>
      </c>
      <c r="S21" s="2">
        <f t="shared" si="8"/>
        <v>25.104005573083278</v>
      </c>
      <c r="T21" s="2">
        <f t="shared" si="9"/>
        <v>15.987811296455455</v>
      </c>
      <c r="V21" s="39" t="s">
        <v>39</v>
      </c>
      <c r="W21" s="36"/>
      <c r="X21" s="20">
        <f>(J2+T2)/2</f>
        <v>75.681301697079917</v>
      </c>
    </row>
    <row r="22" spans="1:24" x14ac:dyDescent="0.25">
      <c r="A22" s="30">
        <f t="shared" si="10"/>
        <v>0.72814327485380115</v>
      </c>
      <c r="B22" s="2">
        <f t="shared" si="11"/>
        <v>17</v>
      </c>
      <c r="C22" s="4">
        <f t="shared" si="12"/>
        <v>12.83</v>
      </c>
      <c r="D22" s="2">
        <v>17</v>
      </c>
      <c r="E22" s="2">
        <v>50.26548245743669</v>
      </c>
      <c r="F22" s="11">
        <f t="shared" si="0"/>
        <v>3.3820425407027761</v>
      </c>
      <c r="G22" s="2">
        <f t="shared" si="1"/>
        <v>43.39160579721662</v>
      </c>
      <c r="H22" s="2">
        <f t="shared" si="2"/>
        <v>2.0311597305563391</v>
      </c>
      <c r="I22" s="2">
        <f t="shared" si="3"/>
        <v>26.059779343037832</v>
      </c>
      <c r="J22" s="2">
        <f t="shared" si="4"/>
        <v>17.331826454178788</v>
      </c>
      <c r="K22" s="15">
        <f t="shared" si="13"/>
        <v>0.71048976608187142</v>
      </c>
      <c r="L22" s="2">
        <f t="shared" si="14"/>
        <v>17</v>
      </c>
      <c r="M22" s="2">
        <f t="shared" si="15"/>
        <v>12.65</v>
      </c>
      <c r="N22" s="2">
        <v>16.5</v>
      </c>
      <c r="O22" s="2">
        <v>50.26548245743669</v>
      </c>
      <c r="P22" s="11">
        <f t="shared" si="5"/>
        <v>3.2825707012703416</v>
      </c>
      <c r="Q22" s="2">
        <f t="shared" si="6"/>
        <v>41.524519371069822</v>
      </c>
      <c r="R22" s="2">
        <f t="shared" si="7"/>
        <v>2.0661732981961545</v>
      </c>
      <c r="S22" s="2">
        <f t="shared" si="8"/>
        <v>26.137092222181355</v>
      </c>
      <c r="T22" s="2">
        <f t="shared" si="9"/>
        <v>15.387427148888467</v>
      </c>
      <c r="V22" s="27"/>
      <c r="W22" s="27"/>
      <c r="X22" s="28"/>
    </row>
    <row r="23" spans="1:24" x14ac:dyDescent="0.25">
      <c r="A23" s="30">
        <f t="shared" si="10"/>
        <v>0.72825292397660812</v>
      </c>
      <c r="B23" s="2">
        <f t="shared" si="11"/>
        <v>18</v>
      </c>
      <c r="C23" s="4">
        <f t="shared" si="12"/>
        <v>13.33</v>
      </c>
      <c r="D23" s="2">
        <v>16.5</v>
      </c>
      <c r="E23" s="2">
        <v>50.26548245743669</v>
      </c>
      <c r="F23" s="11">
        <f t="shared" si="0"/>
        <v>3.2825707012703416</v>
      </c>
      <c r="G23" s="2">
        <f t="shared" si="1"/>
        <v>43.756667447933651</v>
      </c>
      <c r="H23" s="2">
        <f t="shared" si="2"/>
        <v>2.0311597305563391</v>
      </c>
      <c r="I23" s="2">
        <f t="shared" si="3"/>
        <v>27.075359208316002</v>
      </c>
      <c r="J23" s="2">
        <f t="shared" si="4"/>
        <v>16.68130823961765</v>
      </c>
      <c r="K23" s="15">
        <f t="shared" si="13"/>
        <v>0.71058114035087727</v>
      </c>
      <c r="L23" s="2">
        <f t="shared" si="14"/>
        <v>18</v>
      </c>
      <c r="M23" s="2">
        <f t="shared" si="15"/>
        <v>13.15</v>
      </c>
      <c r="N23" s="2">
        <v>16</v>
      </c>
      <c r="O23" s="2">
        <v>50.26548245743669</v>
      </c>
      <c r="P23" s="11">
        <f t="shared" si="5"/>
        <v>3.183098861837907</v>
      </c>
      <c r="Q23" s="2">
        <f t="shared" si="6"/>
        <v>41.857750033168479</v>
      </c>
      <c r="R23" s="2">
        <f t="shared" si="7"/>
        <v>2.0661732981961545</v>
      </c>
      <c r="S23" s="2">
        <f t="shared" si="8"/>
        <v>27.170178871279433</v>
      </c>
      <c r="T23" s="2">
        <f t="shared" si="9"/>
        <v>14.687571161889046</v>
      </c>
      <c r="V23" s="34" t="s">
        <v>45</v>
      </c>
      <c r="W23" s="35"/>
      <c r="X23" s="36"/>
    </row>
    <row r="24" spans="1:24" x14ac:dyDescent="0.25">
      <c r="A24" s="30">
        <f t="shared" si="10"/>
        <v>0.72836257309941521</v>
      </c>
      <c r="B24" s="2">
        <f t="shared" si="11"/>
        <v>19</v>
      </c>
      <c r="C24" s="4">
        <f t="shared" si="12"/>
        <v>13.83</v>
      </c>
      <c r="D24" s="2">
        <v>15</v>
      </c>
      <c r="E24" s="2">
        <v>50.26548245743669</v>
      </c>
      <c r="F24" s="11">
        <f t="shared" si="0"/>
        <v>2.9841551829730379</v>
      </c>
      <c r="G24" s="2">
        <f t="shared" si="1"/>
        <v>41.270866180517118</v>
      </c>
      <c r="H24" s="2">
        <f t="shared" si="2"/>
        <v>2.0311597305563391</v>
      </c>
      <c r="I24" s="2">
        <f t="shared" si="3"/>
        <v>28.090939073594171</v>
      </c>
      <c r="J24" s="2">
        <f t="shared" si="4"/>
        <v>13.179927106922946</v>
      </c>
      <c r="K24" s="15">
        <f t="shared" si="13"/>
        <v>0.71067251461988312</v>
      </c>
      <c r="L24" s="2">
        <f t="shared" si="14"/>
        <v>19</v>
      </c>
      <c r="M24" s="2">
        <f t="shared" si="15"/>
        <v>13.65</v>
      </c>
      <c r="N24" s="2">
        <v>15.5</v>
      </c>
      <c r="O24" s="2">
        <v>50.26548245743669</v>
      </c>
      <c r="P24" s="11">
        <f t="shared" si="5"/>
        <v>3.0836270224054725</v>
      </c>
      <c r="Q24" s="2">
        <f t="shared" si="6"/>
        <v>42.091508855834704</v>
      </c>
      <c r="R24" s="2">
        <f t="shared" si="7"/>
        <v>2.0661732981961545</v>
      </c>
      <c r="S24" s="2">
        <f t="shared" si="8"/>
        <v>28.20326552037751</v>
      </c>
      <c r="T24" s="2">
        <f t="shared" si="9"/>
        <v>13.888243335457194</v>
      </c>
      <c r="V24" s="49" t="s">
        <v>46</v>
      </c>
      <c r="W24" s="35"/>
      <c r="X24" s="36"/>
    </row>
    <row r="25" spans="1:24" x14ac:dyDescent="0.25">
      <c r="A25" s="30">
        <f t="shared" si="10"/>
        <v>0.72847222222222219</v>
      </c>
      <c r="B25" s="2">
        <f t="shared" si="11"/>
        <v>20</v>
      </c>
      <c r="C25" s="4">
        <f t="shared" si="12"/>
        <v>14.33</v>
      </c>
      <c r="D25" s="2">
        <v>14</v>
      </c>
      <c r="E25" s="2">
        <v>50.26548245743669</v>
      </c>
      <c r="F25" s="11">
        <f t="shared" si="0"/>
        <v>2.7852115041081689</v>
      </c>
      <c r="G25" s="2">
        <f t="shared" si="1"/>
        <v>39.912080853870059</v>
      </c>
      <c r="H25" s="2">
        <f t="shared" si="2"/>
        <v>2.0311597305563391</v>
      </c>
      <c r="I25" s="2">
        <f t="shared" si="3"/>
        <v>29.106518938872341</v>
      </c>
      <c r="J25" s="2">
        <f t="shared" si="4"/>
        <v>10.805561914997718</v>
      </c>
      <c r="K25" s="15">
        <f t="shared" si="13"/>
        <v>0.71076388888888897</v>
      </c>
      <c r="L25" s="2">
        <f t="shared" si="14"/>
        <v>20</v>
      </c>
      <c r="M25" s="2">
        <f t="shared" si="15"/>
        <v>14.15</v>
      </c>
      <c r="N25" s="2">
        <v>23.5</v>
      </c>
      <c r="O25" s="2">
        <v>50.26548245743669</v>
      </c>
      <c r="P25" s="11">
        <f t="shared" si="5"/>
        <v>4.6751764533244256</v>
      </c>
      <c r="Q25" s="2">
        <f t="shared" si="6"/>
        <v>66.153746814540625</v>
      </c>
      <c r="R25" s="2">
        <f t="shared" si="7"/>
        <v>2.0661732981961545</v>
      </c>
      <c r="S25" s="2">
        <f t="shared" si="8"/>
        <v>29.236352169475587</v>
      </c>
      <c r="T25" s="2">
        <f t="shared" si="9"/>
        <v>36.917394645065038</v>
      </c>
      <c r="V25" s="34" t="s">
        <v>47</v>
      </c>
      <c r="W25" s="35"/>
      <c r="X25" s="36"/>
    </row>
    <row r="26" spans="1:24" x14ac:dyDescent="0.25">
      <c r="A26" s="30">
        <f t="shared" si="10"/>
        <v>0.72858187134502916</v>
      </c>
      <c r="B26" s="2">
        <f t="shared" si="11"/>
        <v>21</v>
      </c>
      <c r="C26" s="4">
        <f t="shared" si="12"/>
        <v>14.83</v>
      </c>
      <c r="D26" s="2">
        <v>13.5</v>
      </c>
      <c r="E26" s="2">
        <v>50.26548245743669</v>
      </c>
      <c r="F26" s="11">
        <f t="shared" si="0"/>
        <v>2.6857396646757339</v>
      </c>
      <c r="G26" s="2">
        <f t="shared" si="1"/>
        <v>39.829519227141134</v>
      </c>
      <c r="H26" s="2">
        <f t="shared" si="2"/>
        <v>2.0311597305563391</v>
      </c>
      <c r="I26" s="2">
        <f t="shared" si="3"/>
        <v>30.122098804150511</v>
      </c>
      <c r="J26" s="2">
        <f t="shared" si="4"/>
        <v>9.7074204229906229</v>
      </c>
      <c r="K26" s="15">
        <f t="shared" si="13"/>
        <v>0.71085526315789471</v>
      </c>
      <c r="L26" s="2">
        <f t="shared" si="14"/>
        <v>21</v>
      </c>
      <c r="M26" s="2">
        <f t="shared" si="15"/>
        <v>14.65</v>
      </c>
      <c r="N26" s="2">
        <v>13</v>
      </c>
      <c r="O26" s="2">
        <v>50.26548245743669</v>
      </c>
      <c r="P26" s="11">
        <f t="shared" si="5"/>
        <v>2.5862678252432989</v>
      </c>
      <c r="Q26" s="2">
        <f t="shared" si="6"/>
        <v>37.888823639814326</v>
      </c>
      <c r="R26" s="2">
        <f t="shared" si="7"/>
        <v>2.0661732981961545</v>
      </c>
      <c r="S26" s="2">
        <f t="shared" si="8"/>
        <v>30.269438818573665</v>
      </c>
      <c r="T26" s="2">
        <f t="shared" si="9"/>
        <v>7.6193848212406614</v>
      </c>
      <c r="V26" s="49" t="s">
        <v>48</v>
      </c>
      <c r="W26" s="35"/>
      <c r="X26" s="36"/>
    </row>
    <row r="27" spans="1:24" x14ac:dyDescent="0.25">
      <c r="A27" s="30">
        <f t="shared" si="10"/>
        <v>0.72869152046783625</v>
      </c>
      <c r="B27" s="2">
        <f t="shared" si="11"/>
        <v>22</v>
      </c>
      <c r="C27" s="4">
        <f t="shared" si="12"/>
        <v>15.33</v>
      </c>
      <c r="D27" s="2">
        <v>13</v>
      </c>
      <c r="E27" s="2">
        <v>50.26548245743669</v>
      </c>
      <c r="F27" s="11">
        <f t="shared" si="0"/>
        <v>2.5862678252432989</v>
      </c>
      <c r="G27" s="2">
        <f t="shared" si="1"/>
        <v>39.64748576097977</v>
      </c>
      <c r="H27" s="2">
        <f t="shared" si="2"/>
        <v>2.0311597305563391</v>
      </c>
      <c r="I27" s="2">
        <f t="shared" si="3"/>
        <v>31.137678669428681</v>
      </c>
      <c r="J27" s="2">
        <f t="shared" si="4"/>
        <v>8.5098070915510888</v>
      </c>
      <c r="K27" s="15">
        <f t="shared" si="13"/>
        <v>0.71094663742690056</v>
      </c>
      <c r="L27" s="2">
        <f t="shared" si="14"/>
        <v>22</v>
      </c>
      <c r="M27" s="2">
        <f t="shared" si="15"/>
        <v>15.15</v>
      </c>
      <c r="N27" s="2">
        <v>13.5</v>
      </c>
      <c r="O27" s="2">
        <v>50.26548245743669</v>
      </c>
      <c r="P27" s="11">
        <f t="shared" si="5"/>
        <v>2.6857396646757339</v>
      </c>
      <c r="Q27" s="2">
        <f t="shared" si="6"/>
        <v>40.688955919837369</v>
      </c>
      <c r="R27" s="2">
        <f t="shared" si="7"/>
        <v>2.0661732981961545</v>
      </c>
      <c r="S27" s="2">
        <f t="shared" si="8"/>
        <v>31.302525467671742</v>
      </c>
      <c r="T27" s="2">
        <f t="shared" si="9"/>
        <v>9.3864304521656265</v>
      </c>
      <c r="V27" s="29"/>
      <c r="W27" s="29"/>
      <c r="X27" s="29"/>
    </row>
    <row r="28" spans="1:24" x14ac:dyDescent="0.25">
      <c r="A28" s="30">
        <f t="shared" si="10"/>
        <v>0.72880116959064323</v>
      </c>
      <c r="B28" s="2">
        <f t="shared" si="11"/>
        <v>23</v>
      </c>
      <c r="C28" s="4">
        <f t="shared" si="12"/>
        <v>15.83</v>
      </c>
      <c r="D28" s="2">
        <v>13.5</v>
      </c>
      <c r="E28" s="2">
        <v>50.26548245743669</v>
      </c>
      <c r="F28" s="11">
        <f t="shared" si="0"/>
        <v>2.6857396646757339</v>
      </c>
      <c r="G28" s="2">
        <f t="shared" si="1"/>
        <v>42.51525889181687</v>
      </c>
      <c r="H28" s="2">
        <f t="shared" si="2"/>
        <v>2.0311597305563391</v>
      </c>
      <c r="I28" s="2">
        <f t="shared" si="3"/>
        <v>32.15325853470685</v>
      </c>
      <c r="J28" s="2">
        <f t="shared" si="4"/>
        <v>10.36200035711002</v>
      </c>
      <c r="K28" s="15">
        <f t="shared" si="13"/>
        <v>0.71103801169590641</v>
      </c>
      <c r="L28" s="2">
        <f t="shared" si="14"/>
        <v>23</v>
      </c>
      <c r="M28" s="2">
        <f t="shared" si="15"/>
        <v>15.65</v>
      </c>
      <c r="N28" s="2">
        <v>13</v>
      </c>
      <c r="O28" s="2">
        <v>50.26548245743669</v>
      </c>
      <c r="P28" s="11">
        <f t="shared" si="5"/>
        <v>2.5862678252432989</v>
      </c>
      <c r="Q28" s="2">
        <f t="shared" si="6"/>
        <v>40.475091465057631</v>
      </c>
      <c r="R28" s="2">
        <f t="shared" si="7"/>
        <v>2.0661732981961545</v>
      </c>
      <c r="S28" s="2">
        <f t="shared" si="8"/>
        <v>32.335612116769816</v>
      </c>
      <c r="T28" s="2">
        <f t="shared" si="9"/>
        <v>8.1394793482878143</v>
      </c>
      <c r="V28" s="24" t="s">
        <v>49</v>
      </c>
      <c r="W28" s="24" t="s">
        <v>50</v>
      </c>
      <c r="X28" s="29"/>
    </row>
    <row r="29" spans="1:24" x14ac:dyDescent="0.25">
      <c r="A29" s="30">
        <f t="shared" si="10"/>
        <v>0.7289108187134502</v>
      </c>
      <c r="B29" s="2">
        <f t="shared" si="11"/>
        <v>24</v>
      </c>
      <c r="C29" s="4">
        <f t="shared" si="12"/>
        <v>16.329999999999998</v>
      </c>
      <c r="D29" s="2">
        <v>21.5</v>
      </c>
      <c r="E29" s="2">
        <v>50.26548245743669</v>
      </c>
      <c r="F29" s="11">
        <f t="shared" si="0"/>
        <v>4.2772890955946874</v>
      </c>
      <c r="G29" s="2">
        <f t="shared" si="1"/>
        <v>69.848130931061235</v>
      </c>
      <c r="H29" s="2">
        <f t="shared" si="2"/>
        <v>2.0311597305563391</v>
      </c>
      <c r="I29" s="2">
        <f t="shared" si="3"/>
        <v>33.168838399985013</v>
      </c>
      <c r="J29" s="2">
        <f t="shared" si="4"/>
        <v>36.679292531076221</v>
      </c>
      <c r="K29" s="15">
        <f t="shared" si="13"/>
        <v>0.71112938596491226</v>
      </c>
      <c r="L29" s="2">
        <f t="shared" si="14"/>
        <v>24</v>
      </c>
      <c r="M29" s="2">
        <f t="shared" si="15"/>
        <v>16.149999999999999</v>
      </c>
      <c r="N29" s="2">
        <v>15</v>
      </c>
      <c r="O29" s="2">
        <v>50.26548245743669</v>
      </c>
      <c r="P29" s="11">
        <f t="shared" si="5"/>
        <v>2.9841551829730379</v>
      </c>
      <c r="Q29" s="2">
        <f t="shared" si="6"/>
        <v>48.194106205014556</v>
      </c>
      <c r="R29" s="2">
        <f t="shared" si="7"/>
        <v>2.0661732981961545</v>
      </c>
      <c r="S29" s="2">
        <f t="shared" si="8"/>
        <v>33.36869876586789</v>
      </c>
      <c r="T29" s="2">
        <f t="shared" si="9"/>
        <v>14.825407439146666</v>
      </c>
      <c r="V29" s="24">
        <f>MAX(D4:D160)</f>
        <v>22.5</v>
      </c>
      <c r="W29" s="24">
        <f>MAX(N4:N160)</f>
        <v>23.5</v>
      </c>
      <c r="X29" s="29"/>
    </row>
    <row r="30" spans="1:24" x14ac:dyDescent="0.25">
      <c r="A30" s="30">
        <f t="shared" si="10"/>
        <v>0.72902046783625729</v>
      </c>
      <c r="B30" s="2">
        <f t="shared" si="11"/>
        <v>25</v>
      </c>
      <c r="C30" s="4">
        <f t="shared" si="12"/>
        <v>16.829999999999998</v>
      </c>
      <c r="D30" s="2">
        <v>13.5</v>
      </c>
      <c r="E30" s="2">
        <v>50.26548245743669</v>
      </c>
      <c r="F30" s="11">
        <f t="shared" si="0"/>
        <v>2.6857396646757339</v>
      </c>
      <c r="G30" s="2">
        <f t="shared" si="1"/>
        <v>45.2009985564926</v>
      </c>
      <c r="H30" s="2">
        <f t="shared" si="2"/>
        <v>2.0311597305563391</v>
      </c>
      <c r="I30" s="2">
        <f t="shared" si="3"/>
        <v>34.184418265263183</v>
      </c>
      <c r="J30" s="2">
        <f t="shared" si="4"/>
        <v>11.016580291229417</v>
      </c>
      <c r="K30" s="15">
        <f t="shared" si="13"/>
        <v>0.71122076023391811</v>
      </c>
      <c r="L30" s="2">
        <f t="shared" si="14"/>
        <v>25</v>
      </c>
      <c r="M30" s="2">
        <f t="shared" si="15"/>
        <v>16.649999999999999</v>
      </c>
      <c r="N30" s="2">
        <v>14</v>
      </c>
      <c r="O30" s="2">
        <v>50.26548245743669</v>
      </c>
      <c r="P30" s="11">
        <f t="shared" si="5"/>
        <v>2.7852115041081689</v>
      </c>
      <c r="Q30" s="2">
        <f t="shared" si="6"/>
        <v>46.373771543401006</v>
      </c>
      <c r="R30" s="2">
        <f t="shared" si="7"/>
        <v>2.0661732981961545</v>
      </c>
      <c r="S30" s="2">
        <f t="shared" si="8"/>
        <v>34.401785414965971</v>
      </c>
      <c r="T30" s="2">
        <f t="shared" si="9"/>
        <v>11.971986128435034</v>
      </c>
      <c r="V30" s="24" t="s">
        <v>14</v>
      </c>
      <c r="W30" s="24" t="s">
        <v>14</v>
      </c>
      <c r="X30" s="29"/>
    </row>
    <row r="31" spans="1:24" x14ac:dyDescent="0.25">
      <c r="A31" s="30">
        <f t="shared" si="10"/>
        <v>0.72913011695906427</v>
      </c>
      <c r="B31" s="2">
        <f t="shared" si="11"/>
        <v>26</v>
      </c>
      <c r="C31" s="4">
        <f t="shared" si="12"/>
        <v>17.329999999999998</v>
      </c>
      <c r="D31" s="2">
        <v>12</v>
      </c>
      <c r="E31" s="2">
        <v>50.26548245743669</v>
      </c>
      <c r="F31" s="11">
        <f t="shared" si="0"/>
        <v>2.3873241463784298</v>
      </c>
      <c r="G31" s="2">
        <f t="shared" si="1"/>
        <v>41.372327456738184</v>
      </c>
      <c r="H31" s="2">
        <f t="shared" si="2"/>
        <v>2.0311597305563391</v>
      </c>
      <c r="I31" s="2">
        <f t="shared" si="3"/>
        <v>35.199998130541353</v>
      </c>
      <c r="J31" s="2">
        <f t="shared" si="4"/>
        <v>6.1723293261968308</v>
      </c>
      <c r="K31" s="15">
        <f t="shared" si="13"/>
        <v>0.71131213450292397</v>
      </c>
      <c r="L31" s="2">
        <f t="shared" si="14"/>
        <v>26</v>
      </c>
      <c r="M31" s="2">
        <f t="shared" si="15"/>
        <v>17.149999999999999</v>
      </c>
      <c r="N31" s="2">
        <v>13.5</v>
      </c>
      <c r="O31" s="2">
        <v>50.26548245743669</v>
      </c>
      <c r="P31" s="11">
        <f t="shared" si="5"/>
        <v>2.6857396646757339</v>
      </c>
      <c r="Q31" s="2">
        <f t="shared" si="6"/>
        <v>46.060435249188835</v>
      </c>
      <c r="R31" s="2">
        <f t="shared" si="7"/>
        <v>2.0661732981961545</v>
      </c>
      <c r="S31" s="2">
        <f t="shared" si="8"/>
        <v>35.434872064064045</v>
      </c>
      <c r="T31" s="2">
        <f t="shared" si="9"/>
        <v>10.62556318512479</v>
      </c>
      <c r="V31" s="24">
        <f t="array" ref="V31">INDEX(B4:B160, MATCH(MAX(D4:D160), D4:D160, 0))</f>
        <v>11</v>
      </c>
      <c r="W31" s="24">
        <f t="array" ref="W31">INDEX(L4:L160, MATCH(MAX(N4:N160), N4:N160, 0))</f>
        <v>20</v>
      </c>
      <c r="X31" s="29"/>
    </row>
    <row r="32" spans="1:24" x14ac:dyDescent="0.25">
      <c r="A32" s="30">
        <f t="shared" si="10"/>
        <v>0.72923976608187135</v>
      </c>
      <c r="B32" s="2">
        <f t="shared" si="11"/>
        <v>27</v>
      </c>
      <c r="C32" s="4">
        <f t="shared" si="12"/>
        <v>17.829999999999998</v>
      </c>
      <c r="D32" s="2">
        <v>13.5</v>
      </c>
      <c r="E32" s="2">
        <v>50.26548245743669</v>
      </c>
      <c r="F32" s="11">
        <f t="shared" si="0"/>
        <v>2.6857396646757339</v>
      </c>
      <c r="G32" s="2">
        <f t="shared" si="1"/>
        <v>47.886738221168329</v>
      </c>
      <c r="H32" s="2">
        <f t="shared" si="2"/>
        <v>2.0311597305563391</v>
      </c>
      <c r="I32" s="2">
        <f t="shared" si="3"/>
        <v>36.215577995819523</v>
      </c>
      <c r="J32" s="2">
        <f t="shared" si="4"/>
        <v>11.671160225348807</v>
      </c>
      <c r="K32" s="15">
        <f t="shared" si="13"/>
        <v>0.71140350877192982</v>
      </c>
      <c r="L32" s="2">
        <f t="shared" si="14"/>
        <v>27</v>
      </c>
      <c r="M32" s="2">
        <f t="shared" si="15"/>
        <v>17.649999999999999</v>
      </c>
      <c r="N32" s="2">
        <v>14</v>
      </c>
      <c r="O32" s="2">
        <v>50.26548245743669</v>
      </c>
      <c r="P32" s="11">
        <f t="shared" si="5"/>
        <v>2.7852115041081689</v>
      </c>
      <c r="Q32" s="2">
        <f t="shared" si="6"/>
        <v>49.158983047509174</v>
      </c>
      <c r="R32" s="2">
        <f t="shared" si="7"/>
        <v>2.0661732981961545</v>
      </c>
      <c r="S32" s="2">
        <f t="shared" si="8"/>
        <v>36.467958713162126</v>
      </c>
      <c r="T32" s="2">
        <f t="shared" si="9"/>
        <v>12.691024334347048</v>
      </c>
    </row>
    <row r="33" spans="1:20" x14ac:dyDescent="0.25">
      <c r="A33" s="30">
        <f t="shared" si="10"/>
        <v>0.72934941520467833</v>
      </c>
      <c r="B33" s="2">
        <f t="shared" si="11"/>
        <v>28</v>
      </c>
      <c r="C33" s="4">
        <f t="shared" si="12"/>
        <v>18.329999999999998</v>
      </c>
      <c r="D33" s="2">
        <v>15</v>
      </c>
      <c r="E33" s="2">
        <v>50.26548245743669</v>
      </c>
      <c r="F33" s="11">
        <f t="shared" si="0"/>
        <v>2.9841551829730379</v>
      </c>
      <c r="G33" s="2">
        <f t="shared" si="1"/>
        <v>54.699564503895779</v>
      </c>
      <c r="H33" s="2">
        <f t="shared" si="2"/>
        <v>2.0311597305563391</v>
      </c>
      <c r="I33" s="2">
        <f t="shared" si="3"/>
        <v>37.231157861097692</v>
      </c>
      <c r="J33" s="2">
        <f t="shared" si="4"/>
        <v>17.468406642798087</v>
      </c>
      <c r="K33" s="15">
        <f t="shared" si="13"/>
        <v>0.71149488304093567</v>
      </c>
      <c r="L33" s="2">
        <f t="shared" si="14"/>
        <v>28</v>
      </c>
      <c r="M33" s="2">
        <f t="shared" si="15"/>
        <v>18.149999999999999</v>
      </c>
      <c r="N33" s="2">
        <v>15</v>
      </c>
      <c r="O33" s="2">
        <v>50.26548245743669</v>
      </c>
      <c r="P33" s="11">
        <f t="shared" si="5"/>
        <v>2.9841551829730379</v>
      </c>
      <c r="Q33" s="2">
        <f t="shared" si="6"/>
        <v>54.162416570960637</v>
      </c>
      <c r="R33" s="2">
        <f t="shared" si="7"/>
        <v>2.0661732981961545</v>
      </c>
      <c r="S33" s="2">
        <f t="shared" si="8"/>
        <v>37.5010453622602</v>
      </c>
      <c r="T33" s="2">
        <f t="shared" si="9"/>
        <v>16.661371208700437</v>
      </c>
    </row>
    <row r="34" spans="1:20" x14ac:dyDescent="0.25">
      <c r="A34" s="30">
        <f t="shared" si="10"/>
        <v>0.72945906432748531</v>
      </c>
      <c r="B34" s="2">
        <f t="shared" si="11"/>
        <v>29</v>
      </c>
      <c r="C34" s="4">
        <f t="shared" si="12"/>
        <v>18.829999999999998</v>
      </c>
      <c r="D34" s="2">
        <v>14.5</v>
      </c>
      <c r="E34" s="2">
        <v>50.26548245743669</v>
      </c>
      <c r="F34" s="11">
        <f t="shared" si="0"/>
        <v>2.8846833435406034</v>
      </c>
      <c r="G34" s="2">
        <f t="shared" si="1"/>
        <v>54.318587358869557</v>
      </c>
      <c r="H34" s="2">
        <f t="shared" si="2"/>
        <v>2.0311597305563391</v>
      </c>
      <c r="I34" s="2">
        <f t="shared" si="3"/>
        <v>38.246737726375862</v>
      </c>
      <c r="J34" s="2">
        <f t="shared" si="4"/>
        <v>16.071849632493695</v>
      </c>
      <c r="K34" s="15">
        <f t="shared" si="13"/>
        <v>0.71158625730994152</v>
      </c>
      <c r="L34" s="2">
        <f t="shared" si="14"/>
        <v>29</v>
      </c>
      <c r="M34" s="2">
        <f t="shared" si="15"/>
        <v>18.649999999999999</v>
      </c>
      <c r="N34" s="2">
        <v>15.5</v>
      </c>
      <c r="O34" s="2">
        <v>50.26548245743669</v>
      </c>
      <c r="P34" s="11">
        <f t="shared" si="5"/>
        <v>3.0836270224054725</v>
      </c>
      <c r="Q34" s="2">
        <f t="shared" si="6"/>
        <v>57.509643967862054</v>
      </c>
      <c r="R34" s="2">
        <f t="shared" si="7"/>
        <v>2.0661732981961545</v>
      </c>
      <c r="S34" s="2">
        <f t="shared" si="8"/>
        <v>38.534132011358281</v>
      </c>
      <c r="T34" s="2">
        <f t="shared" si="9"/>
        <v>18.975511956503773</v>
      </c>
    </row>
    <row r="35" spans="1:20" x14ac:dyDescent="0.25">
      <c r="A35" s="30">
        <f t="shared" si="10"/>
        <v>0.72956871345029239</v>
      </c>
      <c r="B35" s="2">
        <f t="shared" si="11"/>
        <v>30</v>
      </c>
      <c r="C35" s="4">
        <f t="shared" si="12"/>
        <v>19.329999999999998</v>
      </c>
      <c r="D35" s="2">
        <v>11.5</v>
      </c>
      <c r="E35" s="2">
        <v>50.26548245743669</v>
      </c>
      <c r="F35" s="11">
        <f t="shared" si="0"/>
        <v>2.2878523069459957</v>
      </c>
      <c r="G35" s="2">
        <f t="shared" si="1"/>
        <v>44.224185093266094</v>
      </c>
      <c r="H35" s="2">
        <f t="shared" si="2"/>
        <v>2.0311597305563391</v>
      </c>
      <c r="I35" s="2">
        <f t="shared" si="3"/>
        <v>39.262317591654032</v>
      </c>
      <c r="J35" s="2">
        <f t="shared" si="4"/>
        <v>4.9618675016120619</v>
      </c>
      <c r="K35" s="15">
        <f t="shared" si="13"/>
        <v>0.71167763157894737</v>
      </c>
      <c r="L35" s="2">
        <f t="shared" si="14"/>
        <v>30</v>
      </c>
      <c r="M35" s="2">
        <f t="shared" si="15"/>
        <v>19.149999999999999</v>
      </c>
      <c r="N35" s="2">
        <v>13</v>
      </c>
      <c r="O35" s="2">
        <v>50.26548245743669</v>
      </c>
      <c r="P35" s="11">
        <f t="shared" si="5"/>
        <v>2.5862678252432989</v>
      </c>
      <c r="Q35" s="2">
        <f t="shared" si="6"/>
        <v>49.52702885340917</v>
      </c>
      <c r="R35" s="2">
        <f t="shared" si="7"/>
        <v>2.0661732981961545</v>
      </c>
      <c r="S35" s="2">
        <f t="shared" si="8"/>
        <v>39.567218660456355</v>
      </c>
      <c r="T35" s="2">
        <f t="shared" si="9"/>
        <v>9.9598101929528156</v>
      </c>
    </row>
    <row r="36" spans="1:20" x14ac:dyDescent="0.25">
      <c r="A36" s="30">
        <f t="shared" si="10"/>
        <v>0.72967836257309937</v>
      </c>
      <c r="B36" s="2">
        <f t="shared" si="11"/>
        <v>31</v>
      </c>
      <c r="C36" s="4">
        <f t="shared" si="12"/>
        <v>19.829999999999998</v>
      </c>
      <c r="D36" s="2">
        <v>11</v>
      </c>
      <c r="E36" s="2">
        <v>50.26548245743669</v>
      </c>
      <c r="F36" s="11">
        <f t="shared" si="0"/>
        <v>2.1883804675135607</v>
      </c>
      <c r="G36" s="2">
        <f t="shared" si="1"/>
        <v>43.395584670793909</v>
      </c>
      <c r="H36" s="2">
        <f t="shared" si="2"/>
        <v>2.0311597305563391</v>
      </c>
      <c r="I36" s="2">
        <f t="shared" si="3"/>
        <v>40.277897456932202</v>
      </c>
      <c r="J36" s="2">
        <f t="shared" si="4"/>
        <v>3.1176872138617071</v>
      </c>
      <c r="K36" s="15">
        <f t="shared" si="13"/>
        <v>0.71176900584795322</v>
      </c>
      <c r="L36" s="2">
        <f t="shared" si="14"/>
        <v>31</v>
      </c>
      <c r="M36" s="2">
        <f t="shared" si="15"/>
        <v>19.649999999999999</v>
      </c>
      <c r="N36" s="2">
        <v>11</v>
      </c>
      <c r="O36" s="2">
        <v>50.26548245743669</v>
      </c>
      <c r="P36" s="11">
        <f t="shared" si="5"/>
        <v>2.1883804675135607</v>
      </c>
      <c r="Q36" s="2">
        <f t="shared" si="6"/>
        <v>43.001676186641468</v>
      </c>
      <c r="R36" s="2">
        <f t="shared" si="7"/>
        <v>2.0661732981961545</v>
      </c>
      <c r="S36" s="2">
        <f t="shared" si="8"/>
        <v>40.600305309554436</v>
      </c>
      <c r="T36" s="2">
        <f t="shared" si="9"/>
        <v>2.4013708770870323</v>
      </c>
    </row>
    <row r="37" spans="1:20" x14ac:dyDescent="0.25">
      <c r="A37" s="30">
        <f t="shared" si="10"/>
        <v>0.72978801169590635</v>
      </c>
      <c r="B37" s="2">
        <f t="shared" si="11"/>
        <v>32</v>
      </c>
      <c r="C37" s="4">
        <f t="shared" si="12"/>
        <v>20.329999999999998</v>
      </c>
      <c r="D37" s="23">
        <v>13</v>
      </c>
      <c r="E37" s="2">
        <v>50.26548245743669</v>
      </c>
      <c r="F37" s="11">
        <f t="shared" si="0"/>
        <v>2.5862678252432989</v>
      </c>
      <c r="G37" s="2">
        <f t="shared" si="1"/>
        <v>52.578824887196262</v>
      </c>
      <c r="H37" s="2">
        <f t="shared" si="2"/>
        <v>2.0311597305563391</v>
      </c>
      <c r="I37" s="2">
        <f t="shared" si="3"/>
        <v>41.293477322210371</v>
      </c>
      <c r="J37" s="2">
        <f t="shared" si="4"/>
        <v>11.285347564985891</v>
      </c>
      <c r="K37" s="15">
        <f t="shared" si="13"/>
        <v>0.71186038011695907</v>
      </c>
      <c r="L37" s="23">
        <f t="shared" si="14"/>
        <v>32</v>
      </c>
      <c r="M37" s="23">
        <f t="shared" si="15"/>
        <v>20.149999999999999</v>
      </c>
      <c r="N37" s="23">
        <v>13</v>
      </c>
      <c r="O37" s="2">
        <v>50.26548245743669</v>
      </c>
      <c r="P37" s="11">
        <f t="shared" si="5"/>
        <v>2.5862678252432989</v>
      </c>
      <c r="Q37" s="2">
        <f t="shared" si="6"/>
        <v>52.113296678652468</v>
      </c>
      <c r="R37" s="2">
        <f t="shared" si="7"/>
        <v>2.0661732981961545</v>
      </c>
      <c r="S37" s="2">
        <f t="shared" si="8"/>
        <v>41.63339195865251</v>
      </c>
      <c r="T37" s="2">
        <f t="shared" si="9"/>
        <v>10.479904719999958</v>
      </c>
    </row>
    <row r="38" spans="1:20" x14ac:dyDescent="0.25">
      <c r="A38" s="30">
        <f t="shared" si="10"/>
        <v>0.72989766081871343</v>
      </c>
      <c r="B38" s="2">
        <f t="shared" si="11"/>
        <v>33</v>
      </c>
      <c r="C38" s="4">
        <f t="shared" si="12"/>
        <v>20.83</v>
      </c>
      <c r="D38" s="2">
        <v>15.5</v>
      </c>
      <c r="E38" s="2">
        <v>50.26548245743669</v>
      </c>
      <c r="F38" s="11">
        <f t="shared" si="0"/>
        <v>3.0836270224054725</v>
      </c>
      <c r="G38" s="2">
        <f t="shared" si="1"/>
        <v>64.23195087670598</v>
      </c>
      <c r="H38" s="2">
        <f t="shared" si="2"/>
        <v>2.0311597305563391</v>
      </c>
      <c r="I38" s="2">
        <f t="shared" si="3"/>
        <v>42.309057187488541</v>
      </c>
      <c r="J38" s="2">
        <f t="shared" si="4"/>
        <v>21.922893689217439</v>
      </c>
      <c r="K38" s="15">
        <f t="shared" si="13"/>
        <v>0.71195175438596492</v>
      </c>
      <c r="L38" s="2">
        <f t="shared" si="14"/>
        <v>33</v>
      </c>
      <c r="M38" s="2">
        <f t="shared" si="15"/>
        <v>20.65</v>
      </c>
      <c r="N38" s="2">
        <v>15</v>
      </c>
      <c r="O38" s="2">
        <v>50.26548245743669</v>
      </c>
      <c r="P38" s="11">
        <f t="shared" si="5"/>
        <v>2.9841551829730379</v>
      </c>
      <c r="Q38" s="2">
        <f t="shared" si="6"/>
        <v>61.622804528393232</v>
      </c>
      <c r="R38" s="2">
        <f t="shared" si="7"/>
        <v>2.0661732981961545</v>
      </c>
      <c r="S38" s="2">
        <f t="shared" si="8"/>
        <v>42.666478607750584</v>
      </c>
      <c r="T38" s="2">
        <f t="shared" si="9"/>
        <v>18.956325920642648</v>
      </c>
    </row>
    <row r="39" spans="1:20" x14ac:dyDescent="0.25">
      <c r="A39" s="30">
        <f t="shared" si="10"/>
        <v>0.73000730994152041</v>
      </c>
      <c r="B39" s="2">
        <f t="shared" si="11"/>
        <v>34</v>
      </c>
      <c r="C39" s="4">
        <f t="shared" si="12"/>
        <v>21.33</v>
      </c>
      <c r="D39" s="2">
        <v>12.5</v>
      </c>
      <c r="E39" s="2">
        <v>50.26548245743669</v>
      </c>
      <c r="F39" s="11">
        <f t="shared" si="0"/>
        <v>2.4867959858108648</v>
      </c>
      <c r="G39" s="2">
        <f t="shared" si="1"/>
        <v>53.04335837734574</v>
      </c>
      <c r="H39" s="2">
        <f t="shared" si="2"/>
        <v>2.0311597305563391</v>
      </c>
      <c r="I39" s="2">
        <f t="shared" si="3"/>
        <v>43.324637052766711</v>
      </c>
      <c r="J39" s="2">
        <f t="shared" si="4"/>
        <v>9.7187213245790289</v>
      </c>
      <c r="K39" s="15">
        <f t="shared" si="13"/>
        <v>0.71204312865497077</v>
      </c>
      <c r="L39" s="2">
        <f t="shared" si="14"/>
        <v>34</v>
      </c>
      <c r="M39" s="2">
        <f t="shared" si="15"/>
        <v>21.15</v>
      </c>
      <c r="N39" s="2">
        <v>14.5</v>
      </c>
      <c r="O39" s="2">
        <v>50.26548245743669</v>
      </c>
      <c r="P39" s="11">
        <f t="shared" si="5"/>
        <v>2.8846833435406034</v>
      </c>
      <c r="Q39" s="2">
        <f t="shared" si="6"/>
        <v>61.011052715883757</v>
      </c>
      <c r="R39" s="2">
        <f t="shared" si="7"/>
        <v>2.0661732981961545</v>
      </c>
      <c r="S39" s="2">
        <f t="shared" si="8"/>
        <v>43.699565256848665</v>
      </c>
      <c r="T39" s="2">
        <f t="shared" si="9"/>
        <v>17.311487459035092</v>
      </c>
    </row>
    <row r="40" spans="1:20" x14ac:dyDescent="0.25">
      <c r="A40" s="30">
        <f t="shared" si="10"/>
        <v>0.7301169590643275</v>
      </c>
      <c r="B40" s="2">
        <f t="shared" si="11"/>
        <v>35</v>
      </c>
      <c r="C40" s="4">
        <f t="shared" si="12"/>
        <v>21.83</v>
      </c>
      <c r="D40" s="2">
        <v>11</v>
      </c>
      <c r="E40" s="2">
        <v>50.26548245743669</v>
      </c>
      <c r="F40" s="11">
        <f t="shared" si="0"/>
        <v>2.1883804675135607</v>
      </c>
      <c r="G40" s="2">
        <f t="shared" si="1"/>
        <v>47.77234560582103</v>
      </c>
      <c r="H40" s="2">
        <f t="shared" si="2"/>
        <v>2.0311597305563391</v>
      </c>
      <c r="I40" s="2">
        <f t="shared" si="3"/>
        <v>44.340216918044881</v>
      </c>
      <c r="J40" s="2">
        <f t="shared" si="4"/>
        <v>3.4321286877761494</v>
      </c>
      <c r="K40" s="15">
        <f t="shared" si="13"/>
        <v>0.71213450292397662</v>
      </c>
      <c r="L40" s="2">
        <f t="shared" si="14"/>
        <v>35</v>
      </c>
      <c r="M40" s="2">
        <f t="shared" si="15"/>
        <v>21.65</v>
      </c>
      <c r="N40" s="2">
        <v>13.5</v>
      </c>
      <c r="O40" s="2">
        <v>50.26548245743669</v>
      </c>
      <c r="P40" s="11">
        <f t="shared" si="5"/>
        <v>2.6857396646757339</v>
      </c>
      <c r="Q40" s="2">
        <f t="shared" si="6"/>
        <v>58.146263740229635</v>
      </c>
      <c r="R40" s="2">
        <f t="shared" si="7"/>
        <v>2.0661732981961545</v>
      </c>
      <c r="S40" s="2">
        <f t="shared" si="8"/>
        <v>44.732651905946739</v>
      </c>
      <c r="T40" s="2">
        <f t="shared" si="9"/>
        <v>13.413611834282896</v>
      </c>
    </row>
    <row r="41" spans="1:20" x14ac:dyDescent="0.25">
      <c r="A41" s="30">
        <f t="shared" si="10"/>
        <v>0.73022660818713447</v>
      </c>
      <c r="B41" s="2">
        <f t="shared" si="11"/>
        <v>36</v>
      </c>
      <c r="C41" s="4">
        <f t="shared" si="12"/>
        <v>22.33</v>
      </c>
      <c r="D41" s="2">
        <v>12</v>
      </c>
      <c r="E41" s="2">
        <v>50.26548245743669</v>
      </c>
      <c r="F41" s="11">
        <f t="shared" si="0"/>
        <v>2.3873241463784298</v>
      </c>
      <c r="G41" s="2">
        <f t="shared" si="1"/>
        <v>53.308948188630332</v>
      </c>
      <c r="H41" s="2">
        <f t="shared" si="2"/>
        <v>2.0311597305563391</v>
      </c>
      <c r="I41" s="2">
        <f t="shared" si="3"/>
        <v>45.355796783323051</v>
      </c>
      <c r="J41" s="2">
        <f t="shared" si="4"/>
        <v>7.9531514053072812</v>
      </c>
      <c r="K41" s="15">
        <f t="shared" si="13"/>
        <v>0.71222587719298247</v>
      </c>
      <c r="L41" s="2">
        <f t="shared" si="14"/>
        <v>36</v>
      </c>
      <c r="M41" s="2">
        <f t="shared" si="15"/>
        <v>22.15</v>
      </c>
      <c r="N41" s="2">
        <v>13</v>
      </c>
      <c r="O41" s="2">
        <v>50.26548245743669</v>
      </c>
      <c r="P41" s="11">
        <f t="shared" si="5"/>
        <v>2.5862678252432989</v>
      </c>
      <c r="Q41" s="2">
        <f t="shared" si="6"/>
        <v>57.285832329139069</v>
      </c>
      <c r="R41" s="2">
        <f t="shared" si="7"/>
        <v>2.0661732981961545</v>
      </c>
      <c r="S41" s="2">
        <f t="shared" si="8"/>
        <v>45.76573855504482</v>
      </c>
      <c r="T41" s="2">
        <f t="shared" si="9"/>
        <v>11.520093774094249</v>
      </c>
    </row>
    <row r="42" spans="1:20" x14ac:dyDescent="0.25">
      <c r="A42" s="30">
        <f t="shared" si="10"/>
        <v>0.73033625730994145</v>
      </c>
      <c r="B42" s="2">
        <f t="shared" si="11"/>
        <v>37</v>
      </c>
      <c r="C42" s="4">
        <f t="shared" si="12"/>
        <v>22.83</v>
      </c>
      <c r="D42" s="2">
        <v>14.5</v>
      </c>
      <c r="E42" s="2">
        <v>50.26548245743669</v>
      </c>
      <c r="F42" s="11">
        <f t="shared" si="0"/>
        <v>2.8846833435406034</v>
      </c>
      <c r="G42" s="2">
        <f t="shared" si="1"/>
        <v>65.857320733031969</v>
      </c>
      <c r="H42" s="2">
        <f t="shared" si="2"/>
        <v>2.0311597305563391</v>
      </c>
      <c r="I42" s="2">
        <f t="shared" si="3"/>
        <v>46.37137664860122</v>
      </c>
      <c r="J42" s="2">
        <f t="shared" si="4"/>
        <v>19.485944084430749</v>
      </c>
      <c r="K42" s="15">
        <f t="shared" si="13"/>
        <v>0.71231725146198832</v>
      </c>
      <c r="L42" s="2">
        <f t="shared" si="14"/>
        <v>37</v>
      </c>
      <c r="M42" s="2">
        <f t="shared" si="15"/>
        <v>22.65</v>
      </c>
      <c r="N42" s="2">
        <v>14</v>
      </c>
      <c r="O42" s="2">
        <v>50.26548245743669</v>
      </c>
      <c r="P42" s="11">
        <f t="shared" si="5"/>
        <v>2.7852115041081689</v>
      </c>
      <c r="Q42" s="2">
        <f t="shared" si="6"/>
        <v>63.085040568050019</v>
      </c>
      <c r="R42" s="2">
        <f t="shared" si="7"/>
        <v>2.0661732981961545</v>
      </c>
      <c r="S42" s="2">
        <f t="shared" si="8"/>
        <v>46.798825204142894</v>
      </c>
      <c r="T42" s="2">
        <f t="shared" si="9"/>
        <v>16.286215363907125</v>
      </c>
    </row>
    <row r="43" spans="1:20" x14ac:dyDescent="0.25">
      <c r="A43" s="30">
        <f t="shared" si="10"/>
        <v>0.73044590643274854</v>
      </c>
      <c r="B43" s="2">
        <f t="shared" si="11"/>
        <v>38</v>
      </c>
      <c r="C43" s="4">
        <f t="shared" si="12"/>
        <v>23.33</v>
      </c>
      <c r="D43" s="2">
        <v>13</v>
      </c>
      <c r="E43" s="2">
        <v>50.26548245743669</v>
      </c>
      <c r="F43" s="11">
        <f t="shared" si="0"/>
        <v>2.5862678252432989</v>
      </c>
      <c r="G43" s="2">
        <f t="shared" si="1"/>
        <v>60.337628362926161</v>
      </c>
      <c r="H43" s="2">
        <f t="shared" si="2"/>
        <v>2.0311597305563391</v>
      </c>
      <c r="I43" s="2">
        <f t="shared" si="3"/>
        <v>47.38695651387939</v>
      </c>
      <c r="J43" s="2">
        <f t="shared" si="4"/>
        <v>12.95067184904677</v>
      </c>
      <c r="K43" s="15">
        <f t="shared" si="13"/>
        <v>0.71240862573099417</v>
      </c>
      <c r="L43" s="2">
        <f t="shared" si="14"/>
        <v>38</v>
      </c>
      <c r="M43" s="2">
        <f t="shared" si="15"/>
        <v>23.15</v>
      </c>
      <c r="N43" s="2">
        <v>14.5</v>
      </c>
      <c r="O43" s="2">
        <v>50.26548245743669</v>
      </c>
      <c r="P43" s="11">
        <f t="shared" si="5"/>
        <v>2.8846833435406034</v>
      </c>
      <c r="Q43" s="2">
        <f t="shared" si="6"/>
        <v>66.780419402964966</v>
      </c>
      <c r="R43" s="2">
        <f t="shared" si="7"/>
        <v>2.0661732981961545</v>
      </c>
      <c r="S43" s="2">
        <f t="shared" si="8"/>
        <v>47.831911853240975</v>
      </c>
      <c r="T43" s="2">
        <f t="shared" si="9"/>
        <v>18.948507549723992</v>
      </c>
    </row>
    <row r="44" spans="1:20" x14ac:dyDescent="0.25">
      <c r="A44" s="10">
        <v>0.73055555555555551</v>
      </c>
      <c r="B44" s="2">
        <f t="shared" si="11"/>
        <v>39</v>
      </c>
      <c r="C44" s="4">
        <f t="shared" si="12"/>
        <v>23.83</v>
      </c>
      <c r="D44" s="2">
        <v>12.5</v>
      </c>
      <c r="E44" s="2">
        <v>50.26548245743669</v>
      </c>
      <c r="F44" s="11">
        <f t="shared" si="0"/>
        <v>2.4867959858108648</v>
      </c>
      <c r="G44" s="2">
        <f t="shared" si="1"/>
        <v>59.260348341872906</v>
      </c>
      <c r="H44" s="2">
        <f t="shared" si="2"/>
        <v>2.0311597305563391</v>
      </c>
      <c r="I44" s="2">
        <f t="shared" si="3"/>
        <v>48.40253637915756</v>
      </c>
      <c r="J44" s="2">
        <f t="shared" si="4"/>
        <v>10.857811962715346</v>
      </c>
      <c r="K44" s="12">
        <v>0.71250000000000002</v>
      </c>
      <c r="L44" s="2">
        <f t="shared" si="14"/>
        <v>39</v>
      </c>
      <c r="M44" s="2">
        <f t="shared" si="15"/>
        <v>23.65</v>
      </c>
      <c r="N44" s="2">
        <v>12.5</v>
      </c>
      <c r="O44" s="2">
        <v>50.26548245743669</v>
      </c>
      <c r="P44" s="11">
        <f t="shared" si="5"/>
        <v>2.4867959858108648</v>
      </c>
      <c r="Q44" s="2">
        <f t="shared" si="6"/>
        <v>58.812725064426949</v>
      </c>
      <c r="R44" s="2">
        <f t="shared" si="7"/>
        <v>2.0661732981961545</v>
      </c>
      <c r="S44" s="2">
        <f t="shared" si="8"/>
        <v>48.864998502339049</v>
      </c>
      <c r="T44" s="2">
        <f t="shared" si="9"/>
        <v>9.947726562087901</v>
      </c>
    </row>
    <row r="45" spans="1:20" x14ac:dyDescent="0.25">
      <c r="A45" s="14">
        <f t="shared" ref="A45:A82" si="16">IF(AND($A$44&lt;&gt;"",$A$83&lt;&gt;""), $A$44 + (B45 - $B$44) * (($A$83 - $A$44) / ($B$83 - $B$44)), "")</f>
        <v>0.73064458689458689</v>
      </c>
      <c r="B45" s="2">
        <f t="shared" si="11"/>
        <v>40</v>
      </c>
      <c r="C45" s="4">
        <f t="shared" si="12"/>
        <v>24.33</v>
      </c>
      <c r="D45" s="2">
        <v>13</v>
      </c>
      <c r="E45" s="2">
        <v>50.26548245743669</v>
      </c>
      <c r="F45" s="11">
        <f t="shared" si="0"/>
        <v>2.5862678252432989</v>
      </c>
      <c r="G45" s="2">
        <f t="shared" si="1"/>
        <v>62.923896188169458</v>
      </c>
      <c r="H45" s="2">
        <f t="shared" si="2"/>
        <v>2.0311597305563391</v>
      </c>
      <c r="I45" s="2">
        <f t="shared" si="3"/>
        <v>49.41811624443573</v>
      </c>
      <c r="J45" s="2">
        <f t="shared" si="4"/>
        <v>13.505779943733728</v>
      </c>
      <c r="K45" s="15">
        <f t="shared" ref="K45:K82" si="17">IF(AND($K$44&lt;&gt;"",$K$83&lt;&gt;""), $K$44 + (L45 - $L$44) * (($K$83 - $K$44) / ($L$83 - $L$44)), "")</f>
        <v>0.71260683760683763</v>
      </c>
      <c r="L45" s="2">
        <f t="shared" si="14"/>
        <v>40</v>
      </c>
      <c r="M45" s="2">
        <f t="shared" si="15"/>
        <v>24.15</v>
      </c>
      <c r="N45" s="2">
        <v>12.5</v>
      </c>
      <c r="O45" s="2">
        <v>50.26548245743669</v>
      </c>
      <c r="P45" s="11">
        <f t="shared" si="5"/>
        <v>2.4867959858108648</v>
      </c>
      <c r="Q45" s="2">
        <f t="shared" si="6"/>
        <v>60.056123057332378</v>
      </c>
      <c r="R45" s="2">
        <f t="shared" si="7"/>
        <v>2.0661732981961545</v>
      </c>
      <c r="S45" s="2">
        <f t="shared" si="8"/>
        <v>49.89808515143713</v>
      </c>
      <c r="T45" s="2">
        <f t="shared" si="9"/>
        <v>10.158037905895249</v>
      </c>
    </row>
    <row r="46" spans="1:20" x14ac:dyDescent="0.25">
      <c r="A46" s="14">
        <f t="shared" si="16"/>
        <v>0.73073361823361815</v>
      </c>
      <c r="B46" s="2">
        <f t="shared" si="11"/>
        <v>41</v>
      </c>
      <c r="C46" s="4">
        <f t="shared" si="12"/>
        <v>24.83</v>
      </c>
      <c r="D46" s="2">
        <v>14</v>
      </c>
      <c r="E46" s="2">
        <v>50.26548245743669</v>
      </c>
      <c r="F46" s="11">
        <f t="shared" si="0"/>
        <v>2.7852115041081689</v>
      </c>
      <c r="G46" s="2">
        <f t="shared" si="1"/>
        <v>69.156801647005835</v>
      </c>
      <c r="H46" s="2">
        <f t="shared" si="2"/>
        <v>2.0311597305563391</v>
      </c>
      <c r="I46" s="2">
        <f t="shared" si="3"/>
        <v>50.4336961097139</v>
      </c>
      <c r="J46" s="2">
        <f t="shared" si="4"/>
        <v>18.723105537291936</v>
      </c>
      <c r="K46" s="15">
        <f t="shared" si="17"/>
        <v>0.71271367521367524</v>
      </c>
      <c r="L46" s="2">
        <f t="shared" si="14"/>
        <v>41</v>
      </c>
      <c r="M46" s="2">
        <f t="shared" si="15"/>
        <v>24.65</v>
      </c>
      <c r="N46" s="2">
        <v>13.5</v>
      </c>
      <c r="O46" s="2">
        <v>50.26548245743669</v>
      </c>
      <c r="P46" s="11">
        <f t="shared" si="5"/>
        <v>2.6857396646757339</v>
      </c>
      <c r="Q46" s="2">
        <f t="shared" si="6"/>
        <v>66.203482734256838</v>
      </c>
      <c r="R46" s="2">
        <f t="shared" si="7"/>
        <v>2.0661732981961545</v>
      </c>
      <c r="S46" s="2">
        <f t="shared" si="8"/>
        <v>50.931171800535203</v>
      </c>
      <c r="T46" s="2">
        <f t="shared" si="9"/>
        <v>15.272310933721634</v>
      </c>
    </row>
    <row r="47" spans="1:20" x14ac:dyDescent="0.25">
      <c r="A47" s="14">
        <f t="shared" si="16"/>
        <v>0.73082264957264953</v>
      </c>
      <c r="B47" s="2">
        <f t="shared" si="11"/>
        <v>42</v>
      </c>
      <c r="C47" s="4">
        <f t="shared" si="12"/>
        <v>25.33</v>
      </c>
      <c r="D47" s="2">
        <v>13.5</v>
      </c>
      <c r="E47" s="2">
        <v>50.26548245743669</v>
      </c>
      <c r="F47" s="11">
        <f t="shared" si="0"/>
        <v>2.6857396646757339</v>
      </c>
      <c r="G47" s="2">
        <f t="shared" si="1"/>
        <v>68.029785706236339</v>
      </c>
      <c r="H47" s="2">
        <f t="shared" si="2"/>
        <v>2.0311597305563391</v>
      </c>
      <c r="I47" s="2">
        <f t="shared" si="3"/>
        <v>51.449275974992069</v>
      </c>
      <c r="J47" s="2">
        <f t="shared" si="4"/>
        <v>16.58050973124427</v>
      </c>
      <c r="K47" s="15">
        <f t="shared" si="17"/>
        <v>0.71282051282051284</v>
      </c>
      <c r="L47" s="2">
        <f t="shared" si="14"/>
        <v>42</v>
      </c>
      <c r="M47" s="2">
        <f t="shared" si="15"/>
        <v>25.15</v>
      </c>
      <c r="N47" s="2">
        <v>13</v>
      </c>
      <c r="O47" s="2">
        <v>50.26548245743669</v>
      </c>
      <c r="P47" s="11">
        <f t="shared" si="5"/>
        <v>2.5862678252432989</v>
      </c>
      <c r="Q47" s="2">
        <f t="shared" si="6"/>
        <v>65.04463580486896</v>
      </c>
      <c r="R47" s="2">
        <f t="shared" si="7"/>
        <v>2.0661732981961545</v>
      </c>
      <c r="S47" s="2">
        <f t="shared" si="8"/>
        <v>51.964258449633284</v>
      </c>
      <c r="T47" s="2">
        <f t="shared" si="9"/>
        <v>13.080377355235676</v>
      </c>
    </row>
    <row r="48" spans="1:20" x14ac:dyDescent="0.25">
      <c r="A48" s="14">
        <f t="shared" si="16"/>
        <v>0.73091168091168091</v>
      </c>
      <c r="B48" s="2">
        <f t="shared" si="11"/>
        <v>43</v>
      </c>
      <c r="C48" s="4">
        <f t="shared" si="12"/>
        <v>25.83</v>
      </c>
      <c r="D48" s="2">
        <v>11</v>
      </c>
      <c r="E48" s="2">
        <v>50.26548245743669</v>
      </c>
      <c r="F48" s="11">
        <f t="shared" si="0"/>
        <v>2.1883804675135607</v>
      </c>
      <c r="G48" s="2">
        <f t="shared" si="1"/>
        <v>56.525867475875273</v>
      </c>
      <c r="H48" s="2">
        <f t="shared" si="2"/>
        <v>2.0311597305563391</v>
      </c>
      <c r="I48" s="2">
        <f t="shared" si="3"/>
        <v>52.464855840270239</v>
      </c>
      <c r="J48" s="2">
        <f t="shared" si="4"/>
        <v>4.0610116356050341</v>
      </c>
      <c r="K48" s="15">
        <f t="shared" si="17"/>
        <v>0.71292735042735045</v>
      </c>
      <c r="L48" s="2">
        <f t="shared" si="14"/>
        <v>43</v>
      </c>
      <c r="M48" s="2">
        <f t="shared" si="15"/>
        <v>25.65</v>
      </c>
      <c r="N48" s="2">
        <v>13</v>
      </c>
      <c r="O48" s="2">
        <v>50.26548245743669</v>
      </c>
      <c r="P48" s="11">
        <f t="shared" si="5"/>
        <v>2.5862678252432989</v>
      </c>
      <c r="Q48" s="2">
        <f t="shared" si="6"/>
        <v>66.337769717490616</v>
      </c>
      <c r="R48" s="2">
        <f t="shared" si="7"/>
        <v>2.0661732981961545</v>
      </c>
      <c r="S48" s="2">
        <f t="shared" si="8"/>
        <v>52.997345098731358</v>
      </c>
      <c r="T48" s="2">
        <f t="shared" si="9"/>
        <v>13.340424618759258</v>
      </c>
    </row>
    <row r="49" spans="1:20" x14ac:dyDescent="0.25">
      <c r="A49" s="14">
        <f t="shared" si="16"/>
        <v>0.73100071225071217</v>
      </c>
      <c r="B49" s="2">
        <f t="shared" si="11"/>
        <v>44</v>
      </c>
      <c r="C49" s="4">
        <f t="shared" si="12"/>
        <v>26.33</v>
      </c>
      <c r="D49" s="2">
        <v>10.5</v>
      </c>
      <c r="E49" s="2">
        <v>50.26548245743669</v>
      </c>
      <c r="F49" s="11">
        <f t="shared" si="0"/>
        <v>2.0889086280811267</v>
      </c>
      <c r="G49" s="2">
        <f t="shared" si="1"/>
        <v>55.000964177376062</v>
      </c>
      <c r="H49" s="2">
        <f t="shared" si="2"/>
        <v>2.0311597305563391</v>
      </c>
      <c r="I49" s="2">
        <f t="shared" si="3"/>
        <v>53.480435705548409</v>
      </c>
      <c r="J49" s="2">
        <f t="shared" si="4"/>
        <v>1.520528471827653</v>
      </c>
      <c r="K49" s="15">
        <f t="shared" si="17"/>
        <v>0.71303418803418805</v>
      </c>
      <c r="L49" s="2">
        <f t="shared" si="14"/>
        <v>44</v>
      </c>
      <c r="M49" s="2">
        <f t="shared" si="15"/>
        <v>26.15</v>
      </c>
      <c r="N49" s="2">
        <v>11</v>
      </c>
      <c r="O49" s="2">
        <v>50.26548245743669</v>
      </c>
      <c r="P49" s="11">
        <f t="shared" si="5"/>
        <v>2.1883804675135607</v>
      </c>
      <c r="Q49" s="2">
        <f t="shared" si="6"/>
        <v>57.22614922547961</v>
      </c>
      <c r="R49" s="2">
        <f t="shared" si="7"/>
        <v>2.0661732981961545</v>
      </c>
      <c r="S49" s="2">
        <f t="shared" si="8"/>
        <v>54.030431747829439</v>
      </c>
      <c r="T49" s="2">
        <f t="shared" si="9"/>
        <v>3.1957174776501702</v>
      </c>
    </row>
    <row r="50" spans="1:20" x14ac:dyDescent="0.25">
      <c r="A50" s="14">
        <f t="shared" si="16"/>
        <v>0.73108974358974355</v>
      </c>
      <c r="B50" s="2">
        <f t="shared" si="11"/>
        <v>45</v>
      </c>
      <c r="C50" s="4">
        <f t="shared" si="12"/>
        <v>26.83</v>
      </c>
      <c r="D50" s="2">
        <v>11.5</v>
      </c>
      <c r="E50" s="2">
        <v>50.26548245743669</v>
      </c>
      <c r="F50" s="11">
        <f t="shared" si="0"/>
        <v>2.2878523069459957</v>
      </c>
      <c r="G50" s="2">
        <f t="shared" si="1"/>
        <v>61.383077395361063</v>
      </c>
      <c r="H50" s="2">
        <f t="shared" si="2"/>
        <v>2.0311597305563391</v>
      </c>
      <c r="I50" s="2">
        <f t="shared" si="3"/>
        <v>54.496015570826579</v>
      </c>
      <c r="J50" s="2">
        <f t="shared" si="4"/>
        <v>6.8870618245344843</v>
      </c>
      <c r="K50" s="15">
        <f t="shared" si="17"/>
        <v>0.71314102564102566</v>
      </c>
      <c r="L50" s="2">
        <f t="shared" si="14"/>
        <v>45</v>
      </c>
      <c r="M50" s="2">
        <f t="shared" si="15"/>
        <v>26.65</v>
      </c>
      <c r="N50" s="2">
        <v>11.5</v>
      </c>
      <c r="O50" s="2">
        <v>50.26548245743669</v>
      </c>
      <c r="P50" s="11">
        <f t="shared" si="5"/>
        <v>2.2878523069459957</v>
      </c>
      <c r="Q50" s="2">
        <f t="shared" si="6"/>
        <v>60.971263980110784</v>
      </c>
      <c r="R50" s="2">
        <f t="shared" si="7"/>
        <v>2.0661732981961545</v>
      </c>
      <c r="S50" s="2">
        <f t="shared" si="8"/>
        <v>55.063518396927513</v>
      </c>
      <c r="T50" s="2">
        <f t="shared" si="9"/>
        <v>5.9077455831832708</v>
      </c>
    </row>
    <row r="51" spans="1:20" x14ac:dyDescent="0.25">
      <c r="A51" s="14">
        <f t="shared" si="16"/>
        <v>0.73117877492877492</v>
      </c>
      <c r="B51" s="2">
        <f t="shared" si="11"/>
        <v>46</v>
      </c>
      <c r="C51" s="4">
        <f t="shared" si="12"/>
        <v>27.33</v>
      </c>
      <c r="D51" s="2">
        <v>12</v>
      </c>
      <c r="E51" s="2">
        <v>50.26548245743669</v>
      </c>
      <c r="F51" s="11">
        <f t="shared" si="0"/>
        <v>2.3873241463784298</v>
      </c>
      <c r="G51" s="2">
        <f t="shared" si="1"/>
        <v>65.245568920522487</v>
      </c>
      <c r="H51" s="2">
        <f t="shared" si="2"/>
        <v>2.0311597305563391</v>
      </c>
      <c r="I51" s="2">
        <f t="shared" si="3"/>
        <v>55.511595436104749</v>
      </c>
      <c r="J51" s="2">
        <f t="shared" si="4"/>
        <v>9.7339734844177386</v>
      </c>
      <c r="K51" s="15">
        <f t="shared" si="17"/>
        <v>0.71324786324786327</v>
      </c>
      <c r="L51" s="2">
        <f t="shared" si="14"/>
        <v>46</v>
      </c>
      <c r="M51" s="2">
        <f t="shared" si="15"/>
        <v>27.15</v>
      </c>
      <c r="N51" s="2">
        <v>12</v>
      </c>
      <c r="O51" s="2">
        <v>50.26548245743669</v>
      </c>
      <c r="P51" s="11">
        <f t="shared" si="5"/>
        <v>2.3873241463784298</v>
      </c>
      <c r="Q51" s="2">
        <f t="shared" si="6"/>
        <v>64.815850574174362</v>
      </c>
      <c r="R51" s="2">
        <f t="shared" si="7"/>
        <v>2.0661732981961545</v>
      </c>
      <c r="S51" s="2">
        <f t="shared" si="8"/>
        <v>56.096605046025594</v>
      </c>
      <c r="T51" s="2">
        <f t="shared" si="9"/>
        <v>8.7192455281487682</v>
      </c>
    </row>
    <row r="52" spans="1:20" x14ac:dyDescent="0.25">
      <c r="A52" s="14">
        <f t="shared" si="16"/>
        <v>0.73126780626780619</v>
      </c>
      <c r="B52" s="2">
        <f t="shared" si="11"/>
        <v>47</v>
      </c>
      <c r="C52" s="4">
        <f t="shared" si="12"/>
        <v>27.83</v>
      </c>
      <c r="D52" s="2">
        <v>10.5</v>
      </c>
      <c r="E52" s="2">
        <v>50.26548245743669</v>
      </c>
      <c r="F52" s="11">
        <f t="shared" si="0"/>
        <v>2.0889086280811267</v>
      </c>
      <c r="G52" s="2">
        <f t="shared" si="1"/>
        <v>58.134327119497755</v>
      </c>
      <c r="H52" s="2">
        <f t="shared" si="2"/>
        <v>2.0311597305563391</v>
      </c>
      <c r="I52" s="2">
        <f t="shared" si="3"/>
        <v>56.527175301382911</v>
      </c>
      <c r="J52" s="2">
        <f t="shared" si="4"/>
        <v>1.6071518181148434</v>
      </c>
      <c r="K52" s="15">
        <f t="shared" si="17"/>
        <v>0.71335470085470087</v>
      </c>
      <c r="L52" s="2">
        <f t="shared" si="14"/>
        <v>47</v>
      </c>
      <c r="M52" s="2">
        <f t="shared" si="15"/>
        <v>27.65</v>
      </c>
      <c r="N52" s="2">
        <v>10</v>
      </c>
      <c r="O52" s="2">
        <v>50.26548245743669</v>
      </c>
      <c r="P52" s="11">
        <f t="shared" si="5"/>
        <v>1.9894367886486919</v>
      </c>
      <c r="Q52" s="2">
        <f t="shared" si="6"/>
        <v>55.00792720613633</v>
      </c>
      <c r="R52" s="2">
        <f t="shared" si="7"/>
        <v>2.0661732981961545</v>
      </c>
      <c r="S52" s="2">
        <f t="shared" si="8"/>
        <v>57.129691695123668</v>
      </c>
      <c r="T52" s="2">
        <f t="shared" si="9"/>
        <v>2.1217644889873384</v>
      </c>
    </row>
    <row r="53" spans="1:20" x14ac:dyDescent="0.25">
      <c r="A53" s="14">
        <f t="shared" si="16"/>
        <v>0.73135683760683756</v>
      </c>
      <c r="B53" s="2">
        <f t="shared" si="11"/>
        <v>48</v>
      </c>
      <c r="C53" s="4">
        <f t="shared" si="12"/>
        <v>28.33</v>
      </c>
      <c r="D53" s="2">
        <v>10</v>
      </c>
      <c r="E53" s="2">
        <v>50.26548245743669</v>
      </c>
      <c r="F53" s="11">
        <f t="shared" si="0"/>
        <v>1.9894367886486919</v>
      </c>
      <c r="G53" s="2">
        <f t="shared" si="1"/>
        <v>56.360744222417438</v>
      </c>
      <c r="H53" s="2">
        <f t="shared" si="2"/>
        <v>2.0311597305563391</v>
      </c>
      <c r="I53" s="2">
        <f t="shared" si="3"/>
        <v>57.542755166661081</v>
      </c>
      <c r="J53" s="2">
        <f t="shared" si="4"/>
        <v>1.1820109442436433</v>
      </c>
      <c r="K53" s="15">
        <f t="shared" si="17"/>
        <v>0.71346153846153848</v>
      </c>
      <c r="L53" s="2">
        <f t="shared" si="14"/>
        <v>48</v>
      </c>
      <c r="M53" s="2">
        <f t="shared" si="15"/>
        <v>28.15</v>
      </c>
      <c r="N53" s="2">
        <v>10.5</v>
      </c>
      <c r="O53" s="2">
        <v>50.26548245743669</v>
      </c>
      <c r="P53" s="11">
        <f t="shared" si="5"/>
        <v>2.0889086280811267</v>
      </c>
      <c r="Q53" s="2">
        <f t="shared" si="6"/>
        <v>58.80277788048371</v>
      </c>
      <c r="R53" s="2">
        <f t="shared" si="7"/>
        <v>2.0661732981961545</v>
      </c>
      <c r="S53" s="2">
        <f t="shared" si="8"/>
        <v>58.162778344221742</v>
      </c>
      <c r="T53" s="2">
        <f t="shared" si="9"/>
        <v>0.63999953626196771</v>
      </c>
    </row>
    <row r="54" spans="1:20" x14ac:dyDescent="0.25">
      <c r="A54" s="14">
        <f t="shared" si="16"/>
        <v>0.73144586894586894</v>
      </c>
      <c r="B54" s="2">
        <f t="shared" si="11"/>
        <v>49</v>
      </c>
      <c r="C54" s="4">
        <f t="shared" si="12"/>
        <v>28.83</v>
      </c>
      <c r="D54" s="2">
        <v>10</v>
      </c>
      <c r="E54" s="2">
        <v>50.26548245743669</v>
      </c>
      <c r="F54" s="11">
        <f t="shared" si="0"/>
        <v>1.9894367886486919</v>
      </c>
      <c r="G54" s="2">
        <f t="shared" si="1"/>
        <v>57.355462616741782</v>
      </c>
      <c r="H54" s="2">
        <f t="shared" si="2"/>
        <v>2.0311597305563391</v>
      </c>
      <c r="I54" s="2">
        <f t="shared" si="3"/>
        <v>58.558335031939251</v>
      </c>
      <c r="J54" s="2">
        <f t="shared" si="4"/>
        <v>1.2028724151974686</v>
      </c>
      <c r="K54" s="15">
        <f t="shared" si="17"/>
        <v>0.71356837606837609</v>
      </c>
      <c r="L54" s="2">
        <f t="shared" si="14"/>
        <v>49</v>
      </c>
      <c r="M54" s="2">
        <f t="shared" si="15"/>
        <v>28.65</v>
      </c>
      <c r="N54" s="2">
        <v>9.5</v>
      </c>
      <c r="O54" s="2">
        <v>50.26548245743669</v>
      </c>
      <c r="P54" s="11">
        <f t="shared" si="5"/>
        <v>1.8899649492162571</v>
      </c>
      <c r="Q54" s="2">
        <f t="shared" si="6"/>
        <v>54.147495795045764</v>
      </c>
      <c r="R54" s="2">
        <f t="shared" si="7"/>
        <v>2.0661732981961545</v>
      </c>
      <c r="S54" s="2">
        <f t="shared" si="8"/>
        <v>59.195864993319823</v>
      </c>
      <c r="T54" s="2">
        <f t="shared" si="9"/>
        <v>5.0483691982740595</v>
      </c>
    </row>
    <row r="55" spans="1:20" x14ac:dyDescent="0.25">
      <c r="A55" s="14">
        <f t="shared" si="16"/>
        <v>0.7315349002849002</v>
      </c>
      <c r="B55" s="2">
        <f t="shared" si="11"/>
        <v>50</v>
      </c>
      <c r="C55" s="4">
        <f t="shared" si="12"/>
        <v>29.33</v>
      </c>
      <c r="D55" s="2">
        <v>10.5</v>
      </c>
      <c r="E55" s="2">
        <v>50.26548245743669</v>
      </c>
      <c r="F55" s="11">
        <f t="shared" si="0"/>
        <v>2.0889086280811267</v>
      </c>
      <c r="G55" s="2">
        <f t="shared" si="1"/>
        <v>61.26769006161944</v>
      </c>
      <c r="H55" s="2">
        <f t="shared" si="2"/>
        <v>2.0311597305563391</v>
      </c>
      <c r="I55" s="2">
        <f t="shared" si="3"/>
        <v>59.573914897217421</v>
      </c>
      <c r="J55" s="2">
        <f t="shared" si="4"/>
        <v>1.6937751644020196</v>
      </c>
      <c r="K55" s="15">
        <f t="shared" si="17"/>
        <v>0.71367521367521369</v>
      </c>
      <c r="L55" s="2">
        <f t="shared" si="14"/>
        <v>50</v>
      </c>
      <c r="M55" s="2">
        <f t="shared" si="15"/>
        <v>29.15</v>
      </c>
      <c r="N55" s="2">
        <v>16</v>
      </c>
      <c r="O55" s="2">
        <v>50.26548245743669</v>
      </c>
      <c r="P55" s="11">
        <f t="shared" si="5"/>
        <v>3.183098861837907</v>
      </c>
      <c r="Q55" s="2">
        <f t="shared" si="6"/>
        <v>92.787331822574984</v>
      </c>
      <c r="R55" s="2">
        <f t="shared" si="7"/>
        <v>2.0661732981961545</v>
      </c>
      <c r="S55" s="2">
        <f t="shared" si="8"/>
        <v>60.228951642417897</v>
      </c>
      <c r="T55" s="2">
        <f t="shared" si="9"/>
        <v>32.558380180157087</v>
      </c>
    </row>
    <row r="56" spans="1:20" x14ac:dyDescent="0.25">
      <c r="A56" s="14">
        <f t="shared" si="16"/>
        <v>0.73162393162393158</v>
      </c>
      <c r="B56" s="2">
        <f t="shared" si="11"/>
        <v>51</v>
      </c>
      <c r="C56" s="4">
        <f t="shared" si="12"/>
        <v>29.83</v>
      </c>
      <c r="D56" s="2">
        <v>9.5</v>
      </c>
      <c r="E56" s="2">
        <v>50.26548245743669</v>
      </c>
      <c r="F56" s="11">
        <f t="shared" si="0"/>
        <v>1.8899649492162571</v>
      </c>
      <c r="G56" s="2">
        <f t="shared" si="1"/>
        <v>56.377654435120945</v>
      </c>
      <c r="H56" s="2">
        <f t="shared" si="2"/>
        <v>2.0311597305563391</v>
      </c>
      <c r="I56" s="2">
        <f t="shared" si="3"/>
        <v>60.58949476249559</v>
      </c>
      <c r="J56" s="2">
        <f t="shared" si="4"/>
        <v>4.2118403273746452</v>
      </c>
      <c r="K56" s="15">
        <f t="shared" si="17"/>
        <v>0.7137820512820513</v>
      </c>
      <c r="L56" s="2">
        <f t="shared" si="14"/>
        <v>51</v>
      </c>
      <c r="M56" s="2">
        <f t="shared" si="15"/>
        <v>29.65</v>
      </c>
      <c r="N56" s="2">
        <v>10.5</v>
      </c>
      <c r="O56" s="2">
        <v>50.26548245743669</v>
      </c>
      <c r="P56" s="11">
        <f t="shared" si="5"/>
        <v>2.0889086280811267</v>
      </c>
      <c r="Q56" s="2">
        <f t="shared" si="6"/>
        <v>61.936140822605402</v>
      </c>
      <c r="R56" s="2">
        <f t="shared" si="7"/>
        <v>2.0661732981961545</v>
      </c>
      <c r="S56" s="2">
        <f t="shared" si="8"/>
        <v>61.262038291515978</v>
      </c>
      <c r="T56" s="2">
        <f t="shared" si="9"/>
        <v>0.67410253108942442</v>
      </c>
    </row>
    <row r="57" spans="1:20" x14ac:dyDescent="0.25">
      <c r="A57" s="14">
        <f t="shared" si="16"/>
        <v>0.73171296296296295</v>
      </c>
      <c r="B57" s="2">
        <f t="shared" si="11"/>
        <v>52</v>
      </c>
      <c r="C57" s="4">
        <f t="shared" si="12"/>
        <v>30.33</v>
      </c>
      <c r="D57" s="2">
        <v>10</v>
      </c>
      <c r="E57" s="2">
        <v>50.26548245743669</v>
      </c>
      <c r="F57" s="11">
        <f t="shared" si="0"/>
        <v>1.9894367886486919</v>
      </c>
      <c r="G57" s="2">
        <f t="shared" si="1"/>
        <v>60.339617799714823</v>
      </c>
      <c r="H57" s="2">
        <f t="shared" si="2"/>
        <v>2.0311597305563391</v>
      </c>
      <c r="I57" s="2">
        <f t="shared" si="3"/>
        <v>61.60507462777376</v>
      </c>
      <c r="J57" s="2">
        <f t="shared" si="4"/>
        <v>1.2654568280589373</v>
      </c>
      <c r="K57" s="15">
        <f t="shared" si="17"/>
        <v>0.71388888888888891</v>
      </c>
      <c r="L57" s="2">
        <f t="shared" si="14"/>
        <v>52</v>
      </c>
      <c r="M57" s="2">
        <f t="shared" si="15"/>
        <v>30.15</v>
      </c>
      <c r="N57" s="2">
        <v>11</v>
      </c>
      <c r="O57" s="2">
        <v>50.26548245743669</v>
      </c>
      <c r="P57" s="11">
        <f t="shared" si="5"/>
        <v>2.1883804675135607</v>
      </c>
      <c r="Q57" s="2">
        <f t="shared" si="6"/>
        <v>65.97967109553386</v>
      </c>
      <c r="R57" s="2">
        <f t="shared" si="7"/>
        <v>2.0661732981961545</v>
      </c>
      <c r="S57" s="2">
        <f t="shared" si="8"/>
        <v>62.295124940614052</v>
      </c>
      <c r="T57" s="2">
        <f t="shared" si="9"/>
        <v>3.6845461549198077</v>
      </c>
    </row>
    <row r="58" spans="1:20" x14ac:dyDescent="0.25">
      <c r="A58" s="14">
        <f t="shared" si="16"/>
        <v>0.73180199430199422</v>
      </c>
      <c r="B58" s="2">
        <f t="shared" si="11"/>
        <v>53</v>
      </c>
      <c r="C58" s="4">
        <f t="shared" si="12"/>
        <v>30.83</v>
      </c>
      <c r="D58" s="2">
        <v>9</v>
      </c>
      <c r="E58" s="2">
        <v>50.26548245743669</v>
      </c>
      <c r="F58" s="11">
        <f t="shared" si="0"/>
        <v>1.7904931097838226</v>
      </c>
      <c r="G58" s="2">
        <f t="shared" si="1"/>
        <v>55.200902574635251</v>
      </c>
      <c r="H58" s="2">
        <f t="shared" si="2"/>
        <v>2.0311597305563391</v>
      </c>
      <c r="I58" s="2">
        <f t="shared" si="3"/>
        <v>62.62065449305193</v>
      </c>
      <c r="J58" s="2">
        <f t="shared" si="4"/>
        <v>7.4197519184166794</v>
      </c>
      <c r="K58" s="15">
        <f t="shared" si="17"/>
        <v>0.71399572649572651</v>
      </c>
      <c r="L58" s="2">
        <f t="shared" si="14"/>
        <v>53</v>
      </c>
      <c r="M58" s="2">
        <f t="shared" si="15"/>
        <v>30.65</v>
      </c>
      <c r="N58" s="2">
        <v>8.5</v>
      </c>
      <c r="O58" s="2">
        <v>50.26548245743669</v>
      </c>
      <c r="P58" s="11">
        <f t="shared" si="5"/>
        <v>1.6910212703513881</v>
      </c>
      <c r="Q58" s="2">
        <f t="shared" si="6"/>
        <v>51.829801936270044</v>
      </c>
      <c r="R58" s="2">
        <f t="shared" si="7"/>
        <v>2.0661732981961545</v>
      </c>
      <c r="S58" s="2">
        <f t="shared" si="8"/>
        <v>63.328211589712133</v>
      </c>
      <c r="T58" s="2">
        <f t="shared" si="9"/>
        <v>11.498409653442089</v>
      </c>
    </row>
    <row r="59" spans="1:20" x14ac:dyDescent="0.25">
      <c r="A59" s="14">
        <f t="shared" si="16"/>
        <v>0.73189102564102559</v>
      </c>
      <c r="B59" s="2">
        <f t="shared" si="11"/>
        <v>54</v>
      </c>
      <c r="C59" s="4">
        <f t="shared" si="12"/>
        <v>31.33</v>
      </c>
      <c r="D59" s="2">
        <v>9</v>
      </c>
      <c r="E59" s="2">
        <v>50.26548245743669</v>
      </c>
      <c r="F59" s="11">
        <f t="shared" si="0"/>
        <v>1.7904931097838226</v>
      </c>
      <c r="G59" s="2">
        <f t="shared" si="1"/>
        <v>56.096149129527156</v>
      </c>
      <c r="H59" s="2">
        <f t="shared" si="2"/>
        <v>2.0311597305563391</v>
      </c>
      <c r="I59" s="2">
        <f t="shared" si="3"/>
        <v>63.6362343583301</v>
      </c>
      <c r="J59" s="2">
        <f t="shared" si="4"/>
        <v>7.5400852288029441</v>
      </c>
      <c r="K59" s="15">
        <f t="shared" si="17"/>
        <v>0.71410256410256412</v>
      </c>
      <c r="L59" s="2">
        <f t="shared" si="14"/>
        <v>54</v>
      </c>
      <c r="M59" s="2">
        <f t="shared" si="15"/>
        <v>31.15</v>
      </c>
      <c r="N59" s="2">
        <v>8.5</v>
      </c>
      <c r="O59" s="2">
        <v>50.26548245743669</v>
      </c>
      <c r="P59" s="11">
        <f t="shared" si="5"/>
        <v>1.6910212703513881</v>
      </c>
      <c r="Q59" s="2">
        <f t="shared" si="6"/>
        <v>52.675312571445737</v>
      </c>
      <c r="R59" s="2">
        <f t="shared" si="7"/>
        <v>2.0661732981961545</v>
      </c>
      <c r="S59" s="2">
        <f t="shared" si="8"/>
        <v>64.361298238810207</v>
      </c>
      <c r="T59" s="2">
        <f t="shared" si="9"/>
        <v>11.68598566736447</v>
      </c>
    </row>
    <row r="60" spans="1:20" x14ac:dyDescent="0.25">
      <c r="A60" s="14">
        <f t="shared" si="16"/>
        <v>0.73198005698005697</v>
      </c>
      <c r="B60" s="2">
        <f t="shared" si="11"/>
        <v>55</v>
      </c>
      <c r="C60" s="4">
        <f t="shared" si="12"/>
        <v>31.83</v>
      </c>
      <c r="D60" s="2">
        <v>9.5</v>
      </c>
      <c r="E60" s="2">
        <v>50.26548245743669</v>
      </c>
      <c r="F60" s="11">
        <f t="shared" si="0"/>
        <v>1.8899649492162571</v>
      </c>
      <c r="G60" s="2">
        <f t="shared" si="1"/>
        <v>60.157584333553459</v>
      </c>
      <c r="H60" s="2">
        <f t="shared" si="2"/>
        <v>2.0311597305563391</v>
      </c>
      <c r="I60" s="2">
        <f t="shared" si="3"/>
        <v>64.65181422360827</v>
      </c>
      <c r="J60" s="2">
        <f t="shared" si="4"/>
        <v>4.494229890054811</v>
      </c>
      <c r="K60" s="15">
        <f t="shared" si="17"/>
        <v>0.71420940170940173</v>
      </c>
      <c r="L60" s="2">
        <f t="shared" si="14"/>
        <v>55</v>
      </c>
      <c r="M60" s="2">
        <f t="shared" si="15"/>
        <v>31.65</v>
      </c>
      <c r="N60" s="2">
        <v>9</v>
      </c>
      <c r="O60" s="2">
        <v>50.26548245743669</v>
      </c>
      <c r="P60" s="11">
        <f t="shared" si="5"/>
        <v>1.7904931097838226</v>
      </c>
      <c r="Q60" s="2">
        <f t="shared" si="6"/>
        <v>56.669106924657981</v>
      </c>
      <c r="R60" s="2">
        <f t="shared" si="7"/>
        <v>2.0661732981961545</v>
      </c>
      <c r="S60" s="2">
        <f t="shared" si="8"/>
        <v>65.394384887908288</v>
      </c>
      <c r="T60" s="2">
        <f t="shared" si="9"/>
        <v>8.7252779632503064</v>
      </c>
    </row>
    <row r="61" spans="1:20" x14ac:dyDescent="0.25">
      <c r="A61" s="14">
        <f t="shared" si="16"/>
        <v>0.73206908831908823</v>
      </c>
      <c r="B61" s="2">
        <f t="shared" si="11"/>
        <v>56</v>
      </c>
      <c r="C61" s="4">
        <f t="shared" si="12"/>
        <v>32.33</v>
      </c>
      <c r="D61" s="2">
        <v>8</v>
      </c>
      <c r="E61" s="2">
        <v>50.26548245743669</v>
      </c>
      <c r="F61" s="11">
        <f t="shared" si="0"/>
        <v>1.5915494309189535</v>
      </c>
      <c r="G61" s="2">
        <f t="shared" si="1"/>
        <v>51.454793101609766</v>
      </c>
      <c r="H61" s="2">
        <f t="shared" si="2"/>
        <v>2.0311597305563391</v>
      </c>
      <c r="I61" s="2">
        <f t="shared" si="3"/>
        <v>65.667394088886439</v>
      </c>
      <c r="J61" s="2">
        <f t="shared" si="4"/>
        <v>14.212600987276673</v>
      </c>
      <c r="K61" s="15">
        <f t="shared" si="17"/>
        <v>0.71431623931623933</v>
      </c>
      <c r="L61" s="2">
        <f t="shared" si="14"/>
        <v>56</v>
      </c>
      <c r="M61" s="2">
        <f t="shared" si="15"/>
        <v>32.15</v>
      </c>
      <c r="N61" s="2">
        <v>8</v>
      </c>
      <c r="O61" s="2">
        <v>50.26548245743669</v>
      </c>
      <c r="P61" s="11">
        <f t="shared" si="5"/>
        <v>1.5915494309189535</v>
      </c>
      <c r="Q61" s="2">
        <f t="shared" si="6"/>
        <v>51.16831420404435</v>
      </c>
      <c r="R61" s="2">
        <f t="shared" si="7"/>
        <v>2.0661732981961545</v>
      </c>
      <c r="S61" s="2">
        <f t="shared" si="8"/>
        <v>66.427471537006369</v>
      </c>
      <c r="T61" s="2">
        <f t="shared" si="9"/>
        <v>15.259157332962019</v>
      </c>
    </row>
    <row r="62" spans="1:20" x14ac:dyDescent="0.25">
      <c r="A62" s="14">
        <f t="shared" si="16"/>
        <v>0.73215811965811961</v>
      </c>
      <c r="B62" s="2">
        <f t="shared" si="11"/>
        <v>57</v>
      </c>
      <c r="C62" s="4">
        <f t="shared" si="12"/>
        <v>32.83</v>
      </c>
      <c r="D62" s="2">
        <v>7.5</v>
      </c>
      <c r="E62" s="2">
        <v>50.26548245743669</v>
      </c>
      <c r="F62" s="11">
        <f t="shared" si="0"/>
        <v>1.492077591486519</v>
      </c>
      <c r="G62" s="2">
        <f t="shared" si="1"/>
        <v>48.984907328502416</v>
      </c>
      <c r="H62" s="2">
        <f t="shared" si="2"/>
        <v>2.0311597305563391</v>
      </c>
      <c r="I62" s="2">
        <f t="shared" si="3"/>
        <v>66.682973954164609</v>
      </c>
      <c r="J62" s="2">
        <f t="shared" si="4"/>
        <v>17.698066625662193</v>
      </c>
      <c r="K62" s="15">
        <f t="shared" si="17"/>
        <v>0.71442307692307694</v>
      </c>
      <c r="L62" s="2">
        <f t="shared" si="14"/>
        <v>57</v>
      </c>
      <c r="M62" s="2">
        <f t="shared" si="15"/>
        <v>32.65</v>
      </c>
      <c r="N62" s="2">
        <v>8.5</v>
      </c>
      <c r="O62" s="2">
        <v>50.26548245743669</v>
      </c>
      <c r="P62" s="11">
        <f t="shared" si="5"/>
        <v>1.6910212703513881</v>
      </c>
      <c r="Q62" s="2">
        <f t="shared" si="6"/>
        <v>55.211844476972814</v>
      </c>
      <c r="R62" s="2">
        <f t="shared" si="7"/>
        <v>2.0661732981961545</v>
      </c>
      <c r="S62" s="2">
        <f t="shared" si="8"/>
        <v>67.460558186104436</v>
      </c>
      <c r="T62" s="2">
        <f t="shared" si="9"/>
        <v>12.248713709131621</v>
      </c>
    </row>
    <row r="63" spans="1:20" x14ac:dyDescent="0.25">
      <c r="A63" s="14">
        <f t="shared" si="16"/>
        <v>0.73224715099715099</v>
      </c>
      <c r="B63" s="2">
        <f t="shared" si="11"/>
        <v>58</v>
      </c>
      <c r="C63" s="4">
        <f t="shared" si="12"/>
        <v>33.33</v>
      </c>
      <c r="D63" s="2">
        <v>13.5</v>
      </c>
      <c r="E63" s="2">
        <v>50.26548245743669</v>
      </c>
      <c r="F63" s="11">
        <f t="shared" si="0"/>
        <v>2.6857396646757339</v>
      </c>
      <c r="G63" s="2">
        <f t="shared" si="1"/>
        <v>89.515703023642203</v>
      </c>
      <c r="H63" s="2">
        <f t="shared" si="2"/>
        <v>2.0311597305563391</v>
      </c>
      <c r="I63" s="2">
        <f t="shared" si="3"/>
        <v>67.698553819442779</v>
      </c>
      <c r="J63" s="2">
        <f t="shared" si="4"/>
        <v>21.817149204199424</v>
      </c>
      <c r="K63" s="15">
        <f t="shared" si="17"/>
        <v>0.71452991452991454</v>
      </c>
      <c r="L63" s="2">
        <f t="shared" si="14"/>
        <v>58</v>
      </c>
      <c r="M63" s="2">
        <f t="shared" si="15"/>
        <v>33.15</v>
      </c>
      <c r="N63" s="2">
        <v>9</v>
      </c>
      <c r="O63" s="2">
        <v>50.26548245743669</v>
      </c>
      <c r="P63" s="11">
        <f t="shared" si="5"/>
        <v>1.7904931097838226</v>
      </c>
      <c r="Q63" s="2">
        <f t="shared" si="6"/>
        <v>59.354846589333718</v>
      </c>
      <c r="R63" s="2">
        <f t="shared" si="7"/>
        <v>2.0661732981961545</v>
      </c>
      <c r="S63" s="2">
        <f t="shared" si="8"/>
        <v>68.493644835202517</v>
      </c>
      <c r="T63" s="2">
        <f t="shared" si="9"/>
        <v>9.1387982458687986</v>
      </c>
    </row>
    <row r="64" spans="1:20" x14ac:dyDescent="0.25">
      <c r="A64" s="14">
        <f t="shared" si="16"/>
        <v>0.73233618233618225</v>
      </c>
      <c r="B64" s="2">
        <f t="shared" si="11"/>
        <v>59</v>
      </c>
      <c r="C64" s="4">
        <f t="shared" si="12"/>
        <v>33.83</v>
      </c>
      <c r="D64" s="2">
        <v>8</v>
      </c>
      <c r="E64" s="2">
        <v>50.26548245743669</v>
      </c>
      <c r="F64" s="11">
        <f t="shared" si="0"/>
        <v>1.5915494309189535</v>
      </c>
      <c r="G64" s="2">
        <f t="shared" si="1"/>
        <v>53.842117247988192</v>
      </c>
      <c r="H64" s="2">
        <f t="shared" si="2"/>
        <v>2.0311597305563391</v>
      </c>
      <c r="I64" s="2">
        <f t="shared" si="3"/>
        <v>68.714133684720949</v>
      </c>
      <c r="J64" s="2">
        <f t="shared" si="4"/>
        <v>14.872016436732757</v>
      </c>
      <c r="K64" s="15">
        <f t="shared" si="17"/>
        <v>0.71463675213675215</v>
      </c>
      <c r="L64" s="2">
        <f t="shared" si="14"/>
        <v>59</v>
      </c>
      <c r="M64" s="2">
        <f t="shared" si="15"/>
        <v>33.65</v>
      </c>
      <c r="N64" s="2">
        <v>9.5</v>
      </c>
      <c r="O64" s="2">
        <v>50.26548245743669</v>
      </c>
      <c r="P64" s="11">
        <f t="shared" si="5"/>
        <v>1.8899649492162571</v>
      </c>
      <c r="Q64" s="2">
        <f t="shared" si="6"/>
        <v>63.597320541127047</v>
      </c>
      <c r="R64" s="2">
        <f t="shared" si="7"/>
        <v>2.0661732981961545</v>
      </c>
      <c r="S64" s="2">
        <f t="shared" si="8"/>
        <v>69.526731484300598</v>
      </c>
      <c r="T64" s="2">
        <f t="shared" si="9"/>
        <v>5.9294109431735507</v>
      </c>
    </row>
    <row r="65" spans="1:20" x14ac:dyDescent="0.25">
      <c r="A65" s="14">
        <f t="shared" si="16"/>
        <v>0.73242521367521363</v>
      </c>
      <c r="B65" s="2">
        <f t="shared" si="11"/>
        <v>60</v>
      </c>
      <c r="C65" s="4">
        <f t="shared" si="12"/>
        <v>34.33</v>
      </c>
      <c r="D65" s="2">
        <v>6.5</v>
      </c>
      <c r="E65" s="2">
        <v>50.26548245743669</v>
      </c>
      <c r="F65" s="11">
        <f t="shared" si="0"/>
        <v>1.2931339126216495</v>
      </c>
      <c r="G65" s="2">
        <f t="shared" si="1"/>
        <v>44.393287220301225</v>
      </c>
      <c r="H65" s="2">
        <f t="shared" si="2"/>
        <v>2.0311597305563391</v>
      </c>
      <c r="I65" s="2">
        <f t="shared" si="3"/>
        <v>69.729713549999119</v>
      </c>
      <c r="J65" s="2">
        <f t="shared" si="4"/>
        <v>25.336426329697893</v>
      </c>
      <c r="K65" s="15">
        <f t="shared" si="17"/>
        <v>0.71474358974358976</v>
      </c>
      <c r="L65" s="2">
        <f t="shared" si="14"/>
        <v>60</v>
      </c>
      <c r="M65" s="2">
        <f t="shared" si="15"/>
        <v>34.15</v>
      </c>
      <c r="N65" s="2">
        <v>7.5</v>
      </c>
      <c r="O65" s="2">
        <v>50.26548245743669</v>
      </c>
      <c r="P65" s="11">
        <f t="shared" si="5"/>
        <v>1.492077591486519</v>
      </c>
      <c r="Q65" s="2">
        <f t="shared" si="6"/>
        <v>50.954449749264619</v>
      </c>
      <c r="R65" s="2">
        <f t="shared" si="7"/>
        <v>2.0661732981961545</v>
      </c>
      <c r="S65" s="2">
        <f t="shared" si="8"/>
        <v>70.559818133398679</v>
      </c>
      <c r="T65" s="2">
        <f t="shared" si="9"/>
        <v>19.60536838413406</v>
      </c>
    </row>
    <row r="66" spans="1:20" x14ac:dyDescent="0.25">
      <c r="A66" s="14">
        <f t="shared" si="16"/>
        <v>0.732514245014245</v>
      </c>
      <c r="B66" s="2">
        <f t="shared" si="11"/>
        <v>61</v>
      </c>
      <c r="C66" s="4">
        <f t="shared" si="12"/>
        <v>34.83</v>
      </c>
      <c r="D66" s="2">
        <v>6.5</v>
      </c>
      <c r="E66" s="2">
        <v>50.26548245743669</v>
      </c>
      <c r="F66" s="11">
        <f t="shared" si="0"/>
        <v>1.2931339126216495</v>
      </c>
      <c r="G66" s="2">
        <f t="shared" si="1"/>
        <v>45.039854176612046</v>
      </c>
      <c r="H66" s="2">
        <f t="shared" si="2"/>
        <v>2.0311597305563391</v>
      </c>
      <c r="I66" s="2">
        <f t="shared" si="3"/>
        <v>70.745293415277288</v>
      </c>
      <c r="J66" s="2">
        <f t="shared" si="4"/>
        <v>25.705439238665242</v>
      </c>
      <c r="K66" s="15">
        <f t="shared" si="17"/>
        <v>0.71485042735042736</v>
      </c>
      <c r="L66" s="2">
        <f t="shared" si="14"/>
        <v>61</v>
      </c>
      <c r="M66" s="2">
        <f t="shared" si="15"/>
        <v>34.65</v>
      </c>
      <c r="N66" s="2">
        <v>6.5</v>
      </c>
      <c r="O66" s="2">
        <v>50.26548245743669</v>
      </c>
      <c r="P66" s="11">
        <f t="shared" si="5"/>
        <v>1.2931339126216495</v>
      </c>
      <c r="Q66" s="2">
        <f t="shared" si="6"/>
        <v>44.807090072340152</v>
      </c>
      <c r="R66" s="2">
        <f t="shared" si="7"/>
        <v>2.0661732981961545</v>
      </c>
      <c r="S66" s="2">
        <f t="shared" si="8"/>
        <v>71.592904782496745</v>
      </c>
      <c r="T66" s="2">
        <f t="shared" si="9"/>
        <v>26.785814710156593</v>
      </c>
    </row>
    <row r="67" spans="1:20" x14ac:dyDescent="0.25">
      <c r="A67" s="14">
        <f t="shared" si="16"/>
        <v>0.73260327635327627</v>
      </c>
      <c r="B67" s="2">
        <f t="shared" si="11"/>
        <v>62</v>
      </c>
      <c r="C67" s="4">
        <f t="shared" si="12"/>
        <v>35.33</v>
      </c>
      <c r="D67" s="2">
        <v>7.5</v>
      </c>
      <c r="E67" s="2">
        <v>50.26548245743669</v>
      </c>
      <c r="F67" s="11">
        <f t="shared" si="0"/>
        <v>1.492077591486519</v>
      </c>
      <c r="G67" s="2">
        <f t="shared" si="1"/>
        <v>52.71510130721871</v>
      </c>
      <c r="H67" s="2">
        <f t="shared" si="2"/>
        <v>2.0311597305563391</v>
      </c>
      <c r="I67" s="2">
        <f t="shared" si="3"/>
        <v>71.760873280555458</v>
      </c>
      <c r="J67" s="2">
        <f t="shared" si="4"/>
        <v>19.045771973336748</v>
      </c>
      <c r="K67" s="15">
        <f t="shared" si="17"/>
        <v>0.71495726495726497</v>
      </c>
      <c r="L67" s="2">
        <f t="shared" si="14"/>
        <v>62</v>
      </c>
      <c r="M67" s="2">
        <f t="shared" si="15"/>
        <v>35.15</v>
      </c>
      <c r="N67" s="2">
        <v>7.5</v>
      </c>
      <c r="O67" s="2">
        <v>50.26548245743669</v>
      </c>
      <c r="P67" s="11">
        <f t="shared" si="5"/>
        <v>1.492077591486519</v>
      </c>
      <c r="Q67" s="2">
        <f t="shared" si="6"/>
        <v>52.446527340751139</v>
      </c>
      <c r="R67" s="2">
        <f t="shared" si="7"/>
        <v>2.0661732981961545</v>
      </c>
      <c r="S67" s="2">
        <f t="shared" si="8"/>
        <v>72.625991431594827</v>
      </c>
      <c r="T67" s="2">
        <f t="shared" si="9"/>
        <v>20.179464090843688</v>
      </c>
    </row>
    <row r="68" spans="1:20" x14ac:dyDescent="0.25">
      <c r="A68" s="14">
        <f t="shared" si="16"/>
        <v>0.73269230769230764</v>
      </c>
      <c r="B68" s="2">
        <f t="shared" si="11"/>
        <v>63</v>
      </c>
      <c r="C68" s="4">
        <f t="shared" si="12"/>
        <v>35.83</v>
      </c>
      <c r="D68" s="2">
        <v>8</v>
      </c>
      <c r="E68" s="2">
        <v>50.26548245743669</v>
      </c>
      <c r="F68" s="11">
        <f t="shared" si="0"/>
        <v>1.5915494309189535</v>
      </c>
      <c r="G68" s="2">
        <f t="shared" si="1"/>
        <v>57.025216109826104</v>
      </c>
      <c r="H68" s="2">
        <f t="shared" si="2"/>
        <v>2.0311597305563391</v>
      </c>
      <c r="I68" s="2">
        <f t="shared" si="3"/>
        <v>72.776453145833628</v>
      </c>
      <c r="J68" s="2">
        <f t="shared" si="4"/>
        <v>15.751237036007524</v>
      </c>
      <c r="K68" s="15">
        <f t="shared" si="17"/>
        <v>0.71506410256410258</v>
      </c>
      <c r="L68" s="2">
        <f t="shared" si="14"/>
        <v>63</v>
      </c>
      <c r="M68" s="2">
        <f t="shared" si="15"/>
        <v>35.65</v>
      </c>
      <c r="N68" s="2">
        <v>7.5</v>
      </c>
      <c r="O68" s="2">
        <v>50.26548245743669</v>
      </c>
      <c r="P68" s="11">
        <f t="shared" si="5"/>
        <v>1.492077591486519</v>
      </c>
      <c r="Q68" s="2">
        <f t="shared" si="6"/>
        <v>53.192566136494399</v>
      </c>
      <c r="R68" s="2">
        <f t="shared" si="7"/>
        <v>2.0661732981961545</v>
      </c>
      <c r="S68" s="2">
        <f t="shared" si="8"/>
        <v>73.659078080692908</v>
      </c>
      <c r="T68" s="2">
        <f t="shared" si="9"/>
        <v>20.466511944198508</v>
      </c>
    </row>
    <row r="69" spans="1:20" x14ac:dyDescent="0.25">
      <c r="A69" s="14">
        <f t="shared" si="16"/>
        <v>0.73278133903133902</v>
      </c>
      <c r="B69" s="2">
        <f t="shared" si="11"/>
        <v>64</v>
      </c>
      <c r="C69" s="4">
        <f t="shared" si="12"/>
        <v>36.33</v>
      </c>
      <c r="D69" s="2">
        <v>8</v>
      </c>
      <c r="E69" s="2">
        <v>50.26548245743669</v>
      </c>
      <c r="F69" s="11">
        <f t="shared" si="0"/>
        <v>1.5915494309189535</v>
      </c>
      <c r="G69" s="2">
        <f t="shared" si="1"/>
        <v>57.820990825285577</v>
      </c>
      <c r="H69" s="2">
        <f t="shared" si="2"/>
        <v>2.0311597305563391</v>
      </c>
      <c r="I69" s="2">
        <f t="shared" si="3"/>
        <v>73.792033011111798</v>
      </c>
      <c r="J69" s="2">
        <f t="shared" si="4"/>
        <v>15.971042185826221</v>
      </c>
      <c r="K69" s="15">
        <f t="shared" si="17"/>
        <v>0.71517094017094018</v>
      </c>
      <c r="L69" s="2">
        <f t="shared" si="14"/>
        <v>64</v>
      </c>
      <c r="M69" s="2">
        <f t="shared" si="15"/>
        <v>36.15</v>
      </c>
      <c r="N69" s="2">
        <v>8.5</v>
      </c>
      <c r="O69" s="2">
        <v>50.26548245743669</v>
      </c>
      <c r="P69" s="11">
        <f t="shared" si="5"/>
        <v>1.6910212703513881</v>
      </c>
      <c r="Q69" s="2">
        <f t="shared" si="6"/>
        <v>61.130418923202676</v>
      </c>
      <c r="R69" s="2">
        <f t="shared" si="7"/>
        <v>2.0661732981961545</v>
      </c>
      <c r="S69" s="2">
        <f t="shared" si="8"/>
        <v>74.692164729790974</v>
      </c>
      <c r="T69" s="2">
        <f t="shared" si="9"/>
        <v>13.561745806588299</v>
      </c>
    </row>
    <row r="70" spans="1:20" x14ac:dyDescent="0.25">
      <c r="A70" s="14">
        <f t="shared" si="16"/>
        <v>0.73287037037037028</v>
      </c>
      <c r="B70" s="2">
        <f t="shared" si="11"/>
        <v>65</v>
      </c>
      <c r="C70" s="4">
        <f t="shared" si="12"/>
        <v>36.83</v>
      </c>
      <c r="D70" s="2">
        <v>8</v>
      </c>
      <c r="E70" s="2">
        <v>50.26548245743669</v>
      </c>
      <c r="F70" s="11">
        <f t="shared" si="0"/>
        <v>1.5915494309189535</v>
      </c>
      <c r="G70" s="2">
        <f t="shared" si="1"/>
        <v>58.616765540745057</v>
      </c>
      <c r="H70" s="2">
        <f t="shared" si="2"/>
        <v>2.0311597305563391</v>
      </c>
      <c r="I70" s="2">
        <f t="shared" si="3"/>
        <v>74.807612876389967</v>
      </c>
      <c r="J70" s="2">
        <f t="shared" si="4"/>
        <v>16.190847335644911</v>
      </c>
      <c r="K70" s="15">
        <f t="shared" si="17"/>
        <v>0.71527777777777779</v>
      </c>
      <c r="L70" s="2">
        <f t="shared" si="14"/>
        <v>65</v>
      </c>
      <c r="M70" s="2">
        <f t="shared" si="15"/>
        <v>36.65</v>
      </c>
      <c r="N70" s="2">
        <v>8.5</v>
      </c>
      <c r="O70" s="2">
        <v>50.26548245743669</v>
      </c>
      <c r="P70" s="11">
        <f t="shared" si="5"/>
        <v>1.6910212703513881</v>
      </c>
      <c r="Q70" s="2">
        <f t="shared" si="6"/>
        <v>61.975929558378368</v>
      </c>
      <c r="R70" s="2">
        <f t="shared" si="7"/>
        <v>2.0661732981961545</v>
      </c>
      <c r="S70" s="2">
        <f t="shared" si="8"/>
        <v>75.725251378889055</v>
      </c>
      <c r="T70" s="2">
        <f t="shared" si="9"/>
        <v>13.749321820510687</v>
      </c>
    </row>
    <row r="71" spans="1:20" x14ac:dyDescent="0.25">
      <c r="A71" s="14">
        <f t="shared" si="16"/>
        <v>0.73295940170940166</v>
      </c>
      <c r="B71" s="2">
        <f t="shared" si="11"/>
        <v>66</v>
      </c>
      <c r="C71" s="4">
        <f t="shared" si="12"/>
        <v>37.33</v>
      </c>
      <c r="D71" s="2">
        <v>7.5</v>
      </c>
      <c r="E71" s="2">
        <v>50.26548245743669</v>
      </c>
      <c r="F71" s="11">
        <f t="shared" si="0"/>
        <v>1.492077591486519</v>
      </c>
      <c r="G71" s="2">
        <f t="shared" si="1"/>
        <v>55.69925649019175</v>
      </c>
      <c r="H71" s="2">
        <f t="shared" si="2"/>
        <v>2.0311597305563391</v>
      </c>
      <c r="I71" s="2">
        <f t="shared" si="3"/>
        <v>75.823192741668137</v>
      </c>
      <c r="J71" s="2">
        <f t="shared" si="4"/>
        <v>20.123936251476387</v>
      </c>
      <c r="K71" s="15">
        <f t="shared" si="17"/>
        <v>0.7153846153846154</v>
      </c>
      <c r="L71" s="2">
        <f t="shared" si="14"/>
        <v>66</v>
      </c>
      <c r="M71" s="2">
        <f t="shared" si="15"/>
        <v>37.15</v>
      </c>
      <c r="N71" s="2">
        <v>7.5</v>
      </c>
      <c r="O71" s="2">
        <v>50.26548245743669</v>
      </c>
      <c r="P71" s="11">
        <f t="shared" si="5"/>
        <v>1.492077591486519</v>
      </c>
      <c r="Q71" s="2">
        <f t="shared" si="6"/>
        <v>55.43068252372418</v>
      </c>
      <c r="R71" s="2">
        <f t="shared" si="7"/>
        <v>2.0661732981961545</v>
      </c>
      <c r="S71" s="2">
        <f t="shared" si="8"/>
        <v>76.758338027987136</v>
      </c>
      <c r="T71" s="2">
        <f t="shared" si="9"/>
        <v>21.327655504262957</v>
      </c>
    </row>
    <row r="72" spans="1:20" x14ac:dyDescent="0.25">
      <c r="A72" s="14">
        <f t="shared" si="16"/>
        <v>0.73304843304843303</v>
      </c>
      <c r="B72" s="2">
        <f t="shared" si="11"/>
        <v>67</v>
      </c>
      <c r="C72" s="4">
        <f t="shared" si="12"/>
        <v>37.83</v>
      </c>
      <c r="D72" s="2">
        <v>8.5</v>
      </c>
      <c r="E72" s="2">
        <v>50.26548245743669</v>
      </c>
      <c r="F72" s="11">
        <f t="shared" si="0"/>
        <v>1.6910212703513881</v>
      </c>
      <c r="G72" s="2">
        <f t="shared" si="1"/>
        <v>63.971334657393008</v>
      </c>
      <c r="H72" s="2">
        <f t="shared" si="2"/>
        <v>2.0311597305563391</v>
      </c>
      <c r="I72" s="2">
        <f t="shared" si="3"/>
        <v>76.838772606946307</v>
      </c>
      <c r="J72" s="2">
        <f t="shared" si="4"/>
        <v>12.867437949553299</v>
      </c>
      <c r="K72" s="15">
        <f t="shared" si="17"/>
        <v>0.715491452991453</v>
      </c>
      <c r="L72" s="2">
        <f t="shared" si="14"/>
        <v>67</v>
      </c>
      <c r="M72" s="2">
        <f t="shared" si="15"/>
        <v>37.65</v>
      </c>
      <c r="N72" s="2">
        <v>8.5</v>
      </c>
      <c r="O72" s="2">
        <v>50.26548245743669</v>
      </c>
      <c r="P72" s="11">
        <f t="shared" si="5"/>
        <v>1.6910212703513881</v>
      </c>
      <c r="Q72" s="2">
        <f t="shared" si="6"/>
        <v>63.66695082872976</v>
      </c>
      <c r="R72" s="2">
        <f t="shared" si="7"/>
        <v>2.0661732981961545</v>
      </c>
      <c r="S72" s="2">
        <f t="shared" si="8"/>
        <v>77.791424677085217</v>
      </c>
      <c r="T72" s="2">
        <f t="shared" si="9"/>
        <v>14.124473848355457</v>
      </c>
    </row>
    <row r="73" spans="1:20" x14ac:dyDescent="0.25">
      <c r="A73" s="14">
        <f t="shared" si="16"/>
        <v>0.7331374643874643</v>
      </c>
      <c r="B73" s="2">
        <f t="shared" si="11"/>
        <v>68</v>
      </c>
      <c r="C73" s="4">
        <f t="shared" si="12"/>
        <v>38.33</v>
      </c>
      <c r="D73" s="2">
        <v>9</v>
      </c>
      <c r="E73" s="2">
        <v>50.26548245743669</v>
      </c>
      <c r="F73" s="11">
        <f t="shared" si="0"/>
        <v>1.7904931097838226</v>
      </c>
      <c r="G73" s="2">
        <f t="shared" si="1"/>
        <v>68.629600898013919</v>
      </c>
      <c r="H73" s="2">
        <f t="shared" si="2"/>
        <v>2.0311597305563391</v>
      </c>
      <c r="I73" s="2">
        <f t="shared" si="3"/>
        <v>77.854352472224477</v>
      </c>
      <c r="J73" s="2">
        <f t="shared" si="4"/>
        <v>9.2247515742105577</v>
      </c>
      <c r="K73" s="15">
        <f t="shared" si="17"/>
        <v>0.71559829059829061</v>
      </c>
      <c r="L73" s="2">
        <f t="shared" si="14"/>
        <v>68</v>
      </c>
      <c r="M73" s="2">
        <f t="shared" si="15"/>
        <v>38.15</v>
      </c>
      <c r="N73" s="2">
        <v>8</v>
      </c>
      <c r="O73" s="2">
        <v>50.26548245743669</v>
      </c>
      <c r="P73" s="11">
        <f t="shared" si="5"/>
        <v>1.5915494309189535</v>
      </c>
      <c r="Q73" s="2">
        <f t="shared" si="6"/>
        <v>60.717610789558073</v>
      </c>
      <c r="R73" s="2">
        <f t="shared" si="7"/>
        <v>2.0661732981961545</v>
      </c>
      <c r="S73" s="2">
        <f t="shared" si="8"/>
        <v>78.824511326183284</v>
      </c>
      <c r="T73" s="2">
        <f t="shared" si="9"/>
        <v>18.106900536625211</v>
      </c>
    </row>
    <row r="74" spans="1:20" x14ac:dyDescent="0.25">
      <c r="A74" s="14">
        <f t="shared" si="16"/>
        <v>0.73322649572649568</v>
      </c>
      <c r="B74" s="2">
        <f t="shared" si="11"/>
        <v>69</v>
      </c>
      <c r="C74" s="4">
        <f t="shared" si="12"/>
        <v>38.83</v>
      </c>
      <c r="D74" s="2">
        <v>9.5</v>
      </c>
      <c r="E74" s="2">
        <v>50.26548245743669</v>
      </c>
      <c r="F74" s="11">
        <f t="shared" si="0"/>
        <v>1.8899649492162571</v>
      </c>
      <c r="G74" s="2">
        <f t="shared" si="1"/>
        <v>73.387338978067262</v>
      </c>
      <c r="H74" s="2">
        <f t="shared" si="2"/>
        <v>2.0311597305563391</v>
      </c>
      <c r="I74" s="2">
        <f t="shared" si="3"/>
        <v>78.869932337502647</v>
      </c>
      <c r="J74" s="2">
        <f t="shared" si="4"/>
        <v>5.4825933594353842</v>
      </c>
      <c r="K74" s="15">
        <f t="shared" si="17"/>
        <v>0.71570512820512822</v>
      </c>
      <c r="L74" s="2">
        <f t="shared" si="14"/>
        <v>69</v>
      </c>
      <c r="M74" s="2">
        <f t="shared" si="15"/>
        <v>38.65</v>
      </c>
      <c r="N74" s="2">
        <v>9</v>
      </c>
      <c r="O74" s="2">
        <v>50.26548245743669</v>
      </c>
      <c r="P74" s="11">
        <f t="shared" si="5"/>
        <v>1.7904931097838226</v>
      </c>
      <c r="Q74" s="2">
        <f t="shared" si="6"/>
        <v>69.202558693144738</v>
      </c>
      <c r="R74" s="2">
        <f t="shared" si="7"/>
        <v>2.0661732981961545</v>
      </c>
      <c r="S74" s="2">
        <f t="shared" si="8"/>
        <v>79.857597975281365</v>
      </c>
      <c r="T74" s="2">
        <f t="shared" si="9"/>
        <v>10.655039282136627</v>
      </c>
    </row>
    <row r="75" spans="1:20" x14ac:dyDescent="0.25">
      <c r="A75" s="14">
        <f t="shared" si="16"/>
        <v>0.73331552706552705</v>
      </c>
      <c r="B75" s="2">
        <f t="shared" si="11"/>
        <v>70</v>
      </c>
      <c r="C75" s="4">
        <f t="shared" si="12"/>
        <v>39.33</v>
      </c>
      <c r="D75" s="2">
        <v>8.5</v>
      </c>
      <c r="E75" s="2">
        <v>50.26548245743669</v>
      </c>
      <c r="F75" s="11">
        <f t="shared" si="0"/>
        <v>1.6910212703513881</v>
      </c>
      <c r="G75" s="2">
        <f t="shared" si="1"/>
        <v>66.507866562920086</v>
      </c>
      <c r="H75" s="2">
        <f t="shared" si="2"/>
        <v>2.0311597305563391</v>
      </c>
      <c r="I75" s="2">
        <f t="shared" si="3"/>
        <v>79.885512202780816</v>
      </c>
      <c r="J75" s="2">
        <f t="shared" si="4"/>
        <v>13.377645639860731</v>
      </c>
      <c r="K75" s="15">
        <f t="shared" si="17"/>
        <v>0.71581196581196582</v>
      </c>
      <c r="L75" s="2">
        <f t="shared" si="14"/>
        <v>70</v>
      </c>
      <c r="M75" s="2">
        <f t="shared" si="15"/>
        <v>39.15</v>
      </c>
      <c r="N75" s="2">
        <v>9</v>
      </c>
      <c r="O75" s="2">
        <v>50.26548245743669</v>
      </c>
      <c r="P75" s="11">
        <f t="shared" si="5"/>
        <v>1.7904931097838226</v>
      </c>
      <c r="Q75" s="2">
        <f t="shared" si="6"/>
        <v>70.09780524803665</v>
      </c>
      <c r="R75" s="2">
        <f t="shared" si="7"/>
        <v>2.0661732981961545</v>
      </c>
      <c r="S75" s="2">
        <f t="shared" si="8"/>
        <v>80.890684624379446</v>
      </c>
      <c r="T75" s="2">
        <f t="shared" si="9"/>
        <v>10.792879376342796</v>
      </c>
    </row>
    <row r="76" spans="1:20" x14ac:dyDescent="0.25">
      <c r="A76" s="14">
        <f t="shared" si="16"/>
        <v>0.73340455840455832</v>
      </c>
      <c r="B76" s="2">
        <f t="shared" si="11"/>
        <v>71</v>
      </c>
      <c r="C76" s="4">
        <f t="shared" si="12"/>
        <v>39.83</v>
      </c>
      <c r="D76" s="2">
        <v>11.5</v>
      </c>
      <c r="E76" s="2">
        <v>50.26548245743669</v>
      </c>
      <c r="F76" s="11">
        <f t="shared" si="0"/>
        <v>2.2878523069459957</v>
      </c>
      <c r="G76" s="2">
        <f t="shared" si="1"/>
        <v>91.125157385659008</v>
      </c>
      <c r="H76" s="2">
        <f t="shared" si="2"/>
        <v>2.0311597305563391</v>
      </c>
      <c r="I76" s="2">
        <f t="shared" si="3"/>
        <v>80.901092068058986</v>
      </c>
      <c r="J76" s="2">
        <f t="shared" si="4"/>
        <v>10.224065317600022</v>
      </c>
      <c r="K76" s="15">
        <f t="shared" si="17"/>
        <v>0.71591880341880343</v>
      </c>
      <c r="L76" s="2">
        <f t="shared" si="14"/>
        <v>71</v>
      </c>
      <c r="M76" s="2">
        <f t="shared" si="15"/>
        <v>39.65</v>
      </c>
      <c r="N76" s="2">
        <v>9.5</v>
      </c>
      <c r="O76" s="2">
        <v>50.26548245743669</v>
      </c>
      <c r="P76" s="11">
        <f t="shared" si="5"/>
        <v>1.8899649492162571</v>
      </c>
      <c r="Q76" s="2">
        <f t="shared" si="6"/>
        <v>74.937110236424587</v>
      </c>
      <c r="R76" s="2">
        <f t="shared" si="7"/>
        <v>2.0661732981961545</v>
      </c>
      <c r="S76" s="2">
        <f t="shared" si="8"/>
        <v>81.923771273477527</v>
      </c>
      <c r="T76" s="2">
        <f t="shared" si="9"/>
        <v>6.9866610370529401</v>
      </c>
    </row>
    <row r="77" spans="1:20" x14ac:dyDescent="0.25">
      <c r="A77" s="14">
        <f t="shared" si="16"/>
        <v>0.73349358974358969</v>
      </c>
      <c r="B77" s="2">
        <f t="shared" si="11"/>
        <v>72</v>
      </c>
      <c r="C77" s="4">
        <f t="shared" si="12"/>
        <v>40.33</v>
      </c>
      <c r="D77" s="2">
        <v>7.5</v>
      </c>
      <c r="E77" s="2">
        <v>50.26548245743669</v>
      </c>
      <c r="F77" s="11">
        <f t="shared" si="0"/>
        <v>1.492077591486519</v>
      </c>
      <c r="G77" s="2">
        <f t="shared" si="1"/>
        <v>60.175489264651304</v>
      </c>
      <c r="H77" s="2">
        <f t="shared" si="2"/>
        <v>2.0311597305563391</v>
      </c>
      <c r="I77" s="2">
        <f t="shared" si="3"/>
        <v>81.916671933337156</v>
      </c>
      <c r="J77" s="2">
        <f t="shared" si="4"/>
        <v>21.741182668685852</v>
      </c>
      <c r="K77" s="15">
        <f t="shared" si="17"/>
        <v>0.71602564102564104</v>
      </c>
      <c r="L77" s="2">
        <f t="shared" si="14"/>
        <v>72</v>
      </c>
      <c r="M77" s="2">
        <f t="shared" si="15"/>
        <v>40.15</v>
      </c>
      <c r="N77" s="2">
        <v>7.5</v>
      </c>
      <c r="O77" s="2">
        <v>50.26548245743669</v>
      </c>
      <c r="P77" s="11">
        <f t="shared" si="5"/>
        <v>1.492077591486519</v>
      </c>
      <c r="Q77" s="2">
        <f t="shared" si="6"/>
        <v>59.906915298183733</v>
      </c>
      <c r="R77" s="2">
        <f t="shared" si="7"/>
        <v>2.0661732981961545</v>
      </c>
      <c r="S77" s="2">
        <f t="shared" si="8"/>
        <v>82.956857922575594</v>
      </c>
      <c r="T77" s="2">
        <f t="shared" si="9"/>
        <v>23.049942624391861</v>
      </c>
    </row>
    <row r="78" spans="1:20" x14ac:dyDescent="0.25">
      <c r="A78" s="14">
        <f t="shared" si="16"/>
        <v>0.73358262108262107</v>
      </c>
      <c r="B78" s="2">
        <f t="shared" si="11"/>
        <v>73</v>
      </c>
      <c r="C78" s="4">
        <f t="shared" si="12"/>
        <v>40.83</v>
      </c>
      <c r="D78" s="2">
        <v>8</v>
      </c>
      <c r="E78" s="2">
        <v>50.26548245743669</v>
      </c>
      <c r="F78" s="11">
        <f t="shared" si="0"/>
        <v>1.5915494309189535</v>
      </c>
      <c r="G78" s="2">
        <f t="shared" si="1"/>
        <v>64.982963264420874</v>
      </c>
      <c r="H78" s="2">
        <f t="shared" si="2"/>
        <v>2.0311597305563391</v>
      </c>
      <c r="I78" s="2">
        <f t="shared" si="3"/>
        <v>82.932251798615326</v>
      </c>
      <c r="J78" s="2">
        <f t="shared" si="4"/>
        <v>17.949288534194451</v>
      </c>
      <c r="K78" s="15">
        <f t="shared" si="17"/>
        <v>0.71613247863247864</v>
      </c>
      <c r="L78" s="2">
        <f t="shared" si="14"/>
        <v>73</v>
      </c>
      <c r="M78" s="2">
        <f t="shared" si="15"/>
        <v>40.65</v>
      </c>
      <c r="N78" s="2">
        <v>7</v>
      </c>
      <c r="O78" s="2">
        <v>50.26548245743669</v>
      </c>
      <c r="P78" s="11">
        <f t="shared" si="5"/>
        <v>1.3926057520540844</v>
      </c>
      <c r="Q78" s="2">
        <f t="shared" si="6"/>
        <v>56.609423820998529</v>
      </c>
      <c r="R78" s="2">
        <f t="shared" si="7"/>
        <v>2.0661732981961545</v>
      </c>
      <c r="S78" s="2">
        <f t="shared" si="8"/>
        <v>83.989944571673675</v>
      </c>
      <c r="T78" s="2">
        <f t="shared" si="9"/>
        <v>27.380520750675146</v>
      </c>
    </row>
    <row r="79" spans="1:20" x14ac:dyDescent="0.25">
      <c r="A79" s="14">
        <f t="shared" si="16"/>
        <v>0.73367165242165233</v>
      </c>
      <c r="B79" s="2">
        <f t="shared" si="11"/>
        <v>74</v>
      </c>
      <c r="C79" s="4">
        <f t="shared" si="12"/>
        <v>41.33</v>
      </c>
      <c r="D79" s="2">
        <v>7</v>
      </c>
      <c r="E79" s="2">
        <v>50.26548245743669</v>
      </c>
      <c r="F79" s="11">
        <f t="shared" si="0"/>
        <v>1.3926057520540844</v>
      </c>
      <c r="G79" s="2">
        <f t="shared" si="1"/>
        <v>57.556395732395309</v>
      </c>
      <c r="H79" s="2">
        <f t="shared" si="2"/>
        <v>2.0311597305563391</v>
      </c>
      <c r="I79" s="2">
        <f t="shared" si="3"/>
        <v>83.947831663893496</v>
      </c>
      <c r="J79" s="2">
        <f t="shared" si="4"/>
        <v>26.391435931498187</v>
      </c>
      <c r="K79" s="15">
        <f t="shared" si="17"/>
        <v>0.71623931623931625</v>
      </c>
      <c r="L79" s="2">
        <f t="shared" si="14"/>
        <v>74</v>
      </c>
      <c r="M79" s="2">
        <f t="shared" si="15"/>
        <v>41.15</v>
      </c>
      <c r="N79" s="2">
        <v>8</v>
      </c>
      <c r="O79" s="2">
        <v>50.26548245743669</v>
      </c>
      <c r="P79" s="11">
        <f t="shared" si="5"/>
        <v>1.5915494309189535</v>
      </c>
      <c r="Q79" s="2">
        <f t="shared" si="6"/>
        <v>65.492259082314931</v>
      </c>
      <c r="R79" s="2">
        <f t="shared" si="7"/>
        <v>2.0661732981961545</v>
      </c>
      <c r="S79" s="2">
        <f t="shared" si="8"/>
        <v>85.023031220771756</v>
      </c>
      <c r="T79" s="2">
        <f t="shared" si="9"/>
        <v>19.530772138456825</v>
      </c>
    </row>
    <row r="80" spans="1:20" x14ac:dyDescent="0.25">
      <c r="A80" s="14">
        <f t="shared" si="16"/>
        <v>0.73376068376068371</v>
      </c>
      <c r="B80" s="2">
        <f t="shared" si="11"/>
        <v>75</v>
      </c>
      <c r="C80" s="4">
        <f t="shared" si="12"/>
        <v>41.83</v>
      </c>
      <c r="D80" s="2">
        <v>6.5</v>
      </c>
      <c r="E80" s="2">
        <v>50.26548245743669</v>
      </c>
      <c r="F80" s="11">
        <f t="shared" si="0"/>
        <v>1.2931339126216495</v>
      </c>
      <c r="G80" s="2">
        <f t="shared" si="1"/>
        <v>54.091791564963593</v>
      </c>
      <c r="H80" s="2">
        <f t="shared" si="2"/>
        <v>2.0311597305563391</v>
      </c>
      <c r="I80" s="2">
        <f t="shared" si="3"/>
        <v>84.963411529171665</v>
      </c>
      <c r="J80" s="2">
        <f t="shared" si="4"/>
        <v>30.871619964208072</v>
      </c>
      <c r="K80" s="15">
        <f t="shared" si="17"/>
        <v>0.71634615384615385</v>
      </c>
      <c r="L80" s="2">
        <f t="shared" si="14"/>
        <v>75</v>
      </c>
      <c r="M80" s="2">
        <f t="shared" si="15"/>
        <v>41.65</v>
      </c>
      <c r="N80" s="2">
        <v>8</v>
      </c>
      <c r="O80" s="2">
        <v>50.26548245743669</v>
      </c>
      <c r="P80" s="11">
        <f t="shared" si="5"/>
        <v>1.5915494309189535</v>
      </c>
      <c r="Q80" s="2">
        <f t="shared" si="6"/>
        <v>66.288033797774418</v>
      </c>
      <c r="R80" s="2">
        <f t="shared" si="7"/>
        <v>2.0661732981961545</v>
      </c>
      <c r="S80" s="2">
        <f t="shared" si="8"/>
        <v>86.056117869869837</v>
      </c>
      <c r="T80" s="2">
        <f t="shared" si="9"/>
        <v>19.768084072095419</v>
      </c>
    </row>
    <row r="81" spans="1:20" x14ac:dyDescent="0.25">
      <c r="A81" s="14">
        <f t="shared" si="16"/>
        <v>0.73384971509971508</v>
      </c>
      <c r="B81" s="2">
        <f t="shared" si="11"/>
        <v>76</v>
      </c>
      <c r="C81" s="4">
        <f t="shared" si="12"/>
        <v>42.33</v>
      </c>
      <c r="D81" s="2">
        <v>7</v>
      </c>
      <c r="E81" s="2">
        <v>50.26548245743669</v>
      </c>
      <c r="F81" s="11">
        <f t="shared" si="0"/>
        <v>1.3926057520540844</v>
      </c>
      <c r="G81" s="2">
        <f t="shared" si="1"/>
        <v>58.94900148444939</v>
      </c>
      <c r="H81" s="2">
        <f t="shared" si="2"/>
        <v>2.0311597305563391</v>
      </c>
      <c r="I81" s="2">
        <f t="shared" si="3"/>
        <v>85.978991394449835</v>
      </c>
      <c r="J81" s="2">
        <f t="shared" si="4"/>
        <v>27.029989910000445</v>
      </c>
      <c r="K81" s="15">
        <f t="shared" si="17"/>
        <v>0.71645299145299146</v>
      </c>
      <c r="L81" s="2">
        <f t="shared" si="14"/>
        <v>76</v>
      </c>
      <c r="M81" s="2">
        <f t="shared" si="15"/>
        <v>42.15</v>
      </c>
      <c r="N81" s="2">
        <v>6.5</v>
      </c>
      <c r="O81" s="2">
        <v>50.26548245743669</v>
      </c>
      <c r="P81" s="11">
        <f t="shared" si="5"/>
        <v>1.2931339126216495</v>
      </c>
      <c r="Q81" s="2">
        <f t="shared" si="6"/>
        <v>54.50559441700252</v>
      </c>
      <c r="R81" s="2">
        <f t="shared" si="7"/>
        <v>2.0661732981961545</v>
      </c>
      <c r="S81" s="2">
        <f t="shared" si="8"/>
        <v>87.089204518967904</v>
      </c>
      <c r="T81" s="2">
        <f t="shared" si="9"/>
        <v>32.583610101965384</v>
      </c>
    </row>
    <row r="82" spans="1:20" x14ac:dyDescent="0.25">
      <c r="A82" s="14">
        <f t="shared" si="16"/>
        <v>0.73393874643874635</v>
      </c>
      <c r="B82" s="2">
        <f t="shared" si="11"/>
        <v>77</v>
      </c>
      <c r="C82" s="4">
        <f t="shared" si="12"/>
        <v>42.83</v>
      </c>
      <c r="D82" s="2">
        <v>7.5</v>
      </c>
      <c r="E82" s="2">
        <v>50.26548245743669</v>
      </c>
      <c r="F82" s="11">
        <f t="shared" si="0"/>
        <v>1.492077591486519</v>
      </c>
      <c r="G82" s="2">
        <f t="shared" si="1"/>
        <v>63.905683243367605</v>
      </c>
      <c r="H82" s="2">
        <f t="shared" si="2"/>
        <v>2.0311597305563391</v>
      </c>
      <c r="I82" s="2">
        <f t="shared" si="3"/>
        <v>86.994571259728005</v>
      </c>
      <c r="J82" s="2">
        <f t="shared" si="4"/>
        <v>23.0888880163604</v>
      </c>
      <c r="K82" s="15">
        <f t="shared" si="17"/>
        <v>0.71655982905982907</v>
      </c>
      <c r="L82" s="2">
        <f t="shared" si="14"/>
        <v>77</v>
      </c>
      <c r="M82" s="2">
        <f t="shared" si="15"/>
        <v>42.65</v>
      </c>
      <c r="N82" s="2">
        <v>7</v>
      </c>
      <c r="O82" s="2">
        <v>50.26548245743669</v>
      </c>
      <c r="P82" s="11">
        <f t="shared" si="5"/>
        <v>1.3926057520540844</v>
      </c>
      <c r="Q82" s="2">
        <f t="shared" si="6"/>
        <v>59.394635325106698</v>
      </c>
      <c r="R82" s="2">
        <f t="shared" si="7"/>
        <v>2.0661732981961545</v>
      </c>
      <c r="S82" s="2">
        <f t="shared" si="8"/>
        <v>88.122291168065985</v>
      </c>
      <c r="T82" s="2">
        <f t="shared" si="9"/>
        <v>28.727655842959287</v>
      </c>
    </row>
    <row r="83" spans="1:20" x14ac:dyDescent="0.25">
      <c r="A83" s="10">
        <v>0.73402777777777772</v>
      </c>
      <c r="B83" s="2">
        <f t="shared" si="11"/>
        <v>78</v>
      </c>
      <c r="C83" s="4">
        <f t="shared" si="12"/>
        <v>43.33</v>
      </c>
      <c r="D83" s="2">
        <v>8</v>
      </c>
      <c r="E83" s="2">
        <v>50.26548245743669</v>
      </c>
      <c r="F83" s="11">
        <f t="shared" si="0"/>
        <v>1.5915494309189535</v>
      </c>
      <c r="G83" s="2">
        <f t="shared" si="1"/>
        <v>68.961836841718252</v>
      </c>
      <c r="H83" s="2">
        <f t="shared" si="2"/>
        <v>2.0311597305563391</v>
      </c>
      <c r="I83" s="2">
        <f t="shared" si="3"/>
        <v>88.010151125006175</v>
      </c>
      <c r="J83" s="2">
        <f t="shared" si="4"/>
        <v>19.048314283287922</v>
      </c>
      <c r="K83" s="12">
        <v>0.71666666666666667</v>
      </c>
      <c r="L83" s="2">
        <f t="shared" si="14"/>
        <v>78</v>
      </c>
      <c r="M83" s="2">
        <f t="shared" si="15"/>
        <v>43.15</v>
      </c>
      <c r="N83" s="2">
        <v>8.5</v>
      </c>
      <c r="O83" s="2">
        <v>50.26548245743669</v>
      </c>
      <c r="P83" s="11">
        <f t="shared" si="5"/>
        <v>1.6910212703513881</v>
      </c>
      <c r="Q83" s="2">
        <f t="shared" si="6"/>
        <v>72.967567815662392</v>
      </c>
      <c r="R83" s="2">
        <f t="shared" si="7"/>
        <v>2.0661732981961545</v>
      </c>
      <c r="S83" s="2">
        <f t="shared" si="8"/>
        <v>89.155377817164066</v>
      </c>
      <c r="T83" s="2">
        <f t="shared" si="9"/>
        <v>16.187810001501674</v>
      </c>
    </row>
    <row r="84" spans="1:20" x14ac:dyDescent="0.25">
      <c r="A84" s="14">
        <f t="shared" ref="A84:A121" si="18">IF(AND($A$83&lt;&gt;"",$A$122&lt;&gt;""), $A$83 + (B84 - $B$83) * (($A$122 - $A$83) / ($B$122 - $B$83)), "")</f>
        <v>0.73413461538461533</v>
      </c>
      <c r="B84" s="2">
        <f t="shared" si="11"/>
        <v>79</v>
      </c>
      <c r="C84" s="4">
        <f t="shared" si="12"/>
        <v>43.83</v>
      </c>
      <c r="D84" s="2">
        <v>9</v>
      </c>
      <c r="E84" s="2">
        <v>50.26548245743669</v>
      </c>
      <c r="F84" s="11">
        <f t="shared" si="0"/>
        <v>1.7904931097838226</v>
      </c>
      <c r="G84" s="2">
        <f t="shared" si="1"/>
        <v>78.477313001824939</v>
      </c>
      <c r="H84" s="2">
        <f t="shared" si="2"/>
        <v>2.0311597305563391</v>
      </c>
      <c r="I84" s="2">
        <f t="shared" si="3"/>
        <v>89.025730990284345</v>
      </c>
      <c r="J84" s="2">
        <f t="shared" si="4"/>
        <v>10.548417988459406</v>
      </c>
      <c r="K84" s="15">
        <f t="shared" ref="K84:K121" si="19">IF(AND($K$83&lt;&gt;"",$K$122&lt;&gt;""), $K$83 + (L84 - $L$83) * (($K$122 - $K$83) / ($L$122 - $L$83)), "")</f>
        <v>0.71677350427350428</v>
      </c>
      <c r="L84" s="2">
        <f t="shared" si="14"/>
        <v>79</v>
      </c>
      <c r="M84" s="2">
        <f t="shared" si="15"/>
        <v>43.65</v>
      </c>
      <c r="N84" s="2">
        <v>9</v>
      </c>
      <c r="O84" s="2">
        <v>50.26548245743669</v>
      </c>
      <c r="P84" s="11">
        <f t="shared" si="5"/>
        <v>1.7904931097838226</v>
      </c>
      <c r="Q84" s="2">
        <f t="shared" si="6"/>
        <v>78.15502424206386</v>
      </c>
      <c r="R84" s="2">
        <f t="shared" si="7"/>
        <v>2.0661732981961545</v>
      </c>
      <c r="S84" s="2">
        <f t="shared" si="8"/>
        <v>90.188464466262147</v>
      </c>
      <c r="T84" s="2">
        <f t="shared" si="9"/>
        <v>12.033440224198287</v>
      </c>
    </row>
    <row r="85" spans="1:20" x14ac:dyDescent="0.25">
      <c r="A85" s="14">
        <f t="shared" si="18"/>
        <v>0.73424145299145294</v>
      </c>
      <c r="B85" s="2">
        <f t="shared" si="11"/>
        <v>80</v>
      </c>
      <c r="C85" s="4">
        <f t="shared" si="12"/>
        <v>44.33</v>
      </c>
      <c r="D85" s="2">
        <v>9.5</v>
      </c>
      <c r="E85" s="2">
        <v>50.26548245743669</v>
      </c>
      <c r="F85" s="11">
        <f t="shared" si="0"/>
        <v>1.8899649492162571</v>
      </c>
      <c r="G85" s="2">
        <f t="shared" si="1"/>
        <v>83.782146198756678</v>
      </c>
      <c r="H85" s="2">
        <f t="shared" si="2"/>
        <v>2.0311597305563391</v>
      </c>
      <c r="I85" s="2">
        <f t="shared" si="3"/>
        <v>90.041310855562514</v>
      </c>
      <c r="J85" s="2">
        <f t="shared" si="4"/>
        <v>6.2591646568058366</v>
      </c>
      <c r="K85" s="15">
        <f t="shared" si="19"/>
        <v>0.71688034188034189</v>
      </c>
      <c r="L85" s="2">
        <f t="shared" si="14"/>
        <v>80</v>
      </c>
      <c r="M85" s="2">
        <f t="shared" si="15"/>
        <v>44.15</v>
      </c>
      <c r="N85" s="2">
        <v>9.5</v>
      </c>
      <c r="O85" s="2">
        <v>50.26548245743669</v>
      </c>
      <c r="P85" s="11">
        <f t="shared" si="5"/>
        <v>1.8899649492162571</v>
      </c>
      <c r="Q85" s="2">
        <f t="shared" si="6"/>
        <v>83.441952507897753</v>
      </c>
      <c r="R85" s="2">
        <f t="shared" si="7"/>
        <v>2.0661732981961545</v>
      </c>
      <c r="S85" s="2">
        <f t="shared" si="8"/>
        <v>91.221551115360214</v>
      </c>
      <c r="T85" s="2">
        <f t="shared" si="9"/>
        <v>7.7795986074624608</v>
      </c>
    </row>
    <row r="86" spans="1:20" x14ac:dyDescent="0.25">
      <c r="A86" s="14">
        <f t="shared" si="18"/>
        <v>0.73434829059829054</v>
      </c>
      <c r="B86" s="2">
        <f t="shared" si="11"/>
        <v>81</v>
      </c>
      <c r="C86" s="4">
        <f t="shared" si="12"/>
        <v>44.83</v>
      </c>
      <c r="D86" s="2">
        <v>9.5</v>
      </c>
      <c r="E86" s="2">
        <v>50.26548245743669</v>
      </c>
      <c r="F86" s="11">
        <f t="shared" si="0"/>
        <v>1.8899649492162571</v>
      </c>
      <c r="G86" s="2">
        <f t="shared" si="1"/>
        <v>84.727128673364803</v>
      </c>
      <c r="H86" s="2">
        <f t="shared" si="2"/>
        <v>2.0311597305563391</v>
      </c>
      <c r="I86" s="2">
        <f t="shared" si="3"/>
        <v>91.056890720840684</v>
      </c>
      <c r="J86" s="2">
        <f t="shared" si="4"/>
        <v>6.3297620474758816</v>
      </c>
      <c r="K86" s="15">
        <f t="shared" si="19"/>
        <v>0.71698717948717949</v>
      </c>
      <c r="L86" s="2">
        <f t="shared" si="14"/>
        <v>81</v>
      </c>
      <c r="M86" s="2">
        <f t="shared" si="15"/>
        <v>44.65</v>
      </c>
      <c r="N86" s="2">
        <v>9.5</v>
      </c>
      <c r="O86" s="2">
        <v>50.26548245743669</v>
      </c>
      <c r="P86" s="11">
        <f t="shared" si="5"/>
        <v>1.8899649492162571</v>
      </c>
      <c r="Q86" s="2">
        <f t="shared" si="6"/>
        <v>84.386934982505878</v>
      </c>
      <c r="R86" s="2">
        <f t="shared" si="7"/>
        <v>2.0661732981961545</v>
      </c>
      <c r="S86" s="2">
        <f t="shared" si="8"/>
        <v>92.254637764458295</v>
      </c>
      <c r="T86" s="2">
        <f t="shared" si="9"/>
        <v>7.867702781952417</v>
      </c>
    </row>
    <row r="87" spans="1:20" x14ac:dyDescent="0.25">
      <c r="A87" s="14">
        <f t="shared" si="18"/>
        <v>0.73445512820512815</v>
      </c>
      <c r="B87" s="2">
        <f t="shared" si="11"/>
        <v>82</v>
      </c>
      <c r="C87" s="4">
        <f t="shared" si="12"/>
        <v>45.33</v>
      </c>
      <c r="D87" s="2">
        <v>9</v>
      </c>
      <c r="E87" s="2">
        <v>50.26548245743669</v>
      </c>
      <c r="F87" s="11">
        <f t="shared" si="0"/>
        <v>1.7904931097838226</v>
      </c>
      <c r="G87" s="2">
        <f t="shared" si="1"/>
        <v>81.163052666500676</v>
      </c>
      <c r="H87" s="2">
        <f t="shared" si="2"/>
        <v>2.0311597305563391</v>
      </c>
      <c r="I87" s="2">
        <f t="shared" si="3"/>
        <v>92.072470586118854</v>
      </c>
      <c r="J87" s="2">
        <f t="shared" si="4"/>
        <v>10.909417919618178</v>
      </c>
      <c r="K87" s="15">
        <f t="shared" si="19"/>
        <v>0.7170940170940171</v>
      </c>
      <c r="L87" s="2">
        <f t="shared" si="14"/>
        <v>82</v>
      </c>
      <c r="M87" s="2">
        <f t="shared" si="15"/>
        <v>45.15</v>
      </c>
      <c r="N87" s="2">
        <v>9</v>
      </c>
      <c r="O87" s="2">
        <v>50.26548245743669</v>
      </c>
      <c r="P87" s="11">
        <f t="shared" si="5"/>
        <v>1.7904931097838226</v>
      </c>
      <c r="Q87" s="2">
        <f t="shared" si="6"/>
        <v>80.840763906739582</v>
      </c>
      <c r="R87" s="2">
        <f t="shared" si="7"/>
        <v>2.0661732981961545</v>
      </c>
      <c r="S87" s="2">
        <f t="shared" si="8"/>
        <v>93.287724413556376</v>
      </c>
      <c r="T87" s="2">
        <f t="shared" si="9"/>
        <v>12.446960506816794</v>
      </c>
    </row>
    <row r="88" spans="1:20" x14ac:dyDescent="0.25">
      <c r="A88" s="14">
        <f t="shared" si="18"/>
        <v>0.73456196581196576</v>
      </c>
      <c r="B88" s="2">
        <f t="shared" si="11"/>
        <v>83</v>
      </c>
      <c r="C88" s="4">
        <f t="shared" si="12"/>
        <v>45.83</v>
      </c>
      <c r="D88" s="2">
        <v>9</v>
      </c>
      <c r="E88" s="2">
        <v>50.26548245743669</v>
      </c>
      <c r="F88" s="11">
        <f t="shared" si="0"/>
        <v>1.7904931097838226</v>
      </c>
      <c r="G88" s="2">
        <f t="shared" si="1"/>
        <v>82.058299221392588</v>
      </c>
      <c r="H88" s="2">
        <f t="shared" si="2"/>
        <v>2.0311597305563391</v>
      </c>
      <c r="I88" s="2">
        <f t="shared" si="3"/>
        <v>93.088050451397024</v>
      </c>
      <c r="J88" s="2">
        <f t="shared" si="4"/>
        <v>11.029751230004436</v>
      </c>
      <c r="K88" s="15">
        <f t="shared" si="19"/>
        <v>0.71720085470085471</v>
      </c>
      <c r="L88" s="2">
        <f t="shared" si="14"/>
        <v>83</v>
      </c>
      <c r="M88" s="2">
        <f t="shared" si="15"/>
        <v>45.65</v>
      </c>
      <c r="N88" s="2">
        <v>8</v>
      </c>
      <c r="O88" s="2">
        <v>50.26548245743669</v>
      </c>
      <c r="P88" s="11">
        <f t="shared" si="5"/>
        <v>1.5915494309189535</v>
      </c>
      <c r="Q88" s="2">
        <f t="shared" si="6"/>
        <v>72.654231521450228</v>
      </c>
      <c r="R88" s="2">
        <f t="shared" si="7"/>
        <v>2.0661732981961545</v>
      </c>
      <c r="S88" s="2">
        <f t="shared" si="8"/>
        <v>94.320811062654442</v>
      </c>
      <c r="T88" s="2">
        <f t="shared" si="9"/>
        <v>21.666579541204214</v>
      </c>
    </row>
    <row r="89" spans="1:20" x14ac:dyDescent="0.25">
      <c r="A89" s="14">
        <f t="shared" si="18"/>
        <v>0.73466880341880336</v>
      </c>
      <c r="B89" s="2">
        <f t="shared" si="11"/>
        <v>84</v>
      </c>
      <c r="C89" s="4">
        <f t="shared" si="12"/>
        <v>46.33</v>
      </c>
      <c r="D89" s="2">
        <v>9</v>
      </c>
      <c r="E89" s="2">
        <v>50.26548245743669</v>
      </c>
      <c r="F89" s="11">
        <f t="shared" si="0"/>
        <v>1.7904931097838226</v>
      </c>
      <c r="G89" s="2">
        <f t="shared" si="1"/>
        <v>82.9535457762845</v>
      </c>
      <c r="H89" s="2">
        <f t="shared" si="2"/>
        <v>2.0311597305563391</v>
      </c>
      <c r="I89" s="2">
        <f t="shared" si="3"/>
        <v>94.103630316675194</v>
      </c>
      <c r="J89" s="2">
        <f t="shared" si="4"/>
        <v>11.150084540390694</v>
      </c>
      <c r="K89" s="15">
        <f t="shared" si="19"/>
        <v>0.71730769230769231</v>
      </c>
      <c r="L89" s="2">
        <f t="shared" si="14"/>
        <v>84</v>
      </c>
      <c r="M89" s="2">
        <f t="shared" si="15"/>
        <v>46.15</v>
      </c>
      <c r="N89" s="2">
        <v>10</v>
      </c>
      <c r="O89" s="2">
        <v>50.26548245743669</v>
      </c>
      <c r="P89" s="11">
        <f t="shared" si="5"/>
        <v>1.9894367886486919</v>
      </c>
      <c r="Q89" s="2">
        <f t="shared" si="6"/>
        <v>91.812507796137126</v>
      </c>
      <c r="R89" s="2">
        <f t="shared" si="7"/>
        <v>2.0661732981961545</v>
      </c>
      <c r="S89" s="2">
        <f t="shared" si="8"/>
        <v>95.353897711752523</v>
      </c>
      <c r="T89" s="2">
        <f t="shared" si="9"/>
        <v>3.5413899156153974</v>
      </c>
    </row>
    <row r="90" spans="1:20" x14ac:dyDescent="0.25">
      <c r="A90" s="14">
        <f t="shared" si="18"/>
        <v>0.73477564102564097</v>
      </c>
      <c r="B90" s="2">
        <f t="shared" si="11"/>
        <v>85</v>
      </c>
      <c r="C90" s="4">
        <f t="shared" si="12"/>
        <v>46.83</v>
      </c>
      <c r="D90" s="2">
        <v>7</v>
      </c>
      <c r="E90" s="2">
        <v>50.26548245743669</v>
      </c>
      <c r="F90" s="11">
        <f t="shared" si="0"/>
        <v>1.3926057520540844</v>
      </c>
      <c r="G90" s="2">
        <f t="shared" si="1"/>
        <v>65.215727368692768</v>
      </c>
      <c r="H90" s="2">
        <f t="shared" si="2"/>
        <v>2.0311597305563391</v>
      </c>
      <c r="I90" s="2">
        <f t="shared" si="3"/>
        <v>95.119210181953363</v>
      </c>
      <c r="J90" s="2">
        <f t="shared" si="4"/>
        <v>29.903482813260595</v>
      </c>
      <c r="K90" s="15">
        <f t="shared" si="19"/>
        <v>0.71741452991452992</v>
      </c>
      <c r="L90" s="2">
        <f t="shared" si="14"/>
        <v>85</v>
      </c>
      <c r="M90" s="2">
        <f t="shared" si="15"/>
        <v>46.65</v>
      </c>
      <c r="N90" s="2">
        <v>8</v>
      </c>
      <c r="O90" s="2">
        <v>50.26548245743669</v>
      </c>
      <c r="P90" s="11">
        <f t="shared" si="5"/>
        <v>1.5915494309189535</v>
      </c>
      <c r="Q90" s="2">
        <f t="shared" si="6"/>
        <v>74.245780952369174</v>
      </c>
      <c r="R90" s="2">
        <f t="shared" si="7"/>
        <v>2.0661732981961545</v>
      </c>
      <c r="S90" s="2">
        <f t="shared" si="8"/>
        <v>96.386984360850605</v>
      </c>
      <c r="T90" s="2">
        <f t="shared" si="9"/>
        <v>22.141203408481431</v>
      </c>
    </row>
    <row r="91" spans="1:20" x14ac:dyDescent="0.25">
      <c r="A91" s="14">
        <f t="shared" si="18"/>
        <v>0.73488247863247858</v>
      </c>
      <c r="B91" s="2">
        <f t="shared" si="11"/>
        <v>86</v>
      </c>
      <c r="C91" s="4">
        <f t="shared" si="12"/>
        <v>47.33</v>
      </c>
      <c r="D91" s="2">
        <v>7</v>
      </c>
      <c r="E91" s="2">
        <v>50.26548245743669</v>
      </c>
      <c r="F91" s="11">
        <f t="shared" si="0"/>
        <v>1.3926057520540844</v>
      </c>
      <c r="G91" s="2">
        <f t="shared" si="1"/>
        <v>65.912030244719816</v>
      </c>
      <c r="H91" s="2">
        <f t="shared" si="2"/>
        <v>2.0311597305563391</v>
      </c>
      <c r="I91" s="2">
        <f t="shared" si="3"/>
        <v>96.134790047231533</v>
      </c>
      <c r="J91" s="2">
        <f t="shared" si="4"/>
        <v>30.222759802511717</v>
      </c>
      <c r="K91" s="15">
        <f t="shared" si="19"/>
        <v>0.71752136752136753</v>
      </c>
      <c r="L91" s="2">
        <f t="shared" si="14"/>
        <v>86</v>
      </c>
      <c r="M91" s="2">
        <f t="shared" si="15"/>
        <v>47.15</v>
      </c>
      <c r="N91" s="2">
        <v>7</v>
      </c>
      <c r="O91" s="2">
        <v>50.26548245743669</v>
      </c>
      <c r="P91" s="11">
        <f t="shared" si="5"/>
        <v>1.3926057520540844</v>
      </c>
      <c r="Q91" s="2">
        <f t="shared" si="6"/>
        <v>65.661361209350076</v>
      </c>
      <c r="R91" s="2">
        <f t="shared" si="7"/>
        <v>2.0661732981961545</v>
      </c>
      <c r="S91" s="2">
        <f t="shared" si="8"/>
        <v>97.420071009948686</v>
      </c>
      <c r="T91" s="2">
        <f t="shared" si="9"/>
        <v>31.758709800598609</v>
      </c>
    </row>
    <row r="92" spans="1:20" x14ac:dyDescent="0.25">
      <c r="A92" s="14">
        <f t="shared" si="18"/>
        <v>0.73498931623931618</v>
      </c>
      <c r="B92" s="2">
        <f t="shared" si="11"/>
        <v>87</v>
      </c>
      <c r="C92" s="4">
        <f t="shared" si="12"/>
        <v>47.83</v>
      </c>
      <c r="D92" s="2">
        <v>7.5</v>
      </c>
      <c r="E92" s="2">
        <v>50.26548245743669</v>
      </c>
      <c r="F92" s="11">
        <f t="shared" si="0"/>
        <v>1.492077591486519</v>
      </c>
      <c r="G92" s="2">
        <f t="shared" si="1"/>
        <v>71.366071200800206</v>
      </c>
      <c r="H92" s="2">
        <f t="shared" si="2"/>
        <v>2.0311597305563391</v>
      </c>
      <c r="I92" s="2">
        <f t="shared" si="3"/>
        <v>97.150369912509703</v>
      </c>
      <c r="J92" s="2">
        <f t="shared" si="4"/>
        <v>25.784298711709496</v>
      </c>
      <c r="K92" s="15">
        <f t="shared" si="19"/>
        <v>0.71762820512820513</v>
      </c>
      <c r="L92" s="2">
        <f t="shared" si="14"/>
        <v>87</v>
      </c>
      <c r="M92" s="2">
        <f t="shared" si="15"/>
        <v>47.65</v>
      </c>
      <c r="N92" s="2">
        <v>7</v>
      </c>
      <c r="O92" s="2">
        <v>50.26548245743669</v>
      </c>
      <c r="P92" s="11">
        <f t="shared" si="5"/>
        <v>1.3926057520540844</v>
      </c>
      <c r="Q92" s="2">
        <f t="shared" si="6"/>
        <v>66.357664085377124</v>
      </c>
      <c r="R92" s="2">
        <f t="shared" si="7"/>
        <v>2.0661732981961545</v>
      </c>
      <c r="S92" s="2">
        <f t="shared" si="8"/>
        <v>98.453157659046752</v>
      </c>
      <c r="T92" s="2">
        <f t="shared" si="9"/>
        <v>32.095493573669629</v>
      </c>
    </row>
    <row r="93" spans="1:20" x14ac:dyDescent="0.25">
      <c r="A93" s="14">
        <f t="shared" si="18"/>
        <v>0.73509615384615379</v>
      </c>
      <c r="B93" s="2">
        <f t="shared" si="11"/>
        <v>88</v>
      </c>
      <c r="C93" s="4">
        <f t="shared" si="12"/>
        <v>48.33</v>
      </c>
      <c r="D93" s="2">
        <v>6.5</v>
      </c>
      <c r="E93" s="2">
        <v>50.26548245743669</v>
      </c>
      <c r="F93" s="11">
        <f t="shared" si="0"/>
        <v>1.2931339126216495</v>
      </c>
      <c r="G93" s="2">
        <f t="shared" si="1"/>
        <v>62.497161997004319</v>
      </c>
      <c r="H93" s="2">
        <f t="shared" si="2"/>
        <v>2.0311597305563391</v>
      </c>
      <c r="I93" s="2">
        <f t="shared" si="3"/>
        <v>98.165949777787873</v>
      </c>
      <c r="J93" s="2">
        <f t="shared" si="4"/>
        <v>35.668787780783553</v>
      </c>
      <c r="K93" s="15">
        <f t="shared" si="19"/>
        <v>0.71773504273504274</v>
      </c>
      <c r="L93" s="2">
        <f t="shared" si="14"/>
        <v>88</v>
      </c>
      <c r="M93" s="2">
        <f t="shared" si="15"/>
        <v>48.15</v>
      </c>
      <c r="N93" s="2">
        <v>8</v>
      </c>
      <c r="O93" s="2">
        <v>50.26548245743669</v>
      </c>
      <c r="P93" s="11">
        <f t="shared" si="5"/>
        <v>1.5915494309189535</v>
      </c>
      <c r="Q93" s="2">
        <f t="shared" si="6"/>
        <v>76.633105098747606</v>
      </c>
      <c r="R93" s="2">
        <f t="shared" si="7"/>
        <v>2.0661732981961545</v>
      </c>
      <c r="S93" s="2">
        <f t="shared" si="8"/>
        <v>99.486244308144833</v>
      </c>
      <c r="T93" s="2">
        <f t="shared" si="9"/>
        <v>22.853139209397227</v>
      </c>
    </row>
    <row r="94" spans="1:20" x14ac:dyDescent="0.25">
      <c r="A94" s="14">
        <f t="shared" si="18"/>
        <v>0.73520299145299139</v>
      </c>
      <c r="B94" s="2">
        <f t="shared" si="11"/>
        <v>89</v>
      </c>
      <c r="C94" s="4">
        <f t="shared" si="12"/>
        <v>48.83</v>
      </c>
      <c r="D94" s="2">
        <v>7</v>
      </c>
      <c r="E94" s="2">
        <v>50.26548245743669</v>
      </c>
      <c r="F94" s="11">
        <f t="shared" si="0"/>
        <v>1.3926057520540844</v>
      </c>
      <c r="G94" s="2">
        <f t="shared" si="1"/>
        <v>68.000938872800944</v>
      </c>
      <c r="H94" s="2">
        <f t="shared" si="2"/>
        <v>2.0311597305563391</v>
      </c>
      <c r="I94" s="2">
        <f t="shared" si="3"/>
        <v>99.181529643066042</v>
      </c>
      <c r="J94" s="2">
        <f t="shared" si="4"/>
        <v>31.180590770265098</v>
      </c>
      <c r="K94" s="15">
        <f t="shared" si="19"/>
        <v>0.71784188034188035</v>
      </c>
      <c r="L94" s="2">
        <f t="shared" si="14"/>
        <v>89</v>
      </c>
      <c r="M94" s="2">
        <f t="shared" si="15"/>
        <v>48.65</v>
      </c>
      <c r="N94" s="2">
        <v>8</v>
      </c>
      <c r="O94" s="2">
        <v>50.26548245743669</v>
      </c>
      <c r="P94" s="11">
        <f t="shared" si="5"/>
        <v>1.5915494309189535</v>
      </c>
      <c r="Q94" s="2">
        <f t="shared" si="6"/>
        <v>77.428879814207093</v>
      </c>
      <c r="R94" s="2">
        <f t="shared" si="7"/>
        <v>2.0661732981961545</v>
      </c>
      <c r="S94" s="2">
        <f t="shared" si="8"/>
        <v>100.51933095724291</v>
      </c>
      <c r="T94" s="2">
        <f t="shared" si="9"/>
        <v>23.090451143035821</v>
      </c>
    </row>
    <row r="95" spans="1:20" x14ac:dyDescent="0.25">
      <c r="A95" s="14">
        <f t="shared" si="18"/>
        <v>0.735309829059829</v>
      </c>
      <c r="B95" s="2">
        <f t="shared" si="11"/>
        <v>90</v>
      </c>
      <c r="C95" s="4">
        <f t="shared" si="12"/>
        <v>49.33</v>
      </c>
      <c r="D95" s="2">
        <v>8</v>
      </c>
      <c r="E95" s="2">
        <v>50.26548245743669</v>
      </c>
      <c r="F95" s="11">
        <f t="shared" si="0"/>
        <v>1.5915494309189535</v>
      </c>
      <c r="G95" s="2">
        <f t="shared" si="1"/>
        <v>78.511133427231968</v>
      </c>
      <c r="H95" s="2">
        <f t="shared" si="2"/>
        <v>2.0311597305563391</v>
      </c>
      <c r="I95" s="2">
        <f t="shared" si="3"/>
        <v>100.19710950834421</v>
      </c>
      <c r="J95" s="2">
        <f t="shared" si="4"/>
        <v>21.685976081112244</v>
      </c>
      <c r="K95" s="15">
        <f t="shared" si="19"/>
        <v>0.71794871794871795</v>
      </c>
      <c r="L95" s="2">
        <f t="shared" si="14"/>
        <v>90</v>
      </c>
      <c r="M95" s="2">
        <f t="shared" si="15"/>
        <v>49.15</v>
      </c>
      <c r="N95" s="2">
        <v>8</v>
      </c>
      <c r="O95" s="2">
        <v>50.26548245743669</v>
      </c>
      <c r="P95" s="11">
        <f t="shared" si="5"/>
        <v>1.5915494309189535</v>
      </c>
      <c r="Q95" s="2">
        <f t="shared" si="6"/>
        <v>78.224654529666566</v>
      </c>
      <c r="R95" s="2">
        <f t="shared" si="7"/>
        <v>2.0661732981961545</v>
      </c>
      <c r="S95" s="2">
        <f t="shared" si="8"/>
        <v>101.552417606341</v>
      </c>
      <c r="T95" s="2">
        <f t="shared" si="9"/>
        <v>23.327763076674429</v>
      </c>
    </row>
    <row r="96" spans="1:20" x14ac:dyDescent="0.25">
      <c r="A96" s="14">
        <f t="shared" si="18"/>
        <v>0.73541666666666661</v>
      </c>
      <c r="B96" s="2">
        <f t="shared" si="11"/>
        <v>91</v>
      </c>
      <c r="C96" s="4">
        <f t="shared" si="12"/>
        <v>49.83</v>
      </c>
      <c r="D96" s="2">
        <v>8.5</v>
      </c>
      <c r="E96" s="2">
        <v>50.26548245743669</v>
      </c>
      <c r="F96" s="11">
        <f t="shared" si="0"/>
        <v>1.6910212703513881</v>
      </c>
      <c r="G96" s="2">
        <f t="shared" si="1"/>
        <v>84.263589901609663</v>
      </c>
      <c r="H96" s="2">
        <f t="shared" si="2"/>
        <v>2.0311597305563391</v>
      </c>
      <c r="I96" s="2">
        <f t="shared" si="3"/>
        <v>101.21268937362238</v>
      </c>
      <c r="J96" s="2">
        <f t="shared" si="4"/>
        <v>16.949099472012719</v>
      </c>
      <c r="K96" s="15">
        <f t="shared" si="19"/>
        <v>0.71805555555555556</v>
      </c>
      <c r="L96" s="2">
        <f t="shared" si="14"/>
        <v>91</v>
      </c>
      <c r="M96" s="2">
        <f t="shared" si="15"/>
        <v>49.65</v>
      </c>
      <c r="N96" s="2">
        <v>8.5</v>
      </c>
      <c r="O96" s="2">
        <v>50.26548245743669</v>
      </c>
      <c r="P96" s="11">
        <f t="shared" si="5"/>
        <v>1.6910212703513881</v>
      </c>
      <c r="Q96" s="2">
        <f t="shared" si="6"/>
        <v>83.959206072946415</v>
      </c>
      <c r="R96" s="2">
        <f t="shared" si="7"/>
        <v>2.0661732981961545</v>
      </c>
      <c r="S96" s="2">
        <f t="shared" si="8"/>
        <v>102.58550425543906</v>
      </c>
      <c r="T96" s="2">
        <f t="shared" si="9"/>
        <v>18.626298182492647</v>
      </c>
    </row>
    <row r="97" spans="1:20" x14ac:dyDescent="0.25">
      <c r="A97" s="14">
        <f t="shared" si="18"/>
        <v>0.73552350427350421</v>
      </c>
      <c r="B97" s="2">
        <f t="shared" si="11"/>
        <v>92</v>
      </c>
      <c r="C97" s="4">
        <f t="shared" si="12"/>
        <v>50.33</v>
      </c>
      <c r="D97" s="2">
        <v>9</v>
      </c>
      <c r="E97" s="2">
        <v>50.26548245743669</v>
      </c>
      <c r="F97" s="11">
        <f t="shared" si="0"/>
        <v>1.7904931097838226</v>
      </c>
      <c r="G97" s="2">
        <f t="shared" si="1"/>
        <v>90.115518215419783</v>
      </c>
      <c r="H97" s="2">
        <f t="shared" si="2"/>
        <v>2.0311597305563391</v>
      </c>
      <c r="I97" s="2">
        <f t="shared" si="3"/>
        <v>102.22826923890055</v>
      </c>
      <c r="J97" s="2">
        <f t="shared" si="4"/>
        <v>12.112751023480769</v>
      </c>
      <c r="K97" s="15">
        <f t="shared" si="19"/>
        <v>0.71816239316239316</v>
      </c>
      <c r="L97" s="2">
        <f t="shared" si="14"/>
        <v>92</v>
      </c>
      <c r="M97" s="2">
        <f t="shared" si="15"/>
        <v>50.15</v>
      </c>
      <c r="N97" s="2">
        <v>9.5</v>
      </c>
      <c r="O97" s="2">
        <v>50.26548245743669</v>
      </c>
      <c r="P97" s="11">
        <f t="shared" si="5"/>
        <v>1.8899649492162571</v>
      </c>
      <c r="Q97" s="2">
        <f t="shared" si="6"/>
        <v>94.781742203195293</v>
      </c>
      <c r="R97" s="2">
        <f t="shared" si="7"/>
        <v>2.0661732981961545</v>
      </c>
      <c r="S97" s="2">
        <f t="shared" si="8"/>
        <v>103.61859090453714</v>
      </c>
      <c r="T97" s="2">
        <f t="shared" si="9"/>
        <v>8.8368487013418502</v>
      </c>
    </row>
    <row r="98" spans="1:20" x14ac:dyDescent="0.25">
      <c r="A98" s="14">
        <f t="shared" si="18"/>
        <v>0.73563034188034182</v>
      </c>
      <c r="B98" s="2">
        <f t="shared" si="11"/>
        <v>93</v>
      </c>
      <c r="C98" s="4">
        <f t="shared" si="12"/>
        <v>50.83</v>
      </c>
      <c r="D98" s="2">
        <v>9.5</v>
      </c>
      <c r="E98" s="2">
        <v>50.26548245743669</v>
      </c>
      <c r="F98" s="11">
        <f t="shared" si="0"/>
        <v>1.8899649492162571</v>
      </c>
      <c r="G98" s="2">
        <f t="shared" si="1"/>
        <v>96.066918368662343</v>
      </c>
      <c r="H98" s="2">
        <f t="shared" si="2"/>
        <v>2.0311597305563391</v>
      </c>
      <c r="I98" s="2">
        <f t="shared" si="3"/>
        <v>103.24384910417872</v>
      </c>
      <c r="J98" s="2">
        <f t="shared" si="4"/>
        <v>7.1769307355163789</v>
      </c>
      <c r="K98" s="15">
        <f t="shared" si="19"/>
        <v>0.71826923076923077</v>
      </c>
      <c r="L98" s="2">
        <f t="shared" si="14"/>
        <v>93</v>
      </c>
      <c r="M98" s="2">
        <f t="shared" si="15"/>
        <v>50.65</v>
      </c>
      <c r="N98" s="2">
        <v>9</v>
      </c>
      <c r="O98" s="2">
        <v>50.26548245743669</v>
      </c>
      <c r="P98" s="11">
        <f t="shared" si="5"/>
        <v>1.7904931097838226</v>
      </c>
      <c r="Q98" s="2">
        <f t="shared" si="6"/>
        <v>90.688476010550616</v>
      </c>
      <c r="R98" s="2">
        <f t="shared" si="7"/>
        <v>2.0661732981961545</v>
      </c>
      <c r="S98" s="2">
        <f t="shared" si="8"/>
        <v>104.65167755363522</v>
      </c>
      <c r="T98" s="2">
        <f t="shared" si="9"/>
        <v>13.963201543084608</v>
      </c>
    </row>
    <row r="99" spans="1:20" x14ac:dyDescent="0.25">
      <c r="A99" s="14">
        <f t="shared" si="18"/>
        <v>0.73573717948717943</v>
      </c>
      <c r="B99" s="2">
        <f t="shared" si="11"/>
        <v>94</v>
      </c>
      <c r="C99" s="4">
        <f t="shared" si="12"/>
        <v>51.33</v>
      </c>
      <c r="D99" s="2">
        <v>10</v>
      </c>
      <c r="E99" s="2">
        <v>50.26548245743669</v>
      </c>
      <c r="F99" s="11">
        <f t="shared" si="0"/>
        <v>1.9894367886486919</v>
      </c>
      <c r="G99" s="2">
        <f t="shared" si="1"/>
        <v>102.11779036133736</v>
      </c>
      <c r="H99" s="2">
        <f t="shared" si="2"/>
        <v>2.0311597305563391</v>
      </c>
      <c r="I99" s="2">
        <f t="shared" si="3"/>
        <v>104.25942896945689</v>
      </c>
      <c r="J99" s="2">
        <f t="shared" si="4"/>
        <v>2.1416386081195355</v>
      </c>
      <c r="K99" s="15">
        <f t="shared" si="19"/>
        <v>0.71837606837606838</v>
      </c>
      <c r="L99" s="2">
        <f t="shared" si="14"/>
        <v>94</v>
      </c>
      <c r="M99" s="2">
        <f t="shared" si="15"/>
        <v>51.15</v>
      </c>
      <c r="N99" s="2">
        <v>8.5</v>
      </c>
      <c r="O99" s="2">
        <v>50.26548245743669</v>
      </c>
      <c r="P99" s="11">
        <f t="shared" si="5"/>
        <v>1.6910212703513881</v>
      </c>
      <c r="Q99" s="2">
        <f t="shared" si="6"/>
        <v>86.4957379784735</v>
      </c>
      <c r="R99" s="2">
        <f t="shared" si="7"/>
        <v>2.0661732981961545</v>
      </c>
      <c r="S99" s="2">
        <f t="shared" si="8"/>
        <v>105.68476420273331</v>
      </c>
      <c r="T99" s="2">
        <f t="shared" si="9"/>
        <v>19.189026224259806</v>
      </c>
    </row>
    <row r="100" spans="1:20" x14ac:dyDescent="0.25">
      <c r="A100" s="14">
        <f t="shared" si="18"/>
        <v>0.73584401709401703</v>
      </c>
      <c r="B100" s="2">
        <f t="shared" si="11"/>
        <v>95</v>
      </c>
      <c r="C100" s="4">
        <f t="shared" si="12"/>
        <v>51.83</v>
      </c>
      <c r="D100" s="2">
        <v>9</v>
      </c>
      <c r="E100" s="2">
        <v>50.26548245743669</v>
      </c>
      <c r="F100" s="11">
        <f t="shared" si="0"/>
        <v>1.7904931097838226</v>
      </c>
      <c r="G100" s="2">
        <f t="shared" si="1"/>
        <v>92.80125788009552</v>
      </c>
      <c r="H100" s="2">
        <f t="shared" si="2"/>
        <v>2.0311597305563391</v>
      </c>
      <c r="I100" s="2">
        <f t="shared" si="3"/>
        <v>105.27500883473505</v>
      </c>
      <c r="J100" s="2">
        <f t="shared" si="4"/>
        <v>12.473750954639527</v>
      </c>
      <c r="K100" s="15">
        <f t="shared" si="19"/>
        <v>0.71848290598290598</v>
      </c>
      <c r="L100" s="2">
        <f t="shared" si="14"/>
        <v>95</v>
      </c>
      <c r="M100" s="2">
        <f t="shared" si="15"/>
        <v>51.65</v>
      </c>
      <c r="N100" s="2">
        <v>9</v>
      </c>
      <c r="O100" s="2">
        <v>50.26548245743669</v>
      </c>
      <c r="P100" s="11">
        <f t="shared" si="5"/>
        <v>1.7904931097838226</v>
      </c>
      <c r="Q100" s="2">
        <f t="shared" si="6"/>
        <v>92.47896912033444</v>
      </c>
      <c r="R100" s="2">
        <f t="shared" si="7"/>
        <v>2.0661732981961545</v>
      </c>
      <c r="S100" s="2">
        <f t="shared" si="8"/>
        <v>106.71785085183137</v>
      </c>
      <c r="T100" s="2">
        <f t="shared" si="9"/>
        <v>14.238881731496932</v>
      </c>
    </row>
    <row r="101" spans="1:20" x14ac:dyDescent="0.25">
      <c r="A101" s="14">
        <f t="shared" si="18"/>
        <v>0.73595085470085464</v>
      </c>
      <c r="B101" s="2">
        <f t="shared" si="11"/>
        <v>96</v>
      </c>
      <c r="C101" s="4">
        <f t="shared" si="12"/>
        <v>52.33</v>
      </c>
      <c r="D101" s="2">
        <v>8</v>
      </c>
      <c r="E101" s="2">
        <v>50.26548245743669</v>
      </c>
      <c r="F101" s="11">
        <f t="shared" si="0"/>
        <v>1.5915494309189535</v>
      </c>
      <c r="G101" s="2">
        <f t="shared" si="1"/>
        <v>83.285781719988833</v>
      </c>
      <c r="H101" s="2">
        <f t="shared" si="2"/>
        <v>2.0311597305563391</v>
      </c>
      <c r="I101" s="2">
        <f t="shared" si="3"/>
        <v>106.29058870001322</v>
      </c>
      <c r="J101" s="2">
        <f t="shared" si="4"/>
        <v>23.004806980024384</v>
      </c>
      <c r="K101" s="15">
        <f t="shared" si="19"/>
        <v>0.71858974358974359</v>
      </c>
      <c r="L101" s="2">
        <f t="shared" si="14"/>
        <v>96</v>
      </c>
      <c r="M101" s="2">
        <f t="shared" si="15"/>
        <v>52.15</v>
      </c>
      <c r="N101" s="2">
        <v>8.5</v>
      </c>
      <c r="O101" s="2">
        <v>50.26548245743669</v>
      </c>
      <c r="P101" s="11">
        <f t="shared" si="5"/>
        <v>1.6910212703513881</v>
      </c>
      <c r="Q101" s="2">
        <f t="shared" si="6"/>
        <v>88.186759248824885</v>
      </c>
      <c r="R101" s="2">
        <f t="shared" si="7"/>
        <v>2.0661732981961545</v>
      </c>
      <c r="S101" s="2">
        <f t="shared" si="8"/>
        <v>107.75093750092945</v>
      </c>
      <c r="T101" s="2">
        <f t="shared" si="9"/>
        <v>19.564178252104568</v>
      </c>
    </row>
    <row r="102" spans="1:20" x14ac:dyDescent="0.25">
      <c r="A102" s="14">
        <f t="shared" si="18"/>
        <v>0.73605769230769225</v>
      </c>
      <c r="B102" s="2">
        <f t="shared" si="11"/>
        <v>97</v>
      </c>
      <c r="C102" s="4">
        <f t="shared" si="12"/>
        <v>52.83</v>
      </c>
      <c r="D102" s="2">
        <v>6.5</v>
      </c>
      <c r="E102" s="2">
        <v>50.26548245743669</v>
      </c>
      <c r="F102" s="11">
        <f t="shared" si="0"/>
        <v>1.2931339126216495</v>
      </c>
      <c r="G102" s="2">
        <f t="shared" si="1"/>
        <v>68.316264603801741</v>
      </c>
      <c r="H102" s="2">
        <f t="shared" si="2"/>
        <v>2.0311597305563391</v>
      </c>
      <c r="I102" s="2">
        <f t="shared" si="3"/>
        <v>107.30616856529139</v>
      </c>
      <c r="J102" s="2">
        <f t="shared" si="4"/>
        <v>38.989903961489645</v>
      </c>
      <c r="K102" s="15">
        <f t="shared" si="19"/>
        <v>0.7186965811965812</v>
      </c>
      <c r="L102" s="2">
        <f t="shared" si="14"/>
        <v>97</v>
      </c>
      <c r="M102" s="2">
        <f t="shared" si="15"/>
        <v>52.65</v>
      </c>
      <c r="N102" s="2">
        <v>8</v>
      </c>
      <c r="O102" s="2">
        <v>50.26548245743669</v>
      </c>
      <c r="P102" s="11">
        <f t="shared" si="5"/>
        <v>1.5915494309189535</v>
      </c>
      <c r="Q102" s="2">
        <f t="shared" si="6"/>
        <v>83.795077537882904</v>
      </c>
      <c r="R102" s="2">
        <f t="shared" si="7"/>
        <v>2.0661732981961545</v>
      </c>
      <c r="S102" s="2">
        <f t="shared" si="8"/>
        <v>108.78402415002753</v>
      </c>
      <c r="T102" s="2">
        <f t="shared" si="9"/>
        <v>24.98894661214463</v>
      </c>
    </row>
    <row r="103" spans="1:20" x14ac:dyDescent="0.25">
      <c r="A103" s="14">
        <f t="shared" si="18"/>
        <v>0.73616452991452996</v>
      </c>
      <c r="B103" s="2">
        <f t="shared" si="11"/>
        <v>98</v>
      </c>
      <c r="C103" s="4">
        <f t="shared" si="12"/>
        <v>53.33</v>
      </c>
      <c r="D103" s="2">
        <v>6</v>
      </c>
      <c r="E103" s="2">
        <v>50.26548245743669</v>
      </c>
      <c r="F103" s="11">
        <f t="shared" si="0"/>
        <v>1.1936620731892149</v>
      </c>
      <c r="G103" s="2">
        <f t="shared" si="1"/>
        <v>63.65799836318083</v>
      </c>
      <c r="H103" s="2">
        <f t="shared" si="2"/>
        <v>2.0311597305563391</v>
      </c>
      <c r="I103" s="2">
        <f t="shared" si="3"/>
        <v>108.32174843056956</v>
      </c>
      <c r="J103" s="2">
        <f t="shared" si="4"/>
        <v>44.663750067388726</v>
      </c>
      <c r="K103" s="15">
        <f t="shared" si="19"/>
        <v>0.7188034188034188</v>
      </c>
      <c r="L103" s="2">
        <f t="shared" si="14"/>
        <v>98</v>
      </c>
      <c r="M103" s="2">
        <f t="shared" si="15"/>
        <v>53.15</v>
      </c>
      <c r="N103" s="2">
        <v>7.5</v>
      </c>
      <c r="O103" s="2">
        <v>50.26548245743669</v>
      </c>
      <c r="P103" s="11">
        <f t="shared" si="5"/>
        <v>1.492077591486519</v>
      </c>
      <c r="Q103" s="2">
        <f t="shared" si="6"/>
        <v>79.303923987508483</v>
      </c>
      <c r="R103" s="2">
        <f t="shared" si="7"/>
        <v>2.0661732981961545</v>
      </c>
      <c r="S103" s="2">
        <f t="shared" si="8"/>
        <v>109.8171107991256</v>
      </c>
      <c r="T103" s="2">
        <f t="shared" si="9"/>
        <v>30.513186811617118</v>
      </c>
    </row>
    <row r="104" spans="1:20" x14ac:dyDescent="0.25">
      <c r="A104" s="14">
        <f t="shared" si="18"/>
        <v>0.73627136752136757</v>
      </c>
      <c r="B104" s="2">
        <f t="shared" si="11"/>
        <v>99</v>
      </c>
      <c r="C104" s="4">
        <f t="shared" si="12"/>
        <v>53.83</v>
      </c>
      <c r="D104" s="2">
        <v>6</v>
      </c>
      <c r="E104" s="2">
        <v>50.26548245743669</v>
      </c>
      <c r="F104" s="11">
        <f t="shared" si="0"/>
        <v>1.1936620731892149</v>
      </c>
      <c r="G104" s="2">
        <f t="shared" si="1"/>
        <v>64.254829399775431</v>
      </c>
      <c r="H104" s="2">
        <f t="shared" si="2"/>
        <v>2.0311597305563391</v>
      </c>
      <c r="I104" s="2">
        <f t="shared" si="3"/>
        <v>109.33732829584773</v>
      </c>
      <c r="J104" s="2">
        <f t="shared" si="4"/>
        <v>45.082498896072295</v>
      </c>
      <c r="K104" s="15">
        <f t="shared" si="19"/>
        <v>0.71891025641025641</v>
      </c>
      <c r="L104" s="2">
        <f t="shared" si="14"/>
        <v>99</v>
      </c>
      <c r="M104" s="2">
        <f t="shared" si="15"/>
        <v>53.65</v>
      </c>
      <c r="N104" s="2">
        <v>6.5</v>
      </c>
      <c r="O104" s="2">
        <v>50.26548245743669</v>
      </c>
      <c r="P104" s="11">
        <f t="shared" si="5"/>
        <v>1.2931339126216495</v>
      </c>
      <c r="Q104" s="2">
        <f t="shared" si="6"/>
        <v>69.376634412151489</v>
      </c>
      <c r="R104" s="2">
        <f t="shared" si="7"/>
        <v>2.0661732981961545</v>
      </c>
      <c r="S104" s="2">
        <f t="shared" si="8"/>
        <v>110.85019744822368</v>
      </c>
      <c r="T104" s="2">
        <f t="shared" si="9"/>
        <v>41.473563036072193</v>
      </c>
    </row>
    <row r="105" spans="1:20" x14ac:dyDescent="0.25">
      <c r="A105" s="14">
        <f t="shared" si="18"/>
        <v>0.73637820512820518</v>
      </c>
      <c r="B105" s="2">
        <f t="shared" si="11"/>
        <v>100</v>
      </c>
      <c r="C105" s="4">
        <f t="shared" si="12"/>
        <v>54.33</v>
      </c>
      <c r="D105" s="2">
        <v>6.5</v>
      </c>
      <c r="E105" s="2">
        <v>50.26548245743669</v>
      </c>
      <c r="F105" s="11">
        <f t="shared" si="0"/>
        <v>1.2931339126216495</v>
      </c>
      <c r="G105" s="2">
        <f t="shared" si="1"/>
        <v>70.255965472734218</v>
      </c>
      <c r="H105" s="2">
        <f t="shared" si="2"/>
        <v>2.0311597305563391</v>
      </c>
      <c r="I105" s="2">
        <f t="shared" si="3"/>
        <v>110.3529081611259</v>
      </c>
      <c r="J105" s="2">
        <f t="shared" si="4"/>
        <v>40.096942688391678</v>
      </c>
      <c r="K105" s="15">
        <f t="shared" si="19"/>
        <v>0.71901709401709402</v>
      </c>
      <c r="L105" s="2">
        <f t="shared" si="14"/>
        <v>100</v>
      </c>
      <c r="M105" s="2">
        <f t="shared" si="15"/>
        <v>54.15</v>
      </c>
      <c r="N105" s="2">
        <v>7</v>
      </c>
      <c r="O105" s="2">
        <v>50.26548245743669</v>
      </c>
      <c r="P105" s="11">
        <f t="shared" si="5"/>
        <v>1.3926057520540844</v>
      </c>
      <c r="Q105" s="2">
        <f t="shared" si="6"/>
        <v>75.409601473728671</v>
      </c>
      <c r="R105" s="2">
        <f t="shared" si="7"/>
        <v>2.0661732981961545</v>
      </c>
      <c r="S105" s="2">
        <f t="shared" si="8"/>
        <v>111.88328409732176</v>
      </c>
      <c r="T105" s="2">
        <f t="shared" si="9"/>
        <v>36.473682623593092</v>
      </c>
    </row>
    <row r="106" spans="1:20" x14ac:dyDescent="0.25">
      <c r="A106" s="14">
        <f t="shared" si="18"/>
        <v>0.73648504273504278</v>
      </c>
      <c r="B106" s="2">
        <f t="shared" si="11"/>
        <v>101</v>
      </c>
      <c r="C106" s="4">
        <f t="shared" si="12"/>
        <v>54.83</v>
      </c>
      <c r="D106" s="2">
        <v>6.5</v>
      </c>
      <c r="E106" s="2">
        <v>50.26548245743669</v>
      </c>
      <c r="F106" s="11">
        <f t="shared" si="0"/>
        <v>1.2931339126216495</v>
      </c>
      <c r="G106" s="2">
        <f t="shared" si="1"/>
        <v>70.902532429045038</v>
      </c>
      <c r="H106" s="2">
        <f t="shared" si="2"/>
        <v>2.0311597305563391</v>
      </c>
      <c r="I106" s="2">
        <f t="shared" si="3"/>
        <v>111.36848802640407</v>
      </c>
      <c r="J106" s="2">
        <f t="shared" si="4"/>
        <v>40.465955597359027</v>
      </c>
      <c r="K106" s="15">
        <f t="shared" si="19"/>
        <v>0.71912393162393162</v>
      </c>
      <c r="L106" s="2">
        <f t="shared" si="14"/>
        <v>101</v>
      </c>
      <c r="M106" s="2">
        <f t="shared" si="15"/>
        <v>54.65</v>
      </c>
      <c r="N106" s="2">
        <v>8</v>
      </c>
      <c r="O106" s="2">
        <v>50.26548245743669</v>
      </c>
      <c r="P106" s="11">
        <f t="shared" si="5"/>
        <v>1.5915494309189535</v>
      </c>
      <c r="Q106" s="2">
        <f t="shared" si="6"/>
        <v>86.978176399720809</v>
      </c>
      <c r="R106" s="2">
        <f t="shared" si="7"/>
        <v>2.0661732981961545</v>
      </c>
      <c r="S106" s="2">
        <f t="shared" si="8"/>
        <v>112.91637074641984</v>
      </c>
      <c r="T106" s="2">
        <f t="shared" si="9"/>
        <v>25.938194346699035</v>
      </c>
    </row>
    <row r="107" spans="1:20" x14ac:dyDescent="0.25">
      <c r="A107" s="14">
        <f t="shared" si="18"/>
        <v>0.73659188034188039</v>
      </c>
      <c r="B107" s="2">
        <f t="shared" si="11"/>
        <v>102</v>
      </c>
      <c r="C107" s="4">
        <f t="shared" si="12"/>
        <v>55.33</v>
      </c>
      <c r="D107" s="2">
        <v>5</v>
      </c>
      <c r="E107" s="2">
        <v>50.26548245743669</v>
      </c>
      <c r="F107" s="11">
        <f t="shared" si="0"/>
        <v>0.99471839432434594</v>
      </c>
      <c r="G107" s="2">
        <f t="shared" si="1"/>
        <v>55.037768757966056</v>
      </c>
      <c r="H107" s="2">
        <f t="shared" si="2"/>
        <v>2.0311597305563391</v>
      </c>
      <c r="I107" s="2">
        <f t="shared" si="3"/>
        <v>112.38406789168224</v>
      </c>
      <c r="J107" s="2">
        <f t="shared" si="4"/>
        <v>57.34629913371618</v>
      </c>
      <c r="K107" s="15">
        <f t="shared" si="19"/>
        <v>0.71923076923076923</v>
      </c>
      <c r="L107" s="2">
        <f t="shared" si="14"/>
        <v>102</v>
      </c>
      <c r="M107" s="2">
        <f t="shared" si="15"/>
        <v>55.15</v>
      </c>
      <c r="N107" s="2">
        <v>6.5</v>
      </c>
      <c r="O107" s="2">
        <v>50.26548245743669</v>
      </c>
      <c r="P107" s="11">
        <f t="shared" si="5"/>
        <v>1.2931339126216495</v>
      </c>
      <c r="Q107" s="2">
        <f t="shared" si="6"/>
        <v>71.316335281083965</v>
      </c>
      <c r="R107" s="2">
        <f t="shared" si="7"/>
        <v>2.0661732981961545</v>
      </c>
      <c r="S107" s="2">
        <f t="shared" si="8"/>
        <v>113.94945739551791</v>
      </c>
      <c r="T107" s="2">
        <f t="shared" si="9"/>
        <v>42.633122114433945</v>
      </c>
    </row>
    <row r="108" spans="1:20" x14ac:dyDescent="0.25">
      <c r="A108" s="14">
        <f t="shared" si="18"/>
        <v>0.736698717948718</v>
      </c>
      <c r="B108" s="2">
        <f t="shared" si="11"/>
        <v>103</v>
      </c>
      <c r="C108" s="4">
        <f t="shared" si="12"/>
        <v>55.83</v>
      </c>
      <c r="D108" s="2">
        <v>5</v>
      </c>
      <c r="E108" s="2">
        <v>50.26548245743669</v>
      </c>
      <c r="F108" s="11">
        <f t="shared" si="0"/>
        <v>0.99471839432434594</v>
      </c>
      <c r="G108" s="2">
        <f t="shared" si="1"/>
        <v>55.535127955128232</v>
      </c>
      <c r="H108" s="2">
        <f t="shared" si="2"/>
        <v>2.0311597305563391</v>
      </c>
      <c r="I108" s="2">
        <f t="shared" si="3"/>
        <v>113.39964775696041</v>
      </c>
      <c r="J108" s="2">
        <f t="shared" si="4"/>
        <v>57.864519801832174</v>
      </c>
      <c r="K108" s="15">
        <f t="shared" si="19"/>
        <v>0.71933760683760684</v>
      </c>
      <c r="L108" s="2">
        <f t="shared" si="14"/>
        <v>103</v>
      </c>
      <c r="M108" s="2">
        <f t="shared" si="15"/>
        <v>55.65</v>
      </c>
      <c r="N108" s="2">
        <v>5</v>
      </c>
      <c r="O108" s="2">
        <v>50.26548245743669</v>
      </c>
      <c r="P108" s="11">
        <f t="shared" si="5"/>
        <v>0.99471839432434594</v>
      </c>
      <c r="Q108" s="2">
        <f t="shared" si="6"/>
        <v>55.356078644149854</v>
      </c>
      <c r="R108" s="2">
        <f t="shared" si="7"/>
        <v>2.0661732981961545</v>
      </c>
      <c r="S108" s="2">
        <f t="shared" si="8"/>
        <v>114.98254404461599</v>
      </c>
      <c r="T108" s="2">
        <f t="shared" si="9"/>
        <v>59.626465400466138</v>
      </c>
    </row>
    <row r="109" spans="1:20" x14ac:dyDescent="0.25">
      <c r="A109" s="14">
        <f t="shared" si="18"/>
        <v>0.7368055555555556</v>
      </c>
      <c r="B109" s="21">
        <f t="shared" si="11"/>
        <v>104</v>
      </c>
      <c r="C109" s="22">
        <f t="shared" si="12"/>
        <v>56.33</v>
      </c>
      <c r="D109" s="21">
        <v>6</v>
      </c>
      <c r="E109" s="2">
        <v>50.26548245743669</v>
      </c>
      <c r="F109" s="11">
        <f t="shared" si="0"/>
        <v>1.1936620731892149</v>
      </c>
      <c r="G109" s="2">
        <f t="shared" si="1"/>
        <v>67.238984582748472</v>
      </c>
      <c r="H109" s="2">
        <f t="shared" si="2"/>
        <v>2.0311597305563391</v>
      </c>
      <c r="I109" s="2">
        <f t="shared" si="3"/>
        <v>114.41522762223858</v>
      </c>
      <c r="J109" s="2">
        <f t="shared" si="4"/>
        <v>47.176243039490103</v>
      </c>
      <c r="K109" s="15">
        <f t="shared" si="19"/>
        <v>0.71944444444444444</v>
      </c>
      <c r="L109" s="21">
        <f t="shared" si="14"/>
        <v>104</v>
      </c>
      <c r="M109" s="21">
        <f t="shared" si="15"/>
        <v>56.15</v>
      </c>
      <c r="N109" s="21">
        <v>5</v>
      </c>
      <c r="O109" s="2">
        <v>50.26548245743669</v>
      </c>
      <c r="P109" s="11">
        <f t="shared" si="5"/>
        <v>0.99471839432434594</v>
      </c>
      <c r="Q109" s="2">
        <f t="shared" si="6"/>
        <v>55.853437841312022</v>
      </c>
      <c r="R109" s="2">
        <f t="shared" si="7"/>
        <v>2.0661732981961545</v>
      </c>
      <c r="S109" s="2">
        <f t="shared" si="8"/>
        <v>116.01563069371407</v>
      </c>
      <c r="T109" s="2">
        <f t="shared" si="9"/>
        <v>60.16219285240205</v>
      </c>
    </row>
    <row r="110" spans="1:20" x14ac:dyDescent="0.25">
      <c r="A110" s="14">
        <f t="shared" si="18"/>
        <v>0.73691239316239321</v>
      </c>
      <c r="B110" s="21">
        <f t="shared" si="11"/>
        <v>105</v>
      </c>
      <c r="C110" s="22">
        <f>C109+1.5</f>
        <v>57.83</v>
      </c>
      <c r="D110" s="21">
        <v>6.5</v>
      </c>
      <c r="E110" s="2">
        <v>50.26548245743669</v>
      </c>
      <c r="F110" s="11">
        <f t="shared" si="0"/>
        <v>1.2931339126216495</v>
      </c>
      <c r="G110" s="2">
        <f t="shared" si="1"/>
        <v>74.781934166909991</v>
      </c>
      <c r="H110" s="2">
        <f t="shared" si="2"/>
        <v>2.0311597305563391</v>
      </c>
      <c r="I110" s="2">
        <f t="shared" si="3"/>
        <v>117.46196721807308</v>
      </c>
      <c r="J110" s="2">
        <f t="shared" si="4"/>
        <v>42.680033051163093</v>
      </c>
      <c r="K110" s="15">
        <f t="shared" si="19"/>
        <v>0.71955128205128205</v>
      </c>
      <c r="L110" s="21">
        <f t="shared" si="14"/>
        <v>105</v>
      </c>
      <c r="M110" s="21">
        <f>M109+1.5</f>
        <v>57.65</v>
      </c>
      <c r="N110" s="21">
        <v>7</v>
      </c>
      <c r="O110" s="2">
        <v>50.26548245743669</v>
      </c>
      <c r="P110" s="11">
        <f t="shared" si="5"/>
        <v>1.3926057520540844</v>
      </c>
      <c r="Q110" s="2">
        <f t="shared" si="6"/>
        <v>80.283721605917961</v>
      </c>
      <c r="R110" s="2">
        <f t="shared" si="7"/>
        <v>2.0661732981961545</v>
      </c>
      <c r="S110" s="2">
        <f t="shared" si="8"/>
        <v>119.1148906410083</v>
      </c>
      <c r="T110" s="2">
        <f t="shared" si="9"/>
        <v>38.83116903509034</v>
      </c>
    </row>
    <row r="111" spans="1:20" x14ac:dyDescent="0.25">
      <c r="A111" s="14">
        <f t="shared" si="18"/>
        <v>0.73701923076923082</v>
      </c>
      <c r="B111" s="21">
        <f t="shared" si="11"/>
        <v>106</v>
      </c>
      <c r="C111" s="22">
        <f t="shared" ref="C111:C162" si="20">C110+0.5</f>
        <v>58.33</v>
      </c>
      <c r="D111" s="21">
        <v>6.5</v>
      </c>
      <c r="E111" s="2">
        <v>50.26548245743669</v>
      </c>
      <c r="F111" s="11">
        <f t="shared" si="0"/>
        <v>1.2931339126216495</v>
      </c>
      <c r="G111" s="2">
        <f t="shared" si="1"/>
        <v>75.428501123220812</v>
      </c>
      <c r="H111" s="2">
        <f t="shared" si="2"/>
        <v>2.0311597305563391</v>
      </c>
      <c r="I111" s="2">
        <f t="shared" si="3"/>
        <v>118.47754708335125</v>
      </c>
      <c r="J111" s="2">
        <f t="shared" si="4"/>
        <v>43.049045960130442</v>
      </c>
      <c r="K111" s="15">
        <f t="shared" si="19"/>
        <v>0.71965811965811965</v>
      </c>
      <c r="L111" s="21">
        <f t="shared" si="14"/>
        <v>106</v>
      </c>
      <c r="M111" s="21">
        <f t="shared" ref="M111:M162" si="21">M110+0.5</f>
        <v>58.15</v>
      </c>
      <c r="N111" s="21">
        <v>7</v>
      </c>
      <c r="O111" s="2">
        <v>50.26548245743669</v>
      </c>
      <c r="P111" s="11">
        <f t="shared" si="5"/>
        <v>1.3926057520540844</v>
      </c>
      <c r="Q111" s="2">
        <f t="shared" si="6"/>
        <v>80.980024481945009</v>
      </c>
      <c r="R111" s="2">
        <f t="shared" si="7"/>
        <v>2.0661732981961545</v>
      </c>
      <c r="S111" s="2">
        <f t="shared" si="8"/>
        <v>120.14797729010638</v>
      </c>
      <c r="T111" s="2">
        <f t="shared" si="9"/>
        <v>39.167952808161374</v>
      </c>
    </row>
    <row r="112" spans="1:20" x14ac:dyDescent="0.25">
      <c r="A112" s="14">
        <f t="shared" si="18"/>
        <v>0.73712606837606842</v>
      </c>
      <c r="B112" s="2">
        <f t="shared" si="11"/>
        <v>107</v>
      </c>
      <c r="C112" s="4">
        <f t="shared" si="20"/>
        <v>58.83</v>
      </c>
      <c r="D112" s="2">
        <v>7.5</v>
      </c>
      <c r="E112" s="2">
        <v>50.26548245743669</v>
      </c>
      <c r="F112" s="11">
        <f t="shared" si="0"/>
        <v>1.492077591486519</v>
      </c>
      <c r="G112" s="2">
        <f t="shared" si="1"/>
        <v>87.778924707151916</v>
      </c>
      <c r="H112" s="2">
        <f t="shared" si="2"/>
        <v>2.0311597305563391</v>
      </c>
      <c r="I112" s="2">
        <f t="shared" si="3"/>
        <v>119.49312694862942</v>
      </c>
      <c r="J112" s="2">
        <f t="shared" si="4"/>
        <v>31.714202241477508</v>
      </c>
      <c r="K112" s="15">
        <f t="shared" si="19"/>
        <v>0.71976495726495726</v>
      </c>
      <c r="L112" s="2">
        <f t="shared" si="14"/>
        <v>107</v>
      </c>
      <c r="M112" s="2">
        <f t="shared" si="21"/>
        <v>58.65</v>
      </c>
      <c r="N112" s="2">
        <v>7</v>
      </c>
      <c r="O112" s="2">
        <v>50.26548245743669</v>
      </c>
      <c r="P112" s="11">
        <f t="shared" si="5"/>
        <v>1.3926057520540844</v>
      </c>
      <c r="Q112" s="2">
        <f t="shared" si="6"/>
        <v>81.676327357972056</v>
      </c>
      <c r="R112" s="2">
        <f t="shared" si="7"/>
        <v>2.0661732981961545</v>
      </c>
      <c r="S112" s="2">
        <f t="shared" si="8"/>
        <v>121.18106393920446</v>
      </c>
      <c r="T112" s="2">
        <f t="shared" si="9"/>
        <v>39.504736581232407</v>
      </c>
    </row>
    <row r="113" spans="1:20" x14ac:dyDescent="0.25">
      <c r="A113" s="14">
        <f t="shared" si="18"/>
        <v>0.73723290598290603</v>
      </c>
      <c r="B113" s="2">
        <f t="shared" si="11"/>
        <v>108</v>
      </c>
      <c r="C113" s="4">
        <f t="shared" si="20"/>
        <v>59.33</v>
      </c>
      <c r="D113" s="2">
        <v>6.5</v>
      </c>
      <c r="E113" s="2">
        <v>50.26548245743669</v>
      </c>
      <c r="F113" s="11">
        <f t="shared" si="0"/>
        <v>1.2931339126216495</v>
      </c>
      <c r="G113" s="2">
        <f t="shared" si="1"/>
        <v>76.721635035842453</v>
      </c>
      <c r="H113" s="2">
        <f t="shared" si="2"/>
        <v>2.0311597305563391</v>
      </c>
      <c r="I113" s="2">
        <f t="shared" si="3"/>
        <v>120.50870681390759</v>
      </c>
      <c r="J113" s="2">
        <f t="shared" si="4"/>
        <v>43.78707177806514</v>
      </c>
      <c r="K113" s="15">
        <f t="shared" si="19"/>
        <v>0.71987179487179487</v>
      </c>
      <c r="L113" s="2">
        <f t="shared" si="14"/>
        <v>108</v>
      </c>
      <c r="M113" s="2">
        <f t="shared" si="21"/>
        <v>59.15</v>
      </c>
      <c r="N113" s="2">
        <v>6.5</v>
      </c>
      <c r="O113" s="2">
        <v>50.26548245743669</v>
      </c>
      <c r="P113" s="11">
        <f t="shared" si="5"/>
        <v>1.2931339126216495</v>
      </c>
      <c r="Q113" s="2">
        <f t="shared" si="6"/>
        <v>76.48887093157056</v>
      </c>
      <c r="R113" s="2">
        <f t="shared" si="7"/>
        <v>2.0661732981961545</v>
      </c>
      <c r="S113" s="2">
        <f t="shared" si="8"/>
        <v>122.21415058830253</v>
      </c>
      <c r="T113" s="2">
        <f t="shared" si="9"/>
        <v>45.725279656731971</v>
      </c>
    </row>
    <row r="114" spans="1:20" x14ac:dyDescent="0.25">
      <c r="A114" s="14">
        <f t="shared" si="18"/>
        <v>0.73733974358974363</v>
      </c>
      <c r="B114" s="2">
        <f t="shared" si="11"/>
        <v>109</v>
      </c>
      <c r="C114" s="4">
        <f t="shared" si="20"/>
        <v>59.83</v>
      </c>
      <c r="D114" s="2">
        <v>6.5</v>
      </c>
      <c r="E114" s="2">
        <v>50.26548245743669</v>
      </c>
      <c r="F114" s="11">
        <f t="shared" si="0"/>
        <v>1.2931339126216495</v>
      </c>
      <c r="G114" s="2">
        <f t="shared" si="1"/>
        <v>77.368201992153288</v>
      </c>
      <c r="H114" s="2">
        <f t="shared" si="2"/>
        <v>2.0311597305563391</v>
      </c>
      <c r="I114" s="2">
        <f t="shared" si="3"/>
        <v>121.52428667918576</v>
      </c>
      <c r="J114" s="2">
        <f t="shared" si="4"/>
        <v>44.156084687032475</v>
      </c>
      <c r="K114" s="15">
        <f t="shared" si="19"/>
        <v>0.71997863247863247</v>
      </c>
      <c r="L114" s="2">
        <f t="shared" si="14"/>
        <v>109</v>
      </c>
      <c r="M114" s="2">
        <f t="shared" si="21"/>
        <v>59.65</v>
      </c>
      <c r="N114" s="2">
        <v>6.5</v>
      </c>
      <c r="O114" s="2">
        <v>50.26548245743669</v>
      </c>
      <c r="P114" s="11">
        <f t="shared" si="5"/>
        <v>1.2931339126216495</v>
      </c>
      <c r="Q114" s="2">
        <f t="shared" si="6"/>
        <v>77.135437887881395</v>
      </c>
      <c r="R114" s="2">
        <f t="shared" si="7"/>
        <v>2.0661732981961545</v>
      </c>
      <c r="S114" s="2">
        <f t="shared" si="8"/>
        <v>123.24723723740061</v>
      </c>
      <c r="T114" s="2">
        <f t="shared" si="9"/>
        <v>46.111799349519217</v>
      </c>
    </row>
    <row r="115" spans="1:20" x14ac:dyDescent="0.25">
      <c r="A115" s="14">
        <f t="shared" si="18"/>
        <v>0.73744658119658124</v>
      </c>
      <c r="B115" s="2">
        <f t="shared" si="11"/>
        <v>110</v>
      </c>
      <c r="C115" s="4">
        <f t="shared" si="20"/>
        <v>60.33</v>
      </c>
      <c r="D115" s="2">
        <v>6</v>
      </c>
      <c r="E115" s="2">
        <v>50.26548245743669</v>
      </c>
      <c r="F115" s="11">
        <f t="shared" si="0"/>
        <v>1.1936620731892149</v>
      </c>
      <c r="G115" s="2">
        <f t="shared" si="1"/>
        <v>72.013632875505337</v>
      </c>
      <c r="H115" s="2">
        <f t="shared" si="2"/>
        <v>2.0311597305563391</v>
      </c>
      <c r="I115" s="2">
        <f t="shared" si="3"/>
        <v>122.53986654446393</v>
      </c>
      <c r="J115" s="2">
        <f t="shared" si="4"/>
        <v>50.526233668958596</v>
      </c>
      <c r="K115" s="15">
        <f t="shared" si="19"/>
        <v>0.72008547008547008</v>
      </c>
      <c r="L115" s="2">
        <f t="shared" si="14"/>
        <v>110</v>
      </c>
      <c r="M115" s="2">
        <f t="shared" si="21"/>
        <v>60.15</v>
      </c>
      <c r="N115" s="2">
        <v>6</v>
      </c>
      <c r="O115" s="2">
        <v>50.26548245743669</v>
      </c>
      <c r="P115" s="11">
        <f t="shared" si="5"/>
        <v>1.1936620731892149</v>
      </c>
      <c r="Q115" s="2">
        <f t="shared" si="6"/>
        <v>71.798773702331275</v>
      </c>
      <c r="R115" s="2">
        <f t="shared" si="7"/>
        <v>2.0661732981961545</v>
      </c>
      <c r="S115" s="2">
        <f t="shared" si="8"/>
        <v>124.28032388649869</v>
      </c>
      <c r="T115" s="2">
        <f t="shared" si="9"/>
        <v>52.481550184167418</v>
      </c>
    </row>
    <row r="116" spans="1:20" x14ac:dyDescent="0.25">
      <c r="A116" s="14">
        <f t="shared" si="18"/>
        <v>0.73755341880341885</v>
      </c>
      <c r="B116" s="2">
        <f t="shared" si="11"/>
        <v>111</v>
      </c>
      <c r="C116" s="4">
        <f t="shared" si="20"/>
        <v>60.83</v>
      </c>
      <c r="D116" s="2">
        <v>7</v>
      </c>
      <c r="E116" s="2">
        <v>50.26548245743669</v>
      </c>
      <c r="F116" s="11">
        <f t="shared" si="0"/>
        <v>1.3926057520540844</v>
      </c>
      <c r="G116" s="2">
        <f t="shared" si="1"/>
        <v>84.712207897449957</v>
      </c>
      <c r="H116" s="2">
        <f t="shared" si="2"/>
        <v>2.0311597305563391</v>
      </c>
      <c r="I116" s="2">
        <f t="shared" si="3"/>
        <v>123.5554464097421</v>
      </c>
      <c r="J116" s="2">
        <f t="shared" si="4"/>
        <v>38.843238512292146</v>
      </c>
      <c r="K116" s="15">
        <f t="shared" si="19"/>
        <v>0.72019230769230769</v>
      </c>
      <c r="L116" s="2">
        <f t="shared" si="14"/>
        <v>111</v>
      </c>
      <c r="M116" s="2">
        <f t="shared" si="21"/>
        <v>60.65</v>
      </c>
      <c r="N116" s="2">
        <v>6.5</v>
      </c>
      <c r="O116" s="2">
        <v>50.26548245743669</v>
      </c>
      <c r="P116" s="11">
        <f t="shared" si="5"/>
        <v>1.2931339126216495</v>
      </c>
      <c r="Q116" s="2">
        <f t="shared" si="6"/>
        <v>78.428571800503036</v>
      </c>
      <c r="R116" s="2">
        <f t="shared" si="7"/>
        <v>2.0661732981961545</v>
      </c>
      <c r="S116" s="2">
        <f t="shared" si="8"/>
        <v>125.31341053559676</v>
      </c>
      <c r="T116" s="2">
        <f t="shared" si="9"/>
        <v>46.884838735093723</v>
      </c>
    </row>
    <row r="117" spans="1:20" x14ac:dyDescent="0.25">
      <c r="A117" s="14">
        <f t="shared" si="18"/>
        <v>0.73766025641025645</v>
      </c>
      <c r="B117" s="2">
        <f t="shared" si="11"/>
        <v>112</v>
      </c>
      <c r="C117" s="4">
        <f t="shared" si="20"/>
        <v>61.33</v>
      </c>
      <c r="D117" s="2">
        <v>7</v>
      </c>
      <c r="E117" s="2">
        <v>50.26548245743669</v>
      </c>
      <c r="F117" s="11">
        <f t="shared" si="0"/>
        <v>1.3926057520540844</v>
      </c>
      <c r="G117" s="2">
        <f t="shared" si="1"/>
        <v>85.408510773476991</v>
      </c>
      <c r="H117" s="2">
        <f t="shared" si="2"/>
        <v>2.0311597305563391</v>
      </c>
      <c r="I117" s="2">
        <f t="shared" si="3"/>
        <v>124.57102627502027</v>
      </c>
      <c r="J117" s="2">
        <f t="shared" si="4"/>
        <v>39.162515501543282</v>
      </c>
      <c r="K117" s="15">
        <f t="shared" si="19"/>
        <v>0.72029914529914529</v>
      </c>
      <c r="L117" s="2">
        <f t="shared" si="14"/>
        <v>112</v>
      </c>
      <c r="M117" s="2">
        <f t="shared" si="21"/>
        <v>61.15</v>
      </c>
      <c r="N117" s="2">
        <v>6</v>
      </c>
      <c r="O117" s="2">
        <v>50.26548245743669</v>
      </c>
      <c r="P117" s="11">
        <f t="shared" si="5"/>
        <v>1.1936620731892149</v>
      </c>
      <c r="Q117" s="2">
        <f t="shared" si="6"/>
        <v>72.992435775520491</v>
      </c>
      <c r="R117" s="2">
        <f t="shared" si="7"/>
        <v>2.0661732981961545</v>
      </c>
      <c r="S117" s="2">
        <f t="shared" si="8"/>
        <v>126.34649718469484</v>
      </c>
      <c r="T117" s="2">
        <f t="shared" si="9"/>
        <v>53.354061409174349</v>
      </c>
    </row>
    <row r="118" spans="1:20" x14ac:dyDescent="0.25">
      <c r="A118" s="14">
        <f t="shared" si="18"/>
        <v>0.73776709401709406</v>
      </c>
      <c r="B118" s="2">
        <f t="shared" si="11"/>
        <v>113</v>
      </c>
      <c r="C118" s="4">
        <f t="shared" si="20"/>
        <v>61.83</v>
      </c>
      <c r="D118" s="2">
        <v>5.5</v>
      </c>
      <c r="E118" s="2">
        <v>50.26548245743669</v>
      </c>
      <c r="F118" s="11">
        <f t="shared" si="0"/>
        <v>1.0941902337567804</v>
      </c>
      <c r="G118" s="2">
        <f t="shared" si="1"/>
        <v>67.653782153181723</v>
      </c>
      <c r="H118" s="2">
        <f t="shared" si="2"/>
        <v>2.0311597305563391</v>
      </c>
      <c r="I118" s="2">
        <f t="shared" si="3"/>
        <v>125.58660614029844</v>
      </c>
      <c r="J118" s="2">
        <f t="shared" si="4"/>
        <v>57.93282398711672</v>
      </c>
      <c r="K118" s="15">
        <f t="shared" si="19"/>
        <v>0.7204059829059829</v>
      </c>
      <c r="L118" s="2">
        <f t="shared" si="14"/>
        <v>113</v>
      </c>
      <c r="M118" s="2">
        <f t="shared" si="21"/>
        <v>61.65</v>
      </c>
      <c r="N118" s="2">
        <v>6</v>
      </c>
      <c r="O118" s="2">
        <v>50.26548245743669</v>
      </c>
      <c r="P118" s="11">
        <f t="shared" si="5"/>
        <v>1.1936620731892149</v>
      </c>
      <c r="Q118" s="2">
        <f t="shared" si="6"/>
        <v>73.589266812115099</v>
      </c>
      <c r="R118" s="2">
        <f t="shared" si="7"/>
        <v>2.0661732981961545</v>
      </c>
      <c r="S118" s="2">
        <f t="shared" si="8"/>
        <v>127.37958383379292</v>
      </c>
      <c r="T118" s="2">
        <f t="shared" si="9"/>
        <v>53.790317021677822</v>
      </c>
    </row>
    <row r="119" spans="1:20" x14ac:dyDescent="0.25">
      <c r="A119" s="14">
        <f t="shared" si="18"/>
        <v>0.73787393162393167</v>
      </c>
      <c r="B119" s="2">
        <f t="shared" si="11"/>
        <v>114</v>
      </c>
      <c r="C119" s="4">
        <f t="shared" si="20"/>
        <v>62.33</v>
      </c>
      <c r="D119" s="2">
        <v>6.5</v>
      </c>
      <c r="E119" s="2">
        <v>50.26548245743669</v>
      </c>
      <c r="F119" s="11">
        <f t="shared" si="0"/>
        <v>1.2931339126216495</v>
      </c>
      <c r="G119" s="2">
        <f t="shared" si="1"/>
        <v>80.601036773707406</v>
      </c>
      <c r="H119" s="2">
        <f t="shared" si="2"/>
        <v>2.0311597305563391</v>
      </c>
      <c r="I119" s="2">
        <f t="shared" si="3"/>
        <v>126.60218600557661</v>
      </c>
      <c r="J119" s="2">
        <f t="shared" si="4"/>
        <v>46.001149231869206</v>
      </c>
      <c r="K119" s="15">
        <f t="shared" si="19"/>
        <v>0.72051282051282051</v>
      </c>
      <c r="L119" s="2">
        <f t="shared" si="14"/>
        <v>114</v>
      </c>
      <c r="M119" s="2">
        <f t="shared" si="21"/>
        <v>62.15</v>
      </c>
      <c r="N119" s="2">
        <v>6</v>
      </c>
      <c r="O119" s="2">
        <v>50.26548245743669</v>
      </c>
      <c r="P119" s="11">
        <f t="shared" si="5"/>
        <v>1.1936620731892149</v>
      </c>
      <c r="Q119" s="2">
        <f t="shared" si="6"/>
        <v>74.186097848709707</v>
      </c>
      <c r="R119" s="2">
        <f t="shared" si="7"/>
        <v>2.0661732981961545</v>
      </c>
      <c r="S119" s="2">
        <f t="shared" si="8"/>
        <v>128.412670482891</v>
      </c>
      <c r="T119" s="2">
        <f t="shared" si="9"/>
        <v>54.226572634181295</v>
      </c>
    </row>
    <row r="120" spans="1:20" x14ac:dyDescent="0.25">
      <c r="A120" s="14">
        <f t="shared" si="18"/>
        <v>0.73798076923076927</v>
      </c>
      <c r="B120" s="2">
        <f t="shared" si="11"/>
        <v>115</v>
      </c>
      <c r="C120" s="4">
        <f t="shared" si="20"/>
        <v>62.83</v>
      </c>
      <c r="D120" s="2">
        <v>7</v>
      </c>
      <c r="E120" s="2">
        <v>50.26548245743669</v>
      </c>
      <c r="F120" s="11">
        <f t="shared" si="0"/>
        <v>1.3926057520540844</v>
      </c>
      <c r="G120" s="2">
        <f t="shared" si="1"/>
        <v>87.497419401558119</v>
      </c>
      <c r="H120" s="2">
        <f t="shared" si="2"/>
        <v>2.0311597305563391</v>
      </c>
      <c r="I120" s="2">
        <f t="shared" si="3"/>
        <v>127.61776587085478</v>
      </c>
      <c r="J120" s="2">
        <f t="shared" si="4"/>
        <v>40.120346469296663</v>
      </c>
      <c r="K120" s="15">
        <f t="shared" si="19"/>
        <v>0.72061965811965811</v>
      </c>
      <c r="L120" s="2">
        <f t="shared" si="14"/>
        <v>115</v>
      </c>
      <c r="M120" s="2">
        <f t="shared" si="21"/>
        <v>62.65</v>
      </c>
      <c r="N120" s="2">
        <v>7</v>
      </c>
      <c r="O120" s="2">
        <v>50.26548245743669</v>
      </c>
      <c r="P120" s="11">
        <f t="shared" si="5"/>
        <v>1.3926057520540844</v>
      </c>
      <c r="Q120" s="2">
        <f t="shared" si="6"/>
        <v>87.246750366188394</v>
      </c>
      <c r="R120" s="2">
        <f t="shared" si="7"/>
        <v>2.0661732981961545</v>
      </c>
      <c r="S120" s="2">
        <f t="shared" si="8"/>
        <v>129.44575713198907</v>
      </c>
      <c r="T120" s="2">
        <f t="shared" si="9"/>
        <v>42.199006765800675</v>
      </c>
    </row>
    <row r="121" spans="1:20" x14ac:dyDescent="0.25">
      <c r="A121" s="14">
        <f t="shared" si="18"/>
        <v>0.73808760683760688</v>
      </c>
      <c r="B121" s="2">
        <f t="shared" si="11"/>
        <v>116</v>
      </c>
      <c r="C121" s="4">
        <f t="shared" si="20"/>
        <v>63.33</v>
      </c>
      <c r="D121" s="2">
        <v>8</v>
      </c>
      <c r="E121" s="2">
        <v>50.26548245743669</v>
      </c>
      <c r="F121" s="11">
        <f t="shared" si="0"/>
        <v>1.5915494309189535</v>
      </c>
      <c r="G121" s="2">
        <f t="shared" si="1"/>
        <v>100.79282546009732</v>
      </c>
      <c r="H121" s="2">
        <f t="shared" si="2"/>
        <v>2.0311597305563391</v>
      </c>
      <c r="I121" s="2">
        <f t="shared" si="3"/>
        <v>128.63334573613295</v>
      </c>
      <c r="J121" s="2">
        <f t="shared" si="4"/>
        <v>27.840520276035633</v>
      </c>
      <c r="K121" s="15">
        <f t="shared" si="19"/>
        <v>0.72072649572649572</v>
      </c>
      <c r="L121" s="2">
        <f t="shared" si="14"/>
        <v>116</v>
      </c>
      <c r="M121" s="2">
        <f t="shared" si="21"/>
        <v>63.15</v>
      </c>
      <c r="N121" s="2">
        <v>11</v>
      </c>
      <c r="O121" s="2">
        <v>50.26548245743669</v>
      </c>
      <c r="P121" s="11">
        <f t="shared" si="5"/>
        <v>2.1883804675135607</v>
      </c>
      <c r="Q121" s="2">
        <f t="shared" si="6"/>
        <v>138.19622652348136</v>
      </c>
      <c r="R121" s="2">
        <f t="shared" si="7"/>
        <v>2.0661732981961545</v>
      </c>
      <c r="S121" s="2">
        <f t="shared" si="8"/>
        <v>130.47884378108716</v>
      </c>
      <c r="T121" s="2">
        <f t="shared" si="9"/>
        <v>7.717382742394193</v>
      </c>
    </row>
    <row r="122" spans="1:20" x14ac:dyDescent="0.25">
      <c r="A122" s="10">
        <v>0.73819444444444449</v>
      </c>
      <c r="B122" s="2">
        <f t="shared" si="11"/>
        <v>117</v>
      </c>
      <c r="C122" s="4">
        <f t="shared" si="20"/>
        <v>63.83</v>
      </c>
      <c r="D122" s="2">
        <v>8.5</v>
      </c>
      <c r="E122" s="2">
        <v>50.26548245743669</v>
      </c>
      <c r="F122" s="11">
        <f t="shared" si="0"/>
        <v>1.6910212703513881</v>
      </c>
      <c r="G122" s="2">
        <f t="shared" si="1"/>
        <v>107.93788768652909</v>
      </c>
      <c r="H122" s="2">
        <f t="shared" si="2"/>
        <v>2.0311597305563391</v>
      </c>
      <c r="I122" s="2">
        <f t="shared" si="3"/>
        <v>129.64892560141112</v>
      </c>
      <c r="J122" s="2">
        <f t="shared" si="4"/>
        <v>21.711037914882027</v>
      </c>
      <c r="K122" s="12">
        <v>0.72083333333333333</v>
      </c>
      <c r="L122" s="2">
        <f t="shared" si="14"/>
        <v>117</v>
      </c>
      <c r="M122" s="2">
        <f t="shared" si="21"/>
        <v>63.65</v>
      </c>
      <c r="N122" s="2">
        <v>9</v>
      </c>
      <c r="O122" s="2">
        <v>50.26548245743669</v>
      </c>
      <c r="P122" s="11">
        <f t="shared" si="5"/>
        <v>1.7904931097838226</v>
      </c>
      <c r="Q122" s="2">
        <f t="shared" si="6"/>
        <v>113.9648864377403</v>
      </c>
      <c r="R122" s="2">
        <f t="shared" si="7"/>
        <v>2.0661732981961545</v>
      </c>
      <c r="S122" s="2">
        <f t="shared" si="8"/>
        <v>131.51193043018523</v>
      </c>
      <c r="T122" s="2">
        <f t="shared" si="9"/>
        <v>17.547043992444927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0.73830128205128209</v>
      </c>
      <c r="B123" s="2">
        <f t="shared" si="11"/>
        <v>118</v>
      </c>
      <c r="C123" s="4">
        <f t="shared" si="20"/>
        <v>64.33</v>
      </c>
      <c r="D123" s="2">
        <v>8.5</v>
      </c>
      <c r="E123" s="2">
        <v>50.26548245743669</v>
      </c>
      <c r="F123" s="11">
        <f t="shared" si="0"/>
        <v>1.6910212703513881</v>
      </c>
      <c r="G123" s="2">
        <f t="shared" si="1"/>
        <v>108.78339832170479</v>
      </c>
      <c r="H123" s="2">
        <f t="shared" si="2"/>
        <v>2.0311597305563391</v>
      </c>
      <c r="I123" s="2">
        <f t="shared" si="3"/>
        <v>130.66450546668929</v>
      </c>
      <c r="J123" s="2">
        <f t="shared" si="4"/>
        <v>21.881107144984497</v>
      </c>
      <c r="K123" s="15">
        <f t="shared" ref="K123:K160" si="23">IF(AND($K$122&lt;&gt;"",$K$161&lt;&gt;""), $K$122 + (L123 - $L$122) * (($K$161 - $K$122) / ($L$161 - $L$122)), "")</f>
        <v>0.72094017094017093</v>
      </c>
      <c r="L123" s="2">
        <f t="shared" si="14"/>
        <v>118</v>
      </c>
      <c r="M123" s="2">
        <f t="shared" si="21"/>
        <v>64.150000000000006</v>
      </c>
      <c r="N123" s="2">
        <v>9.5</v>
      </c>
      <c r="O123" s="2">
        <v>50.26548245743669</v>
      </c>
      <c r="P123" s="11">
        <f t="shared" si="5"/>
        <v>1.8899649492162571</v>
      </c>
      <c r="Q123" s="2">
        <f t="shared" si="6"/>
        <v>121.2412514922229</v>
      </c>
      <c r="R123" s="2">
        <f t="shared" si="7"/>
        <v>2.0661732981961545</v>
      </c>
      <c r="S123" s="2">
        <f t="shared" si="8"/>
        <v>132.54501707928333</v>
      </c>
      <c r="T123" s="2">
        <f t="shared" si="9"/>
        <v>11.303765587060425</v>
      </c>
    </row>
    <row r="124" spans="1:20" x14ac:dyDescent="0.25">
      <c r="A124" s="14">
        <f t="shared" si="22"/>
        <v>0.7384081196581197</v>
      </c>
      <c r="B124" s="2">
        <f t="shared" si="11"/>
        <v>119</v>
      </c>
      <c r="C124" s="4">
        <f t="shared" si="20"/>
        <v>64.83</v>
      </c>
      <c r="D124" s="2">
        <v>9</v>
      </c>
      <c r="E124" s="2">
        <v>50.26548245743669</v>
      </c>
      <c r="F124" s="11">
        <f t="shared" si="0"/>
        <v>1.7904931097838226</v>
      </c>
      <c r="G124" s="2">
        <f t="shared" si="1"/>
        <v>116.07766830728522</v>
      </c>
      <c r="H124" s="2">
        <f t="shared" si="2"/>
        <v>2.0311597305563391</v>
      </c>
      <c r="I124" s="2">
        <f t="shared" si="3"/>
        <v>131.68008533196746</v>
      </c>
      <c r="J124" s="2">
        <f t="shared" si="4"/>
        <v>15.602417024682239</v>
      </c>
      <c r="K124" s="15">
        <f t="shared" si="23"/>
        <v>0.72104700854700854</v>
      </c>
      <c r="L124" s="2">
        <f t="shared" si="14"/>
        <v>119</v>
      </c>
      <c r="M124" s="2">
        <f t="shared" si="21"/>
        <v>64.650000000000006</v>
      </c>
      <c r="N124" s="2">
        <v>9</v>
      </c>
      <c r="O124" s="2">
        <v>50.26548245743669</v>
      </c>
      <c r="P124" s="11">
        <f t="shared" si="5"/>
        <v>1.7904931097838226</v>
      </c>
      <c r="Q124" s="2">
        <f t="shared" si="6"/>
        <v>115.75537954752414</v>
      </c>
      <c r="R124" s="2">
        <f t="shared" si="7"/>
        <v>2.0661732981961545</v>
      </c>
      <c r="S124" s="2">
        <f t="shared" si="8"/>
        <v>133.57810372838139</v>
      </c>
      <c r="T124" s="2">
        <f t="shared" si="9"/>
        <v>17.82272418085725</v>
      </c>
    </row>
    <row r="125" spans="1:20" x14ac:dyDescent="0.25">
      <c r="A125" s="14">
        <f t="shared" si="22"/>
        <v>0.73851495726495731</v>
      </c>
      <c r="B125" s="2">
        <f t="shared" si="11"/>
        <v>120</v>
      </c>
      <c r="C125" s="4">
        <f t="shared" si="20"/>
        <v>65.33</v>
      </c>
      <c r="D125" s="2">
        <v>9.5</v>
      </c>
      <c r="E125" s="2">
        <v>50.26548245743669</v>
      </c>
      <c r="F125" s="11">
        <f t="shared" si="0"/>
        <v>1.8899649492162571</v>
      </c>
      <c r="G125" s="2">
        <f t="shared" si="1"/>
        <v>123.47141013229808</v>
      </c>
      <c r="H125" s="2">
        <f t="shared" si="2"/>
        <v>2.0311597305563391</v>
      </c>
      <c r="I125" s="2">
        <f t="shared" si="3"/>
        <v>132.69566519724563</v>
      </c>
      <c r="J125" s="2">
        <f t="shared" si="4"/>
        <v>9.2242550649475561</v>
      </c>
      <c r="K125" s="15">
        <f t="shared" si="23"/>
        <v>0.72115384615384615</v>
      </c>
      <c r="L125" s="2">
        <f t="shared" si="14"/>
        <v>120</v>
      </c>
      <c r="M125" s="2">
        <f t="shared" si="21"/>
        <v>65.150000000000006</v>
      </c>
      <c r="N125" s="2">
        <v>9</v>
      </c>
      <c r="O125" s="2">
        <v>50.26548245743669</v>
      </c>
      <c r="P125" s="11">
        <f t="shared" si="5"/>
        <v>1.7904931097838226</v>
      </c>
      <c r="Q125" s="2">
        <f t="shared" si="6"/>
        <v>116.65062610241606</v>
      </c>
      <c r="R125" s="2">
        <f t="shared" si="7"/>
        <v>2.0661732981961545</v>
      </c>
      <c r="S125" s="2">
        <f t="shared" si="8"/>
        <v>134.61119037747949</v>
      </c>
      <c r="T125" s="2">
        <f t="shared" si="9"/>
        <v>17.960564275063433</v>
      </c>
    </row>
    <row r="126" spans="1:20" x14ac:dyDescent="0.25">
      <c r="A126" s="14">
        <f t="shared" si="22"/>
        <v>0.73862179487179491</v>
      </c>
      <c r="B126" s="2">
        <f t="shared" si="11"/>
        <v>121</v>
      </c>
      <c r="C126" s="4">
        <f t="shared" si="20"/>
        <v>65.83</v>
      </c>
      <c r="D126" s="2">
        <v>10</v>
      </c>
      <c r="E126" s="2">
        <v>50.26548245743669</v>
      </c>
      <c r="F126" s="11">
        <f t="shared" si="0"/>
        <v>1.9894367886486919</v>
      </c>
      <c r="G126" s="2">
        <f t="shared" si="1"/>
        <v>130.96462379674338</v>
      </c>
      <c r="H126" s="2">
        <f t="shared" si="2"/>
        <v>2.0311597305563391</v>
      </c>
      <c r="I126" s="2">
        <f t="shared" si="3"/>
        <v>133.7112450625238</v>
      </c>
      <c r="J126" s="2">
        <f t="shared" si="4"/>
        <v>2.7466212657804192</v>
      </c>
      <c r="K126" s="15">
        <f t="shared" si="23"/>
        <v>0.72126068376068375</v>
      </c>
      <c r="L126" s="2">
        <f t="shared" si="14"/>
        <v>121</v>
      </c>
      <c r="M126" s="2">
        <f t="shared" si="21"/>
        <v>65.650000000000006</v>
      </c>
      <c r="N126" s="2">
        <v>9.5</v>
      </c>
      <c r="O126" s="2">
        <v>50.26548245743669</v>
      </c>
      <c r="P126" s="11">
        <f t="shared" si="5"/>
        <v>1.8899649492162571</v>
      </c>
      <c r="Q126" s="2">
        <f t="shared" si="6"/>
        <v>124.07619891604729</v>
      </c>
      <c r="R126" s="2">
        <f t="shared" si="7"/>
        <v>2.0661732981961545</v>
      </c>
      <c r="S126" s="2">
        <f t="shared" si="8"/>
        <v>135.64427702657756</v>
      </c>
      <c r="T126" s="2">
        <f t="shared" si="9"/>
        <v>11.568078110530266</v>
      </c>
    </row>
    <row r="127" spans="1:20" x14ac:dyDescent="0.25">
      <c r="A127" s="14">
        <f t="shared" si="22"/>
        <v>0.73872863247863252</v>
      </c>
      <c r="B127" s="2">
        <f t="shared" si="11"/>
        <v>122</v>
      </c>
      <c r="C127" s="4">
        <f t="shared" si="20"/>
        <v>66.33</v>
      </c>
      <c r="D127" s="2">
        <v>10</v>
      </c>
      <c r="E127" s="2">
        <v>50.26548245743669</v>
      </c>
      <c r="F127" s="11">
        <f t="shared" si="0"/>
        <v>1.9894367886486919</v>
      </c>
      <c r="G127" s="2">
        <f t="shared" si="1"/>
        <v>131.95934219106772</v>
      </c>
      <c r="H127" s="2">
        <f t="shared" si="2"/>
        <v>2.0311597305563391</v>
      </c>
      <c r="I127" s="2">
        <f t="shared" si="3"/>
        <v>134.72682492780197</v>
      </c>
      <c r="J127" s="2">
        <f t="shared" si="4"/>
        <v>2.7674827367342516</v>
      </c>
      <c r="K127" s="15">
        <f t="shared" si="23"/>
        <v>0.72136752136752136</v>
      </c>
      <c r="L127" s="2">
        <f t="shared" si="14"/>
        <v>122</v>
      </c>
      <c r="M127" s="2">
        <f t="shared" si="21"/>
        <v>66.150000000000006</v>
      </c>
      <c r="N127" s="2">
        <v>9.5</v>
      </c>
      <c r="O127" s="2">
        <v>50.26548245743669</v>
      </c>
      <c r="P127" s="11">
        <f t="shared" si="5"/>
        <v>1.8899649492162571</v>
      </c>
      <c r="Q127" s="2">
        <f t="shared" si="6"/>
        <v>125.02118139065541</v>
      </c>
      <c r="R127" s="2">
        <f t="shared" si="7"/>
        <v>2.0661732981961545</v>
      </c>
      <c r="S127" s="2">
        <f t="shared" si="8"/>
        <v>136.67736367567562</v>
      </c>
      <c r="T127" s="2">
        <f t="shared" si="9"/>
        <v>11.656182285020208</v>
      </c>
    </row>
    <row r="128" spans="1:20" x14ac:dyDescent="0.25">
      <c r="A128" s="14">
        <f t="shared" si="22"/>
        <v>0.73883547008547013</v>
      </c>
      <c r="B128" s="2">
        <f t="shared" si="11"/>
        <v>123</v>
      </c>
      <c r="C128" s="4">
        <f t="shared" si="20"/>
        <v>66.83</v>
      </c>
      <c r="D128" s="2">
        <v>10.5</v>
      </c>
      <c r="E128" s="2">
        <v>50.26548245743669</v>
      </c>
      <c r="F128" s="11">
        <f t="shared" si="0"/>
        <v>2.0889086280811267</v>
      </c>
      <c r="G128" s="2">
        <f t="shared" si="1"/>
        <v>139.60176361466168</v>
      </c>
      <c r="H128" s="2">
        <f t="shared" si="2"/>
        <v>2.0311597305563391</v>
      </c>
      <c r="I128" s="2">
        <f t="shared" si="3"/>
        <v>135.74240479308014</v>
      </c>
      <c r="J128" s="2">
        <f t="shared" si="4"/>
        <v>3.8593588215815373</v>
      </c>
      <c r="K128" s="15">
        <f t="shared" si="23"/>
        <v>0.72147435897435896</v>
      </c>
      <c r="L128" s="2">
        <f t="shared" si="14"/>
        <v>123</v>
      </c>
      <c r="M128" s="2">
        <f t="shared" si="21"/>
        <v>66.650000000000006</v>
      </c>
      <c r="N128" s="2">
        <v>10</v>
      </c>
      <c r="O128" s="2">
        <v>50.26548245743669</v>
      </c>
      <c r="P128" s="11">
        <f t="shared" si="5"/>
        <v>1.9894367886486919</v>
      </c>
      <c r="Q128" s="2">
        <f t="shared" si="6"/>
        <v>132.59596196343531</v>
      </c>
      <c r="R128" s="2">
        <f t="shared" si="7"/>
        <v>2.0661732981961545</v>
      </c>
      <c r="S128" s="2">
        <f t="shared" si="8"/>
        <v>137.71045032477372</v>
      </c>
      <c r="T128" s="2">
        <f t="shared" si="9"/>
        <v>5.1144883613384025</v>
      </c>
    </row>
    <row r="129" spans="1:20" x14ac:dyDescent="0.25">
      <c r="A129" s="14">
        <f t="shared" si="22"/>
        <v>0.73894230769230773</v>
      </c>
      <c r="B129" s="2">
        <f t="shared" si="11"/>
        <v>124</v>
      </c>
      <c r="C129" s="4">
        <f t="shared" si="20"/>
        <v>67.33</v>
      </c>
      <c r="D129" s="2">
        <v>10.5</v>
      </c>
      <c r="E129" s="2">
        <v>50.26548245743669</v>
      </c>
      <c r="F129" s="11">
        <f t="shared" si="0"/>
        <v>2.0889086280811267</v>
      </c>
      <c r="G129" s="2">
        <f t="shared" si="1"/>
        <v>140.64621792870224</v>
      </c>
      <c r="H129" s="2">
        <f t="shared" si="2"/>
        <v>2.0311597305563391</v>
      </c>
      <c r="I129" s="2">
        <f t="shared" si="3"/>
        <v>136.75798465835831</v>
      </c>
      <c r="J129" s="2">
        <f t="shared" si="4"/>
        <v>3.8882332703439317</v>
      </c>
      <c r="K129" s="15">
        <f t="shared" si="23"/>
        <v>0.72158119658119657</v>
      </c>
      <c r="L129" s="2">
        <f t="shared" si="14"/>
        <v>124</v>
      </c>
      <c r="M129" s="2">
        <f t="shared" si="21"/>
        <v>67.150000000000006</v>
      </c>
      <c r="N129" s="2">
        <v>10.5</v>
      </c>
      <c r="O129" s="2">
        <v>50.26548245743669</v>
      </c>
      <c r="P129" s="11">
        <f t="shared" si="5"/>
        <v>2.0889086280811267</v>
      </c>
      <c r="Q129" s="2">
        <f t="shared" si="6"/>
        <v>140.27021437564767</v>
      </c>
      <c r="R129" s="2">
        <f t="shared" si="7"/>
        <v>2.0661732981961545</v>
      </c>
      <c r="S129" s="2">
        <f t="shared" si="8"/>
        <v>138.74353697387178</v>
      </c>
      <c r="T129" s="2">
        <f t="shared" si="9"/>
        <v>1.5266774017758848</v>
      </c>
    </row>
    <row r="130" spans="1:20" x14ac:dyDescent="0.25">
      <c r="A130" s="14">
        <f t="shared" si="22"/>
        <v>0.73904914529914534</v>
      </c>
      <c r="B130" s="2">
        <f t="shared" si="11"/>
        <v>125</v>
      </c>
      <c r="C130" s="4">
        <f t="shared" si="20"/>
        <v>67.83</v>
      </c>
      <c r="D130" s="2">
        <v>10.5</v>
      </c>
      <c r="E130" s="2">
        <v>50.26548245743669</v>
      </c>
      <c r="F130" s="11">
        <f t="shared" si="0"/>
        <v>2.0889086280811267</v>
      </c>
      <c r="G130" s="2">
        <f t="shared" si="1"/>
        <v>141.69067224274281</v>
      </c>
      <c r="H130" s="2">
        <f t="shared" si="2"/>
        <v>2.0311597305563391</v>
      </c>
      <c r="I130" s="2">
        <f t="shared" si="3"/>
        <v>137.77356452363648</v>
      </c>
      <c r="J130" s="2">
        <f t="shared" si="4"/>
        <v>3.9171077191063262</v>
      </c>
      <c r="K130" s="15">
        <f t="shared" si="23"/>
        <v>0.72168803418803418</v>
      </c>
      <c r="L130" s="2">
        <f t="shared" si="14"/>
        <v>125</v>
      </c>
      <c r="M130" s="2">
        <f t="shared" si="21"/>
        <v>67.650000000000006</v>
      </c>
      <c r="N130" s="2">
        <v>11.5</v>
      </c>
      <c r="O130" s="2">
        <v>50.26548245743669</v>
      </c>
      <c r="P130" s="11">
        <f t="shared" si="5"/>
        <v>2.2878523069459957</v>
      </c>
      <c r="Q130" s="2">
        <f t="shared" si="6"/>
        <v>154.77320856489663</v>
      </c>
      <c r="R130" s="2">
        <f t="shared" si="7"/>
        <v>2.0661732981961545</v>
      </c>
      <c r="S130" s="2">
        <f t="shared" si="8"/>
        <v>139.77662362296985</v>
      </c>
      <c r="T130" s="2">
        <f t="shared" si="9"/>
        <v>14.996584941926784</v>
      </c>
    </row>
    <row r="131" spans="1:20" x14ac:dyDescent="0.25">
      <c r="A131" s="14">
        <f t="shared" si="22"/>
        <v>0.73915598290598294</v>
      </c>
      <c r="B131" s="2">
        <f t="shared" si="11"/>
        <v>126</v>
      </c>
      <c r="C131" s="4">
        <f t="shared" si="20"/>
        <v>68.33</v>
      </c>
      <c r="D131" s="2">
        <v>10.5</v>
      </c>
      <c r="E131" s="2">
        <v>50.26548245743669</v>
      </c>
      <c r="F131" s="11">
        <f t="shared" si="0"/>
        <v>2.0889086280811267</v>
      </c>
      <c r="G131" s="2">
        <f t="shared" si="1"/>
        <v>142.73512655678337</v>
      </c>
      <c r="H131" s="2">
        <f t="shared" si="2"/>
        <v>2.0311597305563391</v>
      </c>
      <c r="I131" s="2">
        <f t="shared" si="3"/>
        <v>138.78914438891465</v>
      </c>
      <c r="J131" s="2">
        <f t="shared" si="4"/>
        <v>3.9459821678687206</v>
      </c>
      <c r="K131" s="15">
        <f t="shared" si="23"/>
        <v>0.72179487179487178</v>
      </c>
      <c r="L131" s="2">
        <f t="shared" si="14"/>
        <v>126</v>
      </c>
      <c r="M131" s="2">
        <f t="shared" si="21"/>
        <v>68.150000000000006</v>
      </c>
      <c r="N131" s="2">
        <v>11.5</v>
      </c>
      <c r="O131" s="2">
        <v>50.26548245743669</v>
      </c>
      <c r="P131" s="11">
        <f t="shared" si="5"/>
        <v>2.2878523069459957</v>
      </c>
      <c r="Q131" s="2">
        <f t="shared" si="6"/>
        <v>155.91713471836962</v>
      </c>
      <c r="R131" s="2">
        <f t="shared" si="7"/>
        <v>2.0661732981961545</v>
      </c>
      <c r="S131" s="2">
        <f t="shared" si="8"/>
        <v>140.80971027206795</v>
      </c>
      <c r="T131" s="2">
        <f t="shared" si="9"/>
        <v>15.107424446301678</v>
      </c>
    </row>
    <row r="132" spans="1:20" x14ac:dyDescent="0.25">
      <c r="A132" s="14">
        <f t="shared" si="22"/>
        <v>0.73926282051282055</v>
      </c>
      <c r="B132" s="2">
        <f t="shared" si="11"/>
        <v>127</v>
      </c>
      <c r="C132" s="4">
        <f t="shared" si="20"/>
        <v>68.83</v>
      </c>
      <c r="D132" s="2">
        <v>10.5</v>
      </c>
      <c r="E132" s="2">
        <v>50.26548245743669</v>
      </c>
      <c r="F132" s="11">
        <f t="shared" si="0"/>
        <v>2.0889086280811267</v>
      </c>
      <c r="G132" s="2">
        <f t="shared" si="1"/>
        <v>143.77958087082393</v>
      </c>
      <c r="H132" s="2">
        <f t="shared" si="2"/>
        <v>2.0311597305563391</v>
      </c>
      <c r="I132" s="2">
        <f t="shared" si="3"/>
        <v>139.80472425419282</v>
      </c>
      <c r="J132" s="2">
        <f t="shared" si="4"/>
        <v>3.974856616631115</v>
      </c>
      <c r="K132" s="15">
        <f t="shared" si="23"/>
        <v>0.72190170940170939</v>
      </c>
      <c r="L132" s="2">
        <f t="shared" si="14"/>
        <v>127</v>
      </c>
      <c r="M132" s="2">
        <f t="shared" si="21"/>
        <v>68.650000000000006</v>
      </c>
      <c r="N132" s="2">
        <v>11</v>
      </c>
      <c r="O132" s="2">
        <v>50.26548245743669</v>
      </c>
      <c r="P132" s="11">
        <f t="shared" si="5"/>
        <v>2.1883804675135607</v>
      </c>
      <c r="Q132" s="2">
        <f t="shared" si="6"/>
        <v>150.23231909480594</v>
      </c>
      <c r="R132" s="2">
        <f t="shared" si="7"/>
        <v>2.0661732981961545</v>
      </c>
      <c r="S132" s="2">
        <f t="shared" si="8"/>
        <v>141.84279692116601</v>
      </c>
      <c r="T132" s="2">
        <f t="shared" si="9"/>
        <v>8.3895221736399321</v>
      </c>
    </row>
    <row r="133" spans="1:20" x14ac:dyDescent="0.25">
      <c r="A133" s="14">
        <f t="shared" si="22"/>
        <v>0.73936965811965816</v>
      </c>
      <c r="B133" s="2">
        <f t="shared" si="11"/>
        <v>128</v>
      </c>
      <c r="C133" s="4">
        <f t="shared" si="20"/>
        <v>69.33</v>
      </c>
      <c r="D133" s="2">
        <v>12</v>
      </c>
      <c r="E133" s="2">
        <v>50.26548245743669</v>
      </c>
      <c r="F133" s="11">
        <f t="shared" si="0"/>
        <v>2.3873241463784298</v>
      </c>
      <c r="G133" s="2">
        <f t="shared" si="1"/>
        <v>165.51318306841654</v>
      </c>
      <c r="H133" s="2">
        <f t="shared" si="2"/>
        <v>2.0311597305563391</v>
      </c>
      <c r="I133" s="2">
        <f t="shared" si="3"/>
        <v>140.82030411947099</v>
      </c>
      <c r="J133" s="2">
        <f t="shared" si="4"/>
        <v>24.692878948945548</v>
      </c>
      <c r="K133" s="15">
        <f t="shared" si="23"/>
        <v>0.722008547008547</v>
      </c>
      <c r="L133" s="2">
        <f t="shared" si="14"/>
        <v>128</v>
      </c>
      <c r="M133" s="2">
        <f t="shared" si="21"/>
        <v>69.150000000000006</v>
      </c>
      <c r="N133" s="2">
        <v>12</v>
      </c>
      <c r="O133" s="2">
        <v>50.26548245743669</v>
      </c>
      <c r="P133" s="11">
        <f t="shared" si="5"/>
        <v>2.3873241463784298</v>
      </c>
      <c r="Q133" s="2">
        <f t="shared" si="6"/>
        <v>165.08346472206844</v>
      </c>
      <c r="R133" s="2">
        <f t="shared" si="7"/>
        <v>2.0661732981961545</v>
      </c>
      <c r="S133" s="2">
        <f t="shared" si="8"/>
        <v>142.87588357026408</v>
      </c>
      <c r="T133" s="2">
        <f t="shared" si="9"/>
        <v>22.207581151804362</v>
      </c>
    </row>
    <row r="134" spans="1:20" x14ac:dyDescent="0.25">
      <c r="A134" s="14">
        <f t="shared" si="22"/>
        <v>0.73947649572649576</v>
      </c>
      <c r="B134" s="2">
        <f t="shared" si="11"/>
        <v>129</v>
      </c>
      <c r="C134" s="4">
        <f t="shared" si="20"/>
        <v>69.83</v>
      </c>
      <c r="D134" s="2">
        <v>12</v>
      </c>
      <c r="E134" s="2">
        <v>50.26548245743669</v>
      </c>
      <c r="F134" s="11">
        <f t="shared" si="0"/>
        <v>2.3873241463784298</v>
      </c>
      <c r="G134" s="2">
        <f t="shared" si="1"/>
        <v>166.70684514160575</v>
      </c>
      <c r="H134" s="2">
        <f t="shared" si="2"/>
        <v>2.0311597305563391</v>
      </c>
      <c r="I134" s="2">
        <f t="shared" si="3"/>
        <v>141.83588398474916</v>
      </c>
      <c r="J134" s="2">
        <f t="shared" si="4"/>
        <v>24.870961156856595</v>
      </c>
      <c r="K134" s="15">
        <f t="shared" si="23"/>
        <v>0.7221153846153846</v>
      </c>
      <c r="L134" s="2">
        <f t="shared" si="14"/>
        <v>129</v>
      </c>
      <c r="M134" s="2">
        <f t="shared" si="21"/>
        <v>69.650000000000006</v>
      </c>
      <c r="N134" s="2">
        <v>12</v>
      </c>
      <c r="O134" s="2">
        <v>50.26548245743669</v>
      </c>
      <c r="P134" s="11">
        <f t="shared" si="5"/>
        <v>2.3873241463784298</v>
      </c>
      <c r="Q134" s="2">
        <f t="shared" si="6"/>
        <v>166.27712679525766</v>
      </c>
      <c r="R134" s="2">
        <f t="shared" si="7"/>
        <v>2.0661732981961545</v>
      </c>
      <c r="S134" s="2">
        <f t="shared" si="8"/>
        <v>143.90897021936217</v>
      </c>
      <c r="T134" s="2">
        <f t="shared" si="9"/>
        <v>22.368156575895483</v>
      </c>
    </row>
    <row r="135" spans="1:20" x14ac:dyDescent="0.25">
      <c r="A135" s="14">
        <f t="shared" si="22"/>
        <v>0.73958333333333337</v>
      </c>
      <c r="B135" s="2">
        <f t="shared" si="11"/>
        <v>130</v>
      </c>
      <c r="C135" s="4">
        <f t="shared" si="20"/>
        <v>70.33</v>
      </c>
      <c r="D135" s="2">
        <v>12.5</v>
      </c>
      <c r="E135" s="2">
        <v>50.26548245743669</v>
      </c>
      <c r="F135" s="11">
        <f t="shared" si="0"/>
        <v>2.4867959858108648</v>
      </c>
      <c r="G135" s="2">
        <f t="shared" si="1"/>
        <v>174.89636168207812</v>
      </c>
      <c r="H135" s="2">
        <f t="shared" si="2"/>
        <v>2.0311597305563391</v>
      </c>
      <c r="I135" s="2">
        <f t="shared" si="3"/>
        <v>142.85146385002733</v>
      </c>
      <c r="J135" s="2">
        <f t="shared" si="4"/>
        <v>32.044897832050793</v>
      </c>
      <c r="K135" s="15">
        <f t="shared" si="23"/>
        <v>0.72222222222222221</v>
      </c>
      <c r="L135" s="2">
        <f t="shared" si="14"/>
        <v>130</v>
      </c>
      <c r="M135" s="2">
        <f t="shared" si="21"/>
        <v>70.150000000000006</v>
      </c>
      <c r="N135" s="2">
        <v>12</v>
      </c>
      <c r="O135" s="2">
        <v>50.26548245743669</v>
      </c>
      <c r="P135" s="11">
        <f t="shared" si="5"/>
        <v>2.3873241463784298</v>
      </c>
      <c r="Q135" s="2">
        <f t="shared" si="6"/>
        <v>167.47078886844687</v>
      </c>
      <c r="R135" s="2">
        <f t="shared" si="7"/>
        <v>2.0661732981961545</v>
      </c>
      <c r="S135" s="2">
        <f t="shared" si="8"/>
        <v>144.94205686846024</v>
      </c>
      <c r="T135" s="2">
        <f t="shared" si="9"/>
        <v>22.528731999986633</v>
      </c>
    </row>
    <row r="136" spans="1:20" x14ac:dyDescent="0.25">
      <c r="A136" s="14">
        <f t="shared" si="22"/>
        <v>0.73969017094017098</v>
      </c>
      <c r="B136" s="2">
        <f t="shared" si="11"/>
        <v>131</v>
      </c>
      <c r="C136" s="4">
        <f t="shared" si="20"/>
        <v>70.83</v>
      </c>
      <c r="D136" s="2">
        <v>11</v>
      </c>
      <c r="E136" s="2">
        <v>50.26548245743669</v>
      </c>
      <c r="F136" s="11">
        <f t="shared" si="0"/>
        <v>2.1883804675135607</v>
      </c>
      <c r="G136" s="2">
        <f t="shared" si="1"/>
        <v>155.00298851398551</v>
      </c>
      <c r="H136" s="2">
        <f t="shared" si="2"/>
        <v>2.0311597305563391</v>
      </c>
      <c r="I136" s="2">
        <f t="shared" si="3"/>
        <v>143.8670437153055</v>
      </c>
      <c r="J136" s="2">
        <f t="shared" si="4"/>
        <v>11.135944798680015</v>
      </c>
      <c r="K136" s="15">
        <f t="shared" si="23"/>
        <v>0.72232905982905982</v>
      </c>
      <c r="L136" s="2">
        <f t="shared" si="14"/>
        <v>131</v>
      </c>
      <c r="M136" s="2">
        <f t="shared" si="21"/>
        <v>70.650000000000006</v>
      </c>
      <c r="N136" s="2">
        <v>12</v>
      </c>
      <c r="O136" s="2">
        <v>50.26548245743669</v>
      </c>
      <c r="P136" s="11">
        <f t="shared" si="5"/>
        <v>2.3873241463784298</v>
      </c>
      <c r="Q136" s="2">
        <f t="shared" si="6"/>
        <v>168.66445094163609</v>
      </c>
      <c r="R136" s="2">
        <f t="shared" si="7"/>
        <v>2.0661732981961545</v>
      </c>
      <c r="S136" s="2">
        <f t="shared" si="8"/>
        <v>145.97514351755834</v>
      </c>
      <c r="T136" s="2">
        <f t="shared" si="9"/>
        <v>22.689307424077754</v>
      </c>
    </row>
    <row r="137" spans="1:20" x14ac:dyDescent="0.25">
      <c r="A137" s="14">
        <f t="shared" si="22"/>
        <v>0.73979700854700858</v>
      </c>
      <c r="B137" s="2">
        <f t="shared" si="11"/>
        <v>132</v>
      </c>
      <c r="C137" s="4">
        <f t="shared" si="20"/>
        <v>71.33</v>
      </c>
      <c r="D137" s="2">
        <v>11.5</v>
      </c>
      <c r="E137" s="2">
        <v>50.26548245743669</v>
      </c>
      <c r="F137" s="11">
        <f t="shared" si="0"/>
        <v>2.2878523069459957</v>
      </c>
      <c r="G137" s="2">
        <f t="shared" si="1"/>
        <v>163.19250505445788</v>
      </c>
      <c r="H137" s="2">
        <f t="shared" si="2"/>
        <v>2.0311597305563391</v>
      </c>
      <c r="I137" s="2">
        <f t="shared" si="3"/>
        <v>144.88262358058367</v>
      </c>
      <c r="J137" s="2">
        <f t="shared" si="4"/>
        <v>18.309881473874213</v>
      </c>
      <c r="K137" s="15">
        <f t="shared" si="23"/>
        <v>0.72243589743589742</v>
      </c>
      <c r="L137" s="2">
        <f t="shared" si="14"/>
        <v>132</v>
      </c>
      <c r="M137" s="2">
        <f t="shared" si="21"/>
        <v>71.150000000000006</v>
      </c>
      <c r="N137" s="2">
        <v>13</v>
      </c>
      <c r="O137" s="2">
        <v>50.26548245743669</v>
      </c>
      <c r="P137" s="11">
        <f t="shared" si="5"/>
        <v>2.5862678252432989</v>
      </c>
      <c r="Q137" s="2">
        <f t="shared" si="6"/>
        <v>184.01295576606074</v>
      </c>
      <c r="R137" s="2">
        <f t="shared" si="7"/>
        <v>2.0661732981961545</v>
      </c>
      <c r="S137" s="2">
        <f t="shared" si="8"/>
        <v>147.0082301666564</v>
      </c>
      <c r="T137" s="2">
        <f t="shared" si="9"/>
        <v>37.004725599404338</v>
      </c>
    </row>
    <row r="138" spans="1:20" x14ac:dyDescent="0.25">
      <c r="A138" s="14">
        <f t="shared" si="22"/>
        <v>0.73990384615384619</v>
      </c>
      <c r="B138" s="2">
        <f t="shared" si="11"/>
        <v>133</v>
      </c>
      <c r="C138" s="4">
        <f t="shared" si="20"/>
        <v>71.83</v>
      </c>
      <c r="D138" s="2">
        <v>12.5</v>
      </c>
      <c r="E138" s="2">
        <v>50.26548245743669</v>
      </c>
      <c r="F138" s="11">
        <f t="shared" si="0"/>
        <v>2.4867959858108648</v>
      </c>
      <c r="G138" s="2">
        <f t="shared" si="1"/>
        <v>178.62655566079442</v>
      </c>
      <c r="H138" s="2">
        <f t="shared" si="2"/>
        <v>2.0311597305563391</v>
      </c>
      <c r="I138" s="2">
        <f t="shared" si="3"/>
        <v>145.89820344586184</v>
      </c>
      <c r="J138" s="2">
        <f t="shared" si="4"/>
        <v>32.728352214932585</v>
      </c>
      <c r="K138" s="15">
        <f t="shared" si="23"/>
        <v>0.72254273504273503</v>
      </c>
      <c r="L138" s="2">
        <f t="shared" si="14"/>
        <v>133</v>
      </c>
      <c r="M138" s="2">
        <f t="shared" si="21"/>
        <v>71.650000000000006</v>
      </c>
      <c r="N138" s="2">
        <v>14</v>
      </c>
      <c r="O138" s="2">
        <v>50.26548245743669</v>
      </c>
      <c r="P138" s="11">
        <f t="shared" si="5"/>
        <v>2.7852115041081689</v>
      </c>
      <c r="Q138" s="2">
        <f t="shared" si="6"/>
        <v>199.56040426935033</v>
      </c>
      <c r="R138" s="2">
        <f t="shared" si="7"/>
        <v>2.0661732981961545</v>
      </c>
      <c r="S138" s="2">
        <f t="shared" si="8"/>
        <v>148.04131681575447</v>
      </c>
      <c r="T138" s="2">
        <f t="shared" si="9"/>
        <v>51.519087453595859</v>
      </c>
    </row>
    <row r="139" spans="1:20" x14ac:dyDescent="0.25">
      <c r="A139" s="14">
        <f t="shared" si="22"/>
        <v>0.7400106837606838</v>
      </c>
      <c r="B139" s="2">
        <f t="shared" si="11"/>
        <v>134</v>
      </c>
      <c r="C139" s="4">
        <f t="shared" si="20"/>
        <v>72.33</v>
      </c>
      <c r="D139" s="2">
        <v>12.5</v>
      </c>
      <c r="E139" s="2">
        <v>50.26548245743669</v>
      </c>
      <c r="F139" s="11">
        <f t="shared" si="0"/>
        <v>2.4867959858108648</v>
      </c>
      <c r="G139" s="2">
        <f t="shared" si="1"/>
        <v>179.86995365369984</v>
      </c>
      <c r="H139" s="2">
        <f t="shared" si="2"/>
        <v>2.0311597305563391</v>
      </c>
      <c r="I139" s="2">
        <f t="shared" si="3"/>
        <v>146.91378331114001</v>
      </c>
      <c r="J139" s="2">
        <f t="shared" si="4"/>
        <v>32.95617034255983</v>
      </c>
      <c r="K139" s="15">
        <f t="shared" si="23"/>
        <v>0.72264957264957264</v>
      </c>
      <c r="L139" s="2">
        <f t="shared" si="14"/>
        <v>134</v>
      </c>
      <c r="M139" s="2">
        <f t="shared" si="21"/>
        <v>72.150000000000006</v>
      </c>
      <c r="N139" s="2">
        <v>13</v>
      </c>
      <c r="O139" s="2">
        <v>50.26548245743669</v>
      </c>
      <c r="P139" s="11">
        <f t="shared" si="5"/>
        <v>2.5862678252432989</v>
      </c>
      <c r="Q139" s="2">
        <f t="shared" si="6"/>
        <v>186.59922359130402</v>
      </c>
      <c r="R139" s="2">
        <f t="shared" si="7"/>
        <v>2.0661732981961545</v>
      </c>
      <c r="S139" s="2">
        <f t="shared" si="8"/>
        <v>149.07440346485257</v>
      </c>
      <c r="T139" s="2">
        <f t="shared" si="9"/>
        <v>37.524820126451459</v>
      </c>
    </row>
    <row r="140" spans="1:20" x14ac:dyDescent="0.25">
      <c r="A140" s="14">
        <f t="shared" si="22"/>
        <v>0.7401175213675214</v>
      </c>
      <c r="B140" s="2">
        <f t="shared" si="11"/>
        <v>135</v>
      </c>
      <c r="C140" s="4">
        <f t="shared" si="20"/>
        <v>72.83</v>
      </c>
      <c r="D140" s="2">
        <v>14</v>
      </c>
      <c r="E140" s="2">
        <v>50.26548245743669</v>
      </c>
      <c r="F140" s="11">
        <f t="shared" si="0"/>
        <v>2.7852115041081689</v>
      </c>
      <c r="G140" s="2">
        <f t="shared" si="1"/>
        <v>202.84695384419794</v>
      </c>
      <c r="H140" s="2">
        <f t="shared" si="2"/>
        <v>2.0311597305563391</v>
      </c>
      <c r="I140" s="2">
        <f t="shared" si="3"/>
        <v>147.92936317641818</v>
      </c>
      <c r="J140" s="2">
        <f t="shared" si="4"/>
        <v>54.917590667779763</v>
      </c>
      <c r="K140" s="15">
        <f t="shared" si="23"/>
        <v>0.72275641025641024</v>
      </c>
      <c r="L140" s="2">
        <f t="shared" si="14"/>
        <v>135</v>
      </c>
      <c r="M140" s="2">
        <f t="shared" si="21"/>
        <v>72.650000000000006</v>
      </c>
      <c r="N140" s="2">
        <v>13.5</v>
      </c>
      <c r="O140" s="2">
        <v>50.26548245743669</v>
      </c>
      <c r="P140" s="11">
        <f t="shared" si="5"/>
        <v>2.6857396646757339</v>
      </c>
      <c r="Q140" s="2">
        <f t="shared" si="6"/>
        <v>195.11898663869209</v>
      </c>
      <c r="R140" s="2">
        <f t="shared" si="7"/>
        <v>2.0661732981961545</v>
      </c>
      <c r="S140" s="2">
        <f t="shared" si="8"/>
        <v>150.10749011395063</v>
      </c>
      <c r="T140" s="2">
        <f t="shared" si="9"/>
        <v>45.01149652474146</v>
      </c>
    </row>
    <row r="141" spans="1:20" x14ac:dyDescent="0.25">
      <c r="A141" s="14">
        <f t="shared" si="22"/>
        <v>0.74022435897435901</v>
      </c>
      <c r="B141" s="2">
        <f t="shared" si="11"/>
        <v>136</v>
      </c>
      <c r="C141" s="4">
        <f t="shared" si="20"/>
        <v>73.33</v>
      </c>
      <c r="D141" s="2">
        <v>13.5</v>
      </c>
      <c r="E141" s="2">
        <v>50.26548245743669</v>
      </c>
      <c r="F141" s="11">
        <f t="shared" si="0"/>
        <v>2.6857396646757339</v>
      </c>
      <c r="G141" s="2">
        <f t="shared" si="1"/>
        <v>196.94528961067155</v>
      </c>
      <c r="H141" s="2">
        <f t="shared" si="2"/>
        <v>2.0311597305563391</v>
      </c>
      <c r="I141" s="2">
        <f t="shared" si="3"/>
        <v>148.94494304169635</v>
      </c>
      <c r="J141" s="2">
        <f t="shared" si="4"/>
        <v>48.000346568975203</v>
      </c>
      <c r="K141" s="15">
        <f t="shared" si="23"/>
        <v>0.72286324786324785</v>
      </c>
      <c r="L141" s="2">
        <f t="shared" si="14"/>
        <v>136</v>
      </c>
      <c r="M141" s="2">
        <f t="shared" si="21"/>
        <v>73.150000000000006</v>
      </c>
      <c r="N141" s="2">
        <v>14.5</v>
      </c>
      <c r="O141" s="2">
        <v>50.26548245743669</v>
      </c>
      <c r="P141" s="11">
        <f t="shared" si="5"/>
        <v>2.8846833435406034</v>
      </c>
      <c r="Q141" s="2">
        <f t="shared" si="6"/>
        <v>211.01458657999515</v>
      </c>
      <c r="R141" s="2">
        <f t="shared" si="7"/>
        <v>2.0661732981961545</v>
      </c>
      <c r="S141" s="2">
        <f t="shared" si="8"/>
        <v>151.1405767630487</v>
      </c>
      <c r="T141" s="2">
        <f t="shared" si="9"/>
        <v>59.874009816946455</v>
      </c>
    </row>
    <row r="142" spans="1:20" x14ac:dyDescent="0.25">
      <c r="A142" s="14">
        <f t="shared" si="22"/>
        <v>0.74033119658119662</v>
      </c>
      <c r="B142" s="2">
        <f t="shared" si="11"/>
        <v>137</v>
      </c>
      <c r="C142" s="4">
        <f t="shared" si="20"/>
        <v>73.83</v>
      </c>
      <c r="D142" s="2">
        <v>16</v>
      </c>
      <c r="E142" s="2">
        <v>50.26548245743669</v>
      </c>
      <c r="F142" s="11">
        <f t="shared" si="0"/>
        <v>3.183098861837907</v>
      </c>
      <c r="G142" s="2">
        <f t="shared" si="1"/>
        <v>235.00818896949266</v>
      </c>
      <c r="H142" s="2">
        <f t="shared" si="2"/>
        <v>2.0311597305563391</v>
      </c>
      <c r="I142" s="2">
        <f t="shared" si="3"/>
        <v>149.96052290697452</v>
      </c>
      <c r="J142" s="2">
        <f t="shared" si="4"/>
        <v>85.047666062518147</v>
      </c>
      <c r="K142" s="15">
        <f t="shared" si="23"/>
        <v>0.72297008547008546</v>
      </c>
      <c r="L142" s="2">
        <f t="shared" si="14"/>
        <v>137</v>
      </c>
      <c r="M142" s="2">
        <f t="shared" si="21"/>
        <v>73.650000000000006</v>
      </c>
      <c r="N142" s="2">
        <v>14.5</v>
      </c>
      <c r="O142" s="2">
        <v>50.26548245743669</v>
      </c>
      <c r="P142" s="11">
        <f t="shared" si="5"/>
        <v>2.8846833435406034</v>
      </c>
      <c r="Q142" s="2">
        <f t="shared" si="6"/>
        <v>212.45692825176545</v>
      </c>
      <c r="R142" s="2">
        <f t="shared" si="7"/>
        <v>2.0661732981961545</v>
      </c>
      <c r="S142" s="2">
        <f t="shared" si="8"/>
        <v>152.17366341214679</v>
      </c>
      <c r="T142" s="2">
        <f t="shared" si="9"/>
        <v>60.283264839618653</v>
      </c>
    </row>
    <row r="143" spans="1:20" x14ac:dyDescent="0.25">
      <c r="A143" s="14">
        <f t="shared" si="22"/>
        <v>0.74043803418803422</v>
      </c>
      <c r="B143" s="2">
        <f t="shared" si="11"/>
        <v>138</v>
      </c>
      <c r="C143" s="4">
        <f t="shared" si="20"/>
        <v>74.33</v>
      </c>
      <c r="D143" s="2">
        <v>12.5</v>
      </c>
      <c r="E143" s="2">
        <v>50.26548245743669</v>
      </c>
      <c r="F143" s="11">
        <f t="shared" si="0"/>
        <v>2.4867959858108648</v>
      </c>
      <c r="G143" s="2">
        <f t="shared" si="1"/>
        <v>184.84354562532158</v>
      </c>
      <c r="H143" s="2">
        <f t="shared" si="2"/>
        <v>2.0311597305563391</v>
      </c>
      <c r="I143" s="2">
        <f t="shared" si="3"/>
        <v>150.97610277225269</v>
      </c>
      <c r="J143" s="2">
        <f t="shared" si="4"/>
        <v>33.867442853068894</v>
      </c>
      <c r="K143" s="15">
        <f t="shared" si="23"/>
        <v>0.72307692307692306</v>
      </c>
      <c r="L143" s="2">
        <f t="shared" si="14"/>
        <v>138</v>
      </c>
      <c r="M143" s="2">
        <f t="shared" si="21"/>
        <v>74.150000000000006</v>
      </c>
      <c r="N143" s="2">
        <v>13</v>
      </c>
      <c r="O143" s="2">
        <v>50.26548245743669</v>
      </c>
      <c r="P143" s="11">
        <f t="shared" si="5"/>
        <v>2.5862678252432989</v>
      </c>
      <c r="Q143" s="2">
        <f t="shared" si="6"/>
        <v>191.77175924179062</v>
      </c>
      <c r="R143" s="2">
        <f t="shared" si="7"/>
        <v>2.0661732981961545</v>
      </c>
      <c r="S143" s="2">
        <f t="shared" si="8"/>
        <v>153.20675006124486</v>
      </c>
      <c r="T143" s="2">
        <f t="shared" si="9"/>
        <v>38.565009180545758</v>
      </c>
    </row>
    <row r="144" spans="1:20" x14ac:dyDescent="0.25">
      <c r="A144" s="14">
        <f t="shared" si="22"/>
        <v>0.74054487179487183</v>
      </c>
      <c r="B144" s="2">
        <f t="shared" si="11"/>
        <v>139</v>
      </c>
      <c r="C144" s="4">
        <f t="shared" si="20"/>
        <v>74.83</v>
      </c>
      <c r="D144" s="2">
        <v>14</v>
      </c>
      <c r="E144" s="2">
        <v>50.26548245743669</v>
      </c>
      <c r="F144" s="11">
        <f t="shared" si="0"/>
        <v>2.7852115041081689</v>
      </c>
      <c r="G144" s="2">
        <f t="shared" si="1"/>
        <v>208.41737685241426</v>
      </c>
      <c r="H144" s="2">
        <f t="shared" si="2"/>
        <v>2.0311597305563391</v>
      </c>
      <c r="I144" s="2">
        <f t="shared" si="3"/>
        <v>151.99168263753086</v>
      </c>
      <c r="J144" s="2">
        <f t="shared" si="4"/>
        <v>56.425694214883407</v>
      </c>
      <c r="K144" s="15">
        <f t="shared" si="23"/>
        <v>0.72318376068376067</v>
      </c>
      <c r="L144" s="2">
        <f t="shared" si="14"/>
        <v>139</v>
      </c>
      <c r="M144" s="2">
        <f t="shared" si="21"/>
        <v>74.650000000000006</v>
      </c>
      <c r="N144" s="2">
        <v>14</v>
      </c>
      <c r="O144" s="2">
        <v>50.26548245743669</v>
      </c>
      <c r="P144" s="11">
        <f t="shared" si="5"/>
        <v>2.7852115041081689</v>
      </c>
      <c r="Q144" s="2">
        <f t="shared" si="6"/>
        <v>207.91603878167481</v>
      </c>
      <c r="R144" s="2">
        <f t="shared" si="7"/>
        <v>2.0661732981961545</v>
      </c>
      <c r="S144" s="2">
        <f t="shared" si="8"/>
        <v>154.23983671034296</v>
      </c>
      <c r="T144" s="2">
        <f t="shared" si="9"/>
        <v>53.676202071331858</v>
      </c>
    </row>
    <row r="145" spans="1:20" x14ac:dyDescent="0.25">
      <c r="A145" s="14">
        <f t="shared" si="22"/>
        <v>0.74065170940170943</v>
      </c>
      <c r="B145" s="2">
        <f t="shared" si="11"/>
        <v>140</v>
      </c>
      <c r="C145" s="4">
        <f t="shared" si="20"/>
        <v>75.33</v>
      </c>
      <c r="D145" s="2">
        <v>13</v>
      </c>
      <c r="E145" s="2">
        <v>50.26548245743669</v>
      </c>
      <c r="F145" s="11">
        <f t="shared" si="0"/>
        <v>2.5862678252432989</v>
      </c>
      <c r="G145" s="2">
        <f t="shared" si="1"/>
        <v>194.82355527557769</v>
      </c>
      <c r="H145" s="2">
        <f t="shared" si="2"/>
        <v>2.0311597305563391</v>
      </c>
      <c r="I145" s="2">
        <f t="shared" si="3"/>
        <v>153.00726250280903</v>
      </c>
      <c r="J145" s="2">
        <f t="shared" si="4"/>
        <v>41.816292772768662</v>
      </c>
      <c r="K145" s="15">
        <f t="shared" si="23"/>
        <v>0.72329059829059827</v>
      </c>
      <c r="L145" s="2">
        <f t="shared" si="14"/>
        <v>140</v>
      </c>
      <c r="M145" s="2">
        <f t="shared" si="21"/>
        <v>75.150000000000006</v>
      </c>
      <c r="N145" s="2">
        <v>14</v>
      </c>
      <c r="O145" s="2">
        <v>50.26548245743669</v>
      </c>
      <c r="P145" s="11">
        <f t="shared" si="5"/>
        <v>2.7852115041081689</v>
      </c>
      <c r="Q145" s="2">
        <f t="shared" si="6"/>
        <v>209.30864453372891</v>
      </c>
      <c r="R145" s="2">
        <f t="shared" si="7"/>
        <v>2.0661732981961545</v>
      </c>
      <c r="S145" s="2">
        <f t="shared" si="8"/>
        <v>155.27292335944102</v>
      </c>
      <c r="T145" s="2">
        <f t="shared" si="9"/>
        <v>54.035721174287886</v>
      </c>
    </row>
    <row r="146" spans="1:20" x14ac:dyDescent="0.25">
      <c r="A146" s="14">
        <f t="shared" si="22"/>
        <v>0.74075854700854704</v>
      </c>
      <c r="B146" s="2">
        <f t="shared" si="11"/>
        <v>141</v>
      </c>
      <c r="C146" s="4">
        <f t="shared" si="20"/>
        <v>75.83</v>
      </c>
      <c r="D146" s="2">
        <v>12.5</v>
      </c>
      <c r="E146" s="2">
        <v>50.26548245743669</v>
      </c>
      <c r="F146" s="11">
        <f t="shared" si="0"/>
        <v>2.4867959858108648</v>
      </c>
      <c r="G146" s="2">
        <f t="shared" si="1"/>
        <v>188.57373960403788</v>
      </c>
      <c r="H146" s="2">
        <f t="shared" si="2"/>
        <v>2.0311597305563391</v>
      </c>
      <c r="I146" s="2">
        <f t="shared" si="3"/>
        <v>154.0228423680872</v>
      </c>
      <c r="J146" s="2">
        <f t="shared" si="4"/>
        <v>34.550897235950686</v>
      </c>
      <c r="K146" s="15">
        <f t="shared" si="23"/>
        <v>0.72339743589743588</v>
      </c>
      <c r="L146" s="2">
        <f t="shared" si="14"/>
        <v>141</v>
      </c>
      <c r="M146" s="2">
        <f t="shared" si="21"/>
        <v>75.650000000000006</v>
      </c>
      <c r="N146" s="2">
        <v>12</v>
      </c>
      <c r="O146" s="2">
        <v>50.26548245743669</v>
      </c>
      <c r="P146" s="11">
        <f t="shared" si="5"/>
        <v>2.3873241463784298</v>
      </c>
      <c r="Q146" s="2">
        <f t="shared" si="6"/>
        <v>180.60107167352822</v>
      </c>
      <c r="R146" s="2">
        <f t="shared" si="7"/>
        <v>2.0661732981961545</v>
      </c>
      <c r="S146" s="2">
        <f t="shared" si="8"/>
        <v>156.30601000853909</v>
      </c>
      <c r="T146" s="2">
        <f t="shared" si="9"/>
        <v>24.295061664989134</v>
      </c>
    </row>
    <row r="147" spans="1:20" x14ac:dyDescent="0.25">
      <c r="A147" s="14">
        <f t="shared" si="22"/>
        <v>0.74086538461538465</v>
      </c>
      <c r="B147" s="2">
        <f t="shared" si="11"/>
        <v>142</v>
      </c>
      <c r="C147" s="4">
        <f t="shared" si="20"/>
        <v>76.33</v>
      </c>
      <c r="D147" s="2">
        <v>12</v>
      </c>
      <c r="E147" s="2">
        <v>50.26548245743669</v>
      </c>
      <c r="F147" s="11">
        <f t="shared" si="0"/>
        <v>2.3873241463784298</v>
      </c>
      <c r="G147" s="2">
        <f t="shared" si="1"/>
        <v>182.22445209306554</v>
      </c>
      <c r="H147" s="2">
        <f t="shared" si="2"/>
        <v>2.0311597305563391</v>
      </c>
      <c r="I147" s="2">
        <f t="shared" si="3"/>
        <v>155.03842223336537</v>
      </c>
      <c r="J147" s="2">
        <f t="shared" si="4"/>
        <v>27.18602985970017</v>
      </c>
      <c r="K147" s="15">
        <f t="shared" si="23"/>
        <v>0.72350427350427349</v>
      </c>
      <c r="L147" s="2">
        <f t="shared" si="14"/>
        <v>142</v>
      </c>
      <c r="M147" s="2">
        <f t="shared" si="21"/>
        <v>76.150000000000006</v>
      </c>
      <c r="N147" s="2">
        <v>12</v>
      </c>
      <c r="O147" s="2">
        <v>50.26548245743669</v>
      </c>
      <c r="P147" s="11">
        <f t="shared" si="5"/>
        <v>2.3873241463784298</v>
      </c>
      <c r="Q147" s="2">
        <f t="shared" si="6"/>
        <v>181.79473374671744</v>
      </c>
      <c r="R147" s="2">
        <f t="shared" si="7"/>
        <v>2.0661732981961545</v>
      </c>
      <c r="S147" s="2">
        <f t="shared" si="8"/>
        <v>157.33909665763719</v>
      </c>
      <c r="T147" s="2">
        <f t="shared" si="9"/>
        <v>24.455637089080255</v>
      </c>
    </row>
    <row r="148" spans="1:20" x14ac:dyDescent="0.25">
      <c r="A148" s="14">
        <f t="shared" si="22"/>
        <v>0.74097222222222225</v>
      </c>
      <c r="B148" s="2">
        <f t="shared" si="11"/>
        <v>143</v>
      </c>
      <c r="C148" s="4">
        <f t="shared" si="20"/>
        <v>76.83</v>
      </c>
      <c r="D148" s="21">
        <v>11.5</v>
      </c>
      <c r="E148" s="2">
        <v>50.26548245743669</v>
      </c>
      <c r="F148" s="11">
        <f t="shared" si="0"/>
        <v>2.2878523069459957</v>
      </c>
      <c r="G148" s="2">
        <f t="shared" si="1"/>
        <v>175.77569274266085</v>
      </c>
      <c r="H148" s="2">
        <f t="shared" si="2"/>
        <v>2.0311597305563391</v>
      </c>
      <c r="I148" s="2">
        <f t="shared" si="3"/>
        <v>156.05400209864354</v>
      </c>
      <c r="J148" s="2">
        <f t="shared" si="4"/>
        <v>19.721690644017315</v>
      </c>
      <c r="K148" s="15">
        <f t="shared" si="23"/>
        <v>0.72361111111111109</v>
      </c>
      <c r="L148" s="2">
        <f t="shared" si="14"/>
        <v>143</v>
      </c>
      <c r="M148" s="2">
        <f t="shared" si="21"/>
        <v>76.650000000000006</v>
      </c>
      <c r="N148" s="2">
        <v>11</v>
      </c>
      <c r="O148" s="2">
        <v>50.26548245743669</v>
      </c>
      <c r="P148" s="11">
        <f t="shared" si="5"/>
        <v>2.1883804675135607</v>
      </c>
      <c r="Q148" s="2">
        <f t="shared" si="6"/>
        <v>167.73936283491443</v>
      </c>
      <c r="R148" s="2">
        <f t="shared" si="7"/>
        <v>2.0661732981961545</v>
      </c>
      <c r="S148" s="2">
        <f t="shared" si="8"/>
        <v>158.37218330673525</v>
      </c>
      <c r="T148" s="2">
        <f t="shared" si="9"/>
        <v>9.3671795281791788</v>
      </c>
    </row>
    <row r="149" spans="1:20" x14ac:dyDescent="0.25">
      <c r="A149" s="14">
        <f t="shared" si="22"/>
        <v>0.74107905982905986</v>
      </c>
      <c r="B149" s="2">
        <f t="shared" si="11"/>
        <v>144</v>
      </c>
      <c r="C149" s="4">
        <f t="shared" si="20"/>
        <v>77.33</v>
      </c>
      <c r="D149" s="21">
        <v>10.5</v>
      </c>
      <c r="E149" s="2">
        <v>50.26548245743669</v>
      </c>
      <c r="F149" s="11">
        <f t="shared" si="0"/>
        <v>2.0889086280811267</v>
      </c>
      <c r="G149" s="2">
        <f t="shared" si="1"/>
        <v>161.53530420951353</v>
      </c>
      <c r="H149" s="2">
        <f t="shared" si="2"/>
        <v>2.0311597305563391</v>
      </c>
      <c r="I149" s="2">
        <f t="shared" si="3"/>
        <v>157.06958196392171</v>
      </c>
      <c r="J149" s="2">
        <f t="shared" si="4"/>
        <v>4.4657222455918202</v>
      </c>
      <c r="K149" s="15">
        <f t="shared" si="23"/>
        <v>0.7237179487179487</v>
      </c>
      <c r="L149" s="2">
        <f t="shared" si="14"/>
        <v>144</v>
      </c>
      <c r="M149" s="2">
        <f t="shared" si="21"/>
        <v>77.150000000000006</v>
      </c>
      <c r="N149" s="2">
        <v>12</v>
      </c>
      <c r="O149" s="2">
        <v>50.26548245743669</v>
      </c>
      <c r="P149" s="11">
        <f t="shared" si="5"/>
        <v>2.3873241463784298</v>
      </c>
      <c r="Q149" s="2">
        <f t="shared" si="6"/>
        <v>184.18205789309587</v>
      </c>
      <c r="R149" s="2">
        <f t="shared" si="7"/>
        <v>2.0661732981961545</v>
      </c>
      <c r="S149" s="2">
        <f t="shared" si="8"/>
        <v>159.40526995583332</v>
      </c>
      <c r="T149" s="2">
        <f t="shared" si="9"/>
        <v>24.776787937262554</v>
      </c>
    </row>
    <row r="150" spans="1:20" x14ac:dyDescent="0.25">
      <c r="A150" s="14">
        <f t="shared" si="22"/>
        <v>0.74118589743589747</v>
      </c>
      <c r="B150" s="2">
        <f t="shared" si="11"/>
        <v>145</v>
      </c>
      <c r="C150" s="4">
        <f t="shared" si="20"/>
        <v>77.83</v>
      </c>
      <c r="D150" s="21">
        <v>11</v>
      </c>
      <c r="E150" s="2">
        <v>50.26548245743669</v>
      </c>
      <c r="F150" s="11">
        <f t="shared" si="0"/>
        <v>2.1883804675135607</v>
      </c>
      <c r="G150" s="2">
        <f t="shared" si="1"/>
        <v>170.32165178658042</v>
      </c>
      <c r="H150" s="2">
        <f t="shared" si="2"/>
        <v>2.0311597305563391</v>
      </c>
      <c r="I150" s="2">
        <f t="shared" si="3"/>
        <v>158.08516182919988</v>
      </c>
      <c r="J150" s="2">
        <f t="shared" si="4"/>
        <v>12.236489957380542</v>
      </c>
      <c r="K150" s="15">
        <f t="shared" si="23"/>
        <v>0.72382478632478631</v>
      </c>
      <c r="L150" s="2">
        <f t="shared" si="14"/>
        <v>145</v>
      </c>
      <c r="M150" s="2">
        <f t="shared" si="21"/>
        <v>77.650000000000006</v>
      </c>
      <c r="N150" s="2">
        <v>11.5</v>
      </c>
      <c r="O150" s="2">
        <v>50.26548245743669</v>
      </c>
      <c r="P150" s="11">
        <f t="shared" si="5"/>
        <v>2.2878523069459957</v>
      </c>
      <c r="Q150" s="2">
        <f t="shared" si="6"/>
        <v>177.65173163435659</v>
      </c>
      <c r="R150" s="2">
        <f t="shared" si="7"/>
        <v>2.0661732981961545</v>
      </c>
      <c r="S150" s="2">
        <f t="shared" si="8"/>
        <v>160.43835660493141</v>
      </c>
      <c r="T150" s="2">
        <f t="shared" si="9"/>
        <v>17.21337502942518</v>
      </c>
    </row>
    <row r="151" spans="1:20" x14ac:dyDescent="0.25">
      <c r="A151" s="14">
        <f t="shared" si="22"/>
        <v>0.74129273504273507</v>
      </c>
      <c r="B151" s="2">
        <f t="shared" si="11"/>
        <v>146</v>
      </c>
      <c r="C151" s="4">
        <f t="shared" si="20"/>
        <v>78.33</v>
      </c>
      <c r="D151" s="2">
        <v>11.5</v>
      </c>
      <c r="E151" s="2">
        <v>50.26548245743669</v>
      </c>
      <c r="F151" s="11">
        <f t="shared" si="0"/>
        <v>2.2878523069459957</v>
      </c>
      <c r="G151" s="2">
        <f t="shared" si="1"/>
        <v>179.20747120307985</v>
      </c>
      <c r="H151" s="2">
        <f t="shared" si="2"/>
        <v>2.0311597305563391</v>
      </c>
      <c r="I151" s="2">
        <f t="shared" si="3"/>
        <v>159.10074169447805</v>
      </c>
      <c r="J151" s="2">
        <f t="shared" si="4"/>
        <v>20.106729508601802</v>
      </c>
      <c r="K151" s="15">
        <f t="shared" si="23"/>
        <v>0.72393162393162391</v>
      </c>
      <c r="L151" s="2">
        <f t="shared" si="14"/>
        <v>146</v>
      </c>
      <c r="M151" s="2">
        <f t="shared" si="21"/>
        <v>78.150000000000006</v>
      </c>
      <c r="N151" s="2">
        <v>12</v>
      </c>
      <c r="O151" s="2">
        <v>50.26548245743669</v>
      </c>
      <c r="P151" s="11">
        <f t="shared" si="5"/>
        <v>2.3873241463784298</v>
      </c>
      <c r="Q151" s="2">
        <f t="shared" si="6"/>
        <v>186.56938203947431</v>
      </c>
      <c r="R151" s="2">
        <f t="shared" si="7"/>
        <v>2.0661732981961545</v>
      </c>
      <c r="S151" s="2">
        <f t="shared" si="8"/>
        <v>161.47144325402948</v>
      </c>
      <c r="T151" s="2">
        <f t="shared" si="9"/>
        <v>25.097938785444825</v>
      </c>
    </row>
    <row r="152" spans="1:20" x14ac:dyDescent="0.25">
      <c r="A152" s="14">
        <f t="shared" si="22"/>
        <v>0.74139957264957268</v>
      </c>
      <c r="B152" s="2">
        <f t="shared" si="11"/>
        <v>147</v>
      </c>
      <c r="C152" s="4">
        <f t="shared" si="20"/>
        <v>78.83</v>
      </c>
      <c r="D152" s="2">
        <v>11</v>
      </c>
      <c r="E152" s="2">
        <v>50.26548245743669</v>
      </c>
      <c r="F152" s="11">
        <f t="shared" si="0"/>
        <v>2.1883804675135607</v>
      </c>
      <c r="G152" s="2">
        <f t="shared" si="1"/>
        <v>172.510032254094</v>
      </c>
      <c r="H152" s="2">
        <f t="shared" si="2"/>
        <v>2.0311597305563391</v>
      </c>
      <c r="I152" s="2">
        <f t="shared" si="3"/>
        <v>160.11632155975622</v>
      </c>
      <c r="J152" s="2">
        <f t="shared" si="4"/>
        <v>12.393710694337784</v>
      </c>
      <c r="K152" s="15">
        <f t="shared" si="23"/>
        <v>0.72403846153846152</v>
      </c>
      <c r="L152" s="2">
        <f t="shared" si="14"/>
        <v>147</v>
      </c>
      <c r="M152" s="2">
        <f t="shared" si="21"/>
        <v>78.650000000000006</v>
      </c>
      <c r="N152" s="2">
        <v>10.5</v>
      </c>
      <c r="O152" s="2">
        <v>50.26548245743669</v>
      </c>
      <c r="P152" s="11">
        <f t="shared" si="5"/>
        <v>2.0889086280811267</v>
      </c>
      <c r="Q152" s="2">
        <f t="shared" si="6"/>
        <v>164.29266359858062</v>
      </c>
      <c r="R152" s="2">
        <f t="shared" si="7"/>
        <v>2.0661732981961545</v>
      </c>
      <c r="S152" s="2">
        <f t="shared" si="8"/>
        <v>162.50452990312755</v>
      </c>
      <c r="T152" s="2">
        <f t="shared" si="9"/>
        <v>1.7881336954530695</v>
      </c>
    </row>
    <row r="153" spans="1:20" x14ac:dyDescent="0.25">
      <c r="A153" s="14">
        <f t="shared" si="22"/>
        <v>0.74150641025641029</v>
      </c>
      <c r="B153" s="2">
        <f t="shared" si="11"/>
        <v>148</v>
      </c>
      <c r="C153" s="4">
        <f t="shared" si="20"/>
        <v>79.33</v>
      </c>
      <c r="D153" s="2">
        <v>10.5</v>
      </c>
      <c r="E153" s="2">
        <v>50.26548245743669</v>
      </c>
      <c r="F153" s="11">
        <f t="shared" si="0"/>
        <v>2.0889086280811267</v>
      </c>
      <c r="G153" s="2">
        <f t="shared" si="1"/>
        <v>165.71312146567578</v>
      </c>
      <c r="H153" s="2">
        <f t="shared" si="2"/>
        <v>2.0311597305563391</v>
      </c>
      <c r="I153" s="2">
        <f t="shared" si="3"/>
        <v>161.13190142503439</v>
      </c>
      <c r="J153" s="2">
        <f t="shared" si="4"/>
        <v>4.5812200406413979</v>
      </c>
      <c r="K153" s="15">
        <f t="shared" si="23"/>
        <v>0.72414529914529913</v>
      </c>
      <c r="L153" s="2">
        <f t="shared" si="14"/>
        <v>148</v>
      </c>
      <c r="M153" s="2">
        <f t="shared" si="21"/>
        <v>79.150000000000006</v>
      </c>
      <c r="N153" s="2">
        <v>10.5</v>
      </c>
      <c r="O153" s="2">
        <v>50.26548245743669</v>
      </c>
      <c r="P153" s="11">
        <f t="shared" si="5"/>
        <v>2.0889086280811267</v>
      </c>
      <c r="Q153" s="2">
        <f t="shared" si="6"/>
        <v>165.33711791262118</v>
      </c>
      <c r="R153" s="2">
        <f t="shared" si="7"/>
        <v>2.0661732981961545</v>
      </c>
      <c r="S153" s="2">
        <f t="shared" si="8"/>
        <v>163.53761655222564</v>
      </c>
      <c r="T153" s="2">
        <f t="shared" si="9"/>
        <v>1.7995013603955385</v>
      </c>
    </row>
    <row r="154" spans="1:20" x14ac:dyDescent="0.25">
      <c r="A154" s="14">
        <f t="shared" si="22"/>
        <v>0.74161324786324789</v>
      </c>
      <c r="B154" s="2">
        <f t="shared" si="11"/>
        <v>149</v>
      </c>
      <c r="C154" s="4">
        <f t="shared" si="20"/>
        <v>79.83</v>
      </c>
      <c r="D154" s="2">
        <v>8.5</v>
      </c>
      <c r="E154" s="2">
        <v>50.26548245743669</v>
      </c>
      <c r="F154" s="11">
        <f t="shared" si="0"/>
        <v>1.6910212703513881</v>
      </c>
      <c r="G154" s="2">
        <f t="shared" si="1"/>
        <v>134.9942280121513</v>
      </c>
      <c r="H154" s="2">
        <f t="shared" si="2"/>
        <v>2.0311597305563391</v>
      </c>
      <c r="I154" s="2">
        <f t="shared" si="3"/>
        <v>162.14748129031256</v>
      </c>
      <c r="J154" s="2">
        <f t="shared" si="4"/>
        <v>27.153253278161259</v>
      </c>
      <c r="K154" s="15">
        <f t="shared" si="23"/>
        <v>0.72425213675213673</v>
      </c>
      <c r="L154" s="2">
        <f t="shared" si="14"/>
        <v>149</v>
      </c>
      <c r="M154" s="2">
        <f t="shared" si="21"/>
        <v>79.650000000000006</v>
      </c>
      <c r="N154" s="2">
        <v>9</v>
      </c>
      <c r="O154" s="2">
        <v>50.26548245743669</v>
      </c>
      <c r="P154" s="11">
        <f t="shared" si="5"/>
        <v>1.7904931097838226</v>
      </c>
      <c r="Q154" s="2">
        <f t="shared" si="6"/>
        <v>142.61277619428148</v>
      </c>
      <c r="R154" s="2">
        <f t="shared" si="7"/>
        <v>2.0661732981961545</v>
      </c>
      <c r="S154" s="2">
        <f t="shared" si="8"/>
        <v>164.57070320132371</v>
      </c>
      <c r="T154" s="2">
        <f t="shared" si="9"/>
        <v>21.95792700704223</v>
      </c>
    </row>
    <row r="155" spans="1:20" x14ac:dyDescent="0.25">
      <c r="A155" s="14">
        <f t="shared" si="22"/>
        <v>0.7417200854700855</v>
      </c>
      <c r="B155" s="2">
        <f t="shared" si="11"/>
        <v>150</v>
      </c>
      <c r="C155" s="4">
        <f t="shared" si="20"/>
        <v>80.33</v>
      </c>
      <c r="D155" s="2">
        <v>10</v>
      </c>
      <c r="E155" s="2">
        <v>50.26548245743669</v>
      </c>
      <c r="F155" s="11">
        <f t="shared" si="0"/>
        <v>1.9894367886486919</v>
      </c>
      <c r="G155" s="2">
        <f t="shared" si="1"/>
        <v>159.81145723214942</v>
      </c>
      <c r="H155" s="2">
        <f t="shared" si="2"/>
        <v>2.0311597305563391</v>
      </c>
      <c r="I155" s="2">
        <f t="shared" si="3"/>
        <v>163.16306115559073</v>
      </c>
      <c r="J155" s="2">
        <f t="shared" si="4"/>
        <v>3.3516039234413029</v>
      </c>
      <c r="K155" s="15">
        <f t="shared" si="23"/>
        <v>0.72435897435897434</v>
      </c>
      <c r="L155" s="2">
        <f t="shared" si="14"/>
        <v>150</v>
      </c>
      <c r="M155" s="2">
        <f t="shared" si="21"/>
        <v>80.150000000000006</v>
      </c>
      <c r="N155" s="2">
        <v>12</v>
      </c>
      <c r="O155" s="2">
        <v>50.26548245743669</v>
      </c>
      <c r="P155" s="11">
        <f t="shared" si="5"/>
        <v>2.3873241463784298</v>
      </c>
      <c r="Q155" s="2">
        <f t="shared" si="6"/>
        <v>191.34403033223117</v>
      </c>
      <c r="R155" s="2">
        <f t="shared" si="7"/>
        <v>2.0661732981961545</v>
      </c>
      <c r="S155" s="2">
        <f t="shared" si="8"/>
        <v>165.6037898504218</v>
      </c>
      <c r="T155" s="2">
        <f t="shared" si="9"/>
        <v>25.740240481809366</v>
      </c>
    </row>
    <row r="156" spans="1:20" x14ac:dyDescent="0.25">
      <c r="A156" s="14">
        <f t="shared" si="22"/>
        <v>0.74182692307692311</v>
      </c>
      <c r="B156" s="2">
        <f t="shared" si="11"/>
        <v>151</v>
      </c>
      <c r="C156" s="4">
        <f t="shared" si="20"/>
        <v>80.83</v>
      </c>
      <c r="D156" s="2">
        <v>12.5</v>
      </c>
      <c r="E156" s="2">
        <v>50.26548245743669</v>
      </c>
      <c r="F156" s="11">
        <f t="shared" si="0"/>
        <v>2.4867959858108648</v>
      </c>
      <c r="G156" s="2">
        <f t="shared" si="1"/>
        <v>201.0077195330922</v>
      </c>
      <c r="H156" s="2">
        <f t="shared" si="2"/>
        <v>2.0311597305563391</v>
      </c>
      <c r="I156" s="2">
        <f t="shared" si="3"/>
        <v>164.17864102086889</v>
      </c>
      <c r="J156" s="2">
        <f t="shared" si="4"/>
        <v>36.829078512223305</v>
      </c>
      <c r="K156" s="15">
        <f t="shared" si="23"/>
        <v>0.72446581196581195</v>
      </c>
      <c r="L156" s="2">
        <f t="shared" si="14"/>
        <v>151</v>
      </c>
      <c r="M156" s="2">
        <f t="shared" si="21"/>
        <v>80.650000000000006</v>
      </c>
      <c r="N156" s="2">
        <v>12.5</v>
      </c>
      <c r="O156" s="2">
        <v>50.26548245743669</v>
      </c>
      <c r="P156" s="11">
        <f t="shared" si="5"/>
        <v>2.4867959858108648</v>
      </c>
      <c r="Q156" s="2">
        <f t="shared" si="6"/>
        <v>200.56009625564627</v>
      </c>
      <c r="R156" s="2">
        <f t="shared" si="7"/>
        <v>2.0661732981961545</v>
      </c>
      <c r="S156" s="2">
        <f t="shared" si="8"/>
        <v>166.63687649951987</v>
      </c>
      <c r="T156" s="2">
        <f t="shared" si="9"/>
        <v>33.9232197561264</v>
      </c>
    </row>
    <row r="157" spans="1:20" x14ac:dyDescent="0.25">
      <c r="A157" s="14">
        <f t="shared" si="22"/>
        <v>0.74193376068376071</v>
      </c>
      <c r="B157" s="2">
        <f t="shared" si="11"/>
        <v>152</v>
      </c>
      <c r="C157" s="4">
        <f t="shared" si="20"/>
        <v>81.33</v>
      </c>
      <c r="D157" s="2">
        <v>15</v>
      </c>
      <c r="E157" s="2">
        <v>50.26548245743669</v>
      </c>
      <c r="F157" s="11">
        <f t="shared" si="0"/>
        <v>2.9841551829730379</v>
      </c>
      <c r="G157" s="2">
        <f t="shared" si="1"/>
        <v>242.70134103119716</v>
      </c>
      <c r="H157" s="2">
        <f t="shared" si="2"/>
        <v>2.0311597305563391</v>
      </c>
      <c r="I157" s="2">
        <f t="shared" si="3"/>
        <v>165.19422088614706</v>
      </c>
      <c r="J157" s="2">
        <f t="shared" si="4"/>
        <v>77.507120145050095</v>
      </c>
      <c r="K157" s="15">
        <f t="shared" si="23"/>
        <v>0.72457264957264955</v>
      </c>
      <c r="L157" s="2">
        <f t="shared" si="14"/>
        <v>152</v>
      </c>
      <c r="M157" s="2">
        <f t="shared" si="21"/>
        <v>81.150000000000006</v>
      </c>
      <c r="N157" s="2">
        <v>12</v>
      </c>
      <c r="O157" s="2">
        <v>50.26548245743669</v>
      </c>
      <c r="P157" s="11">
        <f t="shared" si="5"/>
        <v>2.3873241463784298</v>
      </c>
      <c r="Q157" s="2">
        <f t="shared" si="6"/>
        <v>193.7313544786096</v>
      </c>
      <c r="R157" s="2">
        <f t="shared" si="7"/>
        <v>2.0661732981961545</v>
      </c>
      <c r="S157" s="2">
        <f t="shared" si="8"/>
        <v>167.66996314861794</v>
      </c>
      <c r="T157" s="2">
        <f t="shared" si="9"/>
        <v>26.061391329991665</v>
      </c>
    </row>
    <row r="158" spans="1:20" x14ac:dyDescent="0.25">
      <c r="A158" s="14">
        <f t="shared" si="22"/>
        <v>0.74204059829059832</v>
      </c>
      <c r="B158" s="2">
        <f t="shared" si="11"/>
        <v>153</v>
      </c>
      <c r="C158" s="4">
        <f t="shared" si="20"/>
        <v>81.83</v>
      </c>
      <c r="D158" s="2">
        <v>12.5</v>
      </c>
      <c r="E158" s="2">
        <v>50.26548245743669</v>
      </c>
      <c r="F158" s="11">
        <f t="shared" si="0"/>
        <v>2.4867959858108648</v>
      </c>
      <c r="G158" s="2">
        <f t="shared" si="1"/>
        <v>203.49451551890306</v>
      </c>
      <c r="H158" s="2">
        <f t="shared" si="2"/>
        <v>2.0311597305563391</v>
      </c>
      <c r="I158" s="2">
        <f t="shared" si="3"/>
        <v>166.20980075142523</v>
      </c>
      <c r="J158" s="2">
        <f t="shared" si="4"/>
        <v>37.284714767477823</v>
      </c>
      <c r="K158" s="15">
        <f t="shared" si="23"/>
        <v>0.72467948717948716</v>
      </c>
      <c r="L158" s="2">
        <f t="shared" si="14"/>
        <v>153</v>
      </c>
      <c r="M158" s="2">
        <f t="shared" si="21"/>
        <v>81.650000000000006</v>
      </c>
      <c r="N158" s="2">
        <v>16.5</v>
      </c>
      <c r="O158" s="2">
        <v>50.26548245743669</v>
      </c>
      <c r="P158" s="11">
        <f t="shared" si="5"/>
        <v>3.2825707012703416</v>
      </c>
      <c r="Q158" s="2">
        <f t="shared" si="6"/>
        <v>268.02189775872341</v>
      </c>
      <c r="R158" s="2">
        <f t="shared" si="7"/>
        <v>2.0661732981961545</v>
      </c>
      <c r="S158" s="2">
        <f t="shared" si="8"/>
        <v>168.70304979771603</v>
      </c>
      <c r="T158" s="2">
        <f t="shared" si="9"/>
        <v>99.318847961007378</v>
      </c>
    </row>
    <row r="159" spans="1:20" x14ac:dyDescent="0.25">
      <c r="A159" s="14">
        <f t="shared" si="22"/>
        <v>0.74214743589743593</v>
      </c>
      <c r="B159" s="2">
        <f t="shared" si="11"/>
        <v>154</v>
      </c>
      <c r="C159" s="4">
        <f t="shared" si="20"/>
        <v>82.33</v>
      </c>
      <c r="D159" s="2">
        <v>22</v>
      </c>
      <c r="E159" s="2">
        <v>50.26548245743669</v>
      </c>
      <c r="F159" s="11">
        <f t="shared" si="0"/>
        <v>4.3767609350271215</v>
      </c>
      <c r="G159" s="2">
        <f t="shared" si="1"/>
        <v>360.3387277807829</v>
      </c>
      <c r="H159" s="2">
        <f t="shared" si="2"/>
        <v>2.0311597305563391</v>
      </c>
      <c r="I159" s="2">
        <f t="shared" si="3"/>
        <v>167.2253806167034</v>
      </c>
      <c r="J159" s="2">
        <f t="shared" si="4"/>
        <v>193.1133471640795</v>
      </c>
      <c r="K159" s="15">
        <f t="shared" si="23"/>
        <v>0.72478632478632476</v>
      </c>
      <c r="L159" s="2">
        <f t="shared" si="14"/>
        <v>154</v>
      </c>
      <c r="M159" s="2">
        <f t="shared" si="21"/>
        <v>82.15</v>
      </c>
      <c r="N159" s="2">
        <v>20</v>
      </c>
      <c r="O159" s="2">
        <v>50.26548245743669</v>
      </c>
      <c r="P159" s="11">
        <f t="shared" si="5"/>
        <v>3.9788735772973838</v>
      </c>
      <c r="Q159" s="2">
        <f t="shared" si="6"/>
        <v>326.86446437498012</v>
      </c>
      <c r="R159" s="2">
        <f t="shared" si="7"/>
        <v>2.0661732981961545</v>
      </c>
      <c r="S159" s="2">
        <f t="shared" si="8"/>
        <v>169.7361364468141</v>
      </c>
      <c r="T159" s="2">
        <f t="shared" si="9"/>
        <v>157.12832792816602</v>
      </c>
    </row>
    <row r="160" spans="1:20" x14ac:dyDescent="0.25">
      <c r="A160" s="14">
        <f t="shared" si="22"/>
        <v>0.74225427350427353</v>
      </c>
      <c r="B160" s="2">
        <f t="shared" si="11"/>
        <v>155</v>
      </c>
      <c r="C160" s="4">
        <f t="shared" si="20"/>
        <v>82.83</v>
      </c>
      <c r="D160" s="2">
        <v>10.5</v>
      </c>
      <c r="E160" s="2">
        <v>50.26548245743669</v>
      </c>
      <c r="F160" s="11">
        <f t="shared" si="0"/>
        <v>2.0889086280811267</v>
      </c>
      <c r="G160" s="2">
        <f t="shared" si="1"/>
        <v>173.0243016639597</v>
      </c>
      <c r="H160" s="2">
        <f t="shared" si="2"/>
        <v>2.0311597305563391</v>
      </c>
      <c r="I160" s="2">
        <f t="shared" si="3"/>
        <v>168.24096048198157</v>
      </c>
      <c r="J160" s="2">
        <f t="shared" si="4"/>
        <v>4.7833411819781304</v>
      </c>
      <c r="K160" s="15">
        <f t="shared" si="23"/>
        <v>0.72489316239316237</v>
      </c>
      <c r="L160" s="2">
        <f t="shared" si="14"/>
        <v>155</v>
      </c>
      <c r="M160" s="2">
        <f t="shared" si="21"/>
        <v>82.65</v>
      </c>
      <c r="N160" s="2">
        <v>12.5</v>
      </c>
      <c r="O160" s="2">
        <v>50.26548245743669</v>
      </c>
      <c r="P160" s="11">
        <f t="shared" si="5"/>
        <v>2.4867959858108648</v>
      </c>
      <c r="Q160" s="2">
        <f t="shared" si="6"/>
        <v>205.53368822726799</v>
      </c>
      <c r="R160" s="2">
        <f t="shared" si="7"/>
        <v>2.0661732981961545</v>
      </c>
      <c r="S160" s="2">
        <f t="shared" si="8"/>
        <v>170.76922309591217</v>
      </c>
      <c r="T160" s="2">
        <f t="shared" si="9"/>
        <v>34.76446513135582</v>
      </c>
    </row>
    <row r="161" spans="1:20" x14ac:dyDescent="0.25">
      <c r="A161" s="10">
        <v>0.74236111111111114</v>
      </c>
      <c r="B161" s="2">
        <f t="shared" si="11"/>
        <v>156</v>
      </c>
      <c r="C161" s="4">
        <f t="shared" si="20"/>
        <v>83.33</v>
      </c>
      <c r="D161" s="2">
        <v>12.5</v>
      </c>
      <c r="E161" s="2">
        <v>50.26548245743669</v>
      </c>
      <c r="F161" s="11">
        <f t="shared" si="0"/>
        <v>2.4867959858108648</v>
      </c>
      <c r="G161" s="2">
        <f t="shared" si="1"/>
        <v>207.22470949761936</v>
      </c>
      <c r="H161" s="2">
        <f t="shared" si="2"/>
        <v>2.0311597305563391</v>
      </c>
      <c r="I161" s="2">
        <f t="shared" si="3"/>
        <v>169.25654034725974</v>
      </c>
      <c r="J161" s="2">
        <f t="shared" si="4"/>
        <v>37.968169150359614</v>
      </c>
      <c r="K161" s="12">
        <v>0.72499999999999998</v>
      </c>
      <c r="L161" s="2">
        <f t="shared" si="14"/>
        <v>156</v>
      </c>
      <c r="M161" s="2">
        <f t="shared" si="21"/>
        <v>83.15</v>
      </c>
      <c r="N161" s="2">
        <v>14</v>
      </c>
      <c r="O161" s="2">
        <v>50.26548245743669</v>
      </c>
      <c r="P161" s="11">
        <f t="shared" si="5"/>
        <v>2.7852115041081689</v>
      </c>
      <c r="Q161" s="2">
        <f t="shared" si="6"/>
        <v>231.59033656659426</v>
      </c>
      <c r="R161" s="2">
        <f t="shared" si="7"/>
        <v>2.0661732981961545</v>
      </c>
      <c r="S161" s="2">
        <f t="shared" si="8"/>
        <v>171.80230974501026</v>
      </c>
      <c r="T161" s="2">
        <f t="shared" si="9"/>
        <v>59.788026821583998</v>
      </c>
    </row>
    <row r="162" spans="1:20" x14ac:dyDescent="0.25">
      <c r="A162" s="10">
        <v>0.74236111111111114</v>
      </c>
      <c r="B162" s="2">
        <f t="shared" si="11"/>
        <v>157</v>
      </c>
      <c r="C162" s="4">
        <f t="shared" si="20"/>
        <v>83.83</v>
      </c>
      <c r="D162" s="2">
        <v>16.5</v>
      </c>
      <c r="E162" s="2">
        <v>50.26548245743669</v>
      </c>
      <c r="F162" s="11">
        <f t="shared" si="0"/>
        <v>3.2825707012703416</v>
      </c>
      <c r="G162" s="2">
        <f t="shared" si="1"/>
        <v>275.17790188749274</v>
      </c>
      <c r="H162" s="2">
        <f t="shared" si="2"/>
        <v>2.0311597305563391</v>
      </c>
      <c r="I162" s="2">
        <f t="shared" si="3"/>
        <v>170.27212021253791</v>
      </c>
      <c r="J162" s="2">
        <f t="shared" si="4"/>
        <v>104.90578167495482</v>
      </c>
      <c r="K162" s="12">
        <v>0.72499999999999998</v>
      </c>
      <c r="L162" s="2">
        <f t="shared" si="14"/>
        <v>157</v>
      </c>
      <c r="M162" s="2">
        <f t="shared" si="21"/>
        <v>83.65</v>
      </c>
      <c r="N162" s="2">
        <v>10</v>
      </c>
      <c r="O162" s="2">
        <v>50.26548245743669</v>
      </c>
      <c r="P162" s="11">
        <f t="shared" si="5"/>
        <v>1.9894367886486919</v>
      </c>
      <c r="Q162" s="2">
        <f t="shared" si="6"/>
        <v>166.4163873704631</v>
      </c>
      <c r="R162" s="2">
        <f t="shared" si="7"/>
        <v>2.0661732981961545</v>
      </c>
      <c r="S162" s="2">
        <f t="shared" si="8"/>
        <v>172.83539639410833</v>
      </c>
      <c r="T162" s="2">
        <f t="shared" si="9"/>
        <v>6.4190090236452306</v>
      </c>
    </row>
    <row r="163" spans="1:20" x14ac:dyDescent="0.25">
      <c r="A163" s="10"/>
      <c r="C163" s="4"/>
      <c r="F163" s="11"/>
      <c r="K163" s="12"/>
      <c r="P163" s="11"/>
    </row>
    <row r="164" spans="1:20" x14ac:dyDescent="0.25">
      <c r="A164" s="10"/>
      <c r="C164" s="4"/>
      <c r="F164" s="11"/>
      <c r="K164" s="12"/>
      <c r="P164" s="11"/>
    </row>
    <row r="165" spans="1:20" x14ac:dyDescent="0.25">
      <c r="A165" s="10"/>
      <c r="C165" s="4"/>
      <c r="F165" s="11"/>
      <c r="K165" s="12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28">
    <mergeCell ref="V23:X23"/>
    <mergeCell ref="V24:X24"/>
    <mergeCell ref="V25:X25"/>
    <mergeCell ref="V26:X26"/>
    <mergeCell ref="V12:W12"/>
    <mergeCell ref="V13:W13"/>
    <mergeCell ref="V14:W14"/>
    <mergeCell ref="V15:W15"/>
    <mergeCell ref="V16:W16"/>
    <mergeCell ref="V17:W17"/>
    <mergeCell ref="V18:W18"/>
    <mergeCell ref="V10:W10"/>
    <mergeCell ref="V11:W11"/>
    <mergeCell ref="V19:X19"/>
    <mergeCell ref="W20:X20"/>
    <mergeCell ref="V21:W21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X174"/>
  <sheetViews>
    <sheetView workbookViewId="0"/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12433.434823374235</v>
      </c>
      <c r="G2" s="4">
        <f>SUM(C6:C174)</f>
        <v>6934.3099999999931</v>
      </c>
      <c r="H2" s="2">
        <f>F2/G2</f>
        <v>1.7930312927132255</v>
      </c>
      <c r="I2" s="2">
        <f>SUM(J6:J174)</f>
        <v>2862.0687366954953</v>
      </c>
      <c r="J2" s="2">
        <f>(1-(I2/(F2)))*100</f>
        <v>76.980868301051046</v>
      </c>
      <c r="K2" s="1"/>
      <c r="L2" s="1"/>
      <c r="M2" s="1"/>
      <c r="N2" s="1"/>
      <c r="O2" s="1"/>
      <c r="P2" s="2">
        <f>SUM(Q6:Q174)</f>
        <v>12590.175584923109</v>
      </c>
      <c r="Q2" s="2">
        <f>SUM(M6:M174)</f>
        <v>6906.0499999999911</v>
      </c>
      <c r="R2" s="2">
        <f>P2/Q2</f>
        <v>1.8230646440328588</v>
      </c>
      <c r="S2" s="2">
        <f>SUM(T6:T174)</f>
        <v>3094.6573611360914</v>
      </c>
      <c r="T2" s="2">
        <f>(1-(S2/(P2)))*100</f>
        <v>75.420061934307085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50" t="s">
        <v>98</v>
      </c>
      <c r="F4" s="36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50" t="s">
        <v>98</v>
      </c>
      <c r="P4" s="36"/>
      <c r="V4" s="34" t="s">
        <v>12</v>
      </c>
      <c r="W4" s="36"/>
      <c r="X4" s="6" t="s">
        <v>98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45938</v>
      </c>
    </row>
    <row r="6" spans="1:24" x14ac:dyDescent="0.25">
      <c r="A6" s="10">
        <v>0.44930555555555557</v>
      </c>
      <c r="B6" s="2">
        <v>1</v>
      </c>
      <c r="C6" s="4">
        <v>4.83</v>
      </c>
      <c r="D6" s="2">
        <v>4</v>
      </c>
      <c r="E6" s="2">
        <v>50.26548245743669</v>
      </c>
      <c r="F6" s="11">
        <f t="shared" ref="F6:F162" si="0">(D6/E6)*10</f>
        <v>0.79577471545947676</v>
      </c>
      <c r="G6" s="2">
        <f t="shared" ref="G6:G162" si="1">F6*C6</f>
        <v>3.8435918756692726</v>
      </c>
      <c r="H6" s="2">
        <f t="shared" ref="H6:H162" si="2">$H$2</f>
        <v>1.7930312927132255</v>
      </c>
      <c r="I6" s="2">
        <f t="shared" ref="I6:I162" si="3">H6*C6</f>
        <v>8.6603411438048798</v>
      </c>
      <c r="J6" s="2">
        <f t="shared" ref="J6:J162" si="4">ABS(G6-I6)</f>
        <v>4.8167492681356077</v>
      </c>
      <c r="K6" s="12">
        <v>0.4284722222222222</v>
      </c>
      <c r="L6" s="2">
        <v>1</v>
      </c>
      <c r="M6" s="2">
        <v>4.6500000000000004</v>
      </c>
      <c r="N6" s="2">
        <v>3.5</v>
      </c>
      <c r="O6" s="2">
        <v>50.26548245743669</v>
      </c>
      <c r="P6" s="11">
        <f t="shared" ref="P6:P162" si="5">(N6/O6)*10</f>
        <v>0.69630287602704222</v>
      </c>
      <c r="Q6" s="2">
        <f t="shared" ref="Q6:Q162" si="6">P6*M6</f>
        <v>3.2378083735257466</v>
      </c>
      <c r="R6" s="2">
        <f t="shared" ref="R6:R162" si="7">$R$2</f>
        <v>1.8230646440328588</v>
      </c>
      <c r="S6" s="2">
        <f t="shared" ref="S6:S162" si="8">R6*M6</f>
        <v>8.4772505947527943</v>
      </c>
      <c r="T6" s="2">
        <f t="shared" ref="T6:T162" si="9">ABS(Q6-S6)</f>
        <v>5.2394422212270477</v>
      </c>
      <c r="V6" s="37" t="s">
        <v>23</v>
      </c>
      <c r="W6" s="36"/>
      <c r="X6" s="13" t="s">
        <v>99</v>
      </c>
    </row>
    <row r="7" spans="1:24" x14ac:dyDescent="0.25">
      <c r="A7" s="30">
        <f t="shared" ref="A7:A43" si="10">IF(AND($A$6&lt;&gt;"",$A$44&lt;&gt;""), $A$6 + (B7 - $B$6) * (($A$44 - $A$6) / ($B$44 - $B$6)), "")</f>
        <v>0.4494152046783626</v>
      </c>
      <c r="B7" s="2">
        <f t="shared" ref="B7:B162" si="11">B6+1</f>
        <v>2</v>
      </c>
      <c r="C7" s="4">
        <f t="shared" ref="C7:C109" si="12">C6+0.5</f>
        <v>5.33</v>
      </c>
      <c r="D7" s="2">
        <v>6.5</v>
      </c>
      <c r="E7" s="2">
        <v>50.26548245743669</v>
      </c>
      <c r="F7" s="11">
        <f t="shared" si="0"/>
        <v>1.2931339126216495</v>
      </c>
      <c r="G7" s="2">
        <f t="shared" si="1"/>
        <v>6.892403754273392</v>
      </c>
      <c r="H7" s="2">
        <f t="shared" si="2"/>
        <v>1.7930312927132255</v>
      </c>
      <c r="I7" s="2">
        <f t="shared" si="3"/>
        <v>9.5568567901614916</v>
      </c>
      <c r="J7" s="2">
        <f t="shared" si="4"/>
        <v>2.6644530358880996</v>
      </c>
      <c r="K7" s="15">
        <f t="shared" ref="K7:K43" si="13">IF(AND($K$6&lt;&gt;"",$K$44&lt;&gt;""), $K$6 + (L7 - $L$6) * (($K$44 - $K$6) / ($L$44 - $L$6)), "")</f>
        <v>0.42858187134502923</v>
      </c>
      <c r="L7" s="2">
        <f t="shared" ref="L7:L162" si="14">L6+1</f>
        <v>2</v>
      </c>
      <c r="M7" s="2">
        <f t="shared" ref="M7:M109" si="15">M6+0.5</f>
        <v>5.15</v>
      </c>
      <c r="N7" s="2">
        <v>6</v>
      </c>
      <c r="O7" s="2">
        <v>50.26548245743669</v>
      </c>
      <c r="P7" s="11">
        <f t="shared" si="5"/>
        <v>1.1936620731892149</v>
      </c>
      <c r="Q7" s="2">
        <f t="shared" si="6"/>
        <v>6.1473596769244576</v>
      </c>
      <c r="R7" s="2">
        <f t="shared" si="7"/>
        <v>1.8230646440328588</v>
      </c>
      <c r="S7" s="2">
        <f t="shared" si="8"/>
        <v>9.3887829167692232</v>
      </c>
      <c r="T7" s="2">
        <f t="shared" si="9"/>
        <v>3.2414232398447655</v>
      </c>
      <c r="V7" s="37" t="s">
        <v>24</v>
      </c>
      <c r="W7" s="36"/>
      <c r="X7" s="6" t="s">
        <v>100</v>
      </c>
    </row>
    <row r="8" spans="1:24" x14ac:dyDescent="0.25">
      <c r="A8" s="30">
        <f t="shared" si="10"/>
        <v>0.44952485380116958</v>
      </c>
      <c r="B8" s="2">
        <f t="shared" si="11"/>
        <v>3</v>
      </c>
      <c r="C8" s="4">
        <f t="shared" si="12"/>
        <v>5.83</v>
      </c>
      <c r="D8" s="2">
        <v>7.5</v>
      </c>
      <c r="E8" s="2">
        <v>50.26548245743669</v>
      </c>
      <c r="F8" s="11">
        <f t="shared" si="0"/>
        <v>1.492077591486519</v>
      </c>
      <c r="G8" s="2">
        <f t="shared" si="1"/>
        <v>8.6988123583664052</v>
      </c>
      <c r="H8" s="2">
        <f t="shared" si="2"/>
        <v>1.7930312927132255</v>
      </c>
      <c r="I8" s="2">
        <f t="shared" si="3"/>
        <v>10.453372436518105</v>
      </c>
      <c r="J8" s="2">
        <f t="shared" si="4"/>
        <v>1.7545600781516999</v>
      </c>
      <c r="K8" s="15">
        <f t="shared" si="13"/>
        <v>0.42869152046783626</v>
      </c>
      <c r="L8" s="2">
        <f t="shared" si="14"/>
        <v>3</v>
      </c>
      <c r="M8" s="2">
        <f t="shared" si="15"/>
        <v>5.65</v>
      </c>
      <c r="N8" s="2">
        <v>6.5</v>
      </c>
      <c r="O8" s="2">
        <v>50.26548245743669</v>
      </c>
      <c r="P8" s="11">
        <f t="shared" si="5"/>
        <v>1.2931339126216495</v>
      </c>
      <c r="Q8" s="2">
        <f t="shared" si="6"/>
        <v>7.3062066063123199</v>
      </c>
      <c r="R8" s="2">
        <f t="shared" si="7"/>
        <v>1.8230646440328588</v>
      </c>
      <c r="S8" s="2">
        <f t="shared" si="8"/>
        <v>10.300315238785654</v>
      </c>
      <c r="T8" s="2">
        <f t="shared" si="9"/>
        <v>2.9941086324733339</v>
      </c>
      <c r="V8" s="34" t="s">
        <v>25</v>
      </c>
      <c r="W8" s="35"/>
      <c r="X8" s="36"/>
    </row>
    <row r="9" spans="1:24" x14ac:dyDescent="0.25">
      <c r="A9" s="30">
        <f t="shared" si="10"/>
        <v>0.44963450292397661</v>
      </c>
      <c r="B9" s="2">
        <f t="shared" si="11"/>
        <v>4</v>
      </c>
      <c r="C9" s="4">
        <f t="shared" si="12"/>
        <v>6.33</v>
      </c>
      <c r="D9" s="2">
        <v>8.5</v>
      </c>
      <c r="E9" s="2">
        <v>50.26548245743669</v>
      </c>
      <c r="F9" s="11">
        <f t="shared" si="0"/>
        <v>1.6910212703513881</v>
      </c>
      <c r="G9" s="2">
        <f t="shared" si="1"/>
        <v>10.704164641324287</v>
      </c>
      <c r="H9" s="2">
        <f t="shared" si="2"/>
        <v>1.7930312927132255</v>
      </c>
      <c r="I9" s="2">
        <f t="shared" si="3"/>
        <v>11.349888082874717</v>
      </c>
      <c r="J9" s="2">
        <f t="shared" si="4"/>
        <v>0.64572344155043027</v>
      </c>
      <c r="K9" s="15">
        <f t="shared" si="13"/>
        <v>0.42880116959064324</v>
      </c>
      <c r="L9" s="2">
        <f t="shared" si="14"/>
        <v>4</v>
      </c>
      <c r="M9" s="2">
        <f t="shared" si="15"/>
        <v>6.15</v>
      </c>
      <c r="N9" s="2">
        <v>8.5</v>
      </c>
      <c r="O9" s="2">
        <v>50.26548245743669</v>
      </c>
      <c r="P9" s="11">
        <f t="shared" si="5"/>
        <v>1.6910212703513881</v>
      </c>
      <c r="Q9" s="2">
        <f t="shared" si="6"/>
        <v>10.399780812661037</v>
      </c>
      <c r="R9" s="2">
        <f t="shared" si="7"/>
        <v>1.8230646440328588</v>
      </c>
      <c r="S9" s="2">
        <f t="shared" si="8"/>
        <v>11.211847560802083</v>
      </c>
      <c r="T9" s="2">
        <f t="shared" si="9"/>
        <v>0.81206674814104574</v>
      </c>
      <c r="V9" s="34" t="s">
        <v>26</v>
      </c>
      <c r="W9" s="36"/>
      <c r="X9" s="16">
        <v>0.33819444444444446</v>
      </c>
    </row>
    <row r="10" spans="1:24" x14ac:dyDescent="0.25">
      <c r="A10" s="30">
        <f t="shared" si="10"/>
        <v>0.44974415204678364</v>
      </c>
      <c r="B10" s="2">
        <f t="shared" si="11"/>
        <v>5</v>
      </c>
      <c r="C10" s="4">
        <f t="shared" si="12"/>
        <v>6.83</v>
      </c>
      <c r="D10" s="2">
        <v>10</v>
      </c>
      <c r="E10" s="2">
        <v>50.26548245743669</v>
      </c>
      <c r="F10" s="11">
        <f t="shared" si="0"/>
        <v>1.9894367886486919</v>
      </c>
      <c r="G10" s="2">
        <f t="shared" si="1"/>
        <v>13.587853266470566</v>
      </c>
      <c r="H10" s="2">
        <f t="shared" si="2"/>
        <v>1.7930312927132255</v>
      </c>
      <c r="I10" s="2">
        <f t="shared" si="3"/>
        <v>12.24640372923133</v>
      </c>
      <c r="J10" s="2">
        <f t="shared" si="4"/>
        <v>1.3414495372392352</v>
      </c>
      <c r="K10" s="15">
        <f t="shared" si="13"/>
        <v>0.42891081871345027</v>
      </c>
      <c r="L10" s="2">
        <f t="shared" si="14"/>
        <v>5</v>
      </c>
      <c r="M10" s="2">
        <f t="shared" si="15"/>
        <v>6.65</v>
      </c>
      <c r="N10" s="2">
        <v>9</v>
      </c>
      <c r="O10" s="2">
        <v>50.26548245743669</v>
      </c>
      <c r="P10" s="11">
        <f t="shared" si="5"/>
        <v>1.7904931097838226</v>
      </c>
      <c r="Q10" s="2">
        <f t="shared" si="6"/>
        <v>11.90677918006242</v>
      </c>
      <c r="R10" s="2">
        <f t="shared" si="7"/>
        <v>1.8230646440328588</v>
      </c>
      <c r="S10" s="2">
        <f t="shared" si="8"/>
        <v>12.123379882818512</v>
      </c>
      <c r="T10" s="2">
        <f t="shared" si="9"/>
        <v>0.21660070275609122</v>
      </c>
      <c r="V10" s="34" t="s">
        <v>27</v>
      </c>
      <c r="W10" s="36"/>
      <c r="X10" s="6">
        <v>50</v>
      </c>
    </row>
    <row r="11" spans="1:24" x14ac:dyDescent="0.25">
      <c r="A11" s="30">
        <f t="shared" si="10"/>
        <v>0.44985380116959067</v>
      </c>
      <c r="B11" s="2">
        <f t="shared" si="11"/>
        <v>6</v>
      </c>
      <c r="C11" s="4">
        <f t="shared" si="12"/>
        <v>7.33</v>
      </c>
      <c r="D11" s="2">
        <v>12</v>
      </c>
      <c r="E11" s="2">
        <v>50.26548245743669</v>
      </c>
      <c r="F11" s="11">
        <f t="shared" si="0"/>
        <v>2.3873241463784298</v>
      </c>
      <c r="G11" s="2">
        <f t="shared" si="1"/>
        <v>17.499085992953891</v>
      </c>
      <c r="H11" s="2">
        <f t="shared" si="2"/>
        <v>1.7930312927132255</v>
      </c>
      <c r="I11" s="2">
        <f t="shared" si="3"/>
        <v>13.142919375587942</v>
      </c>
      <c r="J11" s="2">
        <f t="shared" si="4"/>
        <v>4.3561666173659486</v>
      </c>
      <c r="K11" s="15">
        <f t="shared" si="13"/>
        <v>0.4290204678362573</v>
      </c>
      <c r="L11" s="2">
        <f t="shared" si="14"/>
        <v>6</v>
      </c>
      <c r="M11" s="2">
        <f t="shared" si="15"/>
        <v>7.15</v>
      </c>
      <c r="N11" s="2">
        <v>11</v>
      </c>
      <c r="O11" s="2">
        <v>50.26548245743669</v>
      </c>
      <c r="P11" s="11">
        <f t="shared" si="5"/>
        <v>2.1883804675135607</v>
      </c>
      <c r="Q11" s="2">
        <f t="shared" si="6"/>
        <v>15.646920342721961</v>
      </c>
      <c r="R11" s="2">
        <f t="shared" si="7"/>
        <v>1.8230646440328588</v>
      </c>
      <c r="S11" s="2">
        <f t="shared" si="8"/>
        <v>13.034912204834942</v>
      </c>
      <c r="T11" s="2">
        <f t="shared" si="9"/>
        <v>2.6120081378870186</v>
      </c>
      <c r="V11" s="34" t="s">
        <v>28</v>
      </c>
      <c r="W11" s="36"/>
      <c r="X11" s="6">
        <v>50</v>
      </c>
    </row>
    <row r="12" spans="1:24" x14ac:dyDescent="0.25">
      <c r="A12" s="30">
        <f t="shared" si="10"/>
        <v>0.44996345029239765</v>
      </c>
      <c r="B12" s="2">
        <f t="shared" si="11"/>
        <v>7</v>
      </c>
      <c r="C12" s="4">
        <f t="shared" si="12"/>
        <v>7.83</v>
      </c>
      <c r="D12" s="23">
        <v>14.5</v>
      </c>
      <c r="E12" s="2">
        <v>50.26548245743669</v>
      </c>
      <c r="F12" s="11">
        <f t="shared" si="0"/>
        <v>2.8846833435406034</v>
      </c>
      <c r="G12" s="2">
        <f t="shared" si="1"/>
        <v>22.587070579922926</v>
      </c>
      <c r="H12" s="2">
        <f t="shared" si="2"/>
        <v>1.7930312927132255</v>
      </c>
      <c r="I12" s="2">
        <f t="shared" si="3"/>
        <v>14.039435021944556</v>
      </c>
      <c r="J12" s="2">
        <f t="shared" si="4"/>
        <v>8.5476355579783707</v>
      </c>
      <c r="K12" s="15">
        <f t="shared" si="13"/>
        <v>0.42913011695906433</v>
      </c>
      <c r="L12" s="2">
        <f t="shared" si="14"/>
        <v>7</v>
      </c>
      <c r="M12" s="2">
        <f t="shared" si="15"/>
        <v>7.65</v>
      </c>
      <c r="N12" s="23">
        <v>14</v>
      </c>
      <c r="O12" s="2">
        <v>50.26548245743669</v>
      </c>
      <c r="P12" s="11">
        <f t="shared" si="5"/>
        <v>2.7852115041081689</v>
      </c>
      <c r="Q12" s="2">
        <f t="shared" si="6"/>
        <v>21.306868006427493</v>
      </c>
      <c r="R12" s="2">
        <f t="shared" si="7"/>
        <v>1.8230646440328588</v>
      </c>
      <c r="S12" s="2">
        <f t="shared" si="8"/>
        <v>13.946444526851371</v>
      </c>
      <c r="T12" s="2">
        <f t="shared" si="9"/>
        <v>7.3604234795761219</v>
      </c>
      <c r="V12" s="34" t="s">
        <v>29</v>
      </c>
      <c r="W12" s="36"/>
      <c r="X12" s="6">
        <v>50</v>
      </c>
    </row>
    <row r="13" spans="1:24" x14ac:dyDescent="0.25">
      <c r="A13" s="30">
        <f t="shared" si="10"/>
        <v>0.45007309941520468</v>
      </c>
      <c r="B13" s="2">
        <f t="shared" si="11"/>
        <v>8</v>
      </c>
      <c r="C13" s="4">
        <f t="shared" si="12"/>
        <v>8.33</v>
      </c>
      <c r="D13" s="2">
        <v>13.5</v>
      </c>
      <c r="E13" s="2">
        <v>50.26548245743669</v>
      </c>
      <c r="F13" s="11">
        <f t="shared" si="0"/>
        <v>2.6857396646757339</v>
      </c>
      <c r="G13" s="2">
        <f t="shared" si="1"/>
        <v>22.372211406748864</v>
      </c>
      <c r="H13" s="2">
        <f t="shared" si="2"/>
        <v>1.7930312927132255</v>
      </c>
      <c r="I13" s="2">
        <f t="shared" si="3"/>
        <v>14.935950668301169</v>
      </c>
      <c r="J13" s="2">
        <f t="shared" si="4"/>
        <v>7.4362607384476949</v>
      </c>
      <c r="K13" s="15">
        <f t="shared" si="13"/>
        <v>0.42923976608187131</v>
      </c>
      <c r="L13" s="2">
        <f t="shared" si="14"/>
        <v>8</v>
      </c>
      <c r="M13" s="2">
        <f t="shared" si="15"/>
        <v>8.15</v>
      </c>
      <c r="N13" s="2">
        <v>15</v>
      </c>
      <c r="O13" s="2">
        <v>50.26548245743669</v>
      </c>
      <c r="P13" s="11">
        <f t="shared" si="5"/>
        <v>2.9841551829730379</v>
      </c>
      <c r="Q13" s="2">
        <f t="shared" si="6"/>
        <v>24.32086474123026</v>
      </c>
      <c r="R13" s="2">
        <f t="shared" si="7"/>
        <v>1.8230646440328588</v>
      </c>
      <c r="S13" s="2">
        <f t="shared" si="8"/>
        <v>14.8579768488678</v>
      </c>
      <c r="T13" s="2">
        <f t="shared" si="9"/>
        <v>9.4628878923624598</v>
      </c>
      <c r="V13" s="34" t="s">
        <v>30</v>
      </c>
      <c r="W13" s="36"/>
      <c r="X13" s="16">
        <v>0.47013888888888888</v>
      </c>
    </row>
    <row r="14" spans="1:24" x14ac:dyDescent="0.25">
      <c r="A14" s="30">
        <f t="shared" si="10"/>
        <v>0.45018274853801171</v>
      </c>
      <c r="B14" s="2">
        <f t="shared" si="11"/>
        <v>9</v>
      </c>
      <c r="C14" s="4">
        <f t="shared" si="12"/>
        <v>8.83</v>
      </c>
      <c r="D14" s="2">
        <v>14</v>
      </c>
      <c r="E14" s="2">
        <v>50.26548245743669</v>
      </c>
      <c r="F14" s="11">
        <f t="shared" si="0"/>
        <v>2.7852115041081689</v>
      </c>
      <c r="G14" s="2">
        <f t="shared" si="1"/>
        <v>24.59341758127513</v>
      </c>
      <c r="H14" s="2">
        <f t="shared" si="2"/>
        <v>1.7930312927132255</v>
      </c>
      <c r="I14" s="2">
        <f t="shared" si="3"/>
        <v>15.832466314657781</v>
      </c>
      <c r="J14" s="2">
        <f t="shared" si="4"/>
        <v>8.760951266617349</v>
      </c>
      <c r="K14" s="15">
        <f t="shared" si="13"/>
        <v>0.42934941520467834</v>
      </c>
      <c r="L14" s="2">
        <f t="shared" si="14"/>
        <v>9</v>
      </c>
      <c r="M14" s="2">
        <f t="shared" si="15"/>
        <v>8.65</v>
      </c>
      <c r="N14" s="2">
        <v>14.5</v>
      </c>
      <c r="O14" s="2">
        <v>50.26548245743669</v>
      </c>
      <c r="P14" s="11">
        <f t="shared" si="5"/>
        <v>2.8846833435406034</v>
      </c>
      <c r="Q14" s="2">
        <f t="shared" si="6"/>
        <v>24.952510921626221</v>
      </c>
      <c r="R14" s="2">
        <f t="shared" si="7"/>
        <v>1.8230646440328588</v>
      </c>
      <c r="S14" s="2">
        <f t="shared" si="8"/>
        <v>15.769509170884229</v>
      </c>
      <c r="T14" s="2">
        <f t="shared" si="9"/>
        <v>9.1830017507419921</v>
      </c>
      <c r="V14" s="34" t="s">
        <v>31</v>
      </c>
      <c r="W14" s="36"/>
      <c r="X14" s="6">
        <v>44</v>
      </c>
    </row>
    <row r="15" spans="1:24" x14ac:dyDescent="0.25">
      <c r="A15" s="30">
        <f t="shared" si="10"/>
        <v>0.45029239766081874</v>
      </c>
      <c r="B15" s="2">
        <f t="shared" si="11"/>
        <v>10</v>
      </c>
      <c r="C15" s="4">
        <f t="shared" si="12"/>
        <v>9.33</v>
      </c>
      <c r="D15" s="2">
        <v>17</v>
      </c>
      <c r="E15" s="2">
        <v>50.26548245743669</v>
      </c>
      <c r="F15" s="11">
        <f t="shared" si="0"/>
        <v>3.3820425407027761</v>
      </c>
      <c r="G15" s="2">
        <f t="shared" si="1"/>
        <v>31.554456904756901</v>
      </c>
      <c r="H15" s="2">
        <f t="shared" si="2"/>
        <v>1.7930312927132255</v>
      </c>
      <c r="I15" s="2">
        <f t="shared" si="3"/>
        <v>16.728981961014394</v>
      </c>
      <c r="J15" s="2">
        <f t="shared" si="4"/>
        <v>14.825474943742506</v>
      </c>
      <c r="K15" s="15">
        <f t="shared" si="13"/>
        <v>0.42945906432748537</v>
      </c>
      <c r="L15" s="2">
        <f t="shared" si="14"/>
        <v>10</v>
      </c>
      <c r="M15" s="2">
        <f t="shared" si="15"/>
        <v>9.15</v>
      </c>
      <c r="N15" s="2">
        <v>17</v>
      </c>
      <c r="O15" s="2">
        <v>50.26548245743669</v>
      </c>
      <c r="P15" s="11">
        <f t="shared" si="5"/>
        <v>3.3820425407027761</v>
      </c>
      <c r="Q15" s="2">
        <f t="shared" si="6"/>
        <v>30.945689247430401</v>
      </c>
      <c r="R15" s="2">
        <f t="shared" si="7"/>
        <v>1.8230646440328588</v>
      </c>
      <c r="S15" s="2">
        <f t="shared" si="8"/>
        <v>16.681041492900658</v>
      </c>
      <c r="T15" s="2">
        <f t="shared" si="9"/>
        <v>14.264647754529744</v>
      </c>
      <c r="V15" s="34" t="s">
        <v>32</v>
      </c>
      <c r="W15" s="36"/>
      <c r="X15" s="6">
        <v>44</v>
      </c>
    </row>
    <row r="16" spans="1:24" x14ac:dyDescent="0.25">
      <c r="A16" s="30">
        <f t="shared" si="10"/>
        <v>0.45040204678362572</v>
      </c>
      <c r="B16" s="2">
        <f t="shared" si="11"/>
        <v>11</v>
      </c>
      <c r="C16" s="4">
        <f t="shared" si="12"/>
        <v>9.83</v>
      </c>
      <c r="D16" s="2">
        <v>18</v>
      </c>
      <c r="E16" s="2">
        <v>50.26548245743669</v>
      </c>
      <c r="F16" s="11">
        <f t="shared" si="0"/>
        <v>3.5809862195676452</v>
      </c>
      <c r="G16" s="2">
        <f t="shared" si="1"/>
        <v>35.201094538349949</v>
      </c>
      <c r="H16" s="2">
        <f t="shared" si="2"/>
        <v>1.7930312927132255</v>
      </c>
      <c r="I16" s="2">
        <f t="shared" si="3"/>
        <v>17.625497607371006</v>
      </c>
      <c r="J16" s="2">
        <f t="shared" si="4"/>
        <v>17.575596930978943</v>
      </c>
      <c r="K16" s="15">
        <f t="shared" si="13"/>
        <v>0.42956871345029241</v>
      </c>
      <c r="L16" s="2">
        <f t="shared" si="14"/>
        <v>11</v>
      </c>
      <c r="M16" s="2">
        <f t="shared" si="15"/>
        <v>9.65</v>
      </c>
      <c r="N16" s="2">
        <v>18.5</v>
      </c>
      <c r="O16" s="2">
        <v>50.26548245743669</v>
      </c>
      <c r="P16" s="11">
        <f t="shared" si="5"/>
        <v>3.6804580590000797</v>
      </c>
      <c r="Q16" s="2">
        <f t="shared" si="6"/>
        <v>35.516420269350768</v>
      </c>
      <c r="R16" s="2">
        <f t="shared" si="7"/>
        <v>1.8230646440328588</v>
      </c>
      <c r="S16" s="2">
        <f t="shared" si="8"/>
        <v>17.592573814917088</v>
      </c>
      <c r="T16" s="2">
        <f t="shared" si="9"/>
        <v>17.923846454433679</v>
      </c>
      <c r="V16" s="34" t="s">
        <v>33</v>
      </c>
      <c r="W16" s="36"/>
      <c r="X16" s="6">
        <v>43</v>
      </c>
    </row>
    <row r="17" spans="1:24" x14ac:dyDescent="0.25">
      <c r="A17" s="30">
        <f t="shared" si="10"/>
        <v>0.45051169590643275</v>
      </c>
      <c r="B17" s="2">
        <f t="shared" si="11"/>
        <v>12</v>
      </c>
      <c r="C17" s="4">
        <f t="shared" si="12"/>
        <v>10.33</v>
      </c>
      <c r="D17" s="2">
        <v>20</v>
      </c>
      <c r="E17" s="2">
        <v>50.26548245743669</v>
      </c>
      <c r="F17" s="11">
        <f t="shared" si="0"/>
        <v>3.9788735772973838</v>
      </c>
      <c r="G17" s="2">
        <f t="shared" si="1"/>
        <v>41.101764053481972</v>
      </c>
      <c r="H17" s="2">
        <f t="shared" si="2"/>
        <v>1.7930312927132255</v>
      </c>
      <c r="I17" s="2">
        <f t="shared" si="3"/>
        <v>18.522013253727618</v>
      </c>
      <c r="J17" s="2">
        <f t="shared" si="4"/>
        <v>22.579750799754354</v>
      </c>
      <c r="K17" s="15">
        <f t="shared" si="13"/>
        <v>0.42967836257309938</v>
      </c>
      <c r="L17" s="2">
        <f t="shared" si="14"/>
        <v>12</v>
      </c>
      <c r="M17" s="2">
        <f t="shared" si="15"/>
        <v>10.15</v>
      </c>
      <c r="N17" s="2">
        <v>21.5</v>
      </c>
      <c r="O17" s="2">
        <v>50.26548245743669</v>
      </c>
      <c r="P17" s="11">
        <f t="shared" si="5"/>
        <v>4.2772890955946874</v>
      </c>
      <c r="Q17" s="2">
        <f t="shared" si="6"/>
        <v>43.414484320286078</v>
      </c>
      <c r="R17" s="2">
        <f t="shared" si="7"/>
        <v>1.8230646440328588</v>
      </c>
      <c r="S17" s="2">
        <f t="shared" si="8"/>
        <v>18.504106136933519</v>
      </c>
      <c r="T17" s="2">
        <f t="shared" si="9"/>
        <v>24.910378183352559</v>
      </c>
      <c r="V17" s="38" t="s">
        <v>34</v>
      </c>
      <c r="W17" s="36"/>
      <c r="X17" s="17">
        <f>((X10-X14)+(X11-X15)+(X12-X16))/3</f>
        <v>6.333333333333333</v>
      </c>
    </row>
    <row r="18" spans="1:24" x14ac:dyDescent="0.25">
      <c r="A18" s="30">
        <f t="shared" si="10"/>
        <v>0.45062134502923978</v>
      </c>
      <c r="B18" s="2">
        <f t="shared" si="11"/>
        <v>13</v>
      </c>
      <c r="C18" s="4">
        <f t="shared" si="12"/>
        <v>10.83</v>
      </c>
      <c r="D18" s="2">
        <v>17.5</v>
      </c>
      <c r="E18" s="2">
        <v>50.26548245743669</v>
      </c>
      <c r="F18" s="11">
        <f t="shared" si="0"/>
        <v>3.4815143801352106</v>
      </c>
      <c r="G18" s="2">
        <f t="shared" si="1"/>
        <v>37.704800736864328</v>
      </c>
      <c r="H18" s="2">
        <f t="shared" si="2"/>
        <v>1.7930312927132255</v>
      </c>
      <c r="I18" s="2">
        <f t="shared" si="3"/>
        <v>19.418528900084233</v>
      </c>
      <c r="J18" s="2">
        <f t="shared" si="4"/>
        <v>18.286271836780095</v>
      </c>
      <c r="K18" s="15">
        <f t="shared" si="13"/>
        <v>0.42978801169590641</v>
      </c>
      <c r="L18" s="2">
        <f t="shared" si="14"/>
        <v>13</v>
      </c>
      <c r="M18" s="2">
        <f t="shared" si="15"/>
        <v>10.65</v>
      </c>
      <c r="N18" s="2">
        <v>20</v>
      </c>
      <c r="O18" s="2">
        <v>50.26548245743669</v>
      </c>
      <c r="P18" s="11">
        <f t="shared" si="5"/>
        <v>3.9788735772973838</v>
      </c>
      <c r="Q18" s="2">
        <f t="shared" si="6"/>
        <v>42.375003598217141</v>
      </c>
      <c r="R18" s="2">
        <f t="shared" si="7"/>
        <v>1.8230646440328588</v>
      </c>
      <c r="S18" s="2">
        <f t="shared" si="8"/>
        <v>19.415638458949946</v>
      </c>
      <c r="T18" s="2">
        <f t="shared" si="9"/>
        <v>22.959365139267195</v>
      </c>
      <c r="V18" s="38" t="s">
        <v>35</v>
      </c>
      <c r="W18" s="36"/>
      <c r="X18" s="18" t="s">
        <v>41</v>
      </c>
    </row>
    <row r="19" spans="1:24" x14ac:dyDescent="0.25">
      <c r="A19" s="30">
        <f t="shared" si="10"/>
        <v>0.45073099415204682</v>
      </c>
      <c r="B19" s="2">
        <f t="shared" si="11"/>
        <v>14</v>
      </c>
      <c r="C19" s="4">
        <f t="shared" si="12"/>
        <v>11.33</v>
      </c>
      <c r="D19" s="2">
        <v>17</v>
      </c>
      <c r="E19" s="2">
        <v>50.26548245743669</v>
      </c>
      <c r="F19" s="11">
        <f t="shared" si="0"/>
        <v>3.3820425407027761</v>
      </c>
      <c r="G19" s="2">
        <f t="shared" si="1"/>
        <v>38.318541986162451</v>
      </c>
      <c r="H19" s="2">
        <f t="shared" si="2"/>
        <v>1.7930312927132255</v>
      </c>
      <c r="I19" s="2">
        <f t="shared" si="3"/>
        <v>20.315044546440845</v>
      </c>
      <c r="J19" s="2">
        <f t="shared" si="4"/>
        <v>18.003497439721606</v>
      </c>
      <c r="K19" s="15">
        <f t="shared" si="13"/>
        <v>0.42989766081871345</v>
      </c>
      <c r="L19" s="2">
        <f t="shared" si="14"/>
        <v>14</v>
      </c>
      <c r="M19" s="2">
        <f t="shared" si="15"/>
        <v>11.15</v>
      </c>
      <c r="N19" s="2">
        <v>18.5</v>
      </c>
      <c r="O19" s="2">
        <v>50.26548245743669</v>
      </c>
      <c r="P19" s="11">
        <f t="shared" si="5"/>
        <v>3.6804580590000797</v>
      </c>
      <c r="Q19" s="2">
        <f t="shared" si="6"/>
        <v>41.037107357850893</v>
      </c>
      <c r="R19" s="2">
        <f t="shared" si="7"/>
        <v>1.8230646440328588</v>
      </c>
      <c r="S19" s="2">
        <f t="shared" si="8"/>
        <v>20.327170780966377</v>
      </c>
      <c r="T19" s="2">
        <f t="shared" si="9"/>
        <v>20.709936576884516</v>
      </c>
      <c r="V19" s="39" t="s">
        <v>37</v>
      </c>
      <c r="W19" s="35"/>
      <c r="X19" s="36"/>
    </row>
    <row r="20" spans="1:24" x14ac:dyDescent="0.25">
      <c r="A20" s="30">
        <f t="shared" si="10"/>
        <v>0.45084064327485379</v>
      </c>
      <c r="B20" s="2">
        <f t="shared" si="11"/>
        <v>15</v>
      </c>
      <c r="C20" s="4">
        <f t="shared" si="12"/>
        <v>11.83</v>
      </c>
      <c r="D20" s="2">
        <v>18</v>
      </c>
      <c r="E20" s="2">
        <v>50.26548245743669</v>
      </c>
      <c r="F20" s="11">
        <f t="shared" si="0"/>
        <v>3.5809862195676452</v>
      </c>
      <c r="G20" s="2">
        <f t="shared" si="1"/>
        <v>42.363066977485239</v>
      </c>
      <c r="H20" s="2">
        <f t="shared" si="2"/>
        <v>1.7930312927132255</v>
      </c>
      <c r="I20" s="2">
        <f t="shared" si="3"/>
        <v>21.211560192797457</v>
      </c>
      <c r="J20" s="2">
        <f t="shared" si="4"/>
        <v>21.151506784687783</v>
      </c>
      <c r="K20" s="15">
        <f t="shared" si="13"/>
        <v>0.43000730994152048</v>
      </c>
      <c r="L20" s="2">
        <f t="shared" si="14"/>
        <v>15</v>
      </c>
      <c r="M20" s="2">
        <f t="shared" si="15"/>
        <v>11.65</v>
      </c>
      <c r="N20" s="2">
        <v>19.5</v>
      </c>
      <c r="O20" s="2">
        <v>50.26548245743669</v>
      </c>
      <c r="P20" s="11">
        <f t="shared" si="5"/>
        <v>3.8794017378649488</v>
      </c>
      <c r="Q20" s="2">
        <f t="shared" si="6"/>
        <v>45.195030246126656</v>
      </c>
      <c r="R20" s="2">
        <f t="shared" si="7"/>
        <v>1.8230646440328588</v>
      </c>
      <c r="S20" s="2">
        <f t="shared" si="8"/>
        <v>21.238703102982807</v>
      </c>
      <c r="T20" s="2">
        <f t="shared" si="9"/>
        <v>23.956327143143849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30">
        <f t="shared" si="10"/>
        <v>0.45095029239766082</v>
      </c>
      <c r="B21" s="2">
        <f t="shared" si="11"/>
        <v>16</v>
      </c>
      <c r="C21" s="4">
        <f t="shared" si="12"/>
        <v>12.33</v>
      </c>
      <c r="D21" s="2">
        <v>18</v>
      </c>
      <c r="E21" s="2">
        <v>50.26548245743669</v>
      </c>
      <c r="F21" s="11">
        <f t="shared" si="0"/>
        <v>3.5809862195676452</v>
      </c>
      <c r="G21" s="2">
        <f t="shared" si="1"/>
        <v>44.153560087269064</v>
      </c>
      <c r="H21" s="2">
        <f t="shared" si="2"/>
        <v>1.7930312927132255</v>
      </c>
      <c r="I21" s="2">
        <f t="shared" si="3"/>
        <v>22.108075839154072</v>
      </c>
      <c r="J21" s="2">
        <f t="shared" si="4"/>
        <v>22.045484248114992</v>
      </c>
      <c r="K21" s="15">
        <f t="shared" si="13"/>
        <v>0.43011695906432745</v>
      </c>
      <c r="L21" s="2">
        <f t="shared" si="14"/>
        <v>16</v>
      </c>
      <c r="M21" s="2">
        <f t="shared" si="15"/>
        <v>12.15</v>
      </c>
      <c r="N21" s="2">
        <v>19.5</v>
      </c>
      <c r="O21" s="2">
        <v>50.26548245743669</v>
      </c>
      <c r="P21" s="11">
        <f t="shared" si="5"/>
        <v>3.8794017378649488</v>
      </c>
      <c r="Q21" s="2">
        <f t="shared" si="6"/>
        <v>47.134731115059132</v>
      </c>
      <c r="R21" s="2">
        <f t="shared" si="7"/>
        <v>1.8230646440328588</v>
      </c>
      <c r="S21" s="2">
        <f t="shared" si="8"/>
        <v>22.150235424999234</v>
      </c>
      <c r="T21" s="2">
        <f t="shared" si="9"/>
        <v>24.984495690059898</v>
      </c>
      <c r="V21" s="39" t="s">
        <v>39</v>
      </c>
      <c r="W21" s="36"/>
      <c r="X21" s="20">
        <f>(J2+T2)/2</f>
        <v>76.200465117679073</v>
      </c>
    </row>
    <row r="22" spans="1:24" x14ac:dyDescent="0.25">
      <c r="A22" s="30">
        <f t="shared" si="10"/>
        <v>0.45105994152046786</v>
      </c>
      <c r="B22" s="2">
        <f t="shared" si="11"/>
        <v>17</v>
      </c>
      <c r="C22" s="4">
        <f t="shared" si="12"/>
        <v>12.83</v>
      </c>
      <c r="D22" s="2">
        <v>16</v>
      </c>
      <c r="E22" s="2">
        <v>50.26548245743669</v>
      </c>
      <c r="F22" s="11">
        <f t="shared" si="0"/>
        <v>3.183098861837907</v>
      </c>
      <c r="G22" s="2">
        <f t="shared" si="1"/>
        <v>40.839158397380345</v>
      </c>
      <c r="H22" s="2">
        <f t="shared" si="2"/>
        <v>1.7930312927132255</v>
      </c>
      <c r="I22" s="2">
        <f t="shared" si="3"/>
        <v>23.004591485510684</v>
      </c>
      <c r="J22" s="2">
        <f t="shared" si="4"/>
        <v>17.834566911869661</v>
      </c>
      <c r="K22" s="15">
        <f t="shared" si="13"/>
        <v>0.43022660818713448</v>
      </c>
      <c r="L22" s="2">
        <f t="shared" si="14"/>
        <v>17</v>
      </c>
      <c r="M22" s="2">
        <f t="shared" si="15"/>
        <v>12.65</v>
      </c>
      <c r="N22" s="2">
        <v>16</v>
      </c>
      <c r="O22" s="2">
        <v>50.26548245743669</v>
      </c>
      <c r="P22" s="11">
        <f t="shared" si="5"/>
        <v>3.183098861837907</v>
      </c>
      <c r="Q22" s="2">
        <f t="shared" si="6"/>
        <v>40.266200602249526</v>
      </c>
      <c r="R22" s="2">
        <f t="shared" si="7"/>
        <v>1.8230646440328588</v>
      </c>
      <c r="S22" s="2">
        <f t="shared" si="8"/>
        <v>23.061767747015665</v>
      </c>
      <c r="T22" s="2">
        <f t="shared" si="9"/>
        <v>17.204432855233861</v>
      </c>
      <c r="V22" s="27"/>
      <c r="W22" s="27"/>
      <c r="X22" s="28"/>
    </row>
    <row r="23" spans="1:24" x14ac:dyDescent="0.25">
      <c r="A23" s="30">
        <f t="shared" si="10"/>
        <v>0.45116959064327489</v>
      </c>
      <c r="B23" s="2">
        <f t="shared" si="11"/>
        <v>18</v>
      </c>
      <c r="C23" s="4">
        <f t="shared" si="12"/>
        <v>13.33</v>
      </c>
      <c r="D23" s="2">
        <v>15</v>
      </c>
      <c r="E23" s="2">
        <v>50.26548245743669</v>
      </c>
      <c r="F23" s="11">
        <f t="shared" si="0"/>
        <v>2.9841551829730379</v>
      </c>
      <c r="G23" s="2">
        <f t="shared" si="1"/>
        <v>39.778788589030597</v>
      </c>
      <c r="H23" s="2">
        <f t="shared" si="2"/>
        <v>1.7930312927132255</v>
      </c>
      <c r="I23" s="2">
        <f t="shared" si="3"/>
        <v>23.901107131867295</v>
      </c>
      <c r="J23" s="2">
        <f t="shared" si="4"/>
        <v>15.877681457163302</v>
      </c>
      <c r="K23" s="15">
        <f t="shared" si="13"/>
        <v>0.43033625730994152</v>
      </c>
      <c r="L23" s="2">
        <f t="shared" si="14"/>
        <v>18</v>
      </c>
      <c r="M23" s="2">
        <f t="shared" si="15"/>
        <v>13.15</v>
      </c>
      <c r="N23" s="2">
        <v>17.5</v>
      </c>
      <c r="O23" s="2">
        <v>50.26548245743669</v>
      </c>
      <c r="P23" s="11">
        <f t="shared" si="5"/>
        <v>3.4815143801352106</v>
      </c>
      <c r="Q23" s="2">
        <f t="shared" si="6"/>
        <v>45.781914098778024</v>
      </c>
      <c r="R23" s="2">
        <f t="shared" si="7"/>
        <v>1.8230646440328588</v>
      </c>
      <c r="S23" s="2">
        <f t="shared" si="8"/>
        <v>23.973300069032096</v>
      </c>
      <c r="T23" s="2">
        <f t="shared" si="9"/>
        <v>21.808614029745929</v>
      </c>
      <c r="V23" s="34" t="s">
        <v>45</v>
      </c>
      <c r="W23" s="35"/>
      <c r="X23" s="36"/>
    </row>
    <row r="24" spans="1:24" x14ac:dyDescent="0.25">
      <c r="A24" s="30">
        <f t="shared" si="10"/>
        <v>0.45127923976608186</v>
      </c>
      <c r="B24" s="2">
        <f t="shared" si="11"/>
        <v>19</v>
      </c>
      <c r="C24" s="4">
        <f t="shared" si="12"/>
        <v>13.83</v>
      </c>
      <c r="D24" s="2">
        <v>14</v>
      </c>
      <c r="E24" s="2">
        <v>50.26548245743669</v>
      </c>
      <c r="F24" s="11">
        <f t="shared" si="0"/>
        <v>2.7852115041081689</v>
      </c>
      <c r="G24" s="2">
        <f t="shared" si="1"/>
        <v>38.519475101815978</v>
      </c>
      <c r="H24" s="2">
        <f t="shared" si="2"/>
        <v>1.7930312927132255</v>
      </c>
      <c r="I24" s="2">
        <f t="shared" si="3"/>
        <v>24.797622778223907</v>
      </c>
      <c r="J24" s="2">
        <f t="shared" si="4"/>
        <v>13.721852323592071</v>
      </c>
      <c r="K24" s="15">
        <f t="shared" si="13"/>
        <v>0.43044590643274855</v>
      </c>
      <c r="L24" s="2">
        <f t="shared" si="14"/>
        <v>19</v>
      </c>
      <c r="M24" s="2">
        <f t="shared" si="15"/>
        <v>13.65</v>
      </c>
      <c r="N24" s="2">
        <v>14</v>
      </c>
      <c r="O24" s="2">
        <v>50.26548245743669</v>
      </c>
      <c r="P24" s="11">
        <f t="shared" si="5"/>
        <v>2.7852115041081689</v>
      </c>
      <c r="Q24" s="2">
        <f t="shared" si="6"/>
        <v>38.018137031076506</v>
      </c>
      <c r="R24" s="2">
        <f t="shared" si="7"/>
        <v>1.8230646440328588</v>
      </c>
      <c r="S24" s="2">
        <f t="shared" si="8"/>
        <v>24.884832391048523</v>
      </c>
      <c r="T24" s="2">
        <f t="shared" si="9"/>
        <v>13.133304640027983</v>
      </c>
      <c r="V24" s="49" t="s">
        <v>46</v>
      </c>
      <c r="W24" s="35"/>
      <c r="X24" s="36"/>
    </row>
    <row r="25" spans="1:24" x14ac:dyDescent="0.25">
      <c r="A25" s="30">
        <f t="shared" si="10"/>
        <v>0.4513888888888889</v>
      </c>
      <c r="B25" s="2">
        <f t="shared" si="11"/>
        <v>20</v>
      </c>
      <c r="C25" s="4">
        <f t="shared" si="12"/>
        <v>14.33</v>
      </c>
      <c r="D25" s="2">
        <v>14.5</v>
      </c>
      <c r="E25" s="2">
        <v>50.26548245743669</v>
      </c>
      <c r="F25" s="11">
        <f t="shared" si="0"/>
        <v>2.8846833435406034</v>
      </c>
      <c r="G25" s="2">
        <f t="shared" si="1"/>
        <v>41.337512312936845</v>
      </c>
      <c r="H25" s="2">
        <f t="shared" si="2"/>
        <v>1.7930312927132255</v>
      </c>
      <c r="I25" s="2">
        <f t="shared" si="3"/>
        <v>25.694138424580522</v>
      </c>
      <c r="J25" s="2">
        <f t="shared" si="4"/>
        <v>15.643373888356322</v>
      </c>
      <c r="K25" s="15">
        <f t="shared" si="13"/>
        <v>0.43055555555555558</v>
      </c>
      <c r="L25" s="2">
        <f t="shared" si="14"/>
        <v>20</v>
      </c>
      <c r="M25" s="2">
        <f t="shared" si="15"/>
        <v>14.15</v>
      </c>
      <c r="N25" s="2">
        <v>24</v>
      </c>
      <c r="O25" s="2">
        <v>50.26548245743669</v>
      </c>
      <c r="P25" s="11">
        <f t="shared" si="5"/>
        <v>4.7746482927568596</v>
      </c>
      <c r="Q25" s="2">
        <f t="shared" si="6"/>
        <v>67.561273342509566</v>
      </c>
      <c r="R25" s="2">
        <f t="shared" si="7"/>
        <v>1.8230646440328588</v>
      </c>
      <c r="S25" s="2">
        <f t="shared" si="8"/>
        <v>25.796364713064953</v>
      </c>
      <c r="T25" s="2">
        <f t="shared" si="9"/>
        <v>41.764908629444612</v>
      </c>
      <c r="V25" s="34" t="s">
        <v>47</v>
      </c>
      <c r="W25" s="35"/>
      <c r="X25" s="36"/>
    </row>
    <row r="26" spans="1:24" x14ac:dyDescent="0.25">
      <c r="A26" s="30">
        <f t="shared" si="10"/>
        <v>0.45149853801169593</v>
      </c>
      <c r="B26" s="2">
        <f t="shared" si="11"/>
        <v>21</v>
      </c>
      <c r="C26" s="4">
        <f t="shared" si="12"/>
        <v>14.83</v>
      </c>
      <c r="D26" s="2">
        <v>14</v>
      </c>
      <c r="E26" s="2">
        <v>50.26548245743669</v>
      </c>
      <c r="F26" s="11">
        <f t="shared" si="0"/>
        <v>2.7852115041081689</v>
      </c>
      <c r="G26" s="2">
        <f t="shared" si="1"/>
        <v>41.304686605924147</v>
      </c>
      <c r="H26" s="2">
        <f t="shared" si="2"/>
        <v>1.7930312927132255</v>
      </c>
      <c r="I26" s="2">
        <f t="shared" si="3"/>
        <v>26.590654070937134</v>
      </c>
      <c r="J26" s="2">
        <f t="shared" si="4"/>
        <v>14.714032534987012</v>
      </c>
      <c r="K26" s="15">
        <f t="shared" si="13"/>
        <v>0.43066520467836256</v>
      </c>
      <c r="L26" s="2">
        <f t="shared" si="14"/>
        <v>21</v>
      </c>
      <c r="M26" s="2">
        <f t="shared" si="15"/>
        <v>14.65</v>
      </c>
      <c r="N26" s="2">
        <v>13.5</v>
      </c>
      <c r="O26" s="2">
        <v>50.26548245743669</v>
      </c>
      <c r="P26" s="11">
        <f t="shared" si="5"/>
        <v>2.6857396646757339</v>
      </c>
      <c r="Q26" s="2">
        <f t="shared" si="6"/>
        <v>39.346086087499501</v>
      </c>
      <c r="R26" s="2">
        <f t="shared" si="7"/>
        <v>1.8230646440328588</v>
      </c>
      <c r="S26" s="2">
        <f t="shared" si="8"/>
        <v>26.707897035081384</v>
      </c>
      <c r="T26" s="2">
        <f t="shared" si="9"/>
        <v>12.638189052418117</v>
      </c>
      <c r="V26" s="49" t="s">
        <v>48</v>
      </c>
      <c r="W26" s="35"/>
      <c r="X26" s="36"/>
    </row>
    <row r="27" spans="1:24" x14ac:dyDescent="0.25">
      <c r="A27" s="30">
        <f t="shared" si="10"/>
        <v>0.4516081871345029</v>
      </c>
      <c r="B27" s="2">
        <f t="shared" si="11"/>
        <v>22</v>
      </c>
      <c r="C27" s="4">
        <f t="shared" si="12"/>
        <v>15.33</v>
      </c>
      <c r="D27" s="2">
        <v>12.5</v>
      </c>
      <c r="E27" s="2">
        <v>50.26548245743669</v>
      </c>
      <c r="F27" s="11">
        <f t="shared" si="0"/>
        <v>2.4867959858108648</v>
      </c>
      <c r="G27" s="2">
        <f t="shared" si="1"/>
        <v>38.122582462480558</v>
      </c>
      <c r="H27" s="2">
        <f t="shared" si="2"/>
        <v>1.7930312927132255</v>
      </c>
      <c r="I27" s="2">
        <f t="shared" si="3"/>
        <v>27.487169717293746</v>
      </c>
      <c r="J27" s="2">
        <f t="shared" si="4"/>
        <v>10.635412745186812</v>
      </c>
      <c r="K27" s="15">
        <f t="shared" si="13"/>
        <v>0.43077485380116959</v>
      </c>
      <c r="L27" s="2">
        <f t="shared" si="14"/>
        <v>22</v>
      </c>
      <c r="M27" s="2">
        <f t="shared" si="15"/>
        <v>15.15</v>
      </c>
      <c r="N27" s="2">
        <v>14</v>
      </c>
      <c r="O27" s="2">
        <v>50.26548245743669</v>
      </c>
      <c r="P27" s="11">
        <f t="shared" si="5"/>
        <v>2.7852115041081689</v>
      </c>
      <c r="Q27" s="2">
        <f t="shared" si="6"/>
        <v>42.195954287238756</v>
      </c>
      <c r="R27" s="2">
        <f t="shared" si="7"/>
        <v>1.8230646440328588</v>
      </c>
      <c r="S27" s="2">
        <f t="shared" si="8"/>
        <v>27.619429357097811</v>
      </c>
      <c r="T27" s="2">
        <f t="shared" si="9"/>
        <v>14.576524930140945</v>
      </c>
      <c r="V27" s="29"/>
      <c r="W27" s="29"/>
      <c r="X27" s="29"/>
    </row>
    <row r="28" spans="1:24" x14ac:dyDescent="0.25">
      <c r="A28" s="30">
        <f t="shared" si="10"/>
        <v>0.45171783625730993</v>
      </c>
      <c r="B28" s="2">
        <f t="shared" si="11"/>
        <v>23</v>
      </c>
      <c r="C28" s="4">
        <f t="shared" si="12"/>
        <v>15.83</v>
      </c>
      <c r="D28" s="2">
        <v>11.5</v>
      </c>
      <c r="E28" s="2">
        <v>50.26548245743669</v>
      </c>
      <c r="F28" s="11">
        <f t="shared" si="0"/>
        <v>2.2878523069459957</v>
      </c>
      <c r="G28" s="2">
        <f t="shared" si="1"/>
        <v>36.216702018955111</v>
      </c>
      <c r="H28" s="2">
        <f t="shared" si="2"/>
        <v>1.7930312927132255</v>
      </c>
      <c r="I28" s="2">
        <f t="shared" si="3"/>
        <v>28.383685363650358</v>
      </c>
      <c r="J28" s="2">
        <f t="shared" si="4"/>
        <v>7.8330166553047533</v>
      </c>
      <c r="K28" s="15">
        <f t="shared" si="13"/>
        <v>0.43088450292397662</v>
      </c>
      <c r="L28" s="2">
        <f t="shared" si="14"/>
        <v>23</v>
      </c>
      <c r="M28" s="2">
        <f t="shared" si="15"/>
        <v>15.65</v>
      </c>
      <c r="N28" s="2">
        <v>12.5</v>
      </c>
      <c r="O28" s="2">
        <v>50.26548245743669</v>
      </c>
      <c r="P28" s="11">
        <f t="shared" si="5"/>
        <v>2.4867959858108648</v>
      </c>
      <c r="Q28" s="2">
        <f t="shared" si="6"/>
        <v>38.918357177940038</v>
      </c>
      <c r="R28" s="2">
        <f t="shared" si="7"/>
        <v>1.8230646440328588</v>
      </c>
      <c r="S28" s="2">
        <f t="shared" si="8"/>
        <v>28.530961679114242</v>
      </c>
      <c r="T28" s="2">
        <f t="shared" si="9"/>
        <v>10.387395498825796</v>
      </c>
      <c r="V28" s="24" t="s">
        <v>49</v>
      </c>
      <c r="W28" s="24" t="s">
        <v>50</v>
      </c>
      <c r="X28" s="29"/>
    </row>
    <row r="29" spans="1:24" x14ac:dyDescent="0.25">
      <c r="A29" s="30">
        <f t="shared" si="10"/>
        <v>0.45182748538011697</v>
      </c>
      <c r="B29" s="2">
        <f t="shared" si="11"/>
        <v>24</v>
      </c>
      <c r="C29" s="4">
        <f t="shared" si="12"/>
        <v>16.329999999999998</v>
      </c>
      <c r="D29" s="2">
        <v>11</v>
      </c>
      <c r="E29" s="2">
        <v>50.26548245743669</v>
      </c>
      <c r="F29" s="11">
        <f t="shared" si="0"/>
        <v>2.1883804675135607</v>
      </c>
      <c r="G29" s="2">
        <f t="shared" si="1"/>
        <v>35.736253034496443</v>
      </c>
      <c r="H29" s="2">
        <f t="shared" si="2"/>
        <v>1.7930312927132255</v>
      </c>
      <c r="I29" s="2">
        <f t="shared" si="3"/>
        <v>29.280201010006969</v>
      </c>
      <c r="J29" s="2">
        <f t="shared" si="4"/>
        <v>6.4560520244894732</v>
      </c>
      <c r="K29" s="15">
        <f t="shared" si="13"/>
        <v>0.43099415204678365</v>
      </c>
      <c r="L29" s="2">
        <f t="shared" si="14"/>
        <v>24</v>
      </c>
      <c r="M29" s="2">
        <f t="shared" si="15"/>
        <v>16.149999999999999</v>
      </c>
      <c r="N29" s="2">
        <v>12.5</v>
      </c>
      <c r="O29" s="2">
        <v>50.26548245743669</v>
      </c>
      <c r="P29" s="11">
        <f t="shared" si="5"/>
        <v>2.4867959858108648</v>
      </c>
      <c r="Q29" s="2">
        <f t="shared" si="6"/>
        <v>40.16175517084546</v>
      </c>
      <c r="R29" s="2">
        <f t="shared" si="7"/>
        <v>1.8230646440328588</v>
      </c>
      <c r="S29" s="2">
        <f t="shared" si="8"/>
        <v>29.442494001130669</v>
      </c>
      <c r="T29" s="2">
        <f t="shared" si="9"/>
        <v>10.719261169714791</v>
      </c>
      <c r="V29" s="24">
        <f>MAX(D4:D160)</f>
        <v>20</v>
      </c>
      <c r="W29" s="24">
        <f>MAX(N4:N160)</f>
        <v>24</v>
      </c>
      <c r="X29" s="29"/>
    </row>
    <row r="30" spans="1:24" x14ac:dyDescent="0.25">
      <c r="A30" s="30">
        <f t="shared" si="10"/>
        <v>0.451937134502924</v>
      </c>
      <c r="B30" s="2">
        <f t="shared" si="11"/>
        <v>25</v>
      </c>
      <c r="C30" s="4">
        <f t="shared" si="12"/>
        <v>16.829999999999998</v>
      </c>
      <c r="D30" s="2">
        <v>12.5</v>
      </c>
      <c r="E30" s="2">
        <v>50.26548245743669</v>
      </c>
      <c r="F30" s="11">
        <f t="shared" si="0"/>
        <v>2.4867959858108648</v>
      </c>
      <c r="G30" s="2">
        <f t="shared" si="1"/>
        <v>41.852776441196852</v>
      </c>
      <c r="H30" s="2">
        <f t="shared" si="2"/>
        <v>1.7930312927132255</v>
      </c>
      <c r="I30" s="2">
        <f t="shared" si="3"/>
        <v>30.176716656363581</v>
      </c>
      <c r="J30" s="2">
        <f t="shared" si="4"/>
        <v>11.676059784833271</v>
      </c>
      <c r="K30" s="15">
        <f t="shared" si="13"/>
        <v>0.43110380116959063</v>
      </c>
      <c r="L30" s="2">
        <f t="shared" si="14"/>
        <v>25</v>
      </c>
      <c r="M30" s="2">
        <f t="shared" si="15"/>
        <v>16.649999999999999</v>
      </c>
      <c r="N30" s="2">
        <v>13.5</v>
      </c>
      <c r="O30" s="2">
        <v>50.26548245743669</v>
      </c>
      <c r="P30" s="11">
        <f t="shared" si="5"/>
        <v>2.6857396646757339</v>
      </c>
      <c r="Q30" s="2">
        <f t="shared" si="6"/>
        <v>44.717565416850967</v>
      </c>
      <c r="R30" s="2">
        <f t="shared" si="7"/>
        <v>1.8230646440328588</v>
      </c>
      <c r="S30" s="2">
        <f t="shared" si="8"/>
        <v>30.354026323147096</v>
      </c>
      <c r="T30" s="2">
        <f t="shared" si="9"/>
        <v>14.363539093703871</v>
      </c>
      <c r="V30" s="24" t="s">
        <v>14</v>
      </c>
      <c r="W30" s="24" t="s">
        <v>14</v>
      </c>
      <c r="X30" s="29"/>
    </row>
    <row r="31" spans="1:24" x14ac:dyDescent="0.25">
      <c r="A31" s="30">
        <f t="shared" si="10"/>
        <v>0.45204678362573097</v>
      </c>
      <c r="B31" s="2">
        <f t="shared" si="11"/>
        <v>26</v>
      </c>
      <c r="C31" s="4">
        <f t="shared" si="12"/>
        <v>17.329999999999998</v>
      </c>
      <c r="D31" s="2">
        <v>11.5</v>
      </c>
      <c r="E31" s="2">
        <v>50.26548245743669</v>
      </c>
      <c r="F31" s="11">
        <f t="shared" si="0"/>
        <v>2.2878523069459957</v>
      </c>
      <c r="G31" s="2">
        <f t="shared" si="1"/>
        <v>39.648480479374101</v>
      </c>
      <c r="H31" s="2">
        <f t="shared" si="2"/>
        <v>1.7930312927132255</v>
      </c>
      <c r="I31" s="2">
        <f t="shared" si="3"/>
        <v>31.073232302720193</v>
      </c>
      <c r="J31" s="2">
        <f t="shared" si="4"/>
        <v>8.5752481766539077</v>
      </c>
      <c r="K31" s="15">
        <f t="shared" si="13"/>
        <v>0.43121345029239766</v>
      </c>
      <c r="L31" s="2">
        <f t="shared" si="14"/>
        <v>26</v>
      </c>
      <c r="M31" s="2">
        <f t="shared" si="15"/>
        <v>17.149999999999999</v>
      </c>
      <c r="N31" s="2">
        <v>12</v>
      </c>
      <c r="O31" s="2">
        <v>50.26548245743669</v>
      </c>
      <c r="P31" s="11">
        <f t="shared" si="5"/>
        <v>2.3873241463784298</v>
      </c>
      <c r="Q31" s="2">
        <f t="shared" si="6"/>
        <v>40.942609110390066</v>
      </c>
      <c r="R31" s="2">
        <f t="shared" si="7"/>
        <v>1.8230646440328588</v>
      </c>
      <c r="S31" s="2">
        <f t="shared" si="8"/>
        <v>31.265558645163527</v>
      </c>
      <c r="T31" s="2">
        <f t="shared" si="9"/>
        <v>9.6770504652265394</v>
      </c>
      <c r="V31" s="24">
        <f t="array" ref="V31">INDEX(B4:B160, MATCH(MAX(D4:D160), D4:D160, 0))</f>
        <v>12</v>
      </c>
      <c r="W31" s="24">
        <f t="array" ref="W31">INDEX(L4:L160, MATCH(MAX(N4:N160), N4:N160, 0))</f>
        <v>20</v>
      </c>
      <c r="X31" s="29"/>
    </row>
    <row r="32" spans="1:24" x14ac:dyDescent="0.25">
      <c r="A32" s="30">
        <f t="shared" si="10"/>
        <v>0.45215643274853801</v>
      </c>
      <c r="B32" s="2">
        <f t="shared" si="11"/>
        <v>27</v>
      </c>
      <c r="C32" s="4">
        <f t="shared" si="12"/>
        <v>17.829999999999998</v>
      </c>
      <c r="D32" s="2">
        <v>12.5</v>
      </c>
      <c r="E32" s="2">
        <v>50.26548245743669</v>
      </c>
      <c r="F32" s="11">
        <f t="shared" si="0"/>
        <v>2.4867959858108648</v>
      </c>
      <c r="G32" s="2">
        <f t="shared" si="1"/>
        <v>44.339572427007717</v>
      </c>
      <c r="H32" s="2">
        <f t="shared" si="2"/>
        <v>1.7930312927132255</v>
      </c>
      <c r="I32" s="2">
        <f t="shared" si="3"/>
        <v>31.969747949076808</v>
      </c>
      <c r="J32" s="2">
        <f t="shared" si="4"/>
        <v>12.369824477930909</v>
      </c>
      <c r="K32" s="15">
        <f t="shared" si="13"/>
        <v>0.43132309941520469</v>
      </c>
      <c r="L32" s="2">
        <f t="shared" si="14"/>
        <v>27</v>
      </c>
      <c r="M32" s="2">
        <f t="shared" si="15"/>
        <v>17.649999999999999</v>
      </c>
      <c r="N32" s="2">
        <v>11.5</v>
      </c>
      <c r="O32" s="2">
        <v>50.26548245743669</v>
      </c>
      <c r="P32" s="11">
        <f t="shared" si="5"/>
        <v>2.2878523069459957</v>
      </c>
      <c r="Q32" s="2">
        <f t="shared" si="6"/>
        <v>40.380593217596818</v>
      </c>
      <c r="R32" s="2">
        <f t="shared" si="7"/>
        <v>1.8230646440328588</v>
      </c>
      <c r="S32" s="2">
        <f t="shared" si="8"/>
        <v>32.177090967179957</v>
      </c>
      <c r="T32" s="2">
        <f t="shared" si="9"/>
        <v>8.2035022504168609</v>
      </c>
    </row>
    <row r="33" spans="1:20" x14ac:dyDescent="0.25">
      <c r="A33" s="30">
        <f t="shared" si="10"/>
        <v>0.45226608187134504</v>
      </c>
      <c r="B33" s="2">
        <f t="shared" si="11"/>
        <v>28</v>
      </c>
      <c r="C33" s="4">
        <f t="shared" si="12"/>
        <v>18.329999999999998</v>
      </c>
      <c r="D33" s="2">
        <v>14</v>
      </c>
      <c r="E33" s="2">
        <v>50.26548245743669</v>
      </c>
      <c r="F33" s="11">
        <f t="shared" si="0"/>
        <v>2.7852115041081689</v>
      </c>
      <c r="G33" s="2">
        <f t="shared" si="1"/>
        <v>51.052926870302734</v>
      </c>
      <c r="H33" s="2">
        <f t="shared" si="2"/>
        <v>1.7930312927132255</v>
      </c>
      <c r="I33" s="2">
        <f t="shared" si="3"/>
        <v>32.866263595433423</v>
      </c>
      <c r="J33" s="2">
        <f t="shared" si="4"/>
        <v>18.186663274869311</v>
      </c>
      <c r="K33" s="15">
        <f t="shared" si="13"/>
        <v>0.43143274853801172</v>
      </c>
      <c r="L33" s="2">
        <f t="shared" si="14"/>
        <v>28</v>
      </c>
      <c r="M33" s="2">
        <f t="shared" si="15"/>
        <v>18.149999999999999</v>
      </c>
      <c r="N33" s="2">
        <v>13</v>
      </c>
      <c r="O33" s="2">
        <v>50.26548245743669</v>
      </c>
      <c r="P33" s="11">
        <f t="shared" si="5"/>
        <v>2.5862678252432989</v>
      </c>
      <c r="Q33" s="2">
        <f t="shared" si="6"/>
        <v>46.940761028165873</v>
      </c>
      <c r="R33" s="2">
        <f t="shared" si="7"/>
        <v>1.8230646440328588</v>
      </c>
      <c r="S33" s="2">
        <f t="shared" si="8"/>
        <v>33.088623289196384</v>
      </c>
      <c r="T33" s="2">
        <f t="shared" si="9"/>
        <v>13.852137738969489</v>
      </c>
    </row>
    <row r="34" spans="1:20" x14ac:dyDescent="0.25">
      <c r="A34" s="30">
        <f t="shared" si="10"/>
        <v>0.45237573099415207</v>
      </c>
      <c r="B34" s="2">
        <f t="shared" si="11"/>
        <v>29</v>
      </c>
      <c r="C34" s="4">
        <f t="shared" si="12"/>
        <v>18.829999999999998</v>
      </c>
      <c r="D34" s="2">
        <v>15</v>
      </c>
      <c r="E34" s="2">
        <v>50.26548245743669</v>
      </c>
      <c r="F34" s="11">
        <f t="shared" si="0"/>
        <v>2.9841551829730379</v>
      </c>
      <c r="G34" s="2">
        <f t="shared" si="1"/>
        <v>56.191642095382299</v>
      </c>
      <c r="H34" s="2">
        <f t="shared" si="2"/>
        <v>1.7930312927132255</v>
      </c>
      <c r="I34" s="2">
        <f t="shared" si="3"/>
        <v>33.762779241790035</v>
      </c>
      <c r="J34" s="2">
        <f t="shared" si="4"/>
        <v>22.428862853592264</v>
      </c>
      <c r="K34" s="15">
        <f t="shared" si="13"/>
        <v>0.4315423976608187</v>
      </c>
      <c r="L34" s="2">
        <f t="shared" si="14"/>
        <v>29</v>
      </c>
      <c r="M34" s="2">
        <f t="shared" si="15"/>
        <v>18.649999999999999</v>
      </c>
      <c r="N34" s="2">
        <v>13</v>
      </c>
      <c r="O34" s="2">
        <v>50.26548245743669</v>
      </c>
      <c r="P34" s="11">
        <f t="shared" si="5"/>
        <v>2.5862678252432989</v>
      </c>
      <c r="Q34" s="2">
        <f t="shared" si="6"/>
        <v>48.233894940787522</v>
      </c>
      <c r="R34" s="2">
        <f t="shared" si="7"/>
        <v>1.8230646440328588</v>
      </c>
      <c r="S34" s="2">
        <f t="shared" si="8"/>
        <v>34.000155611212811</v>
      </c>
      <c r="T34" s="2">
        <f t="shared" si="9"/>
        <v>14.233739329574711</v>
      </c>
    </row>
    <row r="35" spans="1:20" x14ac:dyDescent="0.25">
      <c r="A35" s="30">
        <f t="shared" si="10"/>
        <v>0.45248538011695905</v>
      </c>
      <c r="B35" s="2">
        <f t="shared" si="11"/>
        <v>30</v>
      </c>
      <c r="C35" s="4">
        <f t="shared" si="12"/>
        <v>19.329999999999998</v>
      </c>
      <c r="D35" s="2">
        <v>11</v>
      </c>
      <c r="E35" s="2">
        <v>50.26548245743669</v>
      </c>
      <c r="F35" s="11">
        <f t="shared" si="0"/>
        <v>2.1883804675135607</v>
      </c>
      <c r="G35" s="2">
        <f t="shared" si="1"/>
        <v>42.301394437037125</v>
      </c>
      <c r="H35" s="2">
        <f t="shared" si="2"/>
        <v>1.7930312927132255</v>
      </c>
      <c r="I35" s="2">
        <f t="shared" si="3"/>
        <v>34.659294888146647</v>
      </c>
      <c r="J35" s="2">
        <f t="shared" si="4"/>
        <v>7.6420995488904779</v>
      </c>
      <c r="K35" s="15">
        <f t="shared" si="13"/>
        <v>0.43165204678362573</v>
      </c>
      <c r="L35" s="2">
        <f t="shared" si="14"/>
        <v>30</v>
      </c>
      <c r="M35" s="2">
        <f t="shared" si="15"/>
        <v>19.149999999999999</v>
      </c>
      <c r="N35" s="2">
        <v>12.5</v>
      </c>
      <c r="O35" s="2">
        <v>50.26548245743669</v>
      </c>
      <c r="P35" s="11">
        <f t="shared" si="5"/>
        <v>2.4867959858108648</v>
      </c>
      <c r="Q35" s="2">
        <f t="shared" si="6"/>
        <v>47.622143128278054</v>
      </c>
      <c r="R35" s="2">
        <f t="shared" si="7"/>
        <v>1.8230646440328588</v>
      </c>
      <c r="S35" s="2">
        <f t="shared" si="8"/>
        <v>34.911687933229246</v>
      </c>
      <c r="T35" s="2">
        <f t="shared" si="9"/>
        <v>12.710455195048809</v>
      </c>
    </row>
    <row r="36" spans="1:20" x14ac:dyDescent="0.25">
      <c r="A36" s="30">
        <f t="shared" si="10"/>
        <v>0.45259502923976608</v>
      </c>
      <c r="B36" s="2">
        <f t="shared" si="11"/>
        <v>31</v>
      </c>
      <c r="C36" s="4">
        <f t="shared" si="12"/>
        <v>19.829999999999998</v>
      </c>
      <c r="D36" s="2">
        <v>10</v>
      </c>
      <c r="E36" s="2">
        <v>50.26548245743669</v>
      </c>
      <c r="F36" s="11">
        <f t="shared" si="0"/>
        <v>1.9894367886486919</v>
      </c>
      <c r="G36" s="2">
        <f t="shared" si="1"/>
        <v>39.45053151890356</v>
      </c>
      <c r="H36" s="2">
        <f t="shared" si="2"/>
        <v>1.7930312927132255</v>
      </c>
      <c r="I36" s="2">
        <f t="shared" si="3"/>
        <v>35.555810534503259</v>
      </c>
      <c r="J36" s="2">
        <f t="shared" si="4"/>
        <v>3.8947209844003012</v>
      </c>
      <c r="K36" s="15">
        <f t="shared" si="13"/>
        <v>0.43176169590643276</v>
      </c>
      <c r="L36" s="2">
        <f t="shared" si="14"/>
        <v>31</v>
      </c>
      <c r="M36" s="2">
        <f t="shared" si="15"/>
        <v>19.649999999999999</v>
      </c>
      <c r="N36" s="2">
        <v>11</v>
      </c>
      <c r="O36" s="2">
        <v>50.26548245743669</v>
      </c>
      <c r="P36" s="11">
        <f t="shared" si="5"/>
        <v>2.1883804675135607</v>
      </c>
      <c r="Q36" s="2">
        <f t="shared" si="6"/>
        <v>43.001676186641468</v>
      </c>
      <c r="R36" s="2">
        <f t="shared" si="7"/>
        <v>1.8230646440328588</v>
      </c>
      <c r="S36" s="2">
        <f t="shared" si="8"/>
        <v>35.823220255245673</v>
      </c>
      <c r="T36" s="2">
        <f t="shared" si="9"/>
        <v>7.1784559313957956</v>
      </c>
    </row>
    <row r="37" spans="1:20" x14ac:dyDescent="0.25">
      <c r="A37" s="30">
        <f t="shared" si="10"/>
        <v>0.45270467836257311</v>
      </c>
      <c r="B37" s="2">
        <f t="shared" si="11"/>
        <v>32</v>
      </c>
      <c r="C37" s="4">
        <f t="shared" si="12"/>
        <v>20.329999999999998</v>
      </c>
      <c r="D37" s="23">
        <v>11.5</v>
      </c>
      <c r="E37" s="2">
        <v>50.26548245743669</v>
      </c>
      <c r="F37" s="11">
        <f t="shared" si="0"/>
        <v>2.2878523069459957</v>
      </c>
      <c r="G37" s="2">
        <f t="shared" si="1"/>
        <v>46.512037400212087</v>
      </c>
      <c r="H37" s="2">
        <f t="shared" si="2"/>
        <v>1.7930312927132255</v>
      </c>
      <c r="I37" s="2">
        <f t="shared" si="3"/>
        <v>36.45232618085987</v>
      </c>
      <c r="J37" s="2">
        <f t="shared" si="4"/>
        <v>10.059711219352216</v>
      </c>
      <c r="K37" s="15">
        <f t="shared" si="13"/>
        <v>0.43187134502923979</v>
      </c>
      <c r="L37" s="23">
        <f t="shared" si="14"/>
        <v>32</v>
      </c>
      <c r="M37" s="23">
        <f t="shared" si="15"/>
        <v>20.149999999999999</v>
      </c>
      <c r="N37" s="23">
        <v>11</v>
      </c>
      <c r="O37" s="2">
        <v>50.26548245743669</v>
      </c>
      <c r="P37" s="11">
        <f t="shared" si="5"/>
        <v>2.1883804675135607</v>
      </c>
      <c r="Q37" s="2">
        <f t="shared" si="6"/>
        <v>44.095866420398245</v>
      </c>
      <c r="R37" s="2">
        <f t="shared" si="7"/>
        <v>1.8230646440328588</v>
      </c>
      <c r="S37" s="2">
        <f t="shared" si="8"/>
        <v>36.7347525772621</v>
      </c>
      <c r="T37" s="2">
        <f t="shared" si="9"/>
        <v>7.3611138431361454</v>
      </c>
    </row>
    <row r="38" spans="1:20" x14ac:dyDescent="0.25">
      <c r="A38" s="30">
        <f t="shared" si="10"/>
        <v>0.45281432748538014</v>
      </c>
      <c r="B38" s="2">
        <f t="shared" si="11"/>
        <v>33</v>
      </c>
      <c r="C38" s="4">
        <f t="shared" si="12"/>
        <v>20.83</v>
      </c>
      <c r="D38" s="2">
        <v>12</v>
      </c>
      <c r="E38" s="2">
        <v>50.26548245743669</v>
      </c>
      <c r="F38" s="11">
        <f t="shared" si="0"/>
        <v>2.3873241463784298</v>
      </c>
      <c r="G38" s="2">
        <f t="shared" si="1"/>
        <v>49.72796196906269</v>
      </c>
      <c r="H38" s="2">
        <f t="shared" si="2"/>
        <v>1.7930312927132255</v>
      </c>
      <c r="I38" s="2">
        <f t="shared" si="3"/>
        <v>37.348841827216482</v>
      </c>
      <c r="J38" s="2">
        <f t="shared" si="4"/>
        <v>12.379120141846208</v>
      </c>
      <c r="K38" s="15">
        <f t="shared" si="13"/>
        <v>0.43198099415204677</v>
      </c>
      <c r="L38" s="2">
        <f t="shared" si="14"/>
        <v>33</v>
      </c>
      <c r="M38" s="2">
        <f t="shared" si="15"/>
        <v>20.65</v>
      </c>
      <c r="N38" s="2">
        <v>15.5</v>
      </c>
      <c r="O38" s="2">
        <v>50.26548245743669</v>
      </c>
      <c r="P38" s="11">
        <f t="shared" si="5"/>
        <v>3.0836270224054725</v>
      </c>
      <c r="Q38" s="2">
        <f t="shared" si="6"/>
        <v>63.676898012673</v>
      </c>
      <c r="R38" s="2">
        <f t="shared" si="7"/>
        <v>1.8230646440328588</v>
      </c>
      <c r="S38" s="2">
        <f t="shared" si="8"/>
        <v>37.646284899278534</v>
      </c>
      <c r="T38" s="2">
        <f t="shared" si="9"/>
        <v>26.030613113394466</v>
      </c>
    </row>
    <row r="39" spans="1:20" x14ac:dyDescent="0.25">
      <c r="A39" s="30">
        <f t="shared" si="10"/>
        <v>0.45292397660818712</v>
      </c>
      <c r="B39" s="2">
        <f t="shared" si="11"/>
        <v>34</v>
      </c>
      <c r="C39" s="4">
        <f t="shared" si="12"/>
        <v>21.33</v>
      </c>
      <c r="D39" s="2">
        <v>11</v>
      </c>
      <c r="E39" s="2">
        <v>50.26548245743669</v>
      </c>
      <c r="F39" s="11">
        <f t="shared" si="0"/>
        <v>2.1883804675135607</v>
      </c>
      <c r="G39" s="2">
        <f t="shared" si="1"/>
        <v>46.678155372064246</v>
      </c>
      <c r="H39" s="2">
        <f t="shared" si="2"/>
        <v>1.7930312927132255</v>
      </c>
      <c r="I39" s="2">
        <f t="shared" si="3"/>
        <v>38.245357473573094</v>
      </c>
      <c r="J39" s="2">
        <f t="shared" si="4"/>
        <v>8.4327978984911525</v>
      </c>
      <c r="K39" s="15">
        <f t="shared" si="13"/>
        <v>0.4320906432748538</v>
      </c>
      <c r="L39" s="2">
        <f t="shared" si="14"/>
        <v>34</v>
      </c>
      <c r="M39" s="2">
        <f t="shared" si="15"/>
        <v>21.15</v>
      </c>
      <c r="N39" s="2">
        <v>12</v>
      </c>
      <c r="O39" s="2">
        <v>50.26548245743669</v>
      </c>
      <c r="P39" s="11">
        <f t="shared" si="5"/>
        <v>2.3873241463784298</v>
      </c>
      <c r="Q39" s="2">
        <f t="shared" si="6"/>
        <v>50.491905695903789</v>
      </c>
      <c r="R39" s="2">
        <f t="shared" si="7"/>
        <v>1.8230646440328588</v>
      </c>
      <c r="S39" s="2">
        <f t="shared" si="8"/>
        <v>38.557817221294961</v>
      </c>
      <c r="T39" s="2">
        <f t="shared" si="9"/>
        <v>11.934088474608828</v>
      </c>
    </row>
    <row r="40" spans="1:20" x14ac:dyDescent="0.25">
      <c r="A40" s="30">
        <f t="shared" si="10"/>
        <v>0.45303362573099415</v>
      </c>
      <c r="B40" s="2">
        <f t="shared" si="11"/>
        <v>35</v>
      </c>
      <c r="C40" s="4">
        <f t="shared" si="12"/>
        <v>21.83</v>
      </c>
      <c r="D40" s="2">
        <v>10.5</v>
      </c>
      <c r="E40" s="2">
        <v>50.26548245743669</v>
      </c>
      <c r="F40" s="11">
        <f t="shared" si="0"/>
        <v>2.0889086280811267</v>
      </c>
      <c r="G40" s="2">
        <f t="shared" si="1"/>
        <v>45.600875351010991</v>
      </c>
      <c r="H40" s="2">
        <f t="shared" si="2"/>
        <v>1.7930312927132255</v>
      </c>
      <c r="I40" s="2">
        <f t="shared" si="3"/>
        <v>39.141873119929706</v>
      </c>
      <c r="J40" s="2">
        <f t="shared" si="4"/>
        <v>6.4590022310812856</v>
      </c>
      <c r="K40" s="15">
        <f t="shared" si="13"/>
        <v>0.43220029239766083</v>
      </c>
      <c r="L40" s="2">
        <f t="shared" si="14"/>
        <v>35</v>
      </c>
      <c r="M40" s="2">
        <f t="shared" si="15"/>
        <v>21.65</v>
      </c>
      <c r="N40" s="2">
        <v>11</v>
      </c>
      <c r="O40" s="2">
        <v>50.26548245743669</v>
      </c>
      <c r="P40" s="11">
        <f t="shared" si="5"/>
        <v>2.1883804675135607</v>
      </c>
      <c r="Q40" s="2">
        <f t="shared" si="6"/>
        <v>47.37843712166859</v>
      </c>
      <c r="R40" s="2">
        <f t="shared" si="7"/>
        <v>1.8230646440328588</v>
      </c>
      <c r="S40" s="2">
        <f t="shared" si="8"/>
        <v>39.469349543311388</v>
      </c>
      <c r="T40" s="2">
        <f t="shared" si="9"/>
        <v>7.9090875783572017</v>
      </c>
    </row>
    <row r="41" spans="1:20" x14ac:dyDescent="0.25">
      <c r="A41" s="30">
        <f t="shared" si="10"/>
        <v>0.45314327485380118</v>
      </c>
      <c r="B41" s="2">
        <f t="shared" si="11"/>
        <v>36</v>
      </c>
      <c r="C41" s="4">
        <f t="shared" si="12"/>
        <v>22.33</v>
      </c>
      <c r="D41" s="2">
        <v>11.5</v>
      </c>
      <c r="E41" s="2">
        <v>50.26548245743669</v>
      </c>
      <c r="F41" s="11">
        <f t="shared" si="0"/>
        <v>2.2878523069459957</v>
      </c>
      <c r="G41" s="2">
        <f t="shared" si="1"/>
        <v>51.08774201410408</v>
      </c>
      <c r="H41" s="2">
        <f t="shared" si="2"/>
        <v>1.7930312927132255</v>
      </c>
      <c r="I41" s="2">
        <f t="shared" si="3"/>
        <v>40.038388766286324</v>
      </c>
      <c r="J41" s="2">
        <f t="shared" si="4"/>
        <v>11.049353247817756</v>
      </c>
      <c r="K41" s="15">
        <f t="shared" si="13"/>
        <v>0.43230994152046787</v>
      </c>
      <c r="L41" s="2">
        <f t="shared" si="14"/>
        <v>36</v>
      </c>
      <c r="M41" s="2">
        <f t="shared" si="15"/>
        <v>22.15</v>
      </c>
      <c r="N41" s="2">
        <v>12</v>
      </c>
      <c r="O41" s="2">
        <v>50.26548245743669</v>
      </c>
      <c r="P41" s="11">
        <f t="shared" si="5"/>
        <v>2.3873241463784298</v>
      </c>
      <c r="Q41" s="2">
        <f t="shared" si="6"/>
        <v>52.879229842282214</v>
      </c>
      <c r="R41" s="2">
        <f t="shared" si="7"/>
        <v>1.8230646440328588</v>
      </c>
      <c r="S41" s="2">
        <f t="shared" si="8"/>
        <v>40.380881865327822</v>
      </c>
      <c r="T41" s="2">
        <f t="shared" si="9"/>
        <v>12.498347976954392</v>
      </c>
    </row>
    <row r="42" spans="1:20" x14ac:dyDescent="0.25">
      <c r="A42" s="30">
        <f t="shared" si="10"/>
        <v>0.45325292397660821</v>
      </c>
      <c r="B42" s="2">
        <f t="shared" si="11"/>
        <v>37</v>
      </c>
      <c r="C42" s="4">
        <f t="shared" si="12"/>
        <v>22.83</v>
      </c>
      <c r="D42" s="2">
        <v>17</v>
      </c>
      <c r="E42" s="2">
        <v>50.26548245743669</v>
      </c>
      <c r="F42" s="11">
        <f t="shared" si="0"/>
        <v>3.3820425407027761</v>
      </c>
      <c r="G42" s="2">
        <f t="shared" si="1"/>
        <v>77.212031204244369</v>
      </c>
      <c r="H42" s="2">
        <f t="shared" si="2"/>
        <v>1.7930312927132255</v>
      </c>
      <c r="I42" s="2">
        <f t="shared" si="3"/>
        <v>40.934904412642936</v>
      </c>
      <c r="J42" s="2">
        <f t="shared" si="4"/>
        <v>36.277126791601432</v>
      </c>
      <c r="K42" s="15">
        <f t="shared" si="13"/>
        <v>0.43241959064327484</v>
      </c>
      <c r="L42" s="2">
        <f t="shared" si="14"/>
        <v>37</v>
      </c>
      <c r="M42" s="2">
        <f t="shared" si="15"/>
        <v>22.65</v>
      </c>
      <c r="N42" s="2">
        <v>12</v>
      </c>
      <c r="O42" s="2">
        <v>50.26548245743669</v>
      </c>
      <c r="P42" s="11">
        <f t="shared" si="5"/>
        <v>2.3873241463784298</v>
      </c>
      <c r="Q42" s="2">
        <f t="shared" si="6"/>
        <v>54.07289191547143</v>
      </c>
      <c r="R42" s="2">
        <f t="shared" si="7"/>
        <v>1.8230646440328588</v>
      </c>
      <c r="S42" s="2">
        <f t="shared" si="8"/>
        <v>41.292414187344249</v>
      </c>
      <c r="T42" s="2">
        <f t="shared" si="9"/>
        <v>12.780477728127181</v>
      </c>
    </row>
    <row r="43" spans="1:20" x14ac:dyDescent="0.25">
      <c r="A43" s="30">
        <f t="shared" si="10"/>
        <v>0.45336257309941519</v>
      </c>
      <c r="B43" s="2">
        <f t="shared" si="11"/>
        <v>38</v>
      </c>
      <c r="C43" s="4">
        <f t="shared" si="12"/>
        <v>23.33</v>
      </c>
      <c r="D43" s="2">
        <v>11</v>
      </c>
      <c r="E43" s="2">
        <v>50.26548245743669</v>
      </c>
      <c r="F43" s="11">
        <f t="shared" si="0"/>
        <v>2.1883804675135607</v>
      </c>
      <c r="G43" s="2">
        <f t="shared" si="1"/>
        <v>51.054916307091368</v>
      </c>
      <c r="H43" s="2">
        <f t="shared" si="2"/>
        <v>1.7930312927132255</v>
      </c>
      <c r="I43" s="2">
        <f t="shared" si="3"/>
        <v>41.831420058999548</v>
      </c>
      <c r="J43" s="2">
        <f t="shared" si="4"/>
        <v>9.2234962480918199</v>
      </c>
      <c r="K43" s="15">
        <f t="shared" si="13"/>
        <v>0.43252923976608187</v>
      </c>
      <c r="L43" s="2">
        <f t="shared" si="14"/>
        <v>38</v>
      </c>
      <c r="M43" s="2">
        <f t="shared" si="15"/>
        <v>23.15</v>
      </c>
      <c r="N43" s="2">
        <v>12.5</v>
      </c>
      <c r="O43" s="2">
        <v>50.26548245743669</v>
      </c>
      <c r="P43" s="11">
        <f t="shared" si="5"/>
        <v>2.4867959858108648</v>
      </c>
      <c r="Q43" s="2">
        <f t="shared" si="6"/>
        <v>57.569327071521514</v>
      </c>
      <c r="R43" s="2">
        <f t="shared" si="7"/>
        <v>1.8230646440328588</v>
      </c>
      <c r="S43" s="2">
        <f t="shared" si="8"/>
        <v>42.203946509360676</v>
      </c>
      <c r="T43" s="2">
        <f t="shared" si="9"/>
        <v>15.365380562160837</v>
      </c>
    </row>
    <row r="44" spans="1:20" x14ac:dyDescent="0.25">
      <c r="A44" s="10">
        <v>0.45347222222222222</v>
      </c>
      <c r="B44" s="2">
        <f t="shared" si="11"/>
        <v>39</v>
      </c>
      <c r="C44" s="4">
        <f t="shared" si="12"/>
        <v>23.83</v>
      </c>
      <c r="D44" s="2">
        <v>11</v>
      </c>
      <c r="E44" s="2">
        <v>50.26548245743669</v>
      </c>
      <c r="F44" s="11">
        <f t="shared" si="0"/>
        <v>2.1883804675135607</v>
      </c>
      <c r="G44" s="2">
        <f t="shared" si="1"/>
        <v>52.149106540848152</v>
      </c>
      <c r="H44" s="2">
        <f t="shared" si="2"/>
        <v>1.7930312927132255</v>
      </c>
      <c r="I44" s="2">
        <f t="shared" si="3"/>
        <v>42.72793570535616</v>
      </c>
      <c r="J44" s="2">
        <f t="shared" si="4"/>
        <v>9.4211708354919921</v>
      </c>
      <c r="K44" s="12">
        <v>0.43263888888888891</v>
      </c>
      <c r="L44" s="2">
        <f t="shared" si="14"/>
        <v>39</v>
      </c>
      <c r="M44" s="2">
        <f t="shared" si="15"/>
        <v>23.65</v>
      </c>
      <c r="N44" s="2">
        <v>11</v>
      </c>
      <c r="O44" s="2">
        <v>50.26548245743669</v>
      </c>
      <c r="P44" s="11">
        <f t="shared" si="5"/>
        <v>2.1883804675135607</v>
      </c>
      <c r="Q44" s="2">
        <f t="shared" si="6"/>
        <v>51.755198056695711</v>
      </c>
      <c r="R44" s="2">
        <f t="shared" si="7"/>
        <v>1.8230646440328588</v>
      </c>
      <c r="S44" s="2">
        <f t="shared" si="8"/>
        <v>43.115478831377111</v>
      </c>
      <c r="T44" s="2">
        <f t="shared" si="9"/>
        <v>8.6397192253186006</v>
      </c>
    </row>
    <row r="45" spans="1:20" x14ac:dyDescent="0.25">
      <c r="A45" s="14">
        <f t="shared" ref="A45:A82" si="16">IF(AND($A$44&lt;&gt;"",$A$83&lt;&gt;""), $A$44 + (B45 - $B$44) * (($A$83 - $A$44) / ($B$83 - $B$44)), "")</f>
        <v>0.45359686609686611</v>
      </c>
      <c r="B45" s="2">
        <f t="shared" si="11"/>
        <v>40</v>
      </c>
      <c r="C45" s="4">
        <f t="shared" si="12"/>
        <v>24.33</v>
      </c>
      <c r="D45" s="2">
        <v>12</v>
      </c>
      <c r="E45" s="2">
        <v>50.26548245743669</v>
      </c>
      <c r="F45" s="11">
        <f t="shared" si="0"/>
        <v>2.3873241463784298</v>
      </c>
      <c r="G45" s="2">
        <f t="shared" si="1"/>
        <v>58.083596481387197</v>
      </c>
      <c r="H45" s="2">
        <f t="shared" si="2"/>
        <v>1.7930312927132255</v>
      </c>
      <c r="I45" s="2">
        <f t="shared" si="3"/>
        <v>43.624451351712771</v>
      </c>
      <c r="J45" s="2">
        <f t="shared" si="4"/>
        <v>14.459145129674425</v>
      </c>
      <c r="K45" s="15">
        <f t="shared" ref="K45:K82" si="17">IF(AND($K$44&lt;&gt;"",$K$83&lt;&gt;""), $K$44 + (L45 - $L$44) * (($K$83 - $K$44) / ($L$83 - $L$44)), "")</f>
        <v>0.43274572649572651</v>
      </c>
      <c r="L45" s="2">
        <f t="shared" si="14"/>
        <v>40</v>
      </c>
      <c r="M45" s="2">
        <f t="shared" si="15"/>
        <v>24.15</v>
      </c>
      <c r="N45" s="2">
        <v>11.5</v>
      </c>
      <c r="O45" s="2">
        <v>50.26548245743669</v>
      </c>
      <c r="P45" s="11">
        <f t="shared" si="5"/>
        <v>2.2878523069459957</v>
      </c>
      <c r="Q45" s="2">
        <f t="shared" si="6"/>
        <v>55.251633212745794</v>
      </c>
      <c r="R45" s="2">
        <f t="shared" si="7"/>
        <v>1.8230646440328588</v>
      </c>
      <c r="S45" s="2">
        <f t="shared" si="8"/>
        <v>44.027011153393538</v>
      </c>
      <c r="T45" s="2">
        <f t="shared" si="9"/>
        <v>11.224622059352257</v>
      </c>
    </row>
    <row r="46" spans="1:20" x14ac:dyDescent="0.25">
      <c r="A46" s="14">
        <f t="shared" si="16"/>
        <v>0.45372150997150995</v>
      </c>
      <c r="B46" s="2">
        <f t="shared" si="11"/>
        <v>41</v>
      </c>
      <c r="C46" s="4">
        <f t="shared" si="12"/>
        <v>24.83</v>
      </c>
      <c r="D46" s="2">
        <v>12.5</v>
      </c>
      <c r="E46" s="2">
        <v>50.26548245743669</v>
      </c>
      <c r="F46" s="11">
        <f t="shared" si="0"/>
        <v>2.4867959858108648</v>
      </c>
      <c r="G46" s="2">
        <f t="shared" si="1"/>
        <v>61.74714432768377</v>
      </c>
      <c r="H46" s="2">
        <f t="shared" si="2"/>
        <v>1.7930312927132255</v>
      </c>
      <c r="I46" s="2">
        <f t="shared" si="3"/>
        <v>44.520966998069383</v>
      </c>
      <c r="J46" s="2">
        <f t="shared" si="4"/>
        <v>17.226177329614387</v>
      </c>
      <c r="K46" s="15">
        <f t="shared" si="17"/>
        <v>0.43285256410256412</v>
      </c>
      <c r="L46" s="2">
        <f t="shared" si="14"/>
        <v>41</v>
      </c>
      <c r="M46" s="2">
        <f t="shared" si="15"/>
        <v>24.65</v>
      </c>
      <c r="N46" s="2">
        <v>13</v>
      </c>
      <c r="O46" s="2">
        <v>50.26548245743669</v>
      </c>
      <c r="P46" s="11">
        <f t="shared" si="5"/>
        <v>2.5862678252432989</v>
      </c>
      <c r="Q46" s="2">
        <f t="shared" si="6"/>
        <v>63.751501892247312</v>
      </c>
      <c r="R46" s="2">
        <f t="shared" si="7"/>
        <v>1.8230646440328588</v>
      </c>
      <c r="S46" s="2">
        <f t="shared" si="8"/>
        <v>44.938543475409965</v>
      </c>
      <c r="T46" s="2">
        <f t="shared" si="9"/>
        <v>18.812958416837347</v>
      </c>
    </row>
    <row r="47" spans="1:20" x14ac:dyDescent="0.25">
      <c r="A47" s="14">
        <f t="shared" si="16"/>
        <v>0.45384615384615384</v>
      </c>
      <c r="B47" s="2">
        <f t="shared" si="11"/>
        <v>42</v>
      </c>
      <c r="C47" s="4">
        <f t="shared" si="12"/>
        <v>25.33</v>
      </c>
      <c r="D47" s="2">
        <v>11.5</v>
      </c>
      <c r="E47" s="2">
        <v>50.26548245743669</v>
      </c>
      <c r="F47" s="11">
        <f t="shared" si="0"/>
        <v>2.2878523069459957</v>
      </c>
      <c r="G47" s="2">
        <f t="shared" si="1"/>
        <v>57.951298934942066</v>
      </c>
      <c r="H47" s="2">
        <f t="shared" si="2"/>
        <v>1.7930312927132255</v>
      </c>
      <c r="I47" s="2">
        <f t="shared" si="3"/>
        <v>45.417482644425995</v>
      </c>
      <c r="J47" s="2">
        <f t="shared" si="4"/>
        <v>12.533816290516071</v>
      </c>
      <c r="K47" s="15">
        <f t="shared" si="17"/>
        <v>0.43295940170940173</v>
      </c>
      <c r="L47" s="2">
        <f t="shared" si="14"/>
        <v>42</v>
      </c>
      <c r="M47" s="2">
        <f t="shared" si="15"/>
        <v>25.15</v>
      </c>
      <c r="N47" s="2">
        <v>13.5</v>
      </c>
      <c r="O47" s="2">
        <v>50.26548245743669</v>
      </c>
      <c r="P47" s="11">
        <f t="shared" si="5"/>
        <v>2.6857396646757339</v>
      </c>
      <c r="Q47" s="2">
        <f t="shared" si="6"/>
        <v>67.546352566594706</v>
      </c>
      <c r="R47" s="2">
        <f t="shared" si="7"/>
        <v>1.8230646440328588</v>
      </c>
      <c r="S47" s="2">
        <f t="shared" si="8"/>
        <v>45.850075797426399</v>
      </c>
      <c r="T47" s="2">
        <f t="shared" si="9"/>
        <v>21.696276769168307</v>
      </c>
    </row>
    <row r="48" spans="1:20" x14ac:dyDescent="0.25">
      <c r="A48" s="14">
        <f t="shared" si="16"/>
        <v>0.45397079772079774</v>
      </c>
      <c r="B48" s="2">
        <f t="shared" si="11"/>
        <v>43</v>
      </c>
      <c r="C48" s="4">
        <f t="shared" si="12"/>
        <v>25.83</v>
      </c>
      <c r="D48" s="2">
        <v>10.5</v>
      </c>
      <c r="E48" s="2">
        <v>50.26548245743669</v>
      </c>
      <c r="F48" s="11">
        <f t="shared" si="0"/>
        <v>2.0889086280811267</v>
      </c>
      <c r="G48" s="2">
        <f t="shared" si="1"/>
        <v>53.956509863335498</v>
      </c>
      <c r="H48" s="2">
        <f t="shared" si="2"/>
        <v>1.7930312927132255</v>
      </c>
      <c r="I48" s="2">
        <f t="shared" si="3"/>
        <v>46.313998290782614</v>
      </c>
      <c r="J48" s="2">
        <f t="shared" si="4"/>
        <v>7.642511572552884</v>
      </c>
      <c r="K48" s="15">
        <f t="shared" si="17"/>
        <v>0.43306623931623933</v>
      </c>
      <c r="L48" s="2">
        <f t="shared" si="14"/>
        <v>43</v>
      </c>
      <c r="M48" s="2">
        <f t="shared" si="15"/>
        <v>25.65</v>
      </c>
      <c r="N48" s="2">
        <v>12.5</v>
      </c>
      <c r="O48" s="2">
        <v>50.26548245743669</v>
      </c>
      <c r="P48" s="11">
        <f t="shared" si="5"/>
        <v>2.4867959858108648</v>
      </c>
      <c r="Q48" s="2">
        <f t="shared" si="6"/>
        <v>63.786317036048679</v>
      </c>
      <c r="R48" s="2">
        <f t="shared" si="7"/>
        <v>1.8230646440328588</v>
      </c>
      <c r="S48" s="2">
        <f t="shared" si="8"/>
        <v>46.761608119442826</v>
      </c>
      <c r="T48" s="2">
        <f t="shared" si="9"/>
        <v>17.024708916605853</v>
      </c>
    </row>
    <row r="49" spans="1:20" x14ac:dyDescent="0.25">
      <c r="A49" s="14">
        <f t="shared" si="16"/>
        <v>0.45409544159544157</v>
      </c>
      <c r="B49" s="2">
        <f t="shared" si="11"/>
        <v>44</v>
      </c>
      <c r="C49" s="4">
        <f t="shared" si="12"/>
        <v>26.33</v>
      </c>
      <c r="D49" s="2">
        <v>10.5</v>
      </c>
      <c r="E49" s="2">
        <v>50.26548245743669</v>
      </c>
      <c r="F49" s="11">
        <f t="shared" si="0"/>
        <v>2.0889086280811267</v>
      </c>
      <c r="G49" s="2">
        <f t="shared" si="1"/>
        <v>55.000964177376062</v>
      </c>
      <c r="H49" s="2">
        <f t="shared" si="2"/>
        <v>1.7930312927132255</v>
      </c>
      <c r="I49" s="2">
        <f t="shared" si="3"/>
        <v>47.210513937139226</v>
      </c>
      <c r="J49" s="2">
        <f t="shared" si="4"/>
        <v>7.7904502402368365</v>
      </c>
      <c r="K49" s="15">
        <f t="shared" si="17"/>
        <v>0.43317307692307694</v>
      </c>
      <c r="L49" s="2">
        <f t="shared" si="14"/>
        <v>44</v>
      </c>
      <c r="M49" s="2">
        <f t="shared" si="15"/>
        <v>26.15</v>
      </c>
      <c r="N49" s="2">
        <v>9.5</v>
      </c>
      <c r="O49" s="2">
        <v>50.26548245743669</v>
      </c>
      <c r="P49" s="11">
        <f t="shared" si="5"/>
        <v>1.8899649492162571</v>
      </c>
      <c r="Q49" s="2">
        <f t="shared" si="6"/>
        <v>49.422583422005118</v>
      </c>
      <c r="R49" s="2">
        <f t="shared" si="7"/>
        <v>1.8230646440328588</v>
      </c>
      <c r="S49" s="2">
        <f t="shared" si="8"/>
        <v>47.673140441459253</v>
      </c>
      <c r="T49" s="2">
        <f t="shared" si="9"/>
        <v>1.7494429805458651</v>
      </c>
    </row>
    <row r="50" spans="1:20" x14ac:dyDescent="0.25">
      <c r="A50" s="14">
        <f t="shared" si="16"/>
        <v>0.45422008547008547</v>
      </c>
      <c r="B50" s="2">
        <f t="shared" si="11"/>
        <v>45</v>
      </c>
      <c r="C50" s="4">
        <f t="shared" si="12"/>
        <v>26.83</v>
      </c>
      <c r="D50" s="2">
        <v>11</v>
      </c>
      <c r="E50" s="2">
        <v>50.26548245743669</v>
      </c>
      <c r="F50" s="11">
        <f t="shared" si="0"/>
        <v>2.1883804675135607</v>
      </c>
      <c r="G50" s="2">
        <f t="shared" si="1"/>
        <v>58.714247943388834</v>
      </c>
      <c r="H50" s="2">
        <f t="shared" si="2"/>
        <v>1.7930312927132255</v>
      </c>
      <c r="I50" s="2">
        <f t="shared" si="3"/>
        <v>48.107029583495837</v>
      </c>
      <c r="J50" s="2">
        <f t="shared" si="4"/>
        <v>10.607218359892997</v>
      </c>
      <c r="K50" s="15">
        <f t="shared" si="17"/>
        <v>0.43327991452991454</v>
      </c>
      <c r="L50" s="2">
        <f t="shared" si="14"/>
        <v>45</v>
      </c>
      <c r="M50" s="2">
        <f t="shared" si="15"/>
        <v>26.65</v>
      </c>
      <c r="N50" s="2">
        <v>11.5</v>
      </c>
      <c r="O50" s="2">
        <v>50.26548245743669</v>
      </c>
      <c r="P50" s="11">
        <f t="shared" si="5"/>
        <v>2.2878523069459957</v>
      </c>
      <c r="Q50" s="2">
        <f t="shared" si="6"/>
        <v>60.971263980110784</v>
      </c>
      <c r="R50" s="2">
        <f t="shared" si="7"/>
        <v>1.8230646440328588</v>
      </c>
      <c r="S50" s="2">
        <f t="shared" si="8"/>
        <v>48.584672763475687</v>
      </c>
      <c r="T50" s="2">
        <f t="shared" si="9"/>
        <v>12.386591216635097</v>
      </c>
    </row>
    <row r="51" spans="1:20" x14ac:dyDescent="0.25">
      <c r="A51" s="14">
        <f t="shared" si="16"/>
        <v>0.45434472934472936</v>
      </c>
      <c r="B51" s="2">
        <f t="shared" si="11"/>
        <v>46</v>
      </c>
      <c r="C51" s="4">
        <f t="shared" si="12"/>
        <v>27.33</v>
      </c>
      <c r="D51" s="2">
        <v>12</v>
      </c>
      <c r="E51" s="2">
        <v>50.26548245743669</v>
      </c>
      <c r="F51" s="11">
        <f t="shared" si="0"/>
        <v>2.3873241463784298</v>
      </c>
      <c r="G51" s="2">
        <f t="shared" si="1"/>
        <v>65.245568920522487</v>
      </c>
      <c r="H51" s="2">
        <f t="shared" si="2"/>
        <v>1.7930312927132255</v>
      </c>
      <c r="I51" s="2">
        <f t="shared" si="3"/>
        <v>49.003545229852449</v>
      </c>
      <c r="J51" s="2">
        <f t="shared" si="4"/>
        <v>16.242023690670038</v>
      </c>
      <c r="K51" s="15">
        <f t="shared" si="17"/>
        <v>0.43338675213675215</v>
      </c>
      <c r="L51" s="2">
        <f t="shared" si="14"/>
        <v>46</v>
      </c>
      <c r="M51" s="2">
        <f t="shared" si="15"/>
        <v>27.15</v>
      </c>
      <c r="N51" s="2">
        <v>12.5</v>
      </c>
      <c r="O51" s="2">
        <v>50.26548245743669</v>
      </c>
      <c r="P51" s="11">
        <f t="shared" si="5"/>
        <v>2.4867959858108648</v>
      </c>
      <c r="Q51" s="2">
        <f t="shared" si="6"/>
        <v>67.516511014764973</v>
      </c>
      <c r="R51" s="2">
        <f t="shared" si="7"/>
        <v>1.8230646440328588</v>
      </c>
      <c r="S51" s="2">
        <f t="shared" si="8"/>
        <v>49.496205085492115</v>
      </c>
      <c r="T51" s="2">
        <f t="shared" si="9"/>
        <v>18.020305929272858</v>
      </c>
    </row>
    <row r="52" spans="1:20" x14ac:dyDescent="0.25">
      <c r="A52" s="14">
        <f t="shared" si="16"/>
        <v>0.4544693732193732</v>
      </c>
      <c r="B52" s="2">
        <f t="shared" si="11"/>
        <v>47</v>
      </c>
      <c r="C52" s="4">
        <f t="shared" si="12"/>
        <v>27.83</v>
      </c>
      <c r="D52" s="2">
        <v>11</v>
      </c>
      <c r="E52" s="2">
        <v>50.26548245743669</v>
      </c>
      <c r="F52" s="11">
        <f t="shared" si="0"/>
        <v>2.1883804675135607</v>
      </c>
      <c r="G52" s="2">
        <f t="shared" si="1"/>
        <v>60.902628410902395</v>
      </c>
      <c r="H52" s="2">
        <f t="shared" si="2"/>
        <v>1.7930312927132255</v>
      </c>
      <c r="I52" s="2">
        <f t="shared" si="3"/>
        <v>49.900060876209061</v>
      </c>
      <c r="J52" s="2">
        <f t="shared" si="4"/>
        <v>11.002567534693334</v>
      </c>
      <c r="K52" s="15">
        <f t="shared" si="17"/>
        <v>0.43349358974358976</v>
      </c>
      <c r="L52" s="2">
        <f t="shared" si="14"/>
        <v>47</v>
      </c>
      <c r="M52" s="2">
        <f t="shared" si="15"/>
        <v>27.65</v>
      </c>
      <c r="N52" s="2">
        <v>11.5</v>
      </c>
      <c r="O52" s="2">
        <v>50.26548245743669</v>
      </c>
      <c r="P52" s="11">
        <f t="shared" si="5"/>
        <v>2.2878523069459957</v>
      </c>
      <c r="Q52" s="2">
        <f t="shared" si="6"/>
        <v>63.259116287056777</v>
      </c>
      <c r="R52" s="2">
        <f t="shared" si="7"/>
        <v>1.8230646440328588</v>
      </c>
      <c r="S52" s="2">
        <f t="shared" si="8"/>
        <v>50.407737407508542</v>
      </c>
      <c r="T52" s="2">
        <f t="shared" si="9"/>
        <v>12.851378879548236</v>
      </c>
    </row>
    <row r="53" spans="1:20" x14ac:dyDescent="0.25">
      <c r="A53" s="14">
        <f t="shared" si="16"/>
        <v>0.45459401709401709</v>
      </c>
      <c r="B53" s="2">
        <f t="shared" si="11"/>
        <v>48</v>
      </c>
      <c r="C53" s="4">
        <f t="shared" si="12"/>
        <v>28.33</v>
      </c>
      <c r="D53" s="2">
        <v>11.5</v>
      </c>
      <c r="E53" s="2">
        <v>50.26548245743669</v>
      </c>
      <c r="F53" s="11">
        <f t="shared" si="0"/>
        <v>2.2878523069459957</v>
      </c>
      <c r="G53" s="2">
        <f t="shared" si="1"/>
        <v>64.814855855780053</v>
      </c>
      <c r="H53" s="2">
        <f t="shared" si="2"/>
        <v>1.7930312927132255</v>
      </c>
      <c r="I53" s="2">
        <f t="shared" si="3"/>
        <v>50.796576522565672</v>
      </c>
      <c r="J53" s="2">
        <f t="shared" si="4"/>
        <v>14.01827933321438</v>
      </c>
      <c r="K53" s="15">
        <f t="shared" si="17"/>
        <v>0.43360042735042736</v>
      </c>
      <c r="L53" s="2">
        <f t="shared" si="14"/>
        <v>48</v>
      </c>
      <c r="M53" s="2">
        <f t="shared" si="15"/>
        <v>28.15</v>
      </c>
      <c r="N53" s="2">
        <v>12</v>
      </c>
      <c r="O53" s="2">
        <v>50.26548245743669</v>
      </c>
      <c r="P53" s="11">
        <f t="shared" si="5"/>
        <v>2.3873241463784298</v>
      </c>
      <c r="Q53" s="2">
        <f t="shared" si="6"/>
        <v>67.203174720552795</v>
      </c>
      <c r="R53" s="2">
        <f t="shared" si="7"/>
        <v>1.8230646440328588</v>
      </c>
      <c r="S53" s="2">
        <f t="shared" si="8"/>
        <v>51.319269729524976</v>
      </c>
      <c r="T53" s="2">
        <f t="shared" si="9"/>
        <v>15.883904991027819</v>
      </c>
    </row>
    <row r="54" spans="1:20" x14ac:dyDescent="0.25">
      <c r="A54" s="14">
        <f t="shared" si="16"/>
        <v>0.45471866096866098</v>
      </c>
      <c r="B54" s="2">
        <f t="shared" si="11"/>
        <v>49</v>
      </c>
      <c r="C54" s="4">
        <f t="shared" si="12"/>
        <v>28.83</v>
      </c>
      <c r="D54" s="2">
        <v>12.5</v>
      </c>
      <c r="E54" s="2">
        <v>50.26548245743669</v>
      </c>
      <c r="F54" s="11">
        <f t="shared" si="0"/>
        <v>2.4867959858108648</v>
      </c>
      <c r="G54" s="2">
        <f t="shared" si="1"/>
        <v>71.69432827092723</v>
      </c>
      <c r="H54" s="2">
        <f t="shared" si="2"/>
        <v>1.7930312927132255</v>
      </c>
      <c r="I54" s="2">
        <f t="shared" si="3"/>
        <v>51.693092168922284</v>
      </c>
      <c r="J54" s="2">
        <f t="shared" si="4"/>
        <v>20.001236102004945</v>
      </c>
      <c r="K54" s="15">
        <f t="shared" si="17"/>
        <v>0.43370726495726497</v>
      </c>
      <c r="L54" s="2">
        <f t="shared" si="14"/>
        <v>49</v>
      </c>
      <c r="M54" s="2">
        <f t="shared" si="15"/>
        <v>28.65</v>
      </c>
      <c r="N54" s="2">
        <v>11.5</v>
      </c>
      <c r="O54" s="2">
        <v>50.26548245743669</v>
      </c>
      <c r="P54" s="11">
        <f t="shared" si="5"/>
        <v>2.2878523069459957</v>
      </c>
      <c r="Q54" s="2">
        <f t="shared" si="6"/>
        <v>65.546968594002777</v>
      </c>
      <c r="R54" s="2">
        <f t="shared" si="7"/>
        <v>1.8230646440328588</v>
      </c>
      <c r="S54" s="2">
        <f t="shared" si="8"/>
        <v>52.230802051541403</v>
      </c>
      <c r="T54" s="2">
        <f t="shared" si="9"/>
        <v>13.316166542461374</v>
      </c>
    </row>
    <row r="55" spans="1:20" x14ac:dyDescent="0.25">
      <c r="A55" s="14">
        <f t="shared" si="16"/>
        <v>0.45484330484330482</v>
      </c>
      <c r="B55" s="2">
        <f t="shared" si="11"/>
        <v>50</v>
      </c>
      <c r="C55" s="4">
        <f t="shared" si="12"/>
        <v>29.33</v>
      </c>
      <c r="D55" s="2">
        <v>12.5</v>
      </c>
      <c r="E55" s="2">
        <v>50.26548245743669</v>
      </c>
      <c r="F55" s="11">
        <f t="shared" si="0"/>
        <v>2.4867959858108648</v>
      </c>
      <c r="G55" s="2">
        <f t="shared" si="1"/>
        <v>72.937726263832658</v>
      </c>
      <c r="H55" s="2">
        <f t="shared" si="2"/>
        <v>1.7930312927132255</v>
      </c>
      <c r="I55" s="2">
        <f t="shared" si="3"/>
        <v>52.589607815278903</v>
      </c>
      <c r="J55" s="2">
        <f t="shared" si="4"/>
        <v>20.348118448553755</v>
      </c>
      <c r="K55" s="15">
        <f t="shared" si="17"/>
        <v>0.43381410256410258</v>
      </c>
      <c r="L55" s="2">
        <f t="shared" si="14"/>
        <v>50</v>
      </c>
      <c r="M55" s="2">
        <f t="shared" si="15"/>
        <v>29.15</v>
      </c>
      <c r="N55" s="2">
        <v>18</v>
      </c>
      <c r="O55" s="2">
        <v>50.26548245743669</v>
      </c>
      <c r="P55" s="11">
        <f t="shared" si="5"/>
        <v>3.5809862195676452</v>
      </c>
      <c r="Q55" s="2">
        <f t="shared" si="6"/>
        <v>104.38574830039686</v>
      </c>
      <c r="R55" s="2">
        <f t="shared" si="7"/>
        <v>1.8230646440328588</v>
      </c>
      <c r="S55" s="2">
        <f t="shared" si="8"/>
        <v>53.14233437355783</v>
      </c>
      <c r="T55" s="2">
        <f t="shared" si="9"/>
        <v>51.243413926839025</v>
      </c>
    </row>
    <row r="56" spans="1:20" x14ac:dyDescent="0.25">
      <c r="A56" s="14">
        <f t="shared" si="16"/>
        <v>0.45496794871794871</v>
      </c>
      <c r="B56" s="2">
        <f t="shared" si="11"/>
        <v>51</v>
      </c>
      <c r="C56" s="4">
        <f t="shared" si="12"/>
        <v>29.83</v>
      </c>
      <c r="D56" s="2">
        <v>12</v>
      </c>
      <c r="E56" s="2">
        <v>50.26548245743669</v>
      </c>
      <c r="F56" s="11">
        <f t="shared" si="0"/>
        <v>2.3873241463784298</v>
      </c>
      <c r="G56" s="2">
        <f t="shared" si="1"/>
        <v>71.213879286468554</v>
      </c>
      <c r="H56" s="2">
        <f t="shared" si="2"/>
        <v>1.7930312927132255</v>
      </c>
      <c r="I56" s="2">
        <f t="shared" si="3"/>
        <v>53.486123461635515</v>
      </c>
      <c r="J56" s="2">
        <f t="shared" si="4"/>
        <v>17.727755824833039</v>
      </c>
      <c r="K56" s="15">
        <f t="shared" si="17"/>
        <v>0.43392094017094018</v>
      </c>
      <c r="L56" s="2">
        <f t="shared" si="14"/>
        <v>51</v>
      </c>
      <c r="M56" s="2">
        <f t="shared" si="15"/>
        <v>29.65</v>
      </c>
      <c r="N56" s="2">
        <v>13</v>
      </c>
      <c r="O56" s="2">
        <v>50.26548245743669</v>
      </c>
      <c r="P56" s="11">
        <f t="shared" si="5"/>
        <v>2.5862678252432989</v>
      </c>
      <c r="Q56" s="2">
        <f t="shared" si="6"/>
        <v>76.682841018463805</v>
      </c>
      <c r="R56" s="2">
        <f t="shared" si="7"/>
        <v>1.8230646440328588</v>
      </c>
      <c r="S56" s="2">
        <f t="shared" si="8"/>
        <v>54.053866695574264</v>
      </c>
      <c r="T56" s="2">
        <f t="shared" si="9"/>
        <v>22.62897432288954</v>
      </c>
    </row>
    <row r="57" spans="1:20" x14ac:dyDescent="0.25">
      <c r="A57" s="14">
        <f t="shared" si="16"/>
        <v>0.4550925925925926</v>
      </c>
      <c r="B57" s="2">
        <f t="shared" si="11"/>
        <v>52</v>
      </c>
      <c r="C57" s="4">
        <f t="shared" si="12"/>
        <v>30.33</v>
      </c>
      <c r="D57" s="2">
        <v>11.5</v>
      </c>
      <c r="E57" s="2">
        <v>50.26548245743669</v>
      </c>
      <c r="F57" s="11">
        <f t="shared" si="0"/>
        <v>2.2878523069459957</v>
      </c>
      <c r="G57" s="2">
        <f t="shared" si="1"/>
        <v>69.390560469672053</v>
      </c>
      <c r="H57" s="2">
        <f t="shared" si="2"/>
        <v>1.7930312927132255</v>
      </c>
      <c r="I57" s="2">
        <f t="shared" si="3"/>
        <v>54.382639107992127</v>
      </c>
      <c r="J57" s="2">
        <f t="shared" si="4"/>
        <v>15.007921361679927</v>
      </c>
      <c r="K57" s="15">
        <f t="shared" si="17"/>
        <v>0.43402777777777779</v>
      </c>
      <c r="L57" s="2">
        <f t="shared" si="14"/>
        <v>52</v>
      </c>
      <c r="M57" s="2">
        <f t="shared" si="15"/>
        <v>30.15</v>
      </c>
      <c r="N57" s="2">
        <v>13.5</v>
      </c>
      <c r="O57" s="2">
        <v>50.26548245743669</v>
      </c>
      <c r="P57" s="11">
        <f t="shared" si="5"/>
        <v>2.6857396646757339</v>
      </c>
      <c r="Q57" s="2">
        <f t="shared" si="6"/>
        <v>80.975050889973375</v>
      </c>
      <c r="R57" s="2">
        <f t="shared" si="7"/>
        <v>1.8230646440328588</v>
      </c>
      <c r="S57" s="2">
        <f t="shared" si="8"/>
        <v>54.965399017590691</v>
      </c>
      <c r="T57" s="2">
        <f t="shared" si="9"/>
        <v>26.009651872382683</v>
      </c>
    </row>
    <row r="58" spans="1:20" x14ac:dyDescent="0.25">
      <c r="A58" s="14">
        <f t="shared" si="16"/>
        <v>0.45521723646723644</v>
      </c>
      <c r="B58" s="2">
        <f t="shared" si="11"/>
        <v>53</v>
      </c>
      <c r="C58" s="4">
        <f t="shared" si="12"/>
        <v>30.83</v>
      </c>
      <c r="D58" s="2">
        <v>11</v>
      </c>
      <c r="E58" s="2">
        <v>50.26548245743669</v>
      </c>
      <c r="F58" s="11">
        <f t="shared" si="0"/>
        <v>2.1883804675135607</v>
      </c>
      <c r="G58" s="2">
        <f t="shared" si="1"/>
        <v>67.46776981344307</v>
      </c>
      <c r="H58" s="2">
        <f t="shared" si="2"/>
        <v>1.7930312927132255</v>
      </c>
      <c r="I58" s="2">
        <f t="shared" si="3"/>
        <v>55.279154754348738</v>
      </c>
      <c r="J58" s="2">
        <f t="shared" si="4"/>
        <v>12.188615059094332</v>
      </c>
      <c r="K58" s="15">
        <f t="shared" si="17"/>
        <v>0.4341346153846154</v>
      </c>
      <c r="L58" s="2">
        <f t="shared" si="14"/>
        <v>53</v>
      </c>
      <c r="M58" s="2">
        <f t="shared" si="15"/>
        <v>30.65</v>
      </c>
      <c r="N58" s="2">
        <v>12.5</v>
      </c>
      <c r="O58" s="2">
        <v>50.26548245743669</v>
      </c>
      <c r="P58" s="11">
        <f t="shared" si="5"/>
        <v>2.4867959858108648</v>
      </c>
      <c r="Q58" s="2">
        <f t="shared" si="6"/>
        <v>76.220296965103003</v>
      </c>
      <c r="R58" s="2">
        <f t="shared" si="7"/>
        <v>1.8230646440328588</v>
      </c>
      <c r="S58" s="2">
        <f t="shared" si="8"/>
        <v>55.876931339607118</v>
      </c>
      <c r="T58" s="2">
        <f t="shared" si="9"/>
        <v>20.343365625495885</v>
      </c>
    </row>
    <row r="59" spans="1:20" x14ac:dyDescent="0.25">
      <c r="A59" s="14">
        <f t="shared" si="16"/>
        <v>0.45534188034188033</v>
      </c>
      <c r="B59" s="2">
        <f t="shared" si="11"/>
        <v>54</v>
      </c>
      <c r="C59" s="4">
        <f t="shared" si="12"/>
        <v>31.33</v>
      </c>
      <c r="D59" s="2">
        <v>16</v>
      </c>
      <c r="E59" s="2">
        <v>50.26548245743669</v>
      </c>
      <c r="F59" s="11">
        <f t="shared" si="0"/>
        <v>3.183098861837907</v>
      </c>
      <c r="G59" s="2">
        <f t="shared" si="1"/>
        <v>99.726487341381628</v>
      </c>
      <c r="H59" s="2">
        <f t="shared" si="2"/>
        <v>1.7930312927132255</v>
      </c>
      <c r="I59" s="2">
        <f t="shared" si="3"/>
        <v>56.17567040070535</v>
      </c>
      <c r="J59" s="2">
        <f t="shared" si="4"/>
        <v>43.550816940676278</v>
      </c>
      <c r="K59" s="15">
        <f t="shared" si="17"/>
        <v>0.434241452991453</v>
      </c>
      <c r="L59" s="2">
        <f t="shared" si="14"/>
        <v>54</v>
      </c>
      <c r="M59" s="2">
        <f t="shared" si="15"/>
        <v>31.15</v>
      </c>
      <c r="N59" s="2">
        <v>11.5</v>
      </c>
      <c r="O59" s="2">
        <v>50.26548245743669</v>
      </c>
      <c r="P59" s="11">
        <f t="shared" si="5"/>
        <v>2.2878523069459957</v>
      </c>
      <c r="Q59" s="2">
        <f t="shared" si="6"/>
        <v>71.266599361367767</v>
      </c>
      <c r="R59" s="2">
        <f t="shared" si="7"/>
        <v>1.8230646440328588</v>
      </c>
      <c r="S59" s="2">
        <f t="shared" si="8"/>
        <v>56.788463661623553</v>
      </c>
      <c r="T59" s="2">
        <f t="shared" si="9"/>
        <v>14.478135699744215</v>
      </c>
    </row>
    <row r="60" spans="1:20" x14ac:dyDescent="0.25">
      <c r="A60" s="14">
        <f t="shared" si="16"/>
        <v>0.45546652421652423</v>
      </c>
      <c r="B60" s="2">
        <f t="shared" si="11"/>
        <v>55</v>
      </c>
      <c r="C60" s="4">
        <f t="shared" si="12"/>
        <v>31.83</v>
      </c>
      <c r="D60" s="2">
        <v>10.5</v>
      </c>
      <c r="E60" s="2">
        <v>50.26548245743669</v>
      </c>
      <c r="F60" s="11">
        <f t="shared" si="0"/>
        <v>2.0889086280811267</v>
      </c>
      <c r="G60" s="2">
        <f t="shared" si="1"/>
        <v>66.489961631822254</v>
      </c>
      <c r="H60" s="2">
        <f t="shared" si="2"/>
        <v>1.7930312927132255</v>
      </c>
      <c r="I60" s="2">
        <f t="shared" si="3"/>
        <v>57.072186047061962</v>
      </c>
      <c r="J60" s="2">
        <f t="shared" si="4"/>
        <v>9.4177755847602924</v>
      </c>
      <c r="K60" s="15">
        <f t="shared" si="17"/>
        <v>0.43434829059829061</v>
      </c>
      <c r="L60" s="2">
        <f t="shared" si="14"/>
        <v>55</v>
      </c>
      <c r="M60" s="2">
        <f t="shared" si="15"/>
        <v>31.65</v>
      </c>
      <c r="N60" s="2">
        <v>11.5</v>
      </c>
      <c r="O60" s="2">
        <v>50.26548245743669</v>
      </c>
      <c r="P60" s="11">
        <f t="shared" si="5"/>
        <v>2.2878523069459957</v>
      </c>
      <c r="Q60" s="2">
        <f t="shared" si="6"/>
        <v>72.410525514840757</v>
      </c>
      <c r="R60" s="2">
        <f t="shared" si="7"/>
        <v>1.8230646440328588</v>
      </c>
      <c r="S60" s="2">
        <f t="shared" si="8"/>
        <v>57.69999598363998</v>
      </c>
      <c r="T60" s="2">
        <f t="shared" si="9"/>
        <v>14.710529531200777</v>
      </c>
    </row>
    <row r="61" spans="1:20" x14ac:dyDescent="0.25">
      <c r="A61" s="14">
        <f t="shared" si="16"/>
        <v>0.45559116809116806</v>
      </c>
      <c r="B61" s="2">
        <f t="shared" si="11"/>
        <v>56</v>
      </c>
      <c r="C61" s="4">
        <f t="shared" si="12"/>
        <v>32.33</v>
      </c>
      <c r="D61" s="2">
        <v>11.5</v>
      </c>
      <c r="E61" s="2">
        <v>50.26548245743669</v>
      </c>
      <c r="F61" s="11">
        <f t="shared" si="0"/>
        <v>2.2878523069459957</v>
      </c>
      <c r="G61" s="2">
        <f t="shared" si="1"/>
        <v>73.966265083564039</v>
      </c>
      <c r="H61" s="2">
        <f t="shared" si="2"/>
        <v>1.7930312927132255</v>
      </c>
      <c r="I61" s="2">
        <f t="shared" si="3"/>
        <v>57.968701693418573</v>
      </c>
      <c r="J61" s="2">
        <f t="shared" si="4"/>
        <v>15.997563390145466</v>
      </c>
      <c r="K61" s="15">
        <f t="shared" si="17"/>
        <v>0.43445512820512822</v>
      </c>
      <c r="L61" s="2">
        <f t="shared" si="14"/>
        <v>56</v>
      </c>
      <c r="M61" s="2">
        <f t="shared" si="15"/>
        <v>32.15</v>
      </c>
      <c r="N61" s="2">
        <v>10.5</v>
      </c>
      <c r="O61" s="2">
        <v>50.26548245743669</v>
      </c>
      <c r="P61" s="11">
        <f t="shared" si="5"/>
        <v>2.0889086280811267</v>
      </c>
      <c r="Q61" s="2">
        <f t="shared" si="6"/>
        <v>67.158412392808216</v>
      </c>
      <c r="R61" s="2">
        <f t="shared" si="7"/>
        <v>1.8230646440328588</v>
      </c>
      <c r="S61" s="2">
        <f t="shared" si="8"/>
        <v>58.611528305656407</v>
      </c>
      <c r="T61" s="2">
        <f t="shared" si="9"/>
        <v>8.5468840871518097</v>
      </c>
    </row>
    <row r="62" spans="1:20" x14ac:dyDescent="0.25">
      <c r="A62" s="14">
        <f t="shared" si="16"/>
        <v>0.45571581196581196</v>
      </c>
      <c r="B62" s="2">
        <f t="shared" si="11"/>
        <v>57</v>
      </c>
      <c r="C62" s="4">
        <f t="shared" si="12"/>
        <v>32.83</v>
      </c>
      <c r="D62" s="2">
        <v>11.5</v>
      </c>
      <c r="E62" s="2">
        <v>50.26548245743669</v>
      </c>
      <c r="F62" s="11">
        <f t="shared" si="0"/>
        <v>2.2878523069459957</v>
      </c>
      <c r="G62" s="2">
        <f t="shared" si="1"/>
        <v>75.110191237037043</v>
      </c>
      <c r="H62" s="2">
        <f t="shared" si="2"/>
        <v>1.7930312927132255</v>
      </c>
      <c r="I62" s="2">
        <f t="shared" si="3"/>
        <v>58.865217339775192</v>
      </c>
      <c r="J62" s="2">
        <f t="shared" si="4"/>
        <v>16.24497389726185</v>
      </c>
      <c r="K62" s="15">
        <f t="shared" si="17"/>
        <v>0.43456196581196582</v>
      </c>
      <c r="L62" s="2">
        <f t="shared" si="14"/>
        <v>57</v>
      </c>
      <c r="M62" s="2">
        <f t="shared" si="15"/>
        <v>32.65</v>
      </c>
      <c r="N62" s="2">
        <v>11</v>
      </c>
      <c r="O62" s="2">
        <v>50.26548245743669</v>
      </c>
      <c r="P62" s="11">
        <f t="shared" si="5"/>
        <v>2.1883804675135607</v>
      </c>
      <c r="Q62" s="2">
        <f t="shared" si="6"/>
        <v>71.450622264317758</v>
      </c>
      <c r="R62" s="2">
        <f t="shared" si="7"/>
        <v>1.8230646440328588</v>
      </c>
      <c r="S62" s="2">
        <f t="shared" si="8"/>
        <v>59.523060627672841</v>
      </c>
      <c r="T62" s="2">
        <f t="shared" si="9"/>
        <v>11.927561636644917</v>
      </c>
    </row>
    <row r="63" spans="1:20" x14ac:dyDescent="0.25">
      <c r="A63" s="14">
        <f t="shared" si="16"/>
        <v>0.45584045584045585</v>
      </c>
      <c r="B63" s="2">
        <f t="shared" si="11"/>
        <v>58</v>
      </c>
      <c r="C63" s="4">
        <f t="shared" si="12"/>
        <v>33.33</v>
      </c>
      <c r="D63" s="2">
        <v>17.5</v>
      </c>
      <c r="E63" s="2">
        <v>50.26548245743669</v>
      </c>
      <c r="F63" s="11">
        <f t="shared" si="0"/>
        <v>3.4815143801352106</v>
      </c>
      <c r="G63" s="2">
        <f t="shared" si="1"/>
        <v>116.03887428990656</v>
      </c>
      <c r="H63" s="2">
        <f t="shared" si="2"/>
        <v>1.7930312927132255</v>
      </c>
      <c r="I63" s="2">
        <f t="shared" si="3"/>
        <v>59.761732986131804</v>
      </c>
      <c r="J63" s="2">
        <f t="shared" si="4"/>
        <v>56.277141303774755</v>
      </c>
      <c r="K63" s="15">
        <f t="shared" si="17"/>
        <v>0.43466880341880343</v>
      </c>
      <c r="L63" s="2">
        <f t="shared" si="14"/>
        <v>58</v>
      </c>
      <c r="M63" s="2">
        <f t="shared" si="15"/>
        <v>33.15</v>
      </c>
      <c r="N63" s="2">
        <v>11.5</v>
      </c>
      <c r="O63" s="2">
        <v>50.26548245743669</v>
      </c>
      <c r="P63" s="11">
        <f t="shared" si="5"/>
        <v>2.2878523069459957</v>
      </c>
      <c r="Q63" s="2">
        <f t="shared" si="6"/>
        <v>75.842303975259753</v>
      </c>
      <c r="R63" s="2">
        <f t="shared" si="7"/>
        <v>1.8230646440328588</v>
      </c>
      <c r="S63" s="2">
        <f t="shared" si="8"/>
        <v>60.434592949689268</v>
      </c>
      <c r="T63" s="2">
        <f t="shared" si="9"/>
        <v>15.407711025570485</v>
      </c>
    </row>
    <row r="64" spans="1:20" x14ac:dyDescent="0.25">
      <c r="A64" s="14">
        <f t="shared" si="16"/>
        <v>0.45596509971509969</v>
      </c>
      <c r="B64" s="2">
        <f t="shared" si="11"/>
        <v>59</v>
      </c>
      <c r="C64" s="4">
        <f t="shared" si="12"/>
        <v>33.83</v>
      </c>
      <c r="D64" s="2">
        <v>11.5</v>
      </c>
      <c r="E64" s="2">
        <v>50.26548245743669</v>
      </c>
      <c r="F64" s="11">
        <f t="shared" si="0"/>
        <v>2.2878523069459957</v>
      </c>
      <c r="G64" s="2">
        <f t="shared" si="1"/>
        <v>77.398043543983036</v>
      </c>
      <c r="H64" s="2">
        <f t="shared" si="2"/>
        <v>1.7930312927132255</v>
      </c>
      <c r="I64" s="2">
        <f t="shared" si="3"/>
        <v>60.658248632488416</v>
      </c>
      <c r="J64" s="2">
        <f t="shared" si="4"/>
        <v>16.73979491149462</v>
      </c>
      <c r="K64" s="15">
        <f t="shared" si="17"/>
        <v>0.43477564102564104</v>
      </c>
      <c r="L64" s="2">
        <f t="shared" si="14"/>
        <v>59</v>
      </c>
      <c r="M64" s="2">
        <f t="shared" si="15"/>
        <v>33.65</v>
      </c>
      <c r="N64" s="2">
        <v>12.5</v>
      </c>
      <c r="O64" s="2">
        <v>50.26548245743669</v>
      </c>
      <c r="P64" s="11">
        <f t="shared" si="5"/>
        <v>2.4867959858108648</v>
      </c>
      <c r="Q64" s="2">
        <f t="shared" si="6"/>
        <v>83.68068492253559</v>
      </c>
      <c r="R64" s="2">
        <f t="shared" si="7"/>
        <v>1.8230646440328588</v>
      </c>
      <c r="S64" s="2">
        <f t="shared" si="8"/>
        <v>61.346125271705695</v>
      </c>
      <c r="T64" s="2">
        <f t="shared" si="9"/>
        <v>22.334559650829895</v>
      </c>
    </row>
    <row r="65" spans="1:20" x14ac:dyDescent="0.25">
      <c r="A65" s="14">
        <f t="shared" si="16"/>
        <v>0.45608974358974358</v>
      </c>
      <c r="B65" s="2">
        <f t="shared" si="11"/>
        <v>60</v>
      </c>
      <c r="C65" s="4">
        <f t="shared" si="12"/>
        <v>34.33</v>
      </c>
      <c r="D65" s="2">
        <v>10.5</v>
      </c>
      <c r="E65" s="2">
        <v>50.26548245743669</v>
      </c>
      <c r="F65" s="11">
        <f t="shared" si="0"/>
        <v>2.0889086280811267</v>
      </c>
      <c r="G65" s="2">
        <f t="shared" si="1"/>
        <v>71.712233202025075</v>
      </c>
      <c r="H65" s="2">
        <f t="shared" si="2"/>
        <v>1.7930312927132255</v>
      </c>
      <c r="I65" s="2">
        <f t="shared" si="3"/>
        <v>61.554764278845028</v>
      </c>
      <c r="J65" s="2">
        <f t="shared" si="4"/>
        <v>10.157468923180048</v>
      </c>
      <c r="K65" s="15">
        <f t="shared" si="17"/>
        <v>0.43488247863247864</v>
      </c>
      <c r="L65" s="2">
        <f t="shared" si="14"/>
        <v>60</v>
      </c>
      <c r="M65" s="2">
        <f t="shared" si="15"/>
        <v>34.15</v>
      </c>
      <c r="N65" s="2">
        <v>11.5</v>
      </c>
      <c r="O65" s="2">
        <v>50.26548245743669</v>
      </c>
      <c r="P65" s="11">
        <f t="shared" si="5"/>
        <v>2.2878523069459957</v>
      </c>
      <c r="Q65" s="2">
        <f t="shared" si="6"/>
        <v>78.130156282205746</v>
      </c>
      <c r="R65" s="2">
        <f t="shared" si="7"/>
        <v>1.8230646440328588</v>
      </c>
      <c r="S65" s="2">
        <f t="shared" si="8"/>
        <v>62.257657593722129</v>
      </c>
      <c r="T65" s="2">
        <f t="shared" si="9"/>
        <v>15.872498688483617</v>
      </c>
    </row>
    <row r="66" spans="1:20" x14ac:dyDescent="0.25">
      <c r="A66" s="14">
        <f t="shared" si="16"/>
        <v>0.45621438746438747</v>
      </c>
      <c r="B66" s="2">
        <f t="shared" si="11"/>
        <v>61</v>
      </c>
      <c r="C66" s="4">
        <f t="shared" si="12"/>
        <v>34.83</v>
      </c>
      <c r="D66" s="2">
        <v>11.5</v>
      </c>
      <c r="E66" s="2">
        <v>50.26548245743669</v>
      </c>
      <c r="F66" s="11">
        <f t="shared" si="0"/>
        <v>2.2878523069459957</v>
      </c>
      <c r="G66" s="2">
        <f t="shared" si="1"/>
        <v>79.685895850929029</v>
      </c>
      <c r="H66" s="2">
        <f t="shared" si="2"/>
        <v>1.7930312927132255</v>
      </c>
      <c r="I66" s="2">
        <f t="shared" si="3"/>
        <v>62.451279925201639</v>
      </c>
      <c r="J66" s="2">
        <f t="shared" si="4"/>
        <v>17.23461592572739</v>
      </c>
      <c r="K66" s="15">
        <f t="shared" si="17"/>
        <v>0.43498931623931625</v>
      </c>
      <c r="L66" s="2">
        <f t="shared" si="14"/>
        <v>61</v>
      </c>
      <c r="M66" s="2">
        <f t="shared" si="15"/>
        <v>34.65</v>
      </c>
      <c r="N66" s="2">
        <v>11.5</v>
      </c>
      <c r="O66" s="2">
        <v>50.26548245743669</v>
      </c>
      <c r="P66" s="11">
        <f t="shared" si="5"/>
        <v>2.2878523069459957</v>
      </c>
      <c r="Q66" s="2">
        <f t="shared" si="6"/>
        <v>79.27408243567875</v>
      </c>
      <c r="R66" s="2">
        <f t="shared" si="7"/>
        <v>1.8230646440328588</v>
      </c>
      <c r="S66" s="2">
        <f t="shared" si="8"/>
        <v>63.169189915738556</v>
      </c>
      <c r="T66" s="2">
        <f t="shared" si="9"/>
        <v>16.104892519940194</v>
      </c>
    </row>
    <row r="67" spans="1:20" x14ac:dyDescent="0.25">
      <c r="A67" s="14">
        <f t="shared" si="16"/>
        <v>0.45633903133903131</v>
      </c>
      <c r="B67" s="2">
        <f t="shared" si="11"/>
        <v>62</v>
      </c>
      <c r="C67" s="4">
        <f t="shared" si="12"/>
        <v>35.33</v>
      </c>
      <c r="D67" s="2">
        <v>12</v>
      </c>
      <c r="E67" s="2">
        <v>50.26548245743669</v>
      </c>
      <c r="F67" s="11">
        <f t="shared" si="0"/>
        <v>2.3873241463784298</v>
      </c>
      <c r="G67" s="2">
        <f t="shared" si="1"/>
        <v>84.344162091549919</v>
      </c>
      <c r="H67" s="2">
        <f t="shared" si="2"/>
        <v>1.7930312927132255</v>
      </c>
      <c r="I67" s="2">
        <f t="shared" si="3"/>
        <v>63.347795571558251</v>
      </c>
      <c r="J67" s="2">
        <f t="shared" si="4"/>
        <v>20.996366519991668</v>
      </c>
      <c r="K67" s="15">
        <f t="shared" si="17"/>
        <v>0.43509615384615385</v>
      </c>
      <c r="L67" s="2">
        <f t="shared" si="14"/>
        <v>62</v>
      </c>
      <c r="M67" s="2">
        <f t="shared" si="15"/>
        <v>35.15</v>
      </c>
      <c r="N67" s="2">
        <v>13</v>
      </c>
      <c r="O67" s="2">
        <v>50.26548245743669</v>
      </c>
      <c r="P67" s="11">
        <f t="shared" si="5"/>
        <v>2.5862678252432989</v>
      </c>
      <c r="Q67" s="2">
        <f t="shared" si="6"/>
        <v>90.907314057301946</v>
      </c>
      <c r="R67" s="2">
        <f t="shared" si="7"/>
        <v>1.8230646440328588</v>
      </c>
      <c r="S67" s="2">
        <f t="shared" si="8"/>
        <v>64.080722237754983</v>
      </c>
      <c r="T67" s="2">
        <f t="shared" si="9"/>
        <v>26.826591819546962</v>
      </c>
    </row>
    <row r="68" spans="1:20" x14ac:dyDescent="0.25">
      <c r="A68" s="14">
        <f t="shared" si="16"/>
        <v>0.4564636752136752</v>
      </c>
      <c r="B68" s="2">
        <f t="shared" si="11"/>
        <v>63</v>
      </c>
      <c r="C68" s="4">
        <f t="shared" si="12"/>
        <v>35.83</v>
      </c>
      <c r="D68" s="2">
        <v>12</v>
      </c>
      <c r="E68" s="2">
        <v>50.26548245743669</v>
      </c>
      <c r="F68" s="11">
        <f t="shared" si="0"/>
        <v>2.3873241463784298</v>
      </c>
      <c r="G68" s="2">
        <f t="shared" si="1"/>
        <v>85.537824164739135</v>
      </c>
      <c r="H68" s="2">
        <f t="shared" si="2"/>
        <v>1.7930312927132255</v>
      </c>
      <c r="I68" s="2">
        <f t="shared" si="3"/>
        <v>64.24431121791487</v>
      </c>
      <c r="J68" s="2">
        <f t="shared" si="4"/>
        <v>21.293512946824265</v>
      </c>
      <c r="K68" s="15">
        <f t="shared" si="17"/>
        <v>0.43520299145299146</v>
      </c>
      <c r="L68" s="2">
        <f t="shared" si="14"/>
        <v>63</v>
      </c>
      <c r="M68" s="2">
        <f t="shared" si="15"/>
        <v>35.65</v>
      </c>
      <c r="N68" s="2">
        <v>12</v>
      </c>
      <c r="O68" s="2">
        <v>50.26548245743669</v>
      </c>
      <c r="P68" s="11">
        <f t="shared" si="5"/>
        <v>2.3873241463784298</v>
      </c>
      <c r="Q68" s="2">
        <f t="shared" si="6"/>
        <v>85.108105818391024</v>
      </c>
      <c r="R68" s="2">
        <f t="shared" si="7"/>
        <v>1.8230646440328588</v>
      </c>
      <c r="S68" s="2">
        <f t="shared" si="8"/>
        <v>64.992254559771411</v>
      </c>
      <c r="T68" s="2">
        <f t="shared" si="9"/>
        <v>20.115851258619614</v>
      </c>
    </row>
    <row r="69" spans="1:20" x14ac:dyDescent="0.25">
      <c r="A69" s="14">
        <f t="shared" si="16"/>
        <v>0.45658831908831909</v>
      </c>
      <c r="B69" s="2">
        <f t="shared" si="11"/>
        <v>64</v>
      </c>
      <c r="C69" s="4">
        <f t="shared" si="12"/>
        <v>36.33</v>
      </c>
      <c r="D69" s="2">
        <v>11</v>
      </c>
      <c r="E69" s="2">
        <v>50.26548245743669</v>
      </c>
      <c r="F69" s="11">
        <f t="shared" si="0"/>
        <v>2.1883804675135607</v>
      </c>
      <c r="G69" s="2">
        <f t="shared" si="1"/>
        <v>79.503862384767658</v>
      </c>
      <c r="H69" s="2">
        <f t="shared" si="2"/>
        <v>1.7930312927132255</v>
      </c>
      <c r="I69" s="2">
        <f t="shared" si="3"/>
        <v>65.140826864271475</v>
      </c>
      <c r="J69" s="2">
        <f t="shared" si="4"/>
        <v>14.363035520496183</v>
      </c>
      <c r="K69" s="15">
        <f t="shared" si="17"/>
        <v>0.43530982905982907</v>
      </c>
      <c r="L69" s="2">
        <f t="shared" si="14"/>
        <v>64</v>
      </c>
      <c r="M69" s="2">
        <f t="shared" si="15"/>
        <v>36.15</v>
      </c>
      <c r="N69" s="2">
        <v>13</v>
      </c>
      <c r="O69" s="2">
        <v>50.26548245743669</v>
      </c>
      <c r="P69" s="11">
        <f t="shared" si="5"/>
        <v>2.5862678252432989</v>
      </c>
      <c r="Q69" s="2">
        <f t="shared" si="6"/>
        <v>93.493581882545257</v>
      </c>
      <c r="R69" s="2">
        <f t="shared" si="7"/>
        <v>1.8230646440328588</v>
      </c>
      <c r="S69" s="2">
        <f t="shared" si="8"/>
        <v>65.903786881787838</v>
      </c>
      <c r="T69" s="2">
        <f t="shared" si="9"/>
        <v>27.58979500075742</v>
      </c>
    </row>
    <row r="70" spans="1:20" x14ac:dyDescent="0.25">
      <c r="A70" s="14">
        <f t="shared" si="16"/>
        <v>0.45671296296296293</v>
      </c>
      <c r="B70" s="2">
        <f t="shared" si="11"/>
        <v>65</v>
      </c>
      <c r="C70" s="4">
        <f t="shared" si="12"/>
        <v>36.83</v>
      </c>
      <c r="D70" s="2">
        <v>12.5</v>
      </c>
      <c r="E70" s="2">
        <v>50.26548245743669</v>
      </c>
      <c r="F70" s="11">
        <f t="shared" si="0"/>
        <v>2.4867959858108648</v>
      </c>
      <c r="G70" s="2">
        <f t="shared" si="1"/>
        <v>91.588696157414148</v>
      </c>
      <c r="H70" s="2">
        <f t="shared" si="2"/>
        <v>1.7930312927132255</v>
      </c>
      <c r="I70" s="2">
        <f t="shared" si="3"/>
        <v>66.037342510628093</v>
      </c>
      <c r="J70" s="2">
        <f t="shared" si="4"/>
        <v>25.551353646786055</v>
      </c>
      <c r="K70" s="15">
        <f t="shared" si="17"/>
        <v>0.43541666666666667</v>
      </c>
      <c r="L70" s="2">
        <f t="shared" si="14"/>
        <v>65</v>
      </c>
      <c r="M70" s="2">
        <f t="shared" si="15"/>
        <v>36.65</v>
      </c>
      <c r="N70" s="2">
        <v>12</v>
      </c>
      <c r="O70" s="2">
        <v>50.26548245743669</v>
      </c>
      <c r="P70" s="11">
        <f t="shared" si="5"/>
        <v>2.3873241463784298</v>
      </c>
      <c r="Q70" s="2">
        <f t="shared" si="6"/>
        <v>87.495429964769443</v>
      </c>
      <c r="R70" s="2">
        <f t="shared" si="7"/>
        <v>1.8230646440328588</v>
      </c>
      <c r="S70" s="2">
        <f t="shared" si="8"/>
        <v>66.815319203804279</v>
      </c>
      <c r="T70" s="2">
        <f t="shared" si="9"/>
        <v>20.680110760965164</v>
      </c>
    </row>
    <row r="71" spans="1:20" x14ac:dyDescent="0.25">
      <c r="A71" s="14">
        <f t="shared" si="16"/>
        <v>0.45683760683760682</v>
      </c>
      <c r="B71" s="2">
        <f t="shared" si="11"/>
        <v>66</v>
      </c>
      <c r="C71" s="4">
        <f t="shared" si="12"/>
        <v>37.33</v>
      </c>
      <c r="D71" s="2">
        <v>11</v>
      </c>
      <c r="E71" s="2">
        <v>50.26548245743669</v>
      </c>
      <c r="F71" s="11">
        <f t="shared" si="0"/>
        <v>2.1883804675135607</v>
      </c>
      <c r="G71" s="2">
        <f t="shared" si="1"/>
        <v>81.692242852281225</v>
      </c>
      <c r="H71" s="2">
        <f t="shared" si="2"/>
        <v>1.7930312927132255</v>
      </c>
      <c r="I71" s="2">
        <f t="shared" si="3"/>
        <v>66.933858156984698</v>
      </c>
      <c r="J71" s="2">
        <f t="shared" si="4"/>
        <v>14.758384695296527</v>
      </c>
      <c r="K71" s="15">
        <f t="shared" si="17"/>
        <v>0.43552350427350428</v>
      </c>
      <c r="L71" s="2">
        <f t="shared" si="14"/>
        <v>66</v>
      </c>
      <c r="M71" s="2">
        <f t="shared" si="15"/>
        <v>37.15</v>
      </c>
      <c r="N71" s="2">
        <v>11.5</v>
      </c>
      <c r="O71" s="2">
        <v>50.26548245743669</v>
      </c>
      <c r="P71" s="11">
        <f t="shared" si="5"/>
        <v>2.2878523069459957</v>
      </c>
      <c r="Q71" s="2">
        <f t="shared" si="6"/>
        <v>84.99371320304374</v>
      </c>
      <c r="R71" s="2">
        <f t="shared" si="7"/>
        <v>1.8230646440328588</v>
      </c>
      <c r="S71" s="2">
        <f t="shared" si="8"/>
        <v>67.726851525820706</v>
      </c>
      <c r="T71" s="2">
        <f t="shared" si="9"/>
        <v>17.266861677223034</v>
      </c>
    </row>
    <row r="72" spans="1:20" x14ac:dyDescent="0.25">
      <c r="A72" s="14">
        <f t="shared" si="16"/>
        <v>0.45696225071225072</v>
      </c>
      <c r="B72" s="2">
        <f t="shared" si="11"/>
        <v>67</v>
      </c>
      <c r="C72" s="4">
        <f t="shared" si="12"/>
        <v>37.83</v>
      </c>
      <c r="D72" s="2">
        <v>11</v>
      </c>
      <c r="E72" s="2">
        <v>50.26548245743669</v>
      </c>
      <c r="F72" s="11">
        <f t="shared" si="0"/>
        <v>2.1883804675135607</v>
      </c>
      <c r="G72" s="2">
        <f t="shared" si="1"/>
        <v>82.786433086038002</v>
      </c>
      <c r="H72" s="2">
        <f t="shared" si="2"/>
        <v>1.7930312927132255</v>
      </c>
      <c r="I72" s="2">
        <f t="shared" si="3"/>
        <v>67.830373803341317</v>
      </c>
      <c r="J72" s="2">
        <f t="shared" si="4"/>
        <v>14.956059282696685</v>
      </c>
      <c r="K72" s="15">
        <f t="shared" si="17"/>
        <v>0.43563034188034189</v>
      </c>
      <c r="L72" s="2">
        <f t="shared" si="14"/>
        <v>67</v>
      </c>
      <c r="M72" s="2">
        <f t="shared" si="15"/>
        <v>37.65</v>
      </c>
      <c r="N72" s="2">
        <v>14.5</v>
      </c>
      <c r="O72" s="2">
        <v>50.26548245743669</v>
      </c>
      <c r="P72" s="11">
        <f t="shared" si="5"/>
        <v>2.8846833435406034</v>
      </c>
      <c r="Q72" s="2">
        <f t="shared" si="6"/>
        <v>108.60832788430372</v>
      </c>
      <c r="R72" s="2">
        <f t="shared" si="7"/>
        <v>1.8230646440328588</v>
      </c>
      <c r="S72" s="2">
        <f t="shared" si="8"/>
        <v>68.638383847837133</v>
      </c>
      <c r="T72" s="2">
        <f t="shared" si="9"/>
        <v>39.969944036466586</v>
      </c>
    </row>
    <row r="73" spans="1:20" x14ac:dyDescent="0.25">
      <c r="A73" s="14">
        <f t="shared" si="16"/>
        <v>0.45708689458689455</v>
      </c>
      <c r="B73" s="2">
        <f t="shared" si="11"/>
        <v>68</v>
      </c>
      <c r="C73" s="4">
        <f t="shared" si="12"/>
        <v>38.33</v>
      </c>
      <c r="D73" s="2">
        <v>11</v>
      </c>
      <c r="E73" s="2">
        <v>50.26548245743669</v>
      </c>
      <c r="F73" s="11">
        <f t="shared" si="0"/>
        <v>2.1883804675135607</v>
      </c>
      <c r="G73" s="2">
        <f t="shared" si="1"/>
        <v>83.880623319794779</v>
      </c>
      <c r="H73" s="2">
        <f t="shared" si="2"/>
        <v>1.7930312927132255</v>
      </c>
      <c r="I73" s="2">
        <f t="shared" si="3"/>
        <v>68.726889449697936</v>
      </c>
      <c r="J73" s="2">
        <f t="shared" si="4"/>
        <v>15.153733870096843</v>
      </c>
      <c r="K73" s="15">
        <f t="shared" si="17"/>
        <v>0.43573717948717949</v>
      </c>
      <c r="L73" s="2">
        <f t="shared" si="14"/>
        <v>68</v>
      </c>
      <c r="M73" s="2">
        <f t="shared" si="15"/>
        <v>38.15</v>
      </c>
      <c r="N73" s="2">
        <v>10.5</v>
      </c>
      <c r="O73" s="2">
        <v>50.26548245743669</v>
      </c>
      <c r="P73" s="11">
        <f t="shared" si="5"/>
        <v>2.0889086280811267</v>
      </c>
      <c r="Q73" s="2">
        <f t="shared" si="6"/>
        <v>79.691864161294973</v>
      </c>
      <c r="R73" s="2">
        <f t="shared" si="7"/>
        <v>1.8230646440328588</v>
      </c>
      <c r="S73" s="2">
        <f t="shared" si="8"/>
        <v>69.54991616985356</v>
      </c>
      <c r="T73" s="2">
        <f t="shared" si="9"/>
        <v>10.141947991441413</v>
      </c>
    </row>
    <row r="74" spans="1:20" x14ac:dyDescent="0.25">
      <c r="A74" s="14">
        <f t="shared" si="16"/>
        <v>0.45721153846153845</v>
      </c>
      <c r="B74" s="2">
        <f t="shared" si="11"/>
        <v>69</v>
      </c>
      <c r="C74" s="4">
        <f t="shared" si="12"/>
        <v>38.83</v>
      </c>
      <c r="D74" s="2">
        <v>12</v>
      </c>
      <c r="E74" s="2">
        <v>50.26548245743669</v>
      </c>
      <c r="F74" s="11">
        <f t="shared" si="0"/>
        <v>2.3873241463784298</v>
      </c>
      <c r="G74" s="2">
        <f t="shared" si="1"/>
        <v>92.699796603874432</v>
      </c>
      <c r="H74" s="2">
        <f t="shared" si="2"/>
        <v>1.7930312927132255</v>
      </c>
      <c r="I74" s="2">
        <f t="shared" si="3"/>
        <v>69.62340509605454</v>
      </c>
      <c r="J74" s="2">
        <f t="shared" si="4"/>
        <v>23.076391507819892</v>
      </c>
      <c r="K74" s="15">
        <f t="shared" si="17"/>
        <v>0.4358440170940171</v>
      </c>
      <c r="L74" s="2">
        <f t="shared" si="14"/>
        <v>69</v>
      </c>
      <c r="M74" s="2">
        <f t="shared" si="15"/>
        <v>38.65</v>
      </c>
      <c r="N74" s="2">
        <v>11.5</v>
      </c>
      <c r="O74" s="2">
        <v>50.26548245743669</v>
      </c>
      <c r="P74" s="11">
        <f t="shared" si="5"/>
        <v>2.2878523069459957</v>
      </c>
      <c r="Q74" s="2">
        <f t="shared" si="6"/>
        <v>88.425491663462736</v>
      </c>
      <c r="R74" s="2">
        <f t="shared" si="7"/>
        <v>1.8230646440328588</v>
      </c>
      <c r="S74" s="2">
        <f t="shared" si="8"/>
        <v>70.461448491869987</v>
      </c>
      <c r="T74" s="2">
        <f t="shared" si="9"/>
        <v>17.964043171592749</v>
      </c>
    </row>
    <row r="75" spans="1:20" x14ac:dyDescent="0.25">
      <c r="A75" s="14">
        <f t="shared" si="16"/>
        <v>0.45733618233618234</v>
      </c>
      <c r="B75" s="2">
        <f t="shared" si="11"/>
        <v>70</v>
      </c>
      <c r="C75" s="4">
        <f t="shared" si="12"/>
        <v>39.33</v>
      </c>
      <c r="D75" s="2">
        <v>11.5</v>
      </c>
      <c r="E75" s="2">
        <v>50.26548245743669</v>
      </c>
      <c r="F75" s="11">
        <f t="shared" si="0"/>
        <v>2.2878523069459957</v>
      </c>
      <c r="G75" s="2">
        <f t="shared" si="1"/>
        <v>89.981231232186005</v>
      </c>
      <c r="H75" s="2">
        <f t="shared" si="2"/>
        <v>1.7930312927132255</v>
      </c>
      <c r="I75" s="2">
        <f t="shared" si="3"/>
        <v>70.519920742411159</v>
      </c>
      <c r="J75" s="2">
        <f t="shared" si="4"/>
        <v>19.461310489774846</v>
      </c>
      <c r="K75" s="15">
        <f t="shared" si="17"/>
        <v>0.43595085470085471</v>
      </c>
      <c r="L75" s="2">
        <f t="shared" si="14"/>
        <v>70</v>
      </c>
      <c r="M75" s="2">
        <f t="shared" si="15"/>
        <v>39.15</v>
      </c>
      <c r="N75" s="2">
        <v>12.5</v>
      </c>
      <c r="O75" s="2">
        <v>50.26548245743669</v>
      </c>
      <c r="P75" s="11">
        <f t="shared" si="5"/>
        <v>2.4867959858108648</v>
      </c>
      <c r="Q75" s="2">
        <f t="shared" si="6"/>
        <v>97.35806284449535</v>
      </c>
      <c r="R75" s="2">
        <f t="shared" si="7"/>
        <v>1.8230646440328588</v>
      </c>
      <c r="S75" s="2">
        <f t="shared" si="8"/>
        <v>71.372980813886414</v>
      </c>
      <c r="T75" s="2">
        <f t="shared" si="9"/>
        <v>25.985082030608936</v>
      </c>
    </row>
    <row r="76" spans="1:20" x14ac:dyDescent="0.25">
      <c r="A76" s="14">
        <f t="shared" si="16"/>
        <v>0.45746082621082618</v>
      </c>
      <c r="B76" s="2">
        <f t="shared" si="11"/>
        <v>71</v>
      </c>
      <c r="C76" s="4">
        <f t="shared" si="12"/>
        <v>39.83</v>
      </c>
      <c r="D76" s="2">
        <v>12.5</v>
      </c>
      <c r="E76" s="2">
        <v>50.26548245743669</v>
      </c>
      <c r="F76" s="11">
        <f t="shared" si="0"/>
        <v>2.4867959858108648</v>
      </c>
      <c r="G76" s="2">
        <f t="shared" si="1"/>
        <v>99.049084114846735</v>
      </c>
      <c r="H76" s="2">
        <f t="shared" si="2"/>
        <v>1.7930312927132255</v>
      </c>
      <c r="I76" s="2">
        <f t="shared" si="3"/>
        <v>71.416436388767764</v>
      </c>
      <c r="J76" s="2">
        <f t="shared" si="4"/>
        <v>27.632647726078972</v>
      </c>
      <c r="K76" s="15">
        <f t="shared" si="17"/>
        <v>0.43605769230769231</v>
      </c>
      <c r="L76" s="2">
        <f t="shared" si="14"/>
        <v>71</v>
      </c>
      <c r="M76" s="2">
        <f t="shared" si="15"/>
        <v>39.65</v>
      </c>
      <c r="N76" s="2">
        <v>12.5</v>
      </c>
      <c r="O76" s="2">
        <v>50.26548245743669</v>
      </c>
      <c r="P76" s="11">
        <f t="shared" si="5"/>
        <v>2.4867959858108648</v>
      </c>
      <c r="Q76" s="2">
        <f t="shared" si="6"/>
        <v>98.601460837400779</v>
      </c>
      <c r="R76" s="2">
        <f t="shared" si="7"/>
        <v>1.8230646440328588</v>
      </c>
      <c r="S76" s="2">
        <f t="shared" si="8"/>
        <v>72.284513135902856</v>
      </c>
      <c r="T76" s="2">
        <f t="shared" si="9"/>
        <v>26.316947701497924</v>
      </c>
    </row>
    <row r="77" spans="1:20" x14ac:dyDescent="0.25">
      <c r="A77" s="14">
        <f t="shared" si="16"/>
        <v>0.45758547008547007</v>
      </c>
      <c r="B77" s="2">
        <f t="shared" si="11"/>
        <v>72</v>
      </c>
      <c r="C77" s="4">
        <f t="shared" si="12"/>
        <v>40.33</v>
      </c>
      <c r="D77" s="2">
        <v>11</v>
      </c>
      <c r="E77" s="2">
        <v>50.26548245743669</v>
      </c>
      <c r="F77" s="11">
        <f t="shared" si="0"/>
        <v>2.1883804675135607</v>
      </c>
      <c r="G77" s="2">
        <f t="shared" si="1"/>
        <v>88.257384254821901</v>
      </c>
      <c r="H77" s="2">
        <f t="shared" si="2"/>
        <v>1.7930312927132255</v>
      </c>
      <c r="I77" s="2">
        <f t="shared" si="3"/>
        <v>72.312952035124383</v>
      </c>
      <c r="J77" s="2">
        <f t="shared" si="4"/>
        <v>15.944432219697518</v>
      </c>
      <c r="K77" s="15">
        <f t="shared" si="17"/>
        <v>0.43616452991452992</v>
      </c>
      <c r="L77" s="2">
        <f t="shared" si="14"/>
        <v>72</v>
      </c>
      <c r="M77" s="2">
        <f t="shared" si="15"/>
        <v>40.15</v>
      </c>
      <c r="N77" s="2">
        <v>11.5</v>
      </c>
      <c r="O77" s="2">
        <v>50.26548245743669</v>
      </c>
      <c r="P77" s="11">
        <f t="shared" si="5"/>
        <v>2.2878523069459957</v>
      </c>
      <c r="Q77" s="2">
        <f t="shared" si="6"/>
        <v>91.857270123881719</v>
      </c>
      <c r="R77" s="2">
        <f t="shared" si="7"/>
        <v>1.8230646440328588</v>
      </c>
      <c r="S77" s="2">
        <f t="shared" si="8"/>
        <v>73.196045457919283</v>
      </c>
      <c r="T77" s="2">
        <f t="shared" si="9"/>
        <v>18.661224665962436</v>
      </c>
    </row>
    <row r="78" spans="1:20" x14ac:dyDescent="0.25">
      <c r="A78" s="14">
        <f t="shared" si="16"/>
        <v>0.45771011396011396</v>
      </c>
      <c r="B78" s="2">
        <f t="shared" si="11"/>
        <v>73</v>
      </c>
      <c r="C78" s="4">
        <f t="shared" si="12"/>
        <v>40.83</v>
      </c>
      <c r="D78" s="2">
        <v>11</v>
      </c>
      <c r="E78" s="2">
        <v>50.26548245743669</v>
      </c>
      <c r="F78" s="11">
        <f t="shared" si="0"/>
        <v>2.1883804675135607</v>
      </c>
      <c r="G78" s="2">
        <f t="shared" si="1"/>
        <v>89.351574488578677</v>
      </c>
      <c r="H78" s="2">
        <f t="shared" si="2"/>
        <v>1.7930312927132255</v>
      </c>
      <c r="I78" s="2">
        <f t="shared" si="3"/>
        <v>73.209467681480987</v>
      </c>
      <c r="J78" s="2">
        <f t="shared" si="4"/>
        <v>16.14210680709769</v>
      </c>
      <c r="K78" s="15">
        <f t="shared" si="17"/>
        <v>0.43627136752136753</v>
      </c>
      <c r="L78" s="2">
        <f t="shared" si="14"/>
        <v>73</v>
      </c>
      <c r="M78" s="2">
        <f t="shared" si="15"/>
        <v>40.65</v>
      </c>
      <c r="N78" s="2">
        <v>12</v>
      </c>
      <c r="O78" s="2">
        <v>50.26548245743669</v>
      </c>
      <c r="P78" s="11">
        <f t="shared" si="5"/>
        <v>2.3873241463784298</v>
      </c>
      <c r="Q78" s="2">
        <f t="shared" si="6"/>
        <v>97.044726550283173</v>
      </c>
      <c r="R78" s="2">
        <f t="shared" si="7"/>
        <v>1.8230646440328588</v>
      </c>
      <c r="S78" s="2">
        <f t="shared" si="8"/>
        <v>74.10757777993571</v>
      </c>
      <c r="T78" s="2">
        <f t="shared" si="9"/>
        <v>22.937148770347463</v>
      </c>
    </row>
    <row r="79" spans="1:20" x14ac:dyDescent="0.25">
      <c r="A79" s="14">
        <f t="shared" si="16"/>
        <v>0.4578347578347578</v>
      </c>
      <c r="B79" s="2">
        <f t="shared" si="11"/>
        <v>74</v>
      </c>
      <c r="C79" s="4">
        <f t="shared" si="12"/>
        <v>41.33</v>
      </c>
      <c r="D79" s="2">
        <v>12.5</v>
      </c>
      <c r="E79" s="2">
        <v>50.26548245743669</v>
      </c>
      <c r="F79" s="11">
        <f t="shared" si="0"/>
        <v>2.4867959858108648</v>
      </c>
      <c r="G79" s="2">
        <f t="shared" si="1"/>
        <v>102.77927809356304</v>
      </c>
      <c r="H79" s="2">
        <f t="shared" si="2"/>
        <v>1.7930312927132255</v>
      </c>
      <c r="I79" s="2">
        <f t="shared" si="3"/>
        <v>74.105983327837606</v>
      </c>
      <c r="J79" s="2">
        <f t="shared" si="4"/>
        <v>28.67329476572543</v>
      </c>
      <c r="K79" s="15">
        <f t="shared" si="17"/>
        <v>0.43637820512820513</v>
      </c>
      <c r="L79" s="2">
        <f t="shared" si="14"/>
        <v>74</v>
      </c>
      <c r="M79" s="2">
        <f t="shared" si="15"/>
        <v>41.15</v>
      </c>
      <c r="N79" s="2">
        <v>11.5</v>
      </c>
      <c r="O79" s="2">
        <v>50.26548245743669</v>
      </c>
      <c r="P79" s="11">
        <f t="shared" si="5"/>
        <v>2.2878523069459957</v>
      </c>
      <c r="Q79" s="2">
        <f t="shared" si="6"/>
        <v>94.145122430827726</v>
      </c>
      <c r="R79" s="2">
        <f t="shared" si="7"/>
        <v>1.8230646440328588</v>
      </c>
      <c r="S79" s="2">
        <f t="shared" si="8"/>
        <v>75.019110101952137</v>
      </c>
      <c r="T79" s="2">
        <f t="shared" si="9"/>
        <v>19.126012328875589</v>
      </c>
    </row>
    <row r="80" spans="1:20" x14ac:dyDescent="0.25">
      <c r="A80" s="14">
        <f t="shared" si="16"/>
        <v>0.45795940170940169</v>
      </c>
      <c r="B80" s="2">
        <f t="shared" si="11"/>
        <v>75</v>
      </c>
      <c r="C80" s="4">
        <f t="shared" si="12"/>
        <v>41.83</v>
      </c>
      <c r="D80" s="2">
        <v>14.5</v>
      </c>
      <c r="E80" s="2">
        <v>50.26548245743669</v>
      </c>
      <c r="F80" s="11">
        <f t="shared" si="0"/>
        <v>2.8846833435406034</v>
      </c>
      <c r="G80" s="2">
        <f t="shared" si="1"/>
        <v>120.66630426030343</v>
      </c>
      <c r="H80" s="2">
        <f t="shared" si="2"/>
        <v>1.7930312927132255</v>
      </c>
      <c r="I80" s="2">
        <f t="shared" si="3"/>
        <v>75.002498974194225</v>
      </c>
      <c r="J80" s="2">
        <f t="shared" si="4"/>
        <v>45.663805286109209</v>
      </c>
      <c r="K80" s="15">
        <f t="shared" si="17"/>
        <v>0.43648504273504274</v>
      </c>
      <c r="L80" s="2">
        <f t="shared" si="14"/>
        <v>75</v>
      </c>
      <c r="M80" s="2">
        <f t="shared" si="15"/>
        <v>41.65</v>
      </c>
      <c r="N80" s="2">
        <v>12.5</v>
      </c>
      <c r="O80" s="2">
        <v>50.26548245743669</v>
      </c>
      <c r="P80" s="11">
        <f t="shared" si="5"/>
        <v>2.4867959858108648</v>
      </c>
      <c r="Q80" s="2">
        <f t="shared" si="6"/>
        <v>103.57505280902251</v>
      </c>
      <c r="R80" s="2">
        <f t="shared" si="7"/>
        <v>1.8230646440328588</v>
      </c>
      <c r="S80" s="2">
        <f t="shared" si="8"/>
        <v>75.930642423968564</v>
      </c>
      <c r="T80" s="2">
        <f t="shared" si="9"/>
        <v>27.644410385053945</v>
      </c>
    </row>
    <row r="81" spans="1:20" x14ac:dyDescent="0.25">
      <c r="A81" s="14">
        <f t="shared" si="16"/>
        <v>0.45808404558404558</v>
      </c>
      <c r="B81" s="2">
        <f t="shared" si="11"/>
        <v>76</v>
      </c>
      <c r="C81" s="4">
        <f t="shared" si="12"/>
        <v>42.33</v>
      </c>
      <c r="D81" s="2">
        <v>12</v>
      </c>
      <c r="E81" s="2">
        <v>50.26548245743669</v>
      </c>
      <c r="F81" s="11">
        <f t="shared" si="0"/>
        <v>2.3873241463784298</v>
      </c>
      <c r="G81" s="2">
        <f t="shared" si="1"/>
        <v>101.05543111619893</v>
      </c>
      <c r="H81" s="2">
        <f t="shared" si="2"/>
        <v>1.7930312927132255</v>
      </c>
      <c r="I81" s="2">
        <f t="shared" si="3"/>
        <v>75.89901462055083</v>
      </c>
      <c r="J81" s="2">
        <f t="shared" si="4"/>
        <v>25.156416495648102</v>
      </c>
      <c r="K81" s="15">
        <f t="shared" si="17"/>
        <v>0.43659188034188035</v>
      </c>
      <c r="L81" s="2">
        <f t="shared" si="14"/>
        <v>76</v>
      </c>
      <c r="M81" s="2">
        <f t="shared" si="15"/>
        <v>42.15</v>
      </c>
      <c r="N81" s="2">
        <v>12</v>
      </c>
      <c r="O81" s="2">
        <v>50.26548245743669</v>
      </c>
      <c r="P81" s="11">
        <f t="shared" si="5"/>
        <v>2.3873241463784298</v>
      </c>
      <c r="Q81" s="2">
        <f t="shared" si="6"/>
        <v>100.62571276985081</v>
      </c>
      <c r="R81" s="2">
        <f t="shared" si="7"/>
        <v>1.8230646440328588</v>
      </c>
      <c r="S81" s="2">
        <f t="shared" si="8"/>
        <v>76.842174745984991</v>
      </c>
      <c r="T81" s="2">
        <f t="shared" si="9"/>
        <v>23.783538023865816</v>
      </c>
    </row>
    <row r="82" spans="1:20" x14ac:dyDescent="0.25">
      <c r="A82" s="14">
        <f t="shared" si="16"/>
        <v>0.45820868945868942</v>
      </c>
      <c r="B82" s="2">
        <f t="shared" si="11"/>
        <v>77</v>
      </c>
      <c r="C82" s="4">
        <f t="shared" si="12"/>
        <v>42.83</v>
      </c>
      <c r="D82" s="2">
        <v>10.5</v>
      </c>
      <c r="E82" s="2">
        <v>50.26548245743669</v>
      </c>
      <c r="F82" s="11">
        <f t="shared" si="0"/>
        <v>2.0889086280811267</v>
      </c>
      <c r="G82" s="2">
        <f t="shared" si="1"/>
        <v>89.467956540714653</v>
      </c>
      <c r="H82" s="2">
        <f t="shared" si="2"/>
        <v>1.7930312927132255</v>
      </c>
      <c r="I82" s="2">
        <f t="shared" si="3"/>
        <v>76.795530266907448</v>
      </c>
      <c r="J82" s="2">
        <f t="shared" si="4"/>
        <v>12.672426273807204</v>
      </c>
      <c r="K82" s="15">
        <f t="shared" si="17"/>
        <v>0.43669871794871795</v>
      </c>
      <c r="L82" s="2">
        <f t="shared" si="14"/>
        <v>77</v>
      </c>
      <c r="M82" s="2">
        <f t="shared" si="15"/>
        <v>42.65</v>
      </c>
      <c r="N82" s="2">
        <v>11.5</v>
      </c>
      <c r="O82" s="2">
        <v>50.26548245743669</v>
      </c>
      <c r="P82" s="11">
        <f t="shared" si="5"/>
        <v>2.2878523069459957</v>
      </c>
      <c r="Q82" s="2">
        <f t="shared" si="6"/>
        <v>97.576900891246709</v>
      </c>
      <c r="R82" s="2">
        <f t="shared" si="7"/>
        <v>1.8230646440328588</v>
      </c>
      <c r="S82" s="2">
        <f t="shared" si="8"/>
        <v>77.753707068001432</v>
      </c>
      <c r="T82" s="2">
        <f t="shared" si="9"/>
        <v>19.823193823245276</v>
      </c>
    </row>
    <row r="83" spans="1:20" x14ac:dyDescent="0.25">
      <c r="A83" s="10">
        <v>0.45833333333333331</v>
      </c>
      <c r="B83" s="2">
        <f t="shared" si="11"/>
        <v>78</v>
      </c>
      <c r="C83" s="4">
        <f t="shared" si="12"/>
        <v>43.33</v>
      </c>
      <c r="D83" s="2">
        <v>11</v>
      </c>
      <c r="E83" s="2">
        <v>50.26548245743669</v>
      </c>
      <c r="F83" s="11">
        <f t="shared" si="0"/>
        <v>2.1883804675135607</v>
      </c>
      <c r="G83" s="2">
        <f t="shared" si="1"/>
        <v>94.82252565736259</v>
      </c>
      <c r="H83" s="2">
        <f t="shared" si="2"/>
        <v>1.7930312927132255</v>
      </c>
      <c r="I83" s="2">
        <f t="shared" si="3"/>
        <v>77.692045913264053</v>
      </c>
      <c r="J83" s="2">
        <f t="shared" si="4"/>
        <v>17.130479744098537</v>
      </c>
      <c r="K83" s="12">
        <v>0.43680555555555556</v>
      </c>
      <c r="L83" s="2">
        <f t="shared" si="14"/>
        <v>78</v>
      </c>
      <c r="M83" s="2">
        <f t="shared" si="15"/>
        <v>43.15</v>
      </c>
      <c r="N83" s="2">
        <v>11.5</v>
      </c>
      <c r="O83" s="2">
        <v>50.26548245743669</v>
      </c>
      <c r="P83" s="11">
        <f t="shared" si="5"/>
        <v>2.2878523069459957</v>
      </c>
      <c r="Q83" s="2">
        <f t="shared" si="6"/>
        <v>98.720827044719712</v>
      </c>
      <c r="R83" s="2">
        <f t="shared" si="7"/>
        <v>1.8230646440328588</v>
      </c>
      <c r="S83" s="2">
        <f t="shared" si="8"/>
        <v>78.665239390017859</v>
      </c>
      <c r="T83" s="2">
        <f t="shared" si="9"/>
        <v>20.055587654701853</v>
      </c>
    </row>
    <row r="84" spans="1:20" x14ac:dyDescent="0.25">
      <c r="A84" s="14">
        <f t="shared" ref="A84:A121" si="18">IF(AND($A$83&lt;&gt;"",$A$122&lt;&gt;""), $A$83 + (B84 - $B$83) * (($A$122 - $A$83) / ($B$122 - $B$83)), "")</f>
        <v>0.45845797720797721</v>
      </c>
      <c r="B84" s="2">
        <f t="shared" si="11"/>
        <v>79</v>
      </c>
      <c r="C84" s="4">
        <f t="shared" si="12"/>
        <v>43.83</v>
      </c>
      <c r="D84" s="2">
        <v>12.5</v>
      </c>
      <c r="E84" s="2">
        <v>50.26548245743669</v>
      </c>
      <c r="F84" s="11">
        <f t="shared" si="0"/>
        <v>2.4867959858108648</v>
      </c>
      <c r="G84" s="2">
        <f t="shared" si="1"/>
        <v>108.99626805809019</v>
      </c>
      <c r="H84" s="2">
        <f t="shared" si="2"/>
        <v>1.7930312927132255</v>
      </c>
      <c r="I84" s="2">
        <f t="shared" si="3"/>
        <v>78.588561559620672</v>
      </c>
      <c r="J84" s="2">
        <f t="shared" si="4"/>
        <v>30.407706498469523</v>
      </c>
      <c r="K84" s="15">
        <f t="shared" ref="K84:K121" si="19">IF(AND($K$83&lt;&gt;"",$K$122&lt;&gt;""), $K$83 + (L84 - $L$83) * (($K$122 - $K$83) / ($L$122 - $L$83)), "")</f>
        <v>0.43693019943019945</v>
      </c>
      <c r="L84" s="2">
        <f t="shared" si="14"/>
        <v>79</v>
      </c>
      <c r="M84" s="2">
        <f t="shared" si="15"/>
        <v>43.65</v>
      </c>
      <c r="N84" s="2">
        <v>12.5</v>
      </c>
      <c r="O84" s="2">
        <v>50.26548245743669</v>
      </c>
      <c r="P84" s="11">
        <f t="shared" si="5"/>
        <v>2.4867959858108648</v>
      </c>
      <c r="Q84" s="2">
        <f t="shared" si="6"/>
        <v>108.54864478064424</v>
      </c>
      <c r="R84" s="2">
        <f t="shared" si="7"/>
        <v>1.8230646440328588</v>
      </c>
      <c r="S84" s="2">
        <f t="shared" si="8"/>
        <v>79.576771712034287</v>
      </c>
      <c r="T84" s="2">
        <f t="shared" si="9"/>
        <v>28.971873068609952</v>
      </c>
    </row>
    <row r="85" spans="1:20" x14ac:dyDescent="0.25">
      <c r="A85" s="14">
        <f t="shared" si="18"/>
        <v>0.45858262108262104</v>
      </c>
      <c r="B85" s="2">
        <f t="shared" si="11"/>
        <v>80</v>
      </c>
      <c r="C85" s="4">
        <f t="shared" si="12"/>
        <v>44.33</v>
      </c>
      <c r="D85" s="2">
        <v>11.5</v>
      </c>
      <c r="E85" s="2">
        <v>50.26548245743669</v>
      </c>
      <c r="F85" s="11">
        <f t="shared" si="0"/>
        <v>2.2878523069459957</v>
      </c>
      <c r="G85" s="2">
        <f t="shared" si="1"/>
        <v>101.42049276691598</v>
      </c>
      <c r="H85" s="2">
        <f t="shared" si="2"/>
        <v>1.7930312927132255</v>
      </c>
      <c r="I85" s="2">
        <f t="shared" si="3"/>
        <v>79.485077205977277</v>
      </c>
      <c r="J85" s="2">
        <f t="shared" si="4"/>
        <v>21.935415560938708</v>
      </c>
      <c r="K85" s="15">
        <f t="shared" si="19"/>
        <v>0.43705484330484329</v>
      </c>
      <c r="L85" s="2">
        <f t="shared" si="14"/>
        <v>80</v>
      </c>
      <c r="M85" s="2">
        <f t="shared" si="15"/>
        <v>44.15</v>
      </c>
      <c r="N85" s="2">
        <v>12.5</v>
      </c>
      <c r="O85" s="2">
        <v>50.26548245743669</v>
      </c>
      <c r="P85" s="11">
        <f t="shared" si="5"/>
        <v>2.4867959858108648</v>
      </c>
      <c r="Q85" s="2">
        <f t="shared" si="6"/>
        <v>109.79204277354968</v>
      </c>
      <c r="R85" s="2">
        <f t="shared" si="7"/>
        <v>1.8230646440328588</v>
      </c>
      <c r="S85" s="2">
        <f t="shared" si="8"/>
        <v>80.488304034050714</v>
      </c>
      <c r="T85" s="2">
        <f t="shared" si="9"/>
        <v>29.303738739498968</v>
      </c>
    </row>
    <row r="86" spans="1:20" x14ac:dyDescent="0.25">
      <c r="A86" s="14">
        <f t="shared" si="18"/>
        <v>0.45870726495726494</v>
      </c>
      <c r="B86" s="2">
        <f t="shared" si="11"/>
        <v>81</v>
      </c>
      <c r="C86" s="4">
        <f t="shared" si="12"/>
        <v>44.83</v>
      </c>
      <c r="D86" s="2">
        <v>12.5</v>
      </c>
      <c r="E86" s="2">
        <v>50.26548245743669</v>
      </c>
      <c r="F86" s="11">
        <f t="shared" si="0"/>
        <v>2.4867959858108648</v>
      </c>
      <c r="G86" s="2">
        <f t="shared" si="1"/>
        <v>111.48306404390107</v>
      </c>
      <c r="H86" s="2">
        <f t="shared" si="2"/>
        <v>1.7930312927132255</v>
      </c>
      <c r="I86" s="2">
        <f t="shared" si="3"/>
        <v>80.381592852333895</v>
      </c>
      <c r="J86" s="2">
        <f t="shared" si="4"/>
        <v>31.101471191567171</v>
      </c>
      <c r="K86" s="15">
        <f t="shared" si="19"/>
        <v>0.43717948717948718</v>
      </c>
      <c r="L86" s="2">
        <f t="shared" si="14"/>
        <v>81</v>
      </c>
      <c r="M86" s="2">
        <f t="shared" si="15"/>
        <v>44.65</v>
      </c>
      <c r="N86" s="2">
        <v>13</v>
      </c>
      <c r="O86" s="2">
        <v>50.26548245743669</v>
      </c>
      <c r="P86" s="11">
        <f t="shared" si="5"/>
        <v>2.5862678252432989</v>
      </c>
      <c r="Q86" s="2">
        <f t="shared" si="6"/>
        <v>115.47685839711329</v>
      </c>
      <c r="R86" s="2">
        <f t="shared" si="7"/>
        <v>1.8230646440328588</v>
      </c>
      <c r="S86" s="2">
        <f t="shared" si="8"/>
        <v>81.399836356067141</v>
      </c>
      <c r="T86" s="2">
        <f t="shared" si="9"/>
        <v>34.077022041046149</v>
      </c>
    </row>
    <row r="87" spans="1:20" x14ac:dyDescent="0.25">
      <c r="A87" s="14">
        <f t="shared" si="18"/>
        <v>0.45883190883190883</v>
      </c>
      <c r="B87" s="2">
        <f t="shared" si="11"/>
        <v>82</v>
      </c>
      <c r="C87" s="4">
        <f t="shared" si="12"/>
        <v>45.33</v>
      </c>
      <c r="D87" s="2">
        <v>11.5</v>
      </c>
      <c r="E87" s="2">
        <v>50.26548245743669</v>
      </c>
      <c r="F87" s="11">
        <f t="shared" si="0"/>
        <v>2.2878523069459957</v>
      </c>
      <c r="G87" s="2">
        <f t="shared" si="1"/>
        <v>103.70834507386198</v>
      </c>
      <c r="H87" s="2">
        <f t="shared" si="2"/>
        <v>1.7930312927132255</v>
      </c>
      <c r="I87" s="2">
        <f t="shared" si="3"/>
        <v>81.278108498690514</v>
      </c>
      <c r="J87" s="2">
        <f t="shared" si="4"/>
        <v>22.430236575171463</v>
      </c>
      <c r="K87" s="15">
        <f t="shared" si="19"/>
        <v>0.43730413105413107</v>
      </c>
      <c r="L87" s="2">
        <f t="shared" si="14"/>
        <v>82</v>
      </c>
      <c r="M87" s="2">
        <f t="shared" si="15"/>
        <v>45.15</v>
      </c>
      <c r="N87" s="2">
        <v>12</v>
      </c>
      <c r="O87" s="2">
        <v>50.26548245743669</v>
      </c>
      <c r="P87" s="11">
        <f t="shared" si="5"/>
        <v>2.3873241463784298</v>
      </c>
      <c r="Q87" s="2">
        <f t="shared" si="6"/>
        <v>107.7876852089861</v>
      </c>
      <c r="R87" s="2">
        <f t="shared" si="7"/>
        <v>1.8230646440328588</v>
      </c>
      <c r="S87" s="2">
        <f t="shared" si="8"/>
        <v>82.311368678083568</v>
      </c>
      <c r="T87" s="2">
        <f t="shared" si="9"/>
        <v>25.476316530902537</v>
      </c>
    </row>
    <row r="88" spans="1:20" x14ac:dyDescent="0.25">
      <c r="A88" s="14">
        <f t="shared" si="18"/>
        <v>0.45895655270655267</v>
      </c>
      <c r="B88" s="2">
        <f t="shared" si="11"/>
        <v>83</v>
      </c>
      <c r="C88" s="4">
        <f t="shared" si="12"/>
        <v>45.83</v>
      </c>
      <c r="D88" s="2">
        <v>12</v>
      </c>
      <c r="E88" s="2">
        <v>50.26548245743669</v>
      </c>
      <c r="F88" s="11">
        <f t="shared" si="0"/>
        <v>2.3873241463784298</v>
      </c>
      <c r="G88" s="2">
        <f t="shared" si="1"/>
        <v>109.41106562852343</v>
      </c>
      <c r="H88" s="2">
        <f t="shared" si="2"/>
        <v>1.7930312927132255</v>
      </c>
      <c r="I88" s="2">
        <f t="shared" si="3"/>
        <v>82.174624145047119</v>
      </c>
      <c r="J88" s="2">
        <f t="shared" si="4"/>
        <v>27.236441483476312</v>
      </c>
      <c r="K88" s="15">
        <f t="shared" si="19"/>
        <v>0.43742877492877491</v>
      </c>
      <c r="L88" s="2">
        <f t="shared" si="14"/>
        <v>83</v>
      </c>
      <c r="M88" s="2">
        <f t="shared" si="15"/>
        <v>45.65</v>
      </c>
      <c r="N88" s="2">
        <v>11</v>
      </c>
      <c r="O88" s="2">
        <v>50.26548245743669</v>
      </c>
      <c r="P88" s="11">
        <f t="shared" si="5"/>
        <v>2.1883804675135607</v>
      </c>
      <c r="Q88" s="2">
        <f t="shared" si="6"/>
        <v>99.899568341994041</v>
      </c>
      <c r="R88" s="2">
        <f t="shared" si="7"/>
        <v>1.8230646440328588</v>
      </c>
      <c r="S88" s="2">
        <f t="shared" si="8"/>
        <v>83.222901000100009</v>
      </c>
      <c r="T88" s="2">
        <f t="shared" si="9"/>
        <v>16.676667341894031</v>
      </c>
    </row>
    <row r="89" spans="1:20" x14ac:dyDescent="0.25">
      <c r="A89" s="14">
        <f t="shared" si="18"/>
        <v>0.45908119658119656</v>
      </c>
      <c r="B89" s="2">
        <f t="shared" si="11"/>
        <v>84</v>
      </c>
      <c r="C89" s="4">
        <f t="shared" si="12"/>
        <v>46.33</v>
      </c>
      <c r="D89" s="2">
        <v>11.5</v>
      </c>
      <c r="E89" s="2">
        <v>50.26548245743669</v>
      </c>
      <c r="F89" s="11">
        <f t="shared" si="0"/>
        <v>2.2878523069459957</v>
      </c>
      <c r="G89" s="2">
        <f t="shared" si="1"/>
        <v>105.99619738080798</v>
      </c>
      <c r="H89" s="2">
        <f t="shared" si="2"/>
        <v>1.7930312927132255</v>
      </c>
      <c r="I89" s="2">
        <f t="shared" si="3"/>
        <v>83.071139791403738</v>
      </c>
      <c r="J89" s="2">
        <f t="shared" si="4"/>
        <v>22.925057589404247</v>
      </c>
      <c r="K89" s="15">
        <f t="shared" si="19"/>
        <v>0.4375534188034188</v>
      </c>
      <c r="L89" s="2">
        <f t="shared" si="14"/>
        <v>84</v>
      </c>
      <c r="M89" s="2">
        <f t="shared" si="15"/>
        <v>46.15</v>
      </c>
      <c r="N89" s="2">
        <v>12</v>
      </c>
      <c r="O89" s="2">
        <v>50.26548245743669</v>
      </c>
      <c r="P89" s="11">
        <f t="shared" si="5"/>
        <v>2.3873241463784298</v>
      </c>
      <c r="Q89" s="2">
        <f t="shared" si="6"/>
        <v>110.17500935536454</v>
      </c>
      <c r="R89" s="2">
        <f t="shared" si="7"/>
        <v>1.8230646440328588</v>
      </c>
      <c r="S89" s="2">
        <f t="shared" si="8"/>
        <v>84.134433322116436</v>
      </c>
      <c r="T89" s="2">
        <f t="shared" si="9"/>
        <v>26.040576033248101</v>
      </c>
    </row>
    <row r="90" spans="1:20" x14ac:dyDescent="0.25">
      <c r="A90" s="14">
        <f t="shared" si="18"/>
        <v>0.45920584045584045</v>
      </c>
      <c r="B90" s="2">
        <f t="shared" si="11"/>
        <v>85</v>
      </c>
      <c r="C90" s="4">
        <f t="shared" si="12"/>
        <v>46.83</v>
      </c>
      <c r="D90" s="2">
        <v>10</v>
      </c>
      <c r="E90" s="2">
        <v>50.26548245743669</v>
      </c>
      <c r="F90" s="11">
        <f t="shared" si="0"/>
        <v>1.9894367886486919</v>
      </c>
      <c r="G90" s="2">
        <f t="shared" si="1"/>
        <v>93.165324812418234</v>
      </c>
      <c r="H90" s="2">
        <f t="shared" si="2"/>
        <v>1.7930312927132255</v>
      </c>
      <c r="I90" s="2">
        <f t="shared" si="3"/>
        <v>83.967655437760342</v>
      </c>
      <c r="J90" s="2">
        <f t="shared" si="4"/>
        <v>9.1976693746578917</v>
      </c>
      <c r="K90" s="15">
        <f t="shared" si="19"/>
        <v>0.4376780626780627</v>
      </c>
      <c r="L90" s="2">
        <f t="shared" si="14"/>
        <v>85</v>
      </c>
      <c r="M90" s="2">
        <f t="shared" si="15"/>
        <v>46.65</v>
      </c>
      <c r="N90" s="2">
        <v>11.5</v>
      </c>
      <c r="O90" s="2">
        <v>50.26548245743669</v>
      </c>
      <c r="P90" s="11">
        <f t="shared" si="5"/>
        <v>2.2878523069459957</v>
      </c>
      <c r="Q90" s="2">
        <f t="shared" si="6"/>
        <v>106.7283101190307</v>
      </c>
      <c r="R90" s="2">
        <f t="shared" si="7"/>
        <v>1.8230646440328588</v>
      </c>
      <c r="S90" s="2">
        <f t="shared" si="8"/>
        <v>85.045965644132863</v>
      </c>
      <c r="T90" s="2">
        <f t="shared" si="9"/>
        <v>21.682344474897832</v>
      </c>
    </row>
    <row r="91" spans="1:20" x14ac:dyDescent="0.25">
      <c r="A91" s="14">
        <f t="shared" si="18"/>
        <v>0.45933048433048435</v>
      </c>
      <c r="B91" s="2">
        <f t="shared" si="11"/>
        <v>86</v>
      </c>
      <c r="C91" s="4">
        <f t="shared" si="12"/>
        <v>47.33</v>
      </c>
      <c r="D91" s="2">
        <v>10.5</v>
      </c>
      <c r="E91" s="2">
        <v>50.26548245743669</v>
      </c>
      <c r="F91" s="11">
        <f t="shared" si="0"/>
        <v>2.0889086280811267</v>
      </c>
      <c r="G91" s="2">
        <f t="shared" si="1"/>
        <v>98.868045367079716</v>
      </c>
      <c r="H91" s="2">
        <f t="shared" si="2"/>
        <v>1.7930312927132255</v>
      </c>
      <c r="I91" s="2">
        <f t="shared" si="3"/>
        <v>84.864171084116961</v>
      </c>
      <c r="J91" s="2">
        <f t="shared" si="4"/>
        <v>14.003874282962755</v>
      </c>
      <c r="K91" s="15">
        <f t="shared" si="19"/>
        <v>0.43780270655270653</v>
      </c>
      <c r="L91" s="2">
        <f t="shared" si="14"/>
        <v>86</v>
      </c>
      <c r="M91" s="2">
        <f t="shared" si="15"/>
        <v>47.15</v>
      </c>
      <c r="N91" s="2">
        <v>9.5</v>
      </c>
      <c r="O91" s="2">
        <v>50.26548245743669</v>
      </c>
      <c r="P91" s="11">
        <f t="shared" si="5"/>
        <v>1.8899649492162571</v>
      </c>
      <c r="Q91" s="2">
        <f t="shared" si="6"/>
        <v>89.111847355546516</v>
      </c>
      <c r="R91" s="2">
        <f t="shared" si="7"/>
        <v>1.8230646440328588</v>
      </c>
      <c r="S91" s="2">
        <f t="shared" si="8"/>
        <v>85.95749796614929</v>
      </c>
      <c r="T91" s="2">
        <f t="shared" si="9"/>
        <v>3.1543493893972254</v>
      </c>
    </row>
    <row r="92" spans="1:20" x14ac:dyDescent="0.25">
      <c r="A92" s="14">
        <f t="shared" si="18"/>
        <v>0.45945512820512818</v>
      </c>
      <c r="B92" s="2">
        <f t="shared" si="11"/>
        <v>87</v>
      </c>
      <c r="C92" s="4">
        <f t="shared" si="12"/>
        <v>47.83</v>
      </c>
      <c r="D92" s="2">
        <v>10.5</v>
      </c>
      <c r="E92" s="2">
        <v>50.26548245743669</v>
      </c>
      <c r="F92" s="11">
        <f t="shared" si="0"/>
        <v>2.0889086280811267</v>
      </c>
      <c r="G92" s="2">
        <f t="shared" si="1"/>
        <v>99.912499681120281</v>
      </c>
      <c r="H92" s="2">
        <f t="shared" si="2"/>
        <v>1.7930312927132255</v>
      </c>
      <c r="I92" s="2">
        <f t="shared" si="3"/>
        <v>85.760686730473566</v>
      </c>
      <c r="J92" s="2">
        <f t="shared" si="4"/>
        <v>14.151812950646715</v>
      </c>
      <c r="K92" s="15">
        <f t="shared" si="19"/>
        <v>0.43792735042735043</v>
      </c>
      <c r="L92" s="2">
        <f t="shared" si="14"/>
        <v>87</v>
      </c>
      <c r="M92" s="2">
        <f t="shared" si="15"/>
        <v>47.65</v>
      </c>
      <c r="N92" s="2">
        <v>10.5</v>
      </c>
      <c r="O92" s="2">
        <v>50.26548245743669</v>
      </c>
      <c r="P92" s="11">
        <f t="shared" si="5"/>
        <v>2.0889086280811267</v>
      </c>
      <c r="Q92" s="2">
        <f t="shared" si="6"/>
        <v>99.536496128065679</v>
      </c>
      <c r="R92" s="2">
        <f t="shared" si="7"/>
        <v>1.8230646440328588</v>
      </c>
      <c r="S92" s="2">
        <f t="shared" si="8"/>
        <v>86.869030288165717</v>
      </c>
      <c r="T92" s="2">
        <f t="shared" si="9"/>
        <v>12.667465839899961</v>
      </c>
    </row>
    <row r="93" spans="1:20" x14ac:dyDescent="0.25">
      <c r="A93" s="14">
        <f t="shared" si="18"/>
        <v>0.45957977207977208</v>
      </c>
      <c r="B93" s="2">
        <f t="shared" si="11"/>
        <v>88</v>
      </c>
      <c r="C93" s="4">
        <f t="shared" si="12"/>
        <v>48.33</v>
      </c>
      <c r="D93" s="2">
        <v>9.5</v>
      </c>
      <c r="E93" s="2">
        <v>50.26548245743669</v>
      </c>
      <c r="F93" s="11">
        <f t="shared" si="0"/>
        <v>1.8899649492162571</v>
      </c>
      <c r="G93" s="2">
        <f t="shared" si="1"/>
        <v>91.342005995621705</v>
      </c>
      <c r="H93" s="2">
        <f t="shared" si="2"/>
        <v>1.7930312927132255</v>
      </c>
      <c r="I93" s="2">
        <f t="shared" si="3"/>
        <v>86.657202376830185</v>
      </c>
      <c r="J93" s="2">
        <f t="shared" si="4"/>
        <v>4.6848036187915199</v>
      </c>
      <c r="K93" s="15">
        <f t="shared" si="19"/>
        <v>0.43805199430199432</v>
      </c>
      <c r="L93" s="2">
        <f t="shared" si="14"/>
        <v>88</v>
      </c>
      <c r="M93" s="2">
        <f t="shared" si="15"/>
        <v>48.15</v>
      </c>
      <c r="N93" s="2">
        <v>10</v>
      </c>
      <c r="O93" s="2">
        <v>50.26548245743669</v>
      </c>
      <c r="P93" s="11">
        <f t="shared" si="5"/>
        <v>1.9894367886486919</v>
      </c>
      <c r="Q93" s="2">
        <f t="shared" si="6"/>
        <v>95.791381373434518</v>
      </c>
      <c r="R93" s="2">
        <f t="shared" si="7"/>
        <v>1.8230646440328588</v>
      </c>
      <c r="S93" s="2">
        <f t="shared" si="8"/>
        <v>87.780562610182145</v>
      </c>
      <c r="T93" s="2">
        <f t="shared" si="9"/>
        <v>8.0108187632523737</v>
      </c>
    </row>
    <row r="94" spans="1:20" x14ac:dyDescent="0.25">
      <c r="A94" s="14">
        <f t="shared" si="18"/>
        <v>0.45970441595441597</v>
      </c>
      <c r="B94" s="2">
        <f t="shared" si="11"/>
        <v>89</v>
      </c>
      <c r="C94" s="4">
        <f t="shared" si="12"/>
        <v>48.83</v>
      </c>
      <c r="D94" s="2">
        <v>10</v>
      </c>
      <c r="E94" s="2">
        <v>50.26548245743669</v>
      </c>
      <c r="F94" s="11">
        <f t="shared" si="0"/>
        <v>1.9894367886486919</v>
      </c>
      <c r="G94" s="2">
        <f t="shared" si="1"/>
        <v>97.144198389715626</v>
      </c>
      <c r="H94" s="2">
        <f t="shared" si="2"/>
        <v>1.7930312927132255</v>
      </c>
      <c r="I94" s="2">
        <f t="shared" si="3"/>
        <v>87.553718023186804</v>
      </c>
      <c r="J94" s="2">
        <f t="shared" si="4"/>
        <v>9.5904803665288227</v>
      </c>
      <c r="K94" s="15">
        <f t="shared" si="19"/>
        <v>0.43817663817663816</v>
      </c>
      <c r="L94" s="2">
        <f t="shared" si="14"/>
        <v>89</v>
      </c>
      <c r="M94" s="2">
        <f t="shared" si="15"/>
        <v>48.65</v>
      </c>
      <c r="N94" s="2">
        <v>9.5</v>
      </c>
      <c r="O94" s="2">
        <v>50.26548245743669</v>
      </c>
      <c r="P94" s="11">
        <f t="shared" si="5"/>
        <v>1.8899649492162571</v>
      </c>
      <c r="Q94" s="2">
        <f t="shared" si="6"/>
        <v>91.946794779370904</v>
      </c>
      <c r="R94" s="2">
        <f t="shared" si="7"/>
        <v>1.8230646440328588</v>
      </c>
      <c r="S94" s="2">
        <f t="shared" si="8"/>
        <v>88.692094932198586</v>
      </c>
      <c r="T94" s="2">
        <f t="shared" si="9"/>
        <v>3.2546998471723185</v>
      </c>
    </row>
    <row r="95" spans="1:20" x14ac:dyDescent="0.25">
      <c r="A95" s="14">
        <f t="shared" si="18"/>
        <v>0.45982905982905981</v>
      </c>
      <c r="B95" s="2">
        <f t="shared" si="11"/>
        <v>90</v>
      </c>
      <c r="C95" s="4">
        <f t="shared" si="12"/>
        <v>49.33</v>
      </c>
      <c r="D95" s="2">
        <v>9.5</v>
      </c>
      <c r="E95" s="2">
        <v>50.26548245743669</v>
      </c>
      <c r="F95" s="11">
        <f t="shared" si="0"/>
        <v>1.8899649492162571</v>
      </c>
      <c r="G95" s="2">
        <f t="shared" si="1"/>
        <v>93.231970944837954</v>
      </c>
      <c r="H95" s="2">
        <f t="shared" si="2"/>
        <v>1.7930312927132255</v>
      </c>
      <c r="I95" s="2">
        <f t="shared" si="3"/>
        <v>88.450233669543408</v>
      </c>
      <c r="J95" s="2">
        <f t="shared" si="4"/>
        <v>4.781737275294546</v>
      </c>
      <c r="K95" s="15">
        <f t="shared" si="19"/>
        <v>0.43830128205128205</v>
      </c>
      <c r="L95" s="2">
        <f t="shared" si="14"/>
        <v>90</v>
      </c>
      <c r="M95" s="2">
        <f t="shared" si="15"/>
        <v>49.15</v>
      </c>
      <c r="N95" s="2">
        <v>9</v>
      </c>
      <c r="O95" s="2">
        <v>50.26548245743669</v>
      </c>
      <c r="P95" s="11">
        <f t="shared" si="5"/>
        <v>1.7904931097838226</v>
      </c>
      <c r="Q95" s="2">
        <f t="shared" si="6"/>
        <v>88.002736345874879</v>
      </c>
      <c r="R95" s="2">
        <f t="shared" si="7"/>
        <v>1.8230646440328588</v>
      </c>
      <c r="S95" s="2">
        <f t="shared" si="8"/>
        <v>89.603627254215013</v>
      </c>
      <c r="T95" s="2">
        <f t="shared" si="9"/>
        <v>1.6008909083401335</v>
      </c>
    </row>
    <row r="96" spans="1:20" x14ac:dyDescent="0.25">
      <c r="A96" s="14">
        <f t="shared" si="18"/>
        <v>0.4599537037037037</v>
      </c>
      <c r="B96" s="2">
        <f t="shared" si="11"/>
        <v>91</v>
      </c>
      <c r="C96" s="4">
        <f t="shared" si="12"/>
        <v>49.83</v>
      </c>
      <c r="D96" s="2">
        <v>8.5</v>
      </c>
      <c r="E96" s="2">
        <v>50.26548245743669</v>
      </c>
      <c r="F96" s="11">
        <f t="shared" si="0"/>
        <v>1.6910212703513881</v>
      </c>
      <c r="G96" s="2">
        <f t="shared" si="1"/>
        <v>84.263589901609663</v>
      </c>
      <c r="H96" s="2">
        <f t="shared" si="2"/>
        <v>1.7930312927132255</v>
      </c>
      <c r="I96" s="2">
        <f t="shared" si="3"/>
        <v>89.346749315900027</v>
      </c>
      <c r="J96" s="2">
        <f t="shared" si="4"/>
        <v>5.083159414290364</v>
      </c>
      <c r="K96" s="15">
        <f t="shared" si="19"/>
        <v>0.43842592592592594</v>
      </c>
      <c r="L96" s="2">
        <f t="shared" si="14"/>
        <v>91</v>
      </c>
      <c r="M96" s="2">
        <f t="shared" si="15"/>
        <v>49.65</v>
      </c>
      <c r="N96" s="2">
        <v>8</v>
      </c>
      <c r="O96" s="2">
        <v>50.26548245743669</v>
      </c>
      <c r="P96" s="11">
        <f t="shared" si="5"/>
        <v>1.5915494309189535</v>
      </c>
      <c r="Q96" s="2">
        <f t="shared" si="6"/>
        <v>79.020429245126039</v>
      </c>
      <c r="R96" s="2">
        <f t="shared" si="7"/>
        <v>1.8230646440328588</v>
      </c>
      <c r="S96" s="2">
        <f t="shared" si="8"/>
        <v>90.51515957623144</v>
      </c>
      <c r="T96" s="2">
        <f t="shared" si="9"/>
        <v>11.494730331105401</v>
      </c>
    </row>
    <row r="97" spans="1:20" x14ac:dyDescent="0.25">
      <c r="A97" s="14">
        <f t="shared" si="18"/>
        <v>0.46007834757834759</v>
      </c>
      <c r="B97" s="2">
        <f t="shared" si="11"/>
        <v>92</v>
      </c>
      <c r="C97" s="4">
        <f t="shared" si="12"/>
        <v>50.33</v>
      </c>
      <c r="D97" s="2">
        <v>8.5</v>
      </c>
      <c r="E97" s="2">
        <v>50.26548245743669</v>
      </c>
      <c r="F97" s="11">
        <f t="shared" si="0"/>
        <v>1.6910212703513881</v>
      </c>
      <c r="G97" s="2">
        <f t="shared" si="1"/>
        <v>85.109100536785363</v>
      </c>
      <c r="H97" s="2">
        <f t="shared" si="2"/>
        <v>1.7930312927132255</v>
      </c>
      <c r="I97" s="2">
        <f t="shared" si="3"/>
        <v>90.243264962256632</v>
      </c>
      <c r="J97" s="2">
        <f t="shared" si="4"/>
        <v>5.1341644254712691</v>
      </c>
      <c r="K97" s="15">
        <f t="shared" si="19"/>
        <v>0.43855056980056978</v>
      </c>
      <c r="L97" s="2">
        <f t="shared" si="14"/>
        <v>92</v>
      </c>
      <c r="M97" s="2">
        <f t="shared" si="15"/>
        <v>50.15</v>
      </c>
      <c r="N97" s="2">
        <v>8.5</v>
      </c>
      <c r="O97" s="2">
        <v>50.26548245743669</v>
      </c>
      <c r="P97" s="11">
        <f t="shared" si="5"/>
        <v>1.6910212703513881</v>
      </c>
      <c r="Q97" s="2">
        <f t="shared" si="6"/>
        <v>84.804716708122115</v>
      </c>
      <c r="R97" s="2">
        <f t="shared" si="7"/>
        <v>1.8230646440328588</v>
      </c>
      <c r="S97" s="2">
        <f t="shared" si="8"/>
        <v>91.426691898247867</v>
      </c>
      <c r="T97" s="2">
        <f t="shared" si="9"/>
        <v>6.6219751901257524</v>
      </c>
    </row>
    <row r="98" spans="1:20" x14ac:dyDescent="0.25">
      <c r="A98" s="14">
        <f t="shared" si="18"/>
        <v>0.46020299145299143</v>
      </c>
      <c r="B98" s="2">
        <f t="shared" si="11"/>
        <v>93</v>
      </c>
      <c r="C98" s="4">
        <f t="shared" si="12"/>
        <v>50.83</v>
      </c>
      <c r="D98" s="2">
        <v>8.5</v>
      </c>
      <c r="E98" s="2">
        <v>50.26548245743669</v>
      </c>
      <c r="F98" s="11">
        <f t="shared" si="0"/>
        <v>1.6910212703513881</v>
      </c>
      <c r="G98" s="2">
        <f t="shared" si="1"/>
        <v>85.954611171961048</v>
      </c>
      <c r="H98" s="2">
        <f t="shared" si="2"/>
        <v>1.7930312927132255</v>
      </c>
      <c r="I98" s="2">
        <f t="shared" si="3"/>
        <v>91.13978060861325</v>
      </c>
      <c r="J98" s="2">
        <f t="shared" si="4"/>
        <v>5.1851694366522025</v>
      </c>
      <c r="K98" s="15">
        <f t="shared" si="19"/>
        <v>0.43867521367521367</v>
      </c>
      <c r="L98" s="2">
        <f t="shared" si="14"/>
        <v>93</v>
      </c>
      <c r="M98" s="2">
        <f t="shared" si="15"/>
        <v>50.65</v>
      </c>
      <c r="N98" s="2">
        <v>9.5</v>
      </c>
      <c r="O98" s="2">
        <v>50.26548245743669</v>
      </c>
      <c r="P98" s="11">
        <f t="shared" si="5"/>
        <v>1.8899649492162571</v>
      </c>
      <c r="Q98" s="2">
        <f t="shared" si="6"/>
        <v>95.726724677803418</v>
      </c>
      <c r="R98" s="2">
        <f t="shared" si="7"/>
        <v>1.8230646440328588</v>
      </c>
      <c r="S98" s="2">
        <f t="shared" si="8"/>
        <v>92.338224220264294</v>
      </c>
      <c r="T98" s="2">
        <f t="shared" si="9"/>
        <v>3.3885004575391235</v>
      </c>
    </row>
    <row r="99" spans="1:20" x14ac:dyDescent="0.25">
      <c r="A99" s="14">
        <f t="shared" si="18"/>
        <v>0.46032763532763532</v>
      </c>
      <c r="B99" s="2">
        <f t="shared" si="11"/>
        <v>94</v>
      </c>
      <c r="C99" s="4">
        <f t="shared" si="12"/>
        <v>51.33</v>
      </c>
      <c r="D99" s="2">
        <v>9</v>
      </c>
      <c r="E99" s="2">
        <v>50.26548245743669</v>
      </c>
      <c r="F99" s="11">
        <f t="shared" si="0"/>
        <v>1.7904931097838226</v>
      </c>
      <c r="G99" s="2">
        <f t="shared" si="1"/>
        <v>91.906011325203607</v>
      </c>
      <c r="H99" s="2">
        <f t="shared" si="2"/>
        <v>1.7930312927132255</v>
      </c>
      <c r="I99" s="2">
        <f t="shared" si="3"/>
        <v>92.036296254969855</v>
      </c>
      <c r="J99" s="2">
        <f t="shared" si="4"/>
        <v>0.13028492976624761</v>
      </c>
      <c r="K99" s="15">
        <f t="shared" si="19"/>
        <v>0.43879985754985756</v>
      </c>
      <c r="L99" s="2">
        <f t="shared" si="14"/>
        <v>94</v>
      </c>
      <c r="M99" s="2">
        <f t="shared" si="15"/>
        <v>51.15</v>
      </c>
      <c r="N99" s="2">
        <v>8.5</v>
      </c>
      <c r="O99" s="2">
        <v>50.26548245743669</v>
      </c>
      <c r="P99" s="11">
        <f t="shared" si="5"/>
        <v>1.6910212703513881</v>
      </c>
      <c r="Q99" s="2">
        <f t="shared" si="6"/>
        <v>86.4957379784735</v>
      </c>
      <c r="R99" s="2">
        <f t="shared" si="7"/>
        <v>1.8230646440328588</v>
      </c>
      <c r="S99" s="2">
        <f t="shared" si="8"/>
        <v>93.249756542280721</v>
      </c>
      <c r="T99" s="2">
        <f t="shared" si="9"/>
        <v>6.7540185638072217</v>
      </c>
    </row>
    <row r="100" spans="1:20" x14ac:dyDescent="0.25">
      <c r="A100" s="14">
        <f t="shared" si="18"/>
        <v>0.46045227920227921</v>
      </c>
      <c r="B100" s="2">
        <f t="shared" si="11"/>
        <v>95</v>
      </c>
      <c r="C100" s="4">
        <f t="shared" si="12"/>
        <v>51.83</v>
      </c>
      <c r="D100" s="2">
        <v>9</v>
      </c>
      <c r="E100" s="2">
        <v>50.26548245743669</v>
      </c>
      <c r="F100" s="11">
        <f t="shared" si="0"/>
        <v>1.7904931097838226</v>
      </c>
      <c r="G100" s="2">
        <f t="shared" si="1"/>
        <v>92.80125788009552</v>
      </c>
      <c r="H100" s="2">
        <f t="shared" si="2"/>
        <v>1.7930312927132255</v>
      </c>
      <c r="I100" s="2">
        <f t="shared" si="3"/>
        <v>92.932811901326474</v>
      </c>
      <c r="J100" s="2">
        <f t="shared" si="4"/>
        <v>0.13155402123095428</v>
      </c>
      <c r="K100" s="15">
        <f t="shared" si="19"/>
        <v>0.4389245014245014</v>
      </c>
      <c r="L100" s="2">
        <f t="shared" si="14"/>
        <v>95</v>
      </c>
      <c r="M100" s="2">
        <f t="shared" si="15"/>
        <v>51.65</v>
      </c>
      <c r="N100" s="2">
        <v>8.5</v>
      </c>
      <c r="O100" s="2">
        <v>50.26548245743669</v>
      </c>
      <c r="P100" s="11">
        <f t="shared" si="5"/>
        <v>1.6910212703513881</v>
      </c>
      <c r="Q100" s="2">
        <f t="shared" si="6"/>
        <v>87.341248613649185</v>
      </c>
      <c r="R100" s="2">
        <f t="shared" si="7"/>
        <v>1.8230646440328588</v>
      </c>
      <c r="S100" s="2">
        <f t="shared" si="8"/>
        <v>94.161288864297163</v>
      </c>
      <c r="T100" s="2">
        <f t="shared" si="9"/>
        <v>6.8200402506479776</v>
      </c>
    </row>
    <row r="101" spans="1:20" x14ac:dyDescent="0.25">
      <c r="A101" s="14">
        <f t="shared" si="18"/>
        <v>0.46057692307692305</v>
      </c>
      <c r="B101" s="2">
        <f t="shared" si="11"/>
        <v>96</v>
      </c>
      <c r="C101" s="4">
        <f t="shared" si="12"/>
        <v>52.33</v>
      </c>
      <c r="D101" s="2">
        <v>8.5</v>
      </c>
      <c r="E101" s="2">
        <v>50.26548245743669</v>
      </c>
      <c r="F101" s="11">
        <f t="shared" si="0"/>
        <v>1.6910212703513881</v>
      </c>
      <c r="G101" s="2">
        <f t="shared" si="1"/>
        <v>88.491143077488132</v>
      </c>
      <c r="H101" s="2">
        <f t="shared" si="2"/>
        <v>1.7930312927132255</v>
      </c>
      <c r="I101" s="2">
        <f t="shared" si="3"/>
        <v>93.829327547683093</v>
      </c>
      <c r="J101" s="2">
        <f t="shared" si="4"/>
        <v>5.3381844701949603</v>
      </c>
      <c r="K101" s="15">
        <f t="shared" si="19"/>
        <v>0.43904914529914529</v>
      </c>
      <c r="L101" s="2">
        <f t="shared" si="14"/>
        <v>96</v>
      </c>
      <c r="M101" s="2">
        <f t="shared" si="15"/>
        <v>52.15</v>
      </c>
      <c r="N101" s="2">
        <v>8</v>
      </c>
      <c r="O101" s="2">
        <v>50.26548245743669</v>
      </c>
      <c r="P101" s="11">
        <f t="shared" si="5"/>
        <v>1.5915494309189535</v>
      </c>
      <c r="Q101" s="2">
        <f t="shared" si="6"/>
        <v>82.999302822423417</v>
      </c>
      <c r="R101" s="2">
        <f t="shared" si="7"/>
        <v>1.8230646440328588</v>
      </c>
      <c r="S101" s="2">
        <f t="shared" si="8"/>
        <v>95.07282118631359</v>
      </c>
      <c r="T101" s="2">
        <f t="shared" si="9"/>
        <v>12.073518363890173</v>
      </c>
    </row>
    <row r="102" spans="1:20" x14ac:dyDescent="0.25">
      <c r="A102" s="14">
        <f t="shared" si="18"/>
        <v>0.46070156695156694</v>
      </c>
      <c r="B102" s="2">
        <f t="shared" si="11"/>
        <v>97</v>
      </c>
      <c r="C102" s="4">
        <f t="shared" si="12"/>
        <v>52.83</v>
      </c>
      <c r="D102" s="2">
        <v>8</v>
      </c>
      <c r="E102" s="2">
        <v>50.26548245743669</v>
      </c>
      <c r="F102" s="11">
        <f t="shared" si="0"/>
        <v>1.5915494309189535</v>
      </c>
      <c r="G102" s="2">
        <f t="shared" si="1"/>
        <v>84.081556435448306</v>
      </c>
      <c r="H102" s="2">
        <f t="shared" si="2"/>
        <v>1.7930312927132255</v>
      </c>
      <c r="I102" s="2">
        <f t="shared" si="3"/>
        <v>94.725843194039697</v>
      </c>
      <c r="J102" s="2">
        <f t="shared" si="4"/>
        <v>10.644286758591392</v>
      </c>
      <c r="K102" s="15">
        <f t="shared" si="19"/>
        <v>0.43917378917378919</v>
      </c>
      <c r="L102" s="2">
        <f t="shared" si="14"/>
        <v>97</v>
      </c>
      <c r="M102" s="2">
        <f t="shared" si="15"/>
        <v>52.65</v>
      </c>
      <c r="N102" s="2">
        <v>8.5</v>
      </c>
      <c r="O102" s="2">
        <v>50.26548245743669</v>
      </c>
      <c r="P102" s="11">
        <f t="shared" si="5"/>
        <v>1.6910212703513881</v>
      </c>
      <c r="Q102" s="2">
        <f t="shared" si="6"/>
        <v>89.032269884000584</v>
      </c>
      <c r="R102" s="2">
        <f t="shared" si="7"/>
        <v>1.8230646440328588</v>
      </c>
      <c r="S102" s="2">
        <f t="shared" si="8"/>
        <v>95.984353508330017</v>
      </c>
      <c r="T102" s="2">
        <f t="shared" si="9"/>
        <v>6.9520836243294326</v>
      </c>
    </row>
    <row r="103" spans="1:20" x14ac:dyDescent="0.25">
      <c r="A103" s="14">
        <f t="shared" si="18"/>
        <v>0.46082621082621084</v>
      </c>
      <c r="B103" s="2">
        <f t="shared" si="11"/>
        <v>98</v>
      </c>
      <c r="C103" s="4">
        <f t="shared" si="12"/>
        <v>53.33</v>
      </c>
      <c r="D103" s="2">
        <v>7.5</v>
      </c>
      <c r="E103" s="2">
        <v>50.26548245743669</v>
      </c>
      <c r="F103" s="11">
        <f t="shared" si="0"/>
        <v>1.492077591486519</v>
      </c>
      <c r="G103" s="2">
        <f t="shared" si="1"/>
        <v>79.572497953976054</v>
      </c>
      <c r="H103" s="2">
        <f t="shared" si="2"/>
        <v>1.7930312927132255</v>
      </c>
      <c r="I103" s="2">
        <f t="shared" si="3"/>
        <v>95.622358840396316</v>
      </c>
      <c r="J103" s="2">
        <f t="shared" si="4"/>
        <v>16.049860886420262</v>
      </c>
      <c r="K103" s="15">
        <f t="shared" si="19"/>
        <v>0.43929843304843302</v>
      </c>
      <c r="L103" s="2">
        <f t="shared" si="14"/>
        <v>98</v>
      </c>
      <c r="M103" s="2">
        <f t="shared" si="15"/>
        <v>53.15</v>
      </c>
      <c r="N103" s="2">
        <v>7.5</v>
      </c>
      <c r="O103" s="2">
        <v>50.26548245743669</v>
      </c>
      <c r="P103" s="11">
        <f t="shared" si="5"/>
        <v>1.492077591486519</v>
      </c>
      <c r="Q103" s="2">
        <f t="shared" si="6"/>
        <v>79.303923987508483</v>
      </c>
      <c r="R103" s="2">
        <f t="shared" si="7"/>
        <v>1.8230646440328588</v>
      </c>
      <c r="S103" s="2">
        <f t="shared" si="8"/>
        <v>96.895885830346444</v>
      </c>
      <c r="T103" s="2">
        <f t="shared" si="9"/>
        <v>17.591961842837961</v>
      </c>
    </row>
    <row r="104" spans="1:20" x14ac:dyDescent="0.25">
      <c r="A104" s="14">
        <f t="shared" si="18"/>
        <v>0.46095085470085473</v>
      </c>
      <c r="B104" s="2">
        <f t="shared" si="11"/>
        <v>99</v>
      </c>
      <c r="C104" s="4">
        <f t="shared" si="12"/>
        <v>53.83</v>
      </c>
      <c r="D104" s="2">
        <v>6.5</v>
      </c>
      <c r="E104" s="2">
        <v>50.26548245743669</v>
      </c>
      <c r="F104" s="11">
        <f t="shared" si="0"/>
        <v>1.2931339126216495</v>
      </c>
      <c r="G104" s="2">
        <f t="shared" si="1"/>
        <v>69.609398516423383</v>
      </c>
      <c r="H104" s="2">
        <f t="shared" si="2"/>
        <v>1.7930312927132255</v>
      </c>
      <c r="I104" s="2">
        <f t="shared" si="3"/>
        <v>96.518874486752921</v>
      </c>
      <c r="J104" s="2">
        <f t="shared" si="4"/>
        <v>26.909475970329538</v>
      </c>
      <c r="K104" s="15">
        <f t="shared" si="19"/>
        <v>0.43942307692307692</v>
      </c>
      <c r="L104" s="2">
        <f t="shared" si="14"/>
        <v>99</v>
      </c>
      <c r="M104" s="2">
        <f t="shared" si="15"/>
        <v>53.65</v>
      </c>
      <c r="N104" s="2">
        <v>6.5</v>
      </c>
      <c r="O104" s="2">
        <v>50.26548245743669</v>
      </c>
      <c r="P104" s="11">
        <f t="shared" si="5"/>
        <v>1.2931339126216495</v>
      </c>
      <c r="Q104" s="2">
        <f t="shared" si="6"/>
        <v>69.376634412151489</v>
      </c>
      <c r="R104" s="2">
        <f t="shared" si="7"/>
        <v>1.8230646440328588</v>
      </c>
      <c r="S104" s="2">
        <f t="shared" si="8"/>
        <v>97.807418152362871</v>
      </c>
      <c r="T104" s="2">
        <f t="shared" si="9"/>
        <v>28.430783740211382</v>
      </c>
    </row>
    <row r="105" spans="1:20" x14ac:dyDescent="0.25">
      <c r="A105" s="14">
        <f t="shared" si="18"/>
        <v>0.46107549857549857</v>
      </c>
      <c r="B105" s="2">
        <f t="shared" si="11"/>
        <v>100</v>
      </c>
      <c r="C105" s="4">
        <f t="shared" si="12"/>
        <v>54.33</v>
      </c>
      <c r="D105" s="2">
        <v>6.5</v>
      </c>
      <c r="E105" s="2">
        <v>50.26548245743669</v>
      </c>
      <c r="F105" s="11">
        <f t="shared" si="0"/>
        <v>1.2931339126216495</v>
      </c>
      <c r="G105" s="2">
        <f t="shared" si="1"/>
        <v>70.255965472734218</v>
      </c>
      <c r="H105" s="2">
        <f t="shared" si="2"/>
        <v>1.7930312927132255</v>
      </c>
      <c r="I105" s="2">
        <f t="shared" si="3"/>
        <v>97.41539013310954</v>
      </c>
      <c r="J105" s="2">
        <f t="shared" si="4"/>
        <v>27.159424660375322</v>
      </c>
      <c r="K105" s="15">
        <f t="shared" si="19"/>
        <v>0.43954772079772081</v>
      </c>
      <c r="L105" s="2">
        <f t="shared" si="14"/>
        <v>100</v>
      </c>
      <c r="M105" s="2">
        <f t="shared" si="15"/>
        <v>54.15</v>
      </c>
      <c r="N105" s="2">
        <v>7</v>
      </c>
      <c r="O105" s="2">
        <v>50.26548245743669</v>
      </c>
      <c r="P105" s="11">
        <f t="shared" si="5"/>
        <v>1.3926057520540844</v>
      </c>
      <c r="Q105" s="2">
        <f t="shared" si="6"/>
        <v>75.409601473728671</v>
      </c>
      <c r="R105" s="2">
        <f t="shared" si="7"/>
        <v>1.8230646440328588</v>
      </c>
      <c r="S105" s="2">
        <f t="shared" si="8"/>
        <v>98.718950474379298</v>
      </c>
      <c r="T105" s="2">
        <f t="shared" si="9"/>
        <v>23.309349000650627</v>
      </c>
    </row>
    <row r="106" spans="1:20" x14ac:dyDescent="0.25">
      <c r="A106" s="14">
        <f t="shared" si="18"/>
        <v>0.46120014245014246</v>
      </c>
      <c r="B106" s="2">
        <f t="shared" si="11"/>
        <v>101</v>
      </c>
      <c r="C106" s="4">
        <f t="shared" si="12"/>
        <v>54.83</v>
      </c>
      <c r="D106" s="2">
        <v>6.5</v>
      </c>
      <c r="E106" s="2">
        <v>50.26548245743669</v>
      </c>
      <c r="F106" s="11">
        <f t="shared" si="0"/>
        <v>1.2931339126216495</v>
      </c>
      <c r="G106" s="2">
        <f t="shared" si="1"/>
        <v>70.902532429045038</v>
      </c>
      <c r="H106" s="2">
        <f t="shared" si="2"/>
        <v>1.7930312927132255</v>
      </c>
      <c r="I106" s="2">
        <f t="shared" si="3"/>
        <v>98.311905779466144</v>
      </c>
      <c r="J106" s="2">
        <f t="shared" si="4"/>
        <v>27.409373350421106</v>
      </c>
      <c r="K106" s="15">
        <f t="shared" si="19"/>
        <v>0.43967236467236465</v>
      </c>
      <c r="L106" s="2">
        <f t="shared" si="14"/>
        <v>101</v>
      </c>
      <c r="M106" s="2">
        <f t="shared" si="15"/>
        <v>54.65</v>
      </c>
      <c r="N106" s="2">
        <v>6</v>
      </c>
      <c r="O106" s="2">
        <v>50.26548245743669</v>
      </c>
      <c r="P106" s="11">
        <f t="shared" si="5"/>
        <v>1.1936620731892149</v>
      </c>
      <c r="Q106" s="2">
        <f t="shared" si="6"/>
        <v>65.2336322997906</v>
      </c>
      <c r="R106" s="2">
        <f t="shared" si="7"/>
        <v>1.8230646440328588</v>
      </c>
      <c r="S106" s="2">
        <f t="shared" si="8"/>
        <v>99.630482796395739</v>
      </c>
      <c r="T106" s="2">
        <f t="shared" si="9"/>
        <v>34.39685049660514</v>
      </c>
    </row>
    <row r="107" spans="1:20" x14ac:dyDescent="0.25">
      <c r="A107" s="14">
        <f t="shared" si="18"/>
        <v>0.46132478632478635</v>
      </c>
      <c r="B107" s="2">
        <f t="shared" si="11"/>
        <v>102</v>
      </c>
      <c r="C107" s="4">
        <f t="shared" si="12"/>
        <v>55.33</v>
      </c>
      <c r="D107" s="2">
        <v>3</v>
      </c>
      <c r="E107" s="2">
        <v>50.26548245743669</v>
      </c>
      <c r="F107" s="11">
        <f t="shared" si="0"/>
        <v>0.59683103659460746</v>
      </c>
      <c r="G107" s="2">
        <f t="shared" si="1"/>
        <v>33.022661254779628</v>
      </c>
      <c r="H107" s="2">
        <f t="shared" si="2"/>
        <v>1.7930312927132255</v>
      </c>
      <c r="I107" s="2">
        <f t="shared" si="3"/>
        <v>99.208421425822763</v>
      </c>
      <c r="J107" s="2">
        <f t="shared" si="4"/>
        <v>66.185760171043142</v>
      </c>
      <c r="K107" s="15">
        <f t="shared" si="19"/>
        <v>0.43979700854700854</v>
      </c>
      <c r="L107" s="2">
        <f t="shared" si="14"/>
        <v>102</v>
      </c>
      <c r="M107" s="2">
        <f t="shared" si="15"/>
        <v>55.15</v>
      </c>
      <c r="N107" s="2">
        <v>5.5</v>
      </c>
      <c r="O107" s="2">
        <v>50.26548245743669</v>
      </c>
      <c r="P107" s="11">
        <f t="shared" si="5"/>
        <v>1.0941902337567804</v>
      </c>
      <c r="Q107" s="2">
        <f t="shared" si="6"/>
        <v>60.344591391686436</v>
      </c>
      <c r="R107" s="2">
        <f t="shared" si="7"/>
        <v>1.8230646440328588</v>
      </c>
      <c r="S107" s="2">
        <f t="shared" si="8"/>
        <v>100.54201511841217</v>
      </c>
      <c r="T107" s="2">
        <f t="shared" si="9"/>
        <v>40.197423726725731</v>
      </c>
    </row>
    <row r="108" spans="1:20" x14ac:dyDescent="0.25">
      <c r="A108" s="14">
        <f t="shared" si="18"/>
        <v>0.46144943019943019</v>
      </c>
      <c r="B108" s="2">
        <f t="shared" si="11"/>
        <v>103</v>
      </c>
      <c r="C108" s="4">
        <f t="shared" si="12"/>
        <v>55.83</v>
      </c>
      <c r="D108" s="2">
        <v>5.5</v>
      </c>
      <c r="E108" s="2">
        <v>50.26548245743669</v>
      </c>
      <c r="F108" s="11">
        <f t="shared" si="0"/>
        <v>1.0941902337567804</v>
      </c>
      <c r="G108" s="2">
        <f t="shared" si="1"/>
        <v>61.088640750641048</v>
      </c>
      <c r="H108" s="2">
        <f t="shared" si="2"/>
        <v>1.7930312927132255</v>
      </c>
      <c r="I108" s="2">
        <f t="shared" si="3"/>
        <v>100.10493707217938</v>
      </c>
      <c r="J108" s="2">
        <f t="shared" si="4"/>
        <v>39.016296321538334</v>
      </c>
      <c r="K108" s="15">
        <f t="shared" si="19"/>
        <v>0.43992165242165243</v>
      </c>
      <c r="L108" s="2">
        <f t="shared" si="14"/>
        <v>103</v>
      </c>
      <c r="M108" s="2">
        <f t="shared" si="15"/>
        <v>55.65</v>
      </c>
      <c r="N108" s="2">
        <v>4.5</v>
      </c>
      <c r="O108" s="2">
        <v>50.26548245743669</v>
      </c>
      <c r="P108" s="11">
        <f t="shared" si="5"/>
        <v>0.89524655489191129</v>
      </c>
      <c r="Q108" s="2">
        <f t="shared" si="6"/>
        <v>49.820470779734862</v>
      </c>
      <c r="R108" s="2">
        <f t="shared" si="7"/>
        <v>1.8230646440328588</v>
      </c>
      <c r="S108" s="2">
        <f t="shared" si="8"/>
        <v>101.45354744042859</v>
      </c>
      <c r="T108" s="2">
        <f t="shared" si="9"/>
        <v>51.633076660693732</v>
      </c>
    </row>
    <row r="109" spans="1:20" x14ac:dyDescent="0.25">
      <c r="A109" s="14">
        <f t="shared" si="18"/>
        <v>0.46157407407407408</v>
      </c>
      <c r="B109" s="21">
        <f t="shared" si="11"/>
        <v>104</v>
      </c>
      <c r="C109" s="22">
        <f t="shared" si="12"/>
        <v>56.33</v>
      </c>
      <c r="D109" s="21">
        <v>5.5</v>
      </c>
      <c r="E109" s="2">
        <v>50.26548245743669</v>
      </c>
      <c r="F109" s="11">
        <f t="shared" si="0"/>
        <v>1.0941902337567804</v>
      </c>
      <c r="G109" s="2">
        <f t="shared" si="1"/>
        <v>61.635735867519436</v>
      </c>
      <c r="H109" s="2">
        <f t="shared" si="2"/>
        <v>1.7930312927132255</v>
      </c>
      <c r="I109" s="2">
        <f t="shared" si="3"/>
        <v>101.00145271853599</v>
      </c>
      <c r="J109" s="2">
        <f t="shared" si="4"/>
        <v>39.36571685101655</v>
      </c>
      <c r="K109" s="15">
        <f t="shared" si="19"/>
        <v>0.44004629629629627</v>
      </c>
      <c r="L109" s="21">
        <f t="shared" si="14"/>
        <v>104</v>
      </c>
      <c r="M109" s="21">
        <f t="shared" si="15"/>
        <v>56.15</v>
      </c>
      <c r="N109" s="21">
        <v>4.5</v>
      </c>
      <c r="O109" s="2">
        <v>50.26548245743669</v>
      </c>
      <c r="P109" s="11">
        <f t="shared" si="5"/>
        <v>0.89524655489191129</v>
      </c>
      <c r="Q109" s="2">
        <f t="shared" si="6"/>
        <v>50.268094057180818</v>
      </c>
      <c r="R109" s="2">
        <f t="shared" si="7"/>
        <v>1.8230646440328588</v>
      </c>
      <c r="S109" s="2">
        <f t="shared" si="8"/>
        <v>102.36507976244502</v>
      </c>
      <c r="T109" s="2">
        <f t="shared" si="9"/>
        <v>52.096985705264203</v>
      </c>
    </row>
    <row r="110" spans="1:20" x14ac:dyDescent="0.25">
      <c r="A110" s="14">
        <f t="shared" si="18"/>
        <v>0.46169871794871797</v>
      </c>
      <c r="B110" s="21">
        <f t="shared" si="11"/>
        <v>105</v>
      </c>
      <c r="C110" s="22">
        <f>C109+1.5</f>
        <v>57.83</v>
      </c>
      <c r="D110" s="21">
        <v>6.5</v>
      </c>
      <c r="E110" s="2">
        <v>50.26548245743669</v>
      </c>
      <c r="F110" s="11">
        <f t="shared" si="0"/>
        <v>1.2931339126216495</v>
      </c>
      <c r="G110" s="2">
        <f t="shared" si="1"/>
        <v>74.781934166909991</v>
      </c>
      <c r="H110" s="2">
        <f t="shared" si="2"/>
        <v>1.7930312927132255</v>
      </c>
      <c r="I110" s="2">
        <f t="shared" si="3"/>
        <v>103.69099965760583</v>
      </c>
      <c r="J110" s="2">
        <f t="shared" si="4"/>
        <v>28.909065490695838</v>
      </c>
      <c r="K110" s="15">
        <f t="shared" si="19"/>
        <v>0.44017094017094016</v>
      </c>
      <c r="L110" s="21">
        <f t="shared" si="14"/>
        <v>105</v>
      </c>
      <c r="M110" s="21">
        <f>M109+1.5</f>
        <v>57.65</v>
      </c>
      <c r="N110" s="21">
        <v>6.5</v>
      </c>
      <c r="O110" s="2">
        <v>50.26548245743669</v>
      </c>
      <c r="P110" s="11">
        <f t="shared" si="5"/>
        <v>1.2931339126216495</v>
      </c>
      <c r="Q110" s="2">
        <f t="shared" si="6"/>
        <v>74.549170062638083</v>
      </c>
      <c r="R110" s="2">
        <f t="shared" si="7"/>
        <v>1.8230646440328588</v>
      </c>
      <c r="S110" s="2">
        <f t="shared" si="8"/>
        <v>105.09967672849432</v>
      </c>
      <c r="T110" s="2">
        <f t="shared" si="9"/>
        <v>30.550506665856233</v>
      </c>
    </row>
    <row r="111" spans="1:20" x14ac:dyDescent="0.25">
      <c r="A111" s="14">
        <f t="shared" si="18"/>
        <v>0.46182336182336181</v>
      </c>
      <c r="B111" s="21">
        <f t="shared" si="11"/>
        <v>106</v>
      </c>
      <c r="C111" s="22">
        <f t="shared" ref="C111:C162" si="20">C110+0.5</f>
        <v>58.33</v>
      </c>
      <c r="D111" s="21">
        <v>6.5</v>
      </c>
      <c r="E111" s="2">
        <v>50.26548245743669</v>
      </c>
      <c r="F111" s="11">
        <f t="shared" si="0"/>
        <v>1.2931339126216495</v>
      </c>
      <c r="G111" s="2">
        <f t="shared" si="1"/>
        <v>75.428501123220812</v>
      </c>
      <c r="H111" s="2">
        <f t="shared" si="2"/>
        <v>1.7930312927132255</v>
      </c>
      <c r="I111" s="2">
        <f t="shared" si="3"/>
        <v>104.58751530396243</v>
      </c>
      <c r="J111" s="2">
        <f t="shared" si="4"/>
        <v>29.159014180741622</v>
      </c>
      <c r="K111" s="15">
        <f t="shared" si="19"/>
        <v>0.44029558404558405</v>
      </c>
      <c r="L111" s="21">
        <f t="shared" si="14"/>
        <v>106</v>
      </c>
      <c r="M111" s="21">
        <f t="shared" ref="M111:M162" si="21">M110+0.5</f>
        <v>58.15</v>
      </c>
      <c r="N111" s="21">
        <v>6</v>
      </c>
      <c r="O111" s="2">
        <v>50.26548245743669</v>
      </c>
      <c r="P111" s="11">
        <f t="shared" si="5"/>
        <v>1.1936620731892149</v>
      </c>
      <c r="Q111" s="2">
        <f t="shared" si="6"/>
        <v>69.411449555952842</v>
      </c>
      <c r="R111" s="2">
        <f t="shared" si="7"/>
        <v>1.8230646440328588</v>
      </c>
      <c r="S111" s="2">
        <f t="shared" si="8"/>
        <v>106.01120905051074</v>
      </c>
      <c r="T111" s="2">
        <f t="shared" si="9"/>
        <v>36.599759494557901</v>
      </c>
    </row>
    <row r="112" spans="1:20" x14ac:dyDescent="0.25">
      <c r="A112" s="14">
        <f t="shared" si="18"/>
        <v>0.4619480056980057</v>
      </c>
      <c r="B112" s="2">
        <f t="shared" si="11"/>
        <v>107</v>
      </c>
      <c r="C112" s="4">
        <f t="shared" si="20"/>
        <v>58.83</v>
      </c>
      <c r="D112" s="2">
        <v>7</v>
      </c>
      <c r="E112" s="2">
        <v>50.26548245743669</v>
      </c>
      <c r="F112" s="11">
        <f t="shared" si="0"/>
        <v>1.3926057520540844</v>
      </c>
      <c r="G112" s="2">
        <f t="shared" si="1"/>
        <v>81.926996393341781</v>
      </c>
      <c r="H112" s="2">
        <f t="shared" si="2"/>
        <v>1.7930312927132255</v>
      </c>
      <c r="I112" s="2">
        <f t="shared" si="3"/>
        <v>105.48403095031905</v>
      </c>
      <c r="J112" s="2">
        <f t="shared" si="4"/>
        <v>23.557034556977271</v>
      </c>
      <c r="K112" s="15">
        <f t="shared" si="19"/>
        <v>0.44042022792022789</v>
      </c>
      <c r="L112" s="2">
        <f t="shared" si="14"/>
        <v>107</v>
      </c>
      <c r="M112" s="2">
        <f t="shared" si="21"/>
        <v>58.65</v>
      </c>
      <c r="N112" s="2">
        <v>6</v>
      </c>
      <c r="O112" s="2">
        <v>50.26548245743669</v>
      </c>
      <c r="P112" s="11">
        <f t="shared" si="5"/>
        <v>1.1936620731892149</v>
      </c>
      <c r="Q112" s="2">
        <f t="shared" si="6"/>
        <v>70.00828059254745</v>
      </c>
      <c r="R112" s="2">
        <f t="shared" si="7"/>
        <v>1.8230646440328588</v>
      </c>
      <c r="S112" s="2">
        <f t="shared" si="8"/>
        <v>106.92274137252717</v>
      </c>
      <c r="T112" s="2">
        <f t="shared" si="9"/>
        <v>36.91446077997972</v>
      </c>
    </row>
    <row r="113" spans="1:20" x14ac:dyDescent="0.25">
      <c r="A113" s="14">
        <f t="shared" si="18"/>
        <v>0.4620726495726496</v>
      </c>
      <c r="B113" s="2">
        <f t="shared" si="11"/>
        <v>108</v>
      </c>
      <c r="C113" s="4">
        <f t="shared" si="20"/>
        <v>59.33</v>
      </c>
      <c r="D113" s="2">
        <v>6</v>
      </c>
      <c r="E113" s="2">
        <v>50.26548245743669</v>
      </c>
      <c r="F113" s="11">
        <f t="shared" si="0"/>
        <v>1.1936620731892149</v>
      </c>
      <c r="G113" s="2">
        <f t="shared" si="1"/>
        <v>70.819970802316121</v>
      </c>
      <c r="H113" s="2">
        <f t="shared" si="2"/>
        <v>1.7930312927132255</v>
      </c>
      <c r="I113" s="2">
        <f t="shared" si="3"/>
        <v>106.38054659667567</v>
      </c>
      <c r="J113" s="2">
        <f t="shared" si="4"/>
        <v>35.560575794359551</v>
      </c>
      <c r="K113" s="15">
        <f t="shared" si="19"/>
        <v>0.44054487179487178</v>
      </c>
      <c r="L113" s="2">
        <f t="shared" si="14"/>
        <v>108</v>
      </c>
      <c r="M113" s="2">
        <f t="shared" si="21"/>
        <v>59.15</v>
      </c>
      <c r="N113" s="2">
        <v>6.5</v>
      </c>
      <c r="O113" s="2">
        <v>50.26548245743669</v>
      </c>
      <c r="P113" s="11">
        <f t="shared" si="5"/>
        <v>1.2931339126216495</v>
      </c>
      <c r="Q113" s="2">
        <f t="shared" si="6"/>
        <v>76.48887093157056</v>
      </c>
      <c r="R113" s="2">
        <f t="shared" si="7"/>
        <v>1.8230646440328588</v>
      </c>
      <c r="S113" s="2">
        <f t="shared" si="8"/>
        <v>107.8342736945436</v>
      </c>
      <c r="T113" s="2">
        <f t="shared" si="9"/>
        <v>31.345402762973038</v>
      </c>
    </row>
    <row r="114" spans="1:20" x14ac:dyDescent="0.25">
      <c r="A114" s="14">
        <f t="shared" si="18"/>
        <v>0.46219729344729343</v>
      </c>
      <c r="B114" s="2">
        <f t="shared" si="11"/>
        <v>109</v>
      </c>
      <c r="C114" s="4">
        <f t="shared" si="20"/>
        <v>59.83</v>
      </c>
      <c r="D114" s="2">
        <v>6</v>
      </c>
      <c r="E114" s="2">
        <v>50.26548245743669</v>
      </c>
      <c r="F114" s="11">
        <f t="shared" si="0"/>
        <v>1.1936620731892149</v>
      </c>
      <c r="G114" s="2">
        <f t="shared" si="1"/>
        <v>71.416801838910729</v>
      </c>
      <c r="H114" s="2">
        <f t="shared" si="2"/>
        <v>1.7930312927132255</v>
      </c>
      <c r="I114" s="2">
        <f t="shared" si="3"/>
        <v>107.27706224303228</v>
      </c>
      <c r="J114" s="2">
        <f t="shared" si="4"/>
        <v>35.860260404121547</v>
      </c>
      <c r="K114" s="15">
        <f t="shared" si="19"/>
        <v>0.44066951566951568</v>
      </c>
      <c r="L114" s="2">
        <f t="shared" si="14"/>
        <v>109</v>
      </c>
      <c r="M114" s="2">
        <f t="shared" si="21"/>
        <v>59.65</v>
      </c>
      <c r="N114" s="2">
        <v>6</v>
      </c>
      <c r="O114" s="2">
        <v>50.26548245743669</v>
      </c>
      <c r="P114" s="11">
        <f t="shared" si="5"/>
        <v>1.1936620731892149</v>
      </c>
      <c r="Q114" s="2">
        <f t="shared" si="6"/>
        <v>71.201942665736667</v>
      </c>
      <c r="R114" s="2">
        <f t="shared" si="7"/>
        <v>1.8230646440328588</v>
      </c>
      <c r="S114" s="2">
        <f t="shared" si="8"/>
        <v>108.74580601656002</v>
      </c>
      <c r="T114" s="2">
        <f t="shared" si="9"/>
        <v>37.543863350823358</v>
      </c>
    </row>
    <row r="115" spans="1:20" x14ac:dyDescent="0.25">
      <c r="A115" s="14">
        <f t="shared" si="18"/>
        <v>0.46232193732193733</v>
      </c>
      <c r="B115" s="2">
        <f t="shared" si="11"/>
        <v>110</v>
      </c>
      <c r="C115" s="4">
        <f t="shared" si="20"/>
        <v>60.33</v>
      </c>
      <c r="D115" s="2">
        <v>5.5</v>
      </c>
      <c r="E115" s="2">
        <v>50.26548245743669</v>
      </c>
      <c r="F115" s="11">
        <f t="shared" si="0"/>
        <v>1.0941902337567804</v>
      </c>
      <c r="G115" s="2">
        <f t="shared" si="1"/>
        <v>66.012496802546565</v>
      </c>
      <c r="H115" s="2">
        <f t="shared" si="2"/>
        <v>1.7930312927132255</v>
      </c>
      <c r="I115" s="2">
        <f t="shared" si="3"/>
        <v>108.17357788938889</v>
      </c>
      <c r="J115" s="2">
        <f t="shared" si="4"/>
        <v>42.16108108684233</v>
      </c>
      <c r="K115" s="15">
        <f t="shared" si="19"/>
        <v>0.44079415954415951</v>
      </c>
      <c r="L115" s="2">
        <f t="shared" si="14"/>
        <v>110</v>
      </c>
      <c r="M115" s="2">
        <f t="shared" si="21"/>
        <v>60.15</v>
      </c>
      <c r="N115" s="2">
        <v>6</v>
      </c>
      <c r="O115" s="2">
        <v>50.26548245743669</v>
      </c>
      <c r="P115" s="11">
        <f t="shared" si="5"/>
        <v>1.1936620731892149</v>
      </c>
      <c r="Q115" s="2">
        <f t="shared" si="6"/>
        <v>71.798773702331275</v>
      </c>
      <c r="R115" s="2">
        <f t="shared" si="7"/>
        <v>1.8230646440328588</v>
      </c>
      <c r="S115" s="2">
        <f t="shared" si="8"/>
        <v>109.65733833857645</v>
      </c>
      <c r="T115" s="2">
        <f t="shared" si="9"/>
        <v>37.858564636245177</v>
      </c>
    </row>
    <row r="116" spans="1:20" x14ac:dyDescent="0.25">
      <c r="A116" s="14">
        <f t="shared" si="18"/>
        <v>0.46244658119658122</v>
      </c>
      <c r="B116" s="2">
        <f t="shared" si="11"/>
        <v>111</v>
      </c>
      <c r="C116" s="4">
        <f t="shared" si="20"/>
        <v>60.83</v>
      </c>
      <c r="D116" s="2">
        <v>6</v>
      </c>
      <c r="E116" s="2">
        <v>50.26548245743669</v>
      </c>
      <c r="F116" s="11">
        <f t="shared" si="0"/>
        <v>1.1936620731892149</v>
      </c>
      <c r="G116" s="2">
        <f t="shared" si="1"/>
        <v>72.610463912099945</v>
      </c>
      <c r="H116" s="2">
        <f t="shared" si="2"/>
        <v>1.7930312927132255</v>
      </c>
      <c r="I116" s="2">
        <f t="shared" si="3"/>
        <v>109.0700935357455</v>
      </c>
      <c r="J116" s="2">
        <f t="shared" si="4"/>
        <v>36.459629623645554</v>
      </c>
      <c r="K116" s="15">
        <f t="shared" si="19"/>
        <v>0.44091880341880341</v>
      </c>
      <c r="L116" s="2">
        <f t="shared" si="14"/>
        <v>111</v>
      </c>
      <c r="M116" s="2">
        <f t="shared" si="21"/>
        <v>60.65</v>
      </c>
      <c r="N116" s="2">
        <v>5.5</v>
      </c>
      <c r="O116" s="2">
        <v>50.26548245743669</v>
      </c>
      <c r="P116" s="11">
        <f t="shared" si="5"/>
        <v>1.0941902337567804</v>
      </c>
      <c r="Q116" s="2">
        <f t="shared" si="6"/>
        <v>66.362637677348729</v>
      </c>
      <c r="R116" s="2">
        <f t="shared" si="7"/>
        <v>1.8230646440328588</v>
      </c>
      <c r="S116" s="2">
        <f t="shared" si="8"/>
        <v>110.56887066059289</v>
      </c>
      <c r="T116" s="2">
        <f t="shared" si="9"/>
        <v>44.206232983244163</v>
      </c>
    </row>
    <row r="117" spans="1:20" x14ac:dyDescent="0.25">
      <c r="A117" s="14">
        <f t="shared" si="18"/>
        <v>0.46257122507122511</v>
      </c>
      <c r="B117" s="2">
        <f t="shared" si="11"/>
        <v>112</v>
      </c>
      <c r="C117" s="4">
        <f t="shared" si="20"/>
        <v>61.33</v>
      </c>
      <c r="D117" s="2">
        <v>7</v>
      </c>
      <c r="E117" s="2">
        <v>50.26548245743669</v>
      </c>
      <c r="F117" s="11">
        <f t="shared" si="0"/>
        <v>1.3926057520540844</v>
      </c>
      <c r="G117" s="2">
        <f t="shared" si="1"/>
        <v>85.408510773476991</v>
      </c>
      <c r="H117" s="2">
        <f t="shared" si="2"/>
        <v>1.7930312927132255</v>
      </c>
      <c r="I117" s="2">
        <f t="shared" si="3"/>
        <v>109.96660918210212</v>
      </c>
      <c r="J117" s="2">
        <f t="shared" si="4"/>
        <v>24.558098408625128</v>
      </c>
      <c r="K117" s="15">
        <f t="shared" si="19"/>
        <v>0.4410434472934473</v>
      </c>
      <c r="L117" s="2">
        <f t="shared" si="14"/>
        <v>112</v>
      </c>
      <c r="M117" s="2">
        <f t="shared" si="21"/>
        <v>61.15</v>
      </c>
      <c r="N117" s="2">
        <v>5.5</v>
      </c>
      <c r="O117" s="2">
        <v>50.26548245743669</v>
      </c>
      <c r="P117" s="11">
        <f t="shared" si="5"/>
        <v>1.0941902337567804</v>
      </c>
      <c r="Q117" s="2">
        <f t="shared" si="6"/>
        <v>66.909732794227125</v>
      </c>
      <c r="R117" s="2">
        <f t="shared" si="7"/>
        <v>1.8230646440328588</v>
      </c>
      <c r="S117" s="2">
        <f t="shared" si="8"/>
        <v>111.48040298260932</v>
      </c>
      <c r="T117" s="2">
        <f t="shared" si="9"/>
        <v>44.570670188382195</v>
      </c>
    </row>
    <row r="118" spans="1:20" x14ac:dyDescent="0.25">
      <c r="A118" s="14">
        <f t="shared" si="18"/>
        <v>0.46269586894586895</v>
      </c>
      <c r="B118" s="2">
        <f t="shared" si="11"/>
        <v>113</v>
      </c>
      <c r="C118" s="4">
        <f t="shared" si="20"/>
        <v>61.83</v>
      </c>
      <c r="D118" s="2">
        <v>6</v>
      </c>
      <c r="E118" s="2">
        <v>50.26548245743669</v>
      </c>
      <c r="F118" s="11">
        <f t="shared" si="0"/>
        <v>1.1936620731892149</v>
      </c>
      <c r="G118" s="2">
        <f t="shared" si="1"/>
        <v>73.804125985289161</v>
      </c>
      <c r="H118" s="2">
        <f t="shared" si="2"/>
        <v>1.7930312927132255</v>
      </c>
      <c r="I118" s="2">
        <f t="shared" si="3"/>
        <v>110.86312482845872</v>
      </c>
      <c r="J118" s="2">
        <f t="shared" si="4"/>
        <v>37.058998843169562</v>
      </c>
      <c r="K118" s="15">
        <f t="shared" si="19"/>
        <v>0.44116809116809114</v>
      </c>
      <c r="L118" s="2">
        <f t="shared" si="14"/>
        <v>113</v>
      </c>
      <c r="M118" s="2">
        <f t="shared" si="21"/>
        <v>61.65</v>
      </c>
      <c r="N118" s="2">
        <v>5.5</v>
      </c>
      <c r="O118" s="2">
        <v>50.26548245743669</v>
      </c>
      <c r="P118" s="11">
        <f t="shared" si="5"/>
        <v>1.0941902337567804</v>
      </c>
      <c r="Q118" s="2">
        <f t="shared" si="6"/>
        <v>67.456827911105506</v>
      </c>
      <c r="R118" s="2">
        <f t="shared" si="7"/>
        <v>1.8230646440328588</v>
      </c>
      <c r="S118" s="2">
        <f t="shared" si="8"/>
        <v>112.39193530462575</v>
      </c>
      <c r="T118" s="2">
        <f t="shared" si="9"/>
        <v>44.935107393520241</v>
      </c>
    </row>
    <row r="119" spans="1:20" x14ac:dyDescent="0.25">
      <c r="A119" s="14">
        <f t="shared" si="18"/>
        <v>0.46282051282051284</v>
      </c>
      <c r="B119" s="2">
        <f t="shared" si="11"/>
        <v>114</v>
      </c>
      <c r="C119" s="4">
        <f t="shared" si="20"/>
        <v>62.33</v>
      </c>
      <c r="D119" s="2">
        <v>5</v>
      </c>
      <c r="E119" s="2">
        <v>50.26548245743669</v>
      </c>
      <c r="F119" s="11">
        <f t="shared" si="0"/>
        <v>0.99471839432434594</v>
      </c>
      <c r="G119" s="2">
        <f t="shared" si="1"/>
        <v>62.000797518236482</v>
      </c>
      <c r="H119" s="2">
        <f t="shared" si="2"/>
        <v>1.7930312927132255</v>
      </c>
      <c r="I119" s="2">
        <f t="shared" si="3"/>
        <v>111.75964047481534</v>
      </c>
      <c r="J119" s="2">
        <f t="shared" si="4"/>
        <v>49.75884295657886</v>
      </c>
      <c r="K119" s="15">
        <f t="shared" si="19"/>
        <v>0.44129273504273503</v>
      </c>
      <c r="L119" s="2">
        <f t="shared" si="14"/>
        <v>114</v>
      </c>
      <c r="M119" s="2">
        <f t="shared" si="21"/>
        <v>62.15</v>
      </c>
      <c r="N119" s="2">
        <v>5</v>
      </c>
      <c r="O119" s="2">
        <v>50.26548245743669</v>
      </c>
      <c r="P119" s="11">
        <f t="shared" si="5"/>
        <v>0.99471839432434594</v>
      </c>
      <c r="Q119" s="2">
        <f t="shared" si="6"/>
        <v>61.821748207258096</v>
      </c>
      <c r="R119" s="2">
        <f t="shared" si="7"/>
        <v>1.8230646440328588</v>
      </c>
      <c r="S119" s="2">
        <f t="shared" si="8"/>
        <v>113.30346762664217</v>
      </c>
      <c r="T119" s="2">
        <f t="shared" si="9"/>
        <v>51.481719419384078</v>
      </c>
    </row>
    <row r="120" spans="1:20" x14ac:dyDescent="0.25">
      <c r="A120" s="14">
        <f t="shared" si="18"/>
        <v>0.46294515669515673</v>
      </c>
      <c r="B120" s="2">
        <f t="shared" si="11"/>
        <v>115</v>
      </c>
      <c r="C120" s="4">
        <f t="shared" si="20"/>
        <v>62.83</v>
      </c>
      <c r="D120" s="2">
        <v>6</v>
      </c>
      <c r="E120" s="2">
        <v>50.26548245743669</v>
      </c>
      <c r="F120" s="11">
        <f t="shared" si="0"/>
        <v>1.1936620731892149</v>
      </c>
      <c r="G120" s="2">
        <f t="shared" si="1"/>
        <v>74.997788058478378</v>
      </c>
      <c r="H120" s="2">
        <f t="shared" si="2"/>
        <v>1.7930312927132255</v>
      </c>
      <c r="I120" s="2">
        <f t="shared" si="3"/>
        <v>112.65615612117196</v>
      </c>
      <c r="J120" s="2">
        <f t="shared" si="4"/>
        <v>37.658368062693583</v>
      </c>
      <c r="K120" s="15">
        <f t="shared" si="19"/>
        <v>0.44141737891737892</v>
      </c>
      <c r="L120" s="2">
        <f t="shared" si="14"/>
        <v>115</v>
      </c>
      <c r="M120" s="2">
        <f t="shared" si="21"/>
        <v>62.65</v>
      </c>
      <c r="N120" s="2">
        <v>6</v>
      </c>
      <c r="O120" s="2">
        <v>50.26548245743669</v>
      </c>
      <c r="P120" s="11">
        <f t="shared" si="5"/>
        <v>1.1936620731892149</v>
      </c>
      <c r="Q120" s="2">
        <f t="shared" si="6"/>
        <v>74.782928885304315</v>
      </c>
      <c r="R120" s="2">
        <f t="shared" si="7"/>
        <v>1.8230646440328588</v>
      </c>
      <c r="S120" s="2">
        <f t="shared" si="8"/>
        <v>114.2149999486586</v>
      </c>
      <c r="T120" s="2">
        <f t="shared" si="9"/>
        <v>39.432071063354286</v>
      </c>
    </row>
    <row r="121" spans="1:20" x14ac:dyDescent="0.25">
      <c r="A121" s="14">
        <f t="shared" si="18"/>
        <v>0.46306980056980057</v>
      </c>
      <c r="B121" s="2">
        <f t="shared" si="11"/>
        <v>116</v>
      </c>
      <c r="C121" s="4">
        <f t="shared" si="20"/>
        <v>63.33</v>
      </c>
      <c r="D121" s="2">
        <v>7</v>
      </c>
      <c r="E121" s="2">
        <v>50.26548245743669</v>
      </c>
      <c r="F121" s="11">
        <f t="shared" si="0"/>
        <v>1.3926057520540844</v>
      </c>
      <c r="G121" s="2">
        <f t="shared" si="1"/>
        <v>88.193722277585167</v>
      </c>
      <c r="H121" s="2">
        <f t="shared" si="2"/>
        <v>1.7930312927132255</v>
      </c>
      <c r="I121" s="2">
        <f t="shared" si="3"/>
        <v>113.55267176752857</v>
      </c>
      <c r="J121" s="2">
        <f t="shared" si="4"/>
        <v>25.358949489943399</v>
      </c>
      <c r="K121" s="15">
        <f t="shared" si="19"/>
        <v>0.44154202279202276</v>
      </c>
      <c r="L121" s="2">
        <f t="shared" si="14"/>
        <v>116</v>
      </c>
      <c r="M121" s="2">
        <f t="shared" si="21"/>
        <v>63.15</v>
      </c>
      <c r="N121" s="2">
        <v>9</v>
      </c>
      <c r="O121" s="2">
        <v>50.26548245743669</v>
      </c>
      <c r="P121" s="11">
        <f t="shared" si="5"/>
        <v>1.7904931097838226</v>
      </c>
      <c r="Q121" s="2">
        <f t="shared" si="6"/>
        <v>113.06963988284839</v>
      </c>
      <c r="R121" s="2">
        <f t="shared" si="7"/>
        <v>1.8230646440328588</v>
      </c>
      <c r="S121" s="2">
        <f t="shared" si="8"/>
        <v>115.12653227067503</v>
      </c>
      <c r="T121" s="2">
        <f t="shared" si="9"/>
        <v>2.0568923878266361</v>
      </c>
    </row>
    <row r="122" spans="1:20" x14ac:dyDescent="0.25">
      <c r="A122" s="10">
        <v>0.46319444444444446</v>
      </c>
      <c r="B122" s="2">
        <f t="shared" si="11"/>
        <v>117</v>
      </c>
      <c r="C122" s="4">
        <f t="shared" si="20"/>
        <v>63.83</v>
      </c>
      <c r="D122" s="2">
        <v>7</v>
      </c>
      <c r="E122" s="2">
        <v>50.26548245743669</v>
      </c>
      <c r="F122" s="11">
        <f t="shared" si="0"/>
        <v>1.3926057520540844</v>
      </c>
      <c r="G122" s="2">
        <f t="shared" si="1"/>
        <v>88.890025153612214</v>
      </c>
      <c r="H122" s="2">
        <f t="shared" si="2"/>
        <v>1.7930312927132255</v>
      </c>
      <c r="I122" s="2">
        <f t="shared" si="3"/>
        <v>114.44918741388518</v>
      </c>
      <c r="J122" s="2">
        <f t="shared" si="4"/>
        <v>25.55916226027297</v>
      </c>
      <c r="K122" s="12">
        <v>0.44166666666666665</v>
      </c>
      <c r="L122" s="2">
        <f t="shared" si="14"/>
        <v>117</v>
      </c>
      <c r="M122" s="2">
        <f t="shared" si="21"/>
        <v>63.65</v>
      </c>
      <c r="N122" s="2">
        <v>7</v>
      </c>
      <c r="O122" s="2">
        <v>50.26548245743669</v>
      </c>
      <c r="P122" s="11">
        <f t="shared" si="5"/>
        <v>1.3926057520540844</v>
      </c>
      <c r="Q122" s="2">
        <f t="shared" si="6"/>
        <v>88.639356118242475</v>
      </c>
      <c r="R122" s="2">
        <f t="shared" si="7"/>
        <v>1.8230646440328588</v>
      </c>
      <c r="S122" s="2">
        <f t="shared" si="8"/>
        <v>116.03806459269147</v>
      </c>
      <c r="T122" s="2">
        <f t="shared" si="9"/>
        <v>27.398708474448995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0.46330128205128207</v>
      </c>
      <c r="B123" s="2">
        <f t="shared" si="11"/>
        <v>118</v>
      </c>
      <c r="C123" s="4">
        <f t="shared" si="20"/>
        <v>64.33</v>
      </c>
      <c r="D123" s="2">
        <v>7.5</v>
      </c>
      <c r="E123" s="2">
        <v>50.26548245743669</v>
      </c>
      <c r="F123" s="11">
        <f t="shared" si="0"/>
        <v>1.492077591486519</v>
      </c>
      <c r="G123" s="2">
        <f t="shared" si="1"/>
        <v>95.985351460327763</v>
      </c>
      <c r="H123" s="2">
        <f t="shared" si="2"/>
        <v>1.7930312927132255</v>
      </c>
      <c r="I123" s="2">
        <f t="shared" si="3"/>
        <v>115.34570306024179</v>
      </c>
      <c r="J123" s="2">
        <f t="shared" si="4"/>
        <v>19.360351599914026</v>
      </c>
      <c r="K123" s="15">
        <f t="shared" ref="K123:K160" si="23">IF(AND($K$122&lt;&gt;"",$K$161&lt;&gt;""), $K$122 + (L123 - $L$122) * (($K$161 - $K$122) / ($L$161 - $L$122)), "")</f>
        <v>0.44179131054131054</v>
      </c>
      <c r="L123" s="2">
        <f t="shared" si="14"/>
        <v>118</v>
      </c>
      <c r="M123" s="2">
        <f t="shared" si="21"/>
        <v>64.150000000000006</v>
      </c>
      <c r="N123" s="2">
        <v>8</v>
      </c>
      <c r="O123" s="2">
        <v>50.26548245743669</v>
      </c>
      <c r="P123" s="11">
        <f t="shared" si="5"/>
        <v>1.5915494309189535</v>
      </c>
      <c r="Q123" s="2">
        <f t="shared" si="6"/>
        <v>102.09789599345088</v>
      </c>
      <c r="R123" s="2">
        <f t="shared" si="7"/>
        <v>1.8230646440328588</v>
      </c>
      <c r="S123" s="2">
        <f t="shared" si="8"/>
        <v>116.94959691470791</v>
      </c>
      <c r="T123" s="2">
        <f t="shared" si="9"/>
        <v>14.851700921257034</v>
      </c>
    </row>
    <row r="124" spans="1:20" x14ac:dyDescent="0.25">
      <c r="A124" s="14">
        <f t="shared" si="22"/>
        <v>0.46340811965811968</v>
      </c>
      <c r="B124" s="2">
        <f t="shared" si="11"/>
        <v>119</v>
      </c>
      <c r="C124" s="4">
        <f t="shared" si="20"/>
        <v>64.83</v>
      </c>
      <c r="D124" s="2">
        <v>7.5</v>
      </c>
      <c r="E124" s="2">
        <v>50.26548245743669</v>
      </c>
      <c r="F124" s="11">
        <f t="shared" si="0"/>
        <v>1.492077591486519</v>
      </c>
      <c r="G124" s="2">
        <f t="shared" si="1"/>
        <v>96.731390256071023</v>
      </c>
      <c r="H124" s="2">
        <f t="shared" si="2"/>
        <v>1.7930312927132255</v>
      </c>
      <c r="I124" s="2">
        <f t="shared" si="3"/>
        <v>116.24221870659841</v>
      </c>
      <c r="J124" s="2">
        <f t="shared" si="4"/>
        <v>19.510828450527384</v>
      </c>
      <c r="K124" s="15">
        <f t="shared" si="23"/>
        <v>0.44191595441595438</v>
      </c>
      <c r="L124" s="2">
        <f t="shared" si="14"/>
        <v>119</v>
      </c>
      <c r="M124" s="2">
        <f t="shared" si="21"/>
        <v>64.650000000000006</v>
      </c>
      <c r="N124" s="2">
        <v>8</v>
      </c>
      <c r="O124" s="2">
        <v>50.26548245743669</v>
      </c>
      <c r="P124" s="11">
        <f t="shared" si="5"/>
        <v>1.5915494309189535</v>
      </c>
      <c r="Q124" s="2">
        <f t="shared" si="6"/>
        <v>102.89367070891035</v>
      </c>
      <c r="R124" s="2">
        <f t="shared" si="7"/>
        <v>1.8230646440328588</v>
      </c>
      <c r="S124" s="2">
        <f t="shared" si="8"/>
        <v>117.86112923672434</v>
      </c>
      <c r="T124" s="2">
        <f t="shared" si="9"/>
        <v>14.967458527813989</v>
      </c>
    </row>
    <row r="125" spans="1:20" x14ac:dyDescent="0.25">
      <c r="A125" s="14">
        <f t="shared" si="22"/>
        <v>0.46351495726495728</v>
      </c>
      <c r="B125" s="2">
        <f t="shared" si="11"/>
        <v>120</v>
      </c>
      <c r="C125" s="4">
        <f t="shared" si="20"/>
        <v>65.33</v>
      </c>
      <c r="D125" s="2">
        <v>8.5</v>
      </c>
      <c r="E125" s="2">
        <v>50.26548245743669</v>
      </c>
      <c r="F125" s="11">
        <f t="shared" si="0"/>
        <v>1.6910212703513881</v>
      </c>
      <c r="G125" s="2">
        <f t="shared" si="1"/>
        <v>110.47441959205618</v>
      </c>
      <c r="H125" s="2">
        <f t="shared" si="2"/>
        <v>1.7930312927132255</v>
      </c>
      <c r="I125" s="2">
        <f t="shared" si="3"/>
        <v>117.13873435295501</v>
      </c>
      <c r="J125" s="2">
        <f t="shared" si="4"/>
        <v>6.6643147608988329</v>
      </c>
      <c r="K125" s="15">
        <f t="shared" si="23"/>
        <v>0.44204059829059827</v>
      </c>
      <c r="L125" s="2">
        <f t="shared" si="14"/>
        <v>120</v>
      </c>
      <c r="M125" s="2">
        <f t="shared" si="21"/>
        <v>65.150000000000006</v>
      </c>
      <c r="N125" s="2">
        <v>9</v>
      </c>
      <c r="O125" s="2">
        <v>50.26548245743669</v>
      </c>
      <c r="P125" s="11">
        <f t="shared" si="5"/>
        <v>1.7904931097838226</v>
      </c>
      <c r="Q125" s="2">
        <f t="shared" si="6"/>
        <v>116.65062610241606</v>
      </c>
      <c r="R125" s="2">
        <f t="shared" si="7"/>
        <v>1.8230646440328588</v>
      </c>
      <c r="S125" s="2">
        <f t="shared" si="8"/>
        <v>118.77266155874077</v>
      </c>
      <c r="T125" s="2">
        <f t="shared" si="9"/>
        <v>2.1220354563247099</v>
      </c>
    </row>
    <row r="126" spans="1:20" x14ac:dyDescent="0.25">
      <c r="A126" s="14">
        <f t="shared" si="22"/>
        <v>0.46362179487179489</v>
      </c>
      <c r="B126" s="2">
        <f t="shared" si="11"/>
        <v>121</v>
      </c>
      <c r="C126" s="4">
        <f t="shared" si="20"/>
        <v>65.83</v>
      </c>
      <c r="D126" s="2">
        <v>8.5</v>
      </c>
      <c r="E126" s="2">
        <v>50.26548245743669</v>
      </c>
      <c r="F126" s="11">
        <f t="shared" si="0"/>
        <v>1.6910212703513881</v>
      </c>
      <c r="G126" s="2">
        <f t="shared" si="1"/>
        <v>111.31993022723188</v>
      </c>
      <c r="H126" s="2">
        <f t="shared" si="2"/>
        <v>1.7930312927132255</v>
      </c>
      <c r="I126" s="2">
        <f t="shared" si="3"/>
        <v>118.03524999931163</v>
      </c>
      <c r="J126" s="2">
        <f t="shared" si="4"/>
        <v>6.7153197720797522</v>
      </c>
      <c r="K126" s="15">
        <f t="shared" si="23"/>
        <v>0.44216524216524217</v>
      </c>
      <c r="L126" s="2">
        <f t="shared" si="14"/>
        <v>121</v>
      </c>
      <c r="M126" s="2">
        <f t="shared" si="21"/>
        <v>65.650000000000006</v>
      </c>
      <c r="N126" s="2">
        <v>9.5</v>
      </c>
      <c r="O126" s="2">
        <v>50.26548245743669</v>
      </c>
      <c r="P126" s="11">
        <f t="shared" si="5"/>
        <v>1.8899649492162571</v>
      </c>
      <c r="Q126" s="2">
        <f t="shared" si="6"/>
        <v>124.07619891604729</v>
      </c>
      <c r="R126" s="2">
        <f t="shared" si="7"/>
        <v>1.8230646440328588</v>
      </c>
      <c r="S126" s="2">
        <f t="shared" si="8"/>
        <v>119.68419388075719</v>
      </c>
      <c r="T126" s="2">
        <f t="shared" si="9"/>
        <v>4.3920050352900972</v>
      </c>
    </row>
    <row r="127" spans="1:20" x14ac:dyDescent="0.25">
      <c r="A127" s="14">
        <f t="shared" si="22"/>
        <v>0.4637286324786325</v>
      </c>
      <c r="B127" s="2">
        <f t="shared" si="11"/>
        <v>122</v>
      </c>
      <c r="C127" s="4">
        <f t="shared" si="20"/>
        <v>66.33</v>
      </c>
      <c r="D127" s="2">
        <v>9</v>
      </c>
      <c r="E127" s="2">
        <v>50.26548245743669</v>
      </c>
      <c r="F127" s="11">
        <f t="shared" si="0"/>
        <v>1.7904931097838226</v>
      </c>
      <c r="G127" s="2">
        <f t="shared" si="1"/>
        <v>118.76340797196094</v>
      </c>
      <c r="H127" s="2">
        <f t="shared" si="2"/>
        <v>1.7930312927132255</v>
      </c>
      <c r="I127" s="2">
        <f t="shared" si="3"/>
        <v>118.93176564566825</v>
      </c>
      <c r="J127" s="2">
        <f t="shared" si="4"/>
        <v>0.16835767370730537</v>
      </c>
      <c r="K127" s="15">
        <f t="shared" si="23"/>
        <v>0.442289886039886</v>
      </c>
      <c r="L127" s="2">
        <f t="shared" si="14"/>
        <v>122</v>
      </c>
      <c r="M127" s="2">
        <f t="shared" si="21"/>
        <v>66.150000000000006</v>
      </c>
      <c r="N127" s="2">
        <v>9</v>
      </c>
      <c r="O127" s="2">
        <v>50.26548245743669</v>
      </c>
      <c r="P127" s="11">
        <f t="shared" si="5"/>
        <v>1.7904931097838226</v>
      </c>
      <c r="Q127" s="2">
        <f t="shared" si="6"/>
        <v>118.44111921219988</v>
      </c>
      <c r="R127" s="2">
        <f t="shared" si="7"/>
        <v>1.8230646440328588</v>
      </c>
      <c r="S127" s="2">
        <f t="shared" si="8"/>
        <v>120.59572620277362</v>
      </c>
      <c r="T127" s="2">
        <f t="shared" si="9"/>
        <v>2.1546069905737397</v>
      </c>
    </row>
    <row r="128" spans="1:20" x14ac:dyDescent="0.25">
      <c r="A128" s="14">
        <f t="shared" si="22"/>
        <v>0.4638354700854701</v>
      </c>
      <c r="B128" s="2">
        <f t="shared" si="11"/>
        <v>123</v>
      </c>
      <c r="C128" s="4">
        <f t="shared" si="20"/>
        <v>66.83</v>
      </c>
      <c r="D128" s="2">
        <v>8.5</v>
      </c>
      <c r="E128" s="2">
        <v>50.26548245743669</v>
      </c>
      <c r="F128" s="11">
        <f t="shared" si="0"/>
        <v>1.6910212703513881</v>
      </c>
      <c r="G128" s="2">
        <f t="shared" si="1"/>
        <v>113.01095149758326</v>
      </c>
      <c r="H128" s="2">
        <f t="shared" si="2"/>
        <v>1.7930312927132255</v>
      </c>
      <c r="I128" s="2">
        <f t="shared" si="3"/>
        <v>119.82828129202485</v>
      </c>
      <c r="J128" s="2">
        <f t="shared" si="4"/>
        <v>6.8173297944415907</v>
      </c>
      <c r="K128" s="15">
        <f t="shared" si="23"/>
        <v>0.4424145299145299</v>
      </c>
      <c r="L128" s="2">
        <f t="shared" si="14"/>
        <v>123</v>
      </c>
      <c r="M128" s="2">
        <f t="shared" si="21"/>
        <v>66.650000000000006</v>
      </c>
      <c r="N128" s="2">
        <v>9.5</v>
      </c>
      <c r="O128" s="2">
        <v>50.26548245743669</v>
      </c>
      <c r="P128" s="11">
        <f t="shared" si="5"/>
        <v>1.8899649492162571</v>
      </c>
      <c r="Q128" s="2">
        <f t="shared" si="6"/>
        <v>125.96616386526355</v>
      </c>
      <c r="R128" s="2">
        <f t="shared" si="7"/>
        <v>1.8230646440328588</v>
      </c>
      <c r="S128" s="2">
        <f t="shared" si="8"/>
        <v>121.50725852479005</v>
      </c>
      <c r="T128" s="2">
        <f t="shared" si="9"/>
        <v>4.4589053404735068</v>
      </c>
    </row>
    <row r="129" spans="1:20" x14ac:dyDescent="0.25">
      <c r="A129" s="14">
        <f t="shared" si="22"/>
        <v>0.46394230769230771</v>
      </c>
      <c r="B129" s="2">
        <f t="shared" si="11"/>
        <v>124</v>
      </c>
      <c r="C129" s="4">
        <f t="shared" si="20"/>
        <v>67.33</v>
      </c>
      <c r="D129" s="2">
        <v>8.5</v>
      </c>
      <c r="E129" s="2">
        <v>50.26548245743669</v>
      </c>
      <c r="F129" s="11">
        <f t="shared" si="0"/>
        <v>1.6910212703513881</v>
      </c>
      <c r="G129" s="2">
        <f t="shared" si="1"/>
        <v>113.85646213275895</v>
      </c>
      <c r="H129" s="2">
        <f t="shared" si="2"/>
        <v>1.7930312927132255</v>
      </c>
      <c r="I129" s="2">
        <f t="shared" si="3"/>
        <v>120.72479693838147</v>
      </c>
      <c r="J129" s="2">
        <f t="shared" si="4"/>
        <v>6.8683348056225242</v>
      </c>
      <c r="K129" s="15">
        <f t="shared" si="23"/>
        <v>0.44253917378917379</v>
      </c>
      <c r="L129" s="2">
        <f t="shared" si="14"/>
        <v>124</v>
      </c>
      <c r="M129" s="2">
        <f t="shared" si="21"/>
        <v>67.150000000000006</v>
      </c>
      <c r="N129" s="2">
        <v>9</v>
      </c>
      <c r="O129" s="2">
        <v>50.26548245743669</v>
      </c>
      <c r="P129" s="11">
        <f t="shared" si="5"/>
        <v>1.7904931097838226</v>
      </c>
      <c r="Q129" s="2">
        <f t="shared" si="6"/>
        <v>120.2316123219837</v>
      </c>
      <c r="R129" s="2">
        <f t="shared" si="7"/>
        <v>1.8230646440328588</v>
      </c>
      <c r="S129" s="2">
        <f t="shared" si="8"/>
        <v>122.41879084680649</v>
      </c>
      <c r="T129" s="2">
        <f t="shared" si="9"/>
        <v>2.1871785248227837</v>
      </c>
    </row>
    <row r="130" spans="1:20" x14ac:dyDescent="0.25">
      <c r="A130" s="14">
        <f t="shared" si="22"/>
        <v>0.46404914529914532</v>
      </c>
      <c r="B130" s="2">
        <f t="shared" si="11"/>
        <v>125</v>
      </c>
      <c r="C130" s="4">
        <f t="shared" si="20"/>
        <v>67.83</v>
      </c>
      <c r="D130" s="2">
        <v>8.5</v>
      </c>
      <c r="E130" s="2">
        <v>50.26548245743669</v>
      </c>
      <c r="F130" s="11">
        <f t="shared" si="0"/>
        <v>1.6910212703513881</v>
      </c>
      <c r="G130" s="2">
        <f t="shared" si="1"/>
        <v>114.70197276793465</v>
      </c>
      <c r="H130" s="2">
        <f t="shared" si="2"/>
        <v>1.7930312927132255</v>
      </c>
      <c r="I130" s="2">
        <f t="shared" si="3"/>
        <v>121.62131258473808</v>
      </c>
      <c r="J130" s="2">
        <f t="shared" si="4"/>
        <v>6.9193398168034292</v>
      </c>
      <c r="K130" s="15">
        <f t="shared" si="23"/>
        <v>0.44266381766381768</v>
      </c>
      <c r="L130" s="2">
        <f t="shared" si="14"/>
        <v>125</v>
      </c>
      <c r="M130" s="2">
        <f t="shared" si="21"/>
        <v>67.650000000000006</v>
      </c>
      <c r="N130" s="2">
        <v>9.5</v>
      </c>
      <c r="O130" s="2">
        <v>50.26548245743669</v>
      </c>
      <c r="P130" s="11">
        <f t="shared" si="5"/>
        <v>1.8899649492162571</v>
      </c>
      <c r="Q130" s="2">
        <f t="shared" si="6"/>
        <v>127.8561288144798</v>
      </c>
      <c r="R130" s="2">
        <f t="shared" si="7"/>
        <v>1.8230646440328588</v>
      </c>
      <c r="S130" s="2">
        <f t="shared" si="8"/>
        <v>123.33032316882291</v>
      </c>
      <c r="T130" s="2">
        <f t="shared" si="9"/>
        <v>4.525805645656888</v>
      </c>
    </row>
    <row r="131" spans="1:20" x14ac:dyDescent="0.25">
      <c r="A131" s="14">
        <f t="shared" si="22"/>
        <v>0.46415598290598292</v>
      </c>
      <c r="B131" s="2">
        <f t="shared" si="11"/>
        <v>126</v>
      </c>
      <c r="C131" s="4">
        <f t="shared" si="20"/>
        <v>68.33</v>
      </c>
      <c r="D131" s="2">
        <v>9</v>
      </c>
      <c r="E131" s="2">
        <v>50.26548245743669</v>
      </c>
      <c r="F131" s="11">
        <f t="shared" si="0"/>
        <v>1.7904931097838226</v>
      </c>
      <c r="G131" s="2">
        <f t="shared" si="1"/>
        <v>122.34439419152859</v>
      </c>
      <c r="H131" s="2">
        <f t="shared" si="2"/>
        <v>1.7930312927132255</v>
      </c>
      <c r="I131" s="2">
        <f t="shared" si="3"/>
        <v>122.5178282310947</v>
      </c>
      <c r="J131" s="2">
        <f t="shared" si="4"/>
        <v>0.17343403956610359</v>
      </c>
      <c r="K131" s="15">
        <f t="shared" si="23"/>
        <v>0.44278846153846152</v>
      </c>
      <c r="L131" s="2">
        <f t="shared" si="14"/>
        <v>126</v>
      </c>
      <c r="M131" s="2">
        <f t="shared" si="21"/>
        <v>68.150000000000006</v>
      </c>
      <c r="N131" s="2">
        <v>8.5</v>
      </c>
      <c r="O131" s="2">
        <v>50.26548245743669</v>
      </c>
      <c r="P131" s="11">
        <f t="shared" si="5"/>
        <v>1.6910212703513881</v>
      </c>
      <c r="Q131" s="2">
        <f t="shared" si="6"/>
        <v>115.2430995744471</v>
      </c>
      <c r="R131" s="2">
        <f t="shared" si="7"/>
        <v>1.8230646440328588</v>
      </c>
      <c r="S131" s="2">
        <f t="shared" si="8"/>
        <v>124.24185549083934</v>
      </c>
      <c r="T131" s="2">
        <f t="shared" si="9"/>
        <v>8.9987559163922413</v>
      </c>
    </row>
    <row r="132" spans="1:20" x14ac:dyDescent="0.25">
      <c r="A132" s="14">
        <f t="shared" si="22"/>
        <v>0.46426282051282053</v>
      </c>
      <c r="B132" s="2">
        <f t="shared" si="11"/>
        <v>127</v>
      </c>
      <c r="C132" s="4">
        <f t="shared" si="20"/>
        <v>68.83</v>
      </c>
      <c r="D132" s="2">
        <v>8</v>
      </c>
      <c r="E132" s="2">
        <v>50.26548245743669</v>
      </c>
      <c r="F132" s="11">
        <f t="shared" si="0"/>
        <v>1.5915494309189535</v>
      </c>
      <c r="G132" s="2">
        <f t="shared" si="1"/>
        <v>109.54634733015156</v>
      </c>
      <c r="H132" s="2">
        <f t="shared" si="2"/>
        <v>1.7930312927132255</v>
      </c>
      <c r="I132" s="2">
        <f t="shared" si="3"/>
        <v>123.4143438774513</v>
      </c>
      <c r="J132" s="2">
        <f t="shared" si="4"/>
        <v>13.86799654729974</v>
      </c>
      <c r="K132" s="15">
        <f t="shared" si="23"/>
        <v>0.44291310541310541</v>
      </c>
      <c r="L132" s="2">
        <f t="shared" si="14"/>
        <v>127</v>
      </c>
      <c r="M132" s="2">
        <f t="shared" si="21"/>
        <v>68.650000000000006</v>
      </c>
      <c r="N132" s="2">
        <v>7</v>
      </c>
      <c r="O132" s="2">
        <v>50.26548245743669</v>
      </c>
      <c r="P132" s="11">
        <f t="shared" si="5"/>
        <v>1.3926057520540844</v>
      </c>
      <c r="Q132" s="2">
        <f t="shared" si="6"/>
        <v>95.602384878512908</v>
      </c>
      <c r="R132" s="2">
        <f t="shared" si="7"/>
        <v>1.8230646440328588</v>
      </c>
      <c r="S132" s="2">
        <f t="shared" si="8"/>
        <v>125.15338781285577</v>
      </c>
      <c r="T132" s="2">
        <f t="shared" si="9"/>
        <v>29.551002934342861</v>
      </c>
    </row>
    <row r="133" spans="1:20" x14ac:dyDescent="0.25">
      <c r="A133" s="14">
        <f t="shared" si="22"/>
        <v>0.46436965811965814</v>
      </c>
      <c r="B133" s="2">
        <f t="shared" si="11"/>
        <v>128</v>
      </c>
      <c r="C133" s="4">
        <f t="shared" si="20"/>
        <v>69.33</v>
      </c>
      <c r="D133" s="2">
        <v>8</v>
      </c>
      <c r="E133" s="2">
        <v>50.26548245743669</v>
      </c>
      <c r="F133" s="11">
        <f t="shared" si="0"/>
        <v>1.5915494309189535</v>
      </c>
      <c r="G133" s="2">
        <f t="shared" si="1"/>
        <v>110.34212204561105</v>
      </c>
      <c r="H133" s="2">
        <f t="shared" si="2"/>
        <v>1.7930312927132255</v>
      </c>
      <c r="I133" s="2">
        <f t="shared" si="3"/>
        <v>124.31085952380792</v>
      </c>
      <c r="J133" s="2">
        <f t="shared" si="4"/>
        <v>13.968737478196871</v>
      </c>
      <c r="K133" s="15">
        <f t="shared" si="23"/>
        <v>0.44303774928774931</v>
      </c>
      <c r="L133" s="2">
        <f t="shared" si="14"/>
        <v>128</v>
      </c>
      <c r="M133" s="2">
        <f t="shared" si="21"/>
        <v>69.150000000000006</v>
      </c>
      <c r="N133" s="2">
        <v>6.5</v>
      </c>
      <c r="O133" s="2">
        <v>50.26548245743669</v>
      </c>
      <c r="P133" s="11">
        <f t="shared" si="5"/>
        <v>1.2931339126216495</v>
      </c>
      <c r="Q133" s="2">
        <f t="shared" si="6"/>
        <v>89.420210057787074</v>
      </c>
      <c r="R133" s="2">
        <f t="shared" si="7"/>
        <v>1.8230646440328588</v>
      </c>
      <c r="S133" s="2">
        <f t="shared" si="8"/>
        <v>126.0649201348722</v>
      </c>
      <c r="T133" s="2">
        <f t="shared" si="9"/>
        <v>36.644710077085122</v>
      </c>
    </row>
    <row r="134" spans="1:20" x14ac:dyDescent="0.25">
      <c r="A134" s="14">
        <f t="shared" si="22"/>
        <v>0.46447649572649574</v>
      </c>
      <c r="B134" s="2">
        <f t="shared" si="11"/>
        <v>129</v>
      </c>
      <c r="C134" s="4">
        <f t="shared" si="20"/>
        <v>69.83</v>
      </c>
      <c r="D134" s="2">
        <v>7</v>
      </c>
      <c r="E134" s="2">
        <v>50.26548245743669</v>
      </c>
      <c r="F134" s="11">
        <f t="shared" si="0"/>
        <v>1.3926057520540844</v>
      </c>
      <c r="G134" s="2">
        <f t="shared" si="1"/>
        <v>97.245659665936714</v>
      </c>
      <c r="H134" s="2">
        <f t="shared" si="2"/>
        <v>1.7930312927132255</v>
      </c>
      <c r="I134" s="2">
        <f t="shared" si="3"/>
        <v>125.20737517016453</v>
      </c>
      <c r="J134" s="2">
        <f t="shared" si="4"/>
        <v>27.961715504227811</v>
      </c>
      <c r="K134" s="15">
        <f t="shared" si="23"/>
        <v>0.44316239316239314</v>
      </c>
      <c r="L134" s="2">
        <f t="shared" si="14"/>
        <v>129</v>
      </c>
      <c r="M134" s="2">
        <f t="shared" si="21"/>
        <v>69.650000000000006</v>
      </c>
      <c r="N134" s="2">
        <v>7.5</v>
      </c>
      <c r="O134" s="2">
        <v>50.26548245743669</v>
      </c>
      <c r="P134" s="11">
        <f t="shared" si="5"/>
        <v>1.492077591486519</v>
      </c>
      <c r="Q134" s="2">
        <f t="shared" si="6"/>
        <v>103.92320424703605</v>
      </c>
      <c r="R134" s="2">
        <f t="shared" si="7"/>
        <v>1.8230646440328588</v>
      </c>
      <c r="S134" s="2">
        <f t="shared" si="8"/>
        <v>126.97645245688862</v>
      </c>
      <c r="T134" s="2">
        <f t="shared" si="9"/>
        <v>23.053248209852569</v>
      </c>
    </row>
    <row r="135" spans="1:20" x14ac:dyDescent="0.25">
      <c r="A135" s="14">
        <f t="shared" si="22"/>
        <v>0.46458333333333335</v>
      </c>
      <c r="B135" s="2">
        <f t="shared" si="11"/>
        <v>130</v>
      </c>
      <c r="C135" s="4">
        <f t="shared" si="20"/>
        <v>70.33</v>
      </c>
      <c r="D135" s="2">
        <v>7.5</v>
      </c>
      <c r="E135" s="2">
        <v>50.26548245743669</v>
      </c>
      <c r="F135" s="11">
        <f t="shared" si="0"/>
        <v>1.492077591486519</v>
      </c>
      <c r="G135" s="2">
        <f t="shared" si="1"/>
        <v>104.93781700924687</v>
      </c>
      <c r="H135" s="2">
        <f t="shared" si="2"/>
        <v>1.7930312927132255</v>
      </c>
      <c r="I135" s="2">
        <f t="shared" si="3"/>
        <v>126.10389081652114</v>
      </c>
      <c r="J135" s="2">
        <f t="shared" si="4"/>
        <v>21.166073807274273</v>
      </c>
      <c r="K135" s="15">
        <f t="shared" si="23"/>
        <v>0.44328703703703703</v>
      </c>
      <c r="L135" s="2">
        <f t="shared" si="14"/>
        <v>130</v>
      </c>
      <c r="M135" s="2">
        <f t="shared" si="21"/>
        <v>70.150000000000006</v>
      </c>
      <c r="N135" s="2">
        <v>7</v>
      </c>
      <c r="O135" s="2">
        <v>50.26548245743669</v>
      </c>
      <c r="P135" s="11">
        <f t="shared" si="5"/>
        <v>1.3926057520540844</v>
      </c>
      <c r="Q135" s="2">
        <f t="shared" si="6"/>
        <v>97.691293506594036</v>
      </c>
      <c r="R135" s="2">
        <f t="shared" si="7"/>
        <v>1.8230646440328588</v>
      </c>
      <c r="S135" s="2">
        <f t="shared" si="8"/>
        <v>127.88798477890506</v>
      </c>
      <c r="T135" s="2">
        <f t="shared" si="9"/>
        <v>30.196691272311028</v>
      </c>
    </row>
    <row r="136" spans="1:20" x14ac:dyDescent="0.25">
      <c r="A136" s="14">
        <f t="shared" si="22"/>
        <v>0.46469017094017095</v>
      </c>
      <c r="B136" s="2">
        <f t="shared" si="11"/>
        <v>131</v>
      </c>
      <c r="C136" s="4">
        <f t="shared" si="20"/>
        <v>70.83</v>
      </c>
      <c r="D136" s="2">
        <v>8</v>
      </c>
      <c r="E136" s="2">
        <v>50.26548245743669</v>
      </c>
      <c r="F136" s="11">
        <f t="shared" si="0"/>
        <v>1.5915494309189535</v>
      </c>
      <c r="G136" s="2">
        <f t="shared" si="1"/>
        <v>112.72944619198948</v>
      </c>
      <c r="H136" s="2">
        <f t="shared" si="2"/>
        <v>1.7930312927132255</v>
      </c>
      <c r="I136" s="2">
        <f t="shared" si="3"/>
        <v>127.00040646287776</v>
      </c>
      <c r="J136" s="2">
        <f t="shared" si="4"/>
        <v>14.270960270888281</v>
      </c>
      <c r="K136" s="15">
        <f t="shared" si="23"/>
        <v>0.44341168091168093</v>
      </c>
      <c r="L136" s="2">
        <f t="shared" si="14"/>
        <v>131</v>
      </c>
      <c r="M136" s="2">
        <f t="shared" si="21"/>
        <v>70.650000000000006</v>
      </c>
      <c r="N136" s="2">
        <v>6.5</v>
      </c>
      <c r="O136" s="2">
        <v>50.26548245743669</v>
      </c>
      <c r="P136" s="11">
        <f t="shared" si="5"/>
        <v>1.2931339126216495</v>
      </c>
      <c r="Q136" s="2">
        <f t="shared" si="6"/>
        <v>91.359910926719536</v>
      </c>
      <c r="R136" s="2">
        <f t="shared" si="7"/>
        <v>1.8230646440328588</v>
      </c>
      <c r="S136" s="2">
        <f t="shared" si="8"/>
        <v>128.79951710092149</v>
      </c>
      <c r="T136" s="2">
        <f t="shared" si="9"/>
        <v>37.439606174201955</v>
      </c>
    </row>
    <row r="137" spans="1:20" x14ac:dyDescent="0.25">
      <c r="A137" s="14">
        <f t="shared" si="22"/>
        <v>0.46479700854700856</v>
      </c>
      <c r="B137" s="2">
        <f t="shared" si="11"/>
        <v>132</v>
      </c>
      <c r="C137" s="4">
        <f t="shared" si="20"/>
        <v>71.33</v>
      </c>
      <c r="D137" s="2">
        <v>7.5</v>
      </c>
      <c r="E137" s="2">
        <v>50.26548245743669</v>
      </c>
      <c r="F137" s="11">
        <f t="shared" si="0"/>
        <v>1.492077591486519</v>
      </c>
      <c r="G137" s="2">
        <f t="shared" si="1"/>
        <v>106.42989460073339</v>
      </c>
      <c r="H137" s="2">
        <f t="shared" si="2"/>
        <v>1.7930312927132255</v>
      </c>
      <c r="I137" s="2">
        <f t="shared" si="3"/>
        <v>127.89692210923437</v>
      </c>
      <c r="J137" s="2">
        <f t="shared" si="4"/>
        <v>21.467027508500976</v>
      </c>
      <c r="K137" s="15">
        <f t="shared" si="23"/>
        <v>0.44353632478632476</v>
      </c>
      <c r="L137" s="2">
        <f t="shared" si="14"/>
        <v>132</v>
      </c>
      <c r="M137" s="2">
        <f t="shared" si="21"/>
        <v>71.150000000000006</v>
      </c>
      <c r="N137" s="2">
        <v>7.5</v>
      </c>
      <c r="O137" s="2">
        <v>50.26548245743669</v>
      </c>
      <c r="P137" s="11">
        <f t="shared" si="5"/>
        <v>1.492077591486519</v>
      </c>
      <c r="Q137" s="2">
        <f t="shared" si="6"/>
        <v>106.16132063426583</v>
      </c>
      <c r="R137" s="2">
        <f t="shared" si="7"/>
        <v>1.8230646440328588</v>
      </c>
      <c r="S137" s="2">
        <f t="shared" si="8"/>
        <v>129.71104942293792</v>
      </c>
      <c r="T137" s="2">
        <f t="shared" si="9"/>
        <v>23.549728788672084</v>
      </c>
    </row>
    <row r="138" spans="1:20" x14ac:dyDescent="0.25">
      <c r="A138" s="14">
        <f t="shared" si="22"/>
        <v>0.46490384615384617</v>
      </c>
      <c r="B138" s="2">
        <f t="shared" si="11"/>
        <v>133</v>
      </c>
      <c r="C138" s="4">
        <f t="shared" si="20"/>
        <v>71.83</v>
      </c>
      <c r="D138" s="2">
        <v>9</v>
      </c>
      <c r="E138" s="2">
        <v>50.26548245743669</v>
      </c>
      <c r="F138" s="11">
        <f t="shared" si="0"/>
        <v>1.7904931097838226</v>
      </c>
      <c r="G138" s="2">
        <f t="shared" si="1"/>
        <v>128.61112007577196</v>
      </c>
      <c r="H138" s="2">
        <f t="shared" si="2"/>
        <v>1.7930312927132255</v>
      </c>
      <c r="I138" s="2">
        <f t="shared" si="3"/>
        <v>128.79343775559099</v>
      </c>
      <c r="J138" s="2">
        <f t="shared" si="4"/>
        <v>0.18231767981902181</v>
      </c>
      <c r="K138" s="15">
        <f t="shared" si="23"/>
        <v>0.44366096866096866</v>
      </c>
      <c r="L138" s="2">
        <f t="shared" si="14"/>
        <v>133</v>
      </c>
      <c r="M138" s="2">
        <f t="shared" si="21"/>
        <v>71.650000000000006</v>
      </c>
      <c r="N138" s="2">
        <v>8.5</v>
      </c>
      <c r="O138" s="2">
        <v>50.26548245743669</v>
      </c>
      <c r="P138" s="11">
        <f t="shared" si="5"/>
        <v>1.6910212703513881</v>
      </c>
      <c r="Q138" s="2">
        <f t="shared" si="6"/>
        <v>121.16167402067697</v>
      </c>
      <c r="R138" s="2">
        <f t="shared" si="7"/>
        <v>1.8230646440328588</v>
      </c>
      <c r="S138" s="2">
        <f t="shared" si="8"/>
        <v>130.62258174495435</v>
      </c>
      <c r="T138" s="2">
        <f t="shared" si="9"/>
        <v>9.4609077242773765</v>
      </c>
    </row>
    <row r="139" spans="1:20" x14ac:dyDescent="0.25">
      <c r="A139" s="14">
        <f t="shared" si="22"/>
        <v>0.46501068376068377</v>
      </c>
      <c r="B139" s="2">
        <f t="shared" si="11"/>
        <v>134</v>
      </c>
      <c r="C139" s="4">
        <f t="shared" si="20"/>
        <v>72.33</v>
      </c>
      <c r="D139" s="2">
        <v>9</v>
      </c>
      <c r="E139" s="2">
        <v>50.26548245743669</v>
      </c>
      <c r="F139" s="11">
        <f t="shared" si="0"/>
        <v>1.7904931097838226</v>
      </c>
      <c r="G139" s="2">
        <f t="shared" si="1"/>
        <v>129.50636663066388</v>
      </c>
      <c r="H139" s="2">
        <f t="shared" si="2"/>
        <v>1.7930312927132255</v>
      </c>
      <c r="I139" s="2">
        <f t="shared" si="3"/>
        <v>129.68995340194761</v>
      </c>
      <c r="J139" s="2">
        <f t="shared" si="4"/>
        <v>0.18358677128372847</v>
      </c>
      <c r="K139" s="15">
        <f t="shared" si="23"/>
        <v>0.44378561253561255</v>
      </c>
      <c r="L139" s="2">
        <f t="shared" si="14"/>
        <v>134</v>
      </c>
      <c r="M139" s="2">
        <f t="shared" si="21"/>
        <v>72.150000000000006</v>
      </c>
      <c r="N139" s="2">
        <v>9</v>
      </c>
      <c r="O139" s="2">
        <v>50.26548245743669</v>
      </c>
      <c r="P139" s="11">
        <f t="shared" si="5"/>
        <v>1.7904931097838226</v>
      </c>
      <c r="Q139" s="2">
        <f t="shared" si="6"/>
        <v>129.1840778709028</v>
      </c>
      <c r="R139" s="2">
        <f t="shared" si="7"/>
        <v>1.8230646440328588</v>
      </c>
      <c r="S139" s="2">
        <f t="shared" si="8"/>
        <v>131.53411406697077</v>
      </c>
      <c r="T139" s="2">
        <f t="shared" si="9"/>
        <v>2.3500361960679754</v>
      </c>
    </row>
    <row r="140" spans="1:20" x14ac:dyDescent="0.25">
      <c r="A140" s="14">
        <f t="shared" si="22"/>
        <v>0.46511752136752138</v>
      </c>
      <c r="B140" s="2">
        <f t="shared" si="11"/>
        <v>135</v>
      </c>
      <c r="C140" s="4">
        <f t="shared" si="20"/>
        <v>72.83</v>
      </c>
      <c r="D140" s="2">
        <v>9</v>
      </c>
      <c r="E140" s="2">
        <v>50.26548245743669</v>
      </c>
      <c r="F140" s="11">
        <f t="shared" si="0"/>
        <v>1.7904931097838226</v>
      </c>
      <c r="G140" s="2">
        <f t="shared" si="1"/>
        <v>130.40161318555579</v>
      </c>
      <c r="H140" s="2">
        <f t="shared" si="2"/>
        <v>1.7930312927132255</v>
      </c>
      <c r="I140" s="2">
        <f t="shared" si="3"/>
        <v>130.5864690483042</v>
      </c>
      <c r="J140" s="2">
        <f t="shared" si="4"/>
        <v>0.18485586274840671</v>
      </c>
      <c r="K140" s="15">
        <f t="shared" si="23"/>
        <v>0.44391025641025639</v>
      </c>
      <c r="L140" s="2">
        <f t="shared" si="14"/>
        <v>135</v>
      </c>
      <c r="M140" s="2">
        <f t="shared" si="21"/>
        <v>72.650000000000006</v>
      </c>
      <c r="N140" s="2">
        <v>8.5</v>
      </c>
      <c r="O140" s="2">
        <v>50.26548245743669</v>
      </c>
      <c r="P140" s="11">
        <f t="shared" si="5"/>
        <v>1.6910212703513881</v>
      </c>
      <c r="Q140" s="2">
        <f t="shared" si="6"/>
        <v>122.85269529102835</v>
      </c>
      <c r="R140" s="2">
        <f t="shared" si="7"/>
        <v>1.8230646440328588</v>
      </c>
      <c r="S140" s="2">
        <f t="shared" si="8"/>
        <v>132.4456463889872</v>
      </c>
      <c r="T140" s="2">
        <f t="shared" si="9"/>
        <v>9.5929510979588457</v>
      </c>
    </row>
    <row r="141" spans="1:20" x14ac:dyDescent="0.25">
      <c r="A141" s="14">
        <f t="shared" si="22"/>
        <v>0.46522435897435899</v>
      </c>
      <c r="B141" s="2">
        <f t="shared" si="11"/>
        <v>136</v>
      </c>
      <c r="C141" s="4">
        <f t="shared" si="20"/>
        <v>73.33</v>
      </c>
      <c r="D141" s="2">
        <v>8.5</v>
      </c>
      <c r="E141" s="2">
        <v>50.26548245743669</v>
      </c>
      <c r="F141" s="11">
        <f t="shared" si="0"/>
        <v>1.6910212703513881</v>
      </c>
      <c r="G141" s="2">
        <f t="shared" si="1"/>
        <v>124.00258975486729</v>
      </c>
      <c r="H141" s="2">
        <f t="shared" si="2"/>
        <v>1.7930312927132255</v>
      </c>
      <c r="I141" s="2">
        <f t="shared" si="3"/>
        <v>131.48298469466081</v>
      </c>
      <c r="J141" s="2">
        <f t="shared" si="4"/>
        <v>7.480394939793527</v>
      </c>
      <c r="K141" s="15">
        <f t="shared" si="23"/>
        <v>0.44403490028490028</v>
      </c>
      <c r="L141" s="2">
        <f t="shared" si="14"/>
        <v>136</v>
      </c>
      <c r="M141" s="2">
        <f t="shared" si="21"/>
        <v>73.150000000000006</v>
      </c>
      <c r="N141" s="2">
        <v>8.5</v>
      </c>
      <c r="O141" s="2">
        <v>50.26548245743669</v>
      </c>
      <c r="P141" s="11">
        <f t="shared" si="5"/>
        <v>1.6910212703513881</v>
      </c>
      <c r="Q141" s="2">
        <f t="shared" si="6"/>
        <v>123.69820592620404</v>
      </c>
      <c r="R141" s="2">
        <f t="shared" si="7"/>
        <v>1.8230646440328588</v>
      </c>
      <c r="S141" s="2">
        <f t="shared" si="8"/>
        <v>133.35717871100363</v>
      </c>
      <c r="T141" s="2">
        <f t="shared" si="9"/>
        <v>9.6589727847995874</v>
      </c>
    </row>
    <row r="142" spans="1:20" x14ac:dyDescent="0.25">
      <c r="A142" s="14">
        <f t="shared" si="22"/>
        <v>0.46533119658119659</v>
      </c>
      <c r="B142" s="2">
        <f t="shared" si="11"/>
        <v>137</v>
      </c>
      <c r="C142" s="4">
        <f t="shared" si="20"/>
        <v>73.83</v>
      </c>
      <c r="D142" s="2">
        <v>10.5</v>
      </c>
      <c r="E142" s="2">
        <v>50.26548245743669</v>
      </c>
      <c r="F142" s="11">
        <f t="shared" si="0"/>
        <v>2.0889086280811267</v>
      </c>
      <c r="G142" s="2">
        <f t="shared" si="1"/>
        <v>154.22412401122958</v>
      </c>
      <c r="H142" s="2">
        <f t="shared" si="2"/>
        <v>1.7930312927132255</v>
      </c>
      <c r="I142" s="2">
        <f t="shared" si="3"/>
        <v>132.37950034101743</v>
      </c>
      <c r="J142" s="2">
        <f t="shared" si="4"/>
        <v>21.844623670212144</v>
      </c>
      <c r="K142" s="15">
        <f t="shared" si="23"/>
        <v>0.44415954415954417</v>
      </c>
      <c r="L142" s="2">
        <f t="shared" si="14"/>
        <v>137</v>
      </c>
      <c r="M142" s="2">
        <f t="shared" si="21"/>
        <v>73.650000000000006</v>
      </c>
      <c r="N142" s="2">
        <v>8.5</v>
      </c>
      <c r="O142" s="2">
        <v>50.26548245743669</v>
      </c>
      <c r="P142" s="11">
        <f t="shared" si="5"/>
        <v>1.6910212703513881</v>
      </c>
      <c r="Q142" s="2">
        <f t="shared" si="6"/>
        <v>124.54371656137974</v>
      </c>
      <c r="R142" s="2">
        <f t="shared" si="7"/>
        <v>1.8230646440328588</v>
      </c>
      <c r="S142" s="2">
        <f t="shared" si="8"/>
        <v>134.26871103302005</v>
      </c>
      <c r="T142" s="2">
        <f t="shared" si="9"/>
        <v>9.7249944716403149</v>
      </c>
    </row>
    <row r="143" spans="1:20" x14ac:dyDescent="0.25">
      <c r="A143" s="14">
        <f t="shared" si="22"/>
        <v>0.4654380341880342</v>
      </c>
      <c r="B143" s="2">
        <f t="shared" si="11"/>
        <v>138</v>
      </c>
      <c r="C143" s="4">
        <f t="shared" si="20"/>
        <v>74.33</v>
      </c>
      <c r="D143" s="2">
        <v>8</v>
      </c>
      <c r="E143" s="2">
        <v>50.26548245743669</v>
      </c>
      <c r="F143" s="11">
        <f t="shared" si="0"/>
        <v>1.5915494309189535</v>
      </c>
      <c r="G143" s="2">
        <f t="shared" si="1"/>
        <v>118.2998692002058</v>
      </c>
      <c r="H143" s="2">
        <f t="shared" si="2"/>
        <v>1.7930312927132255</v>
      </c>
      <c r="I143" s="2">
        <f t="shared" si="3"/>
        <v>133.27601598737405</v>
      </c>
      <c r="J143" s="2">
        <f t="shared" si="4"/>
        <v>14.976146787168247</v>
      </c>
      <c r="K143" s="15">
        <f t="shared" si="23"/>
        <v>0.44428418803418807</v>
      </c>
      <c r="L143" s="2">
        <f t="shared" si="14"/>
        <v>138</v>
      </c>
      <c r="M143" s="2">
        <f t="shared" si="21"/>
        <v>74.150000000000006</v>
      </c>
      <c r="N143" s="2">
        <v>8</v>
      </c>
      <c r="O143" s="2">
        <v>50.26548245743669</v>
      </c>
      <c r="P143" s="11">
        <f t="shared" si="5"/>
        <v>1.5915494309189535</v>
      </c>
      <c r="Q143" s="2">
        <f t="shared" si="6"/>
        <v>118.01339030264042</v>
      </c>
      <c r="R143" s="2">
        <f t="shared" si="7"/>
        <v>1.8230646440328588</v>
      </c>
      <c r="S143" s="2">
        <f t="shared" si="8"/>
        <v>135.18024335503648</v>
      </c>
      <c r="T143" s="2">
        <f t="shared" si="9"/>
        <v>17.166853052396064</v>
      </c>
    </row>
    <row r="144" spans="1:20" x14ac:dyDescent="0.25">
      <c r="A144" s="14">
        <f t="shared" si="22"/>
        <v>0.46554487179487181</v>
      </c>
      <c r="B144" s="2">
        <f t="shared" si="11"/>
        <v>139</v>
      </c>
      <c r="C144" s="4">
        <f t="shared" si="20"/>
        <v>74.83</v>
      </c>
      <c r="D144" s="2">
        <v>7.5</v>
      </c>
      <c r="E144" s="2">
        <v>50.26548245743669</v>
      </c>
      <c r="F144" s="11">
        <f t="shared" si="0"/>
        <v>1.492077591486519</v>
      </c>
      <c r="G144" s="2">
        <f t="shared" si="1"/>
        <v>111.65216617093621</v>
      </c>
      <c r="H144" s="2">
        <f t="shared" si="2"/>
        <v>1.7930312927132255</v>
      </c>
      <c r="I144" s="2">
        <f t="shared" si="3"/>
        <v>134.17253163373067</v>
      </c>
      <c r="J144" s="2">
        <f t="shared" si="4"/>
        <v>22.520365462794459</v>
      </c>
      <c r="K144" s="15">
        <f t="shared" si="23"/>
        <v>0.4444088319088319</v>
      </c>
      <c r="L144" s="2">
        <f t="shared" si="14"/>
        <v>139</v>
      </c>
      <c r="M144" s="2">
        <f t="shared" si="21"/>
        <v>74.650000000000006</v>
      </c>
      <c r="N144" s="2">
        <v>8.5</v>
      </c>
      <c r="O144" s="2">
        <v>50.26548245743669</v>
      </c>
      <c r="P144" s="11">
        <f t="shared" si="5"/>
        <v>1.6910212703513881</v>
      </c>
      <c r="Q144" s="2">
        <f t="shared" si="6"/>
        <v>126.23473783173112</v>
      </c>
      <c r="R144" s="2">
        <f t="shared" si="7"/>
        <v>1.8230646440328588</v>
      </c>
      <c r="S144" s="2">
        <f t="shared" si="8"/>
        <v>136.09177567705294</v>
      </c>
      <c r="T144" s="2">
        <f t="shared" si="9"/>
        <v>9.8570378453218126</v>
      </c>
    </row>
    <row r="145" spans="1:20" x14ac:dyDescent="0.25">
      <c r="A145" s="14">
        <f t="shared" si="22"/>
        <v>0.46565170940170941</v>
      </c>
      <c r="B145" s="2">
        <f t="shared" si="11"/>
        <v>140</v>
      </c>
      <c r="C145" s="4">
        <f t="shared" si="20"/>
        <v>75.33</v>
      </c>
      <c r="D145" s="2">
        <v>7</v>
      </c>
      <c r="E145" s="2">
        <v>50.26548245743669</v>
      </c>
      <c r="F145" s="11">
        <f t="shared" si="0"/>
        <v>1.3926057520540844</v>
      </c>
      <c r="G145" s="2">
        <f t="shared" si="1"/>
        <v>104.90499130223418</v>
      </c>
      <c r="H145" s="2">
        <f t="shared" si="2"/>
        <v>1.7930312927132255</v>
      </c>
      <c r="I145" s="2">
        <f t="shared" si="3"/>
        <v>135.06904728008726</v>
      </c>
      <c r="J145" s="2">
        <f t="shared" si="4"/>
        <v>30.164055977853081</v>
      </c>
      <c r="K145" s="15">
        <f t="shared" si="23"/>
        <v>0.4445334757834758</v>
      </c>
      <c r="L145" s="2">
        <f t="shared" si="14"/>
        <v>140</v>
      </c>
      <c r="M145" s="2">
        <f t="shared" si="21"/>
        <v>75.150000000000006</v>
      </c>
      <c r="N145" s="2">
        <v>7.5</v>
      </c>
      <c r="O145" s="2">
        <v>50.26548245743669</v>
      </c>
      <c r="P145" s="11">
        <f t="shared" si="5"/>
        <v>1.492077591486519</v>
      </c>
      <c r="Q145" s="2">
        <f t="shared" si="6"/>
        <v>112.12963100021192</v>
      </c>
      <c r="R145" s="2">
        <f t="shared" si="7"/>
        <v>1.8230646440328588</v>
      </c>
      <c r="S145" s="2">
        <f t="shared" si="8"/>
        <v>137.00330799906936</v>
      </c>
      <c r="T145" s="2">
        <f t="shared" si="9"/>
        <v>24.873676998857448</v>
      </c>
    </row>
    <row r="146" spans="1:20" x14ac:dyDescent="0.25">
      <c r="A146" s="14">
        <f t="shared" si="22"/>
        <v>0.46575854700854702</v>
      </c>
      <c r="B146" s="2">
        <f t="shared" si="11"/>
        <v>141</v>
      </c>
      <c r="C146" s="4">
        <f t="shared" si="20"/>
        <v>75.83</v>
      </c>
      <c r="D146" s="2">
        <v>7.5</v>
      </c>
      <c r="E146" s="2">
        <v>50.26548245743669</v>
      </c>
      <c r="F146" s="11">
        <f t="shared" si="0"/>
        <v>1.492077591486519</v>
      </c>
      <c r="G146" s="2">
        <f t="shared" si="1"/>
        <v>113.14424376242273</v>
      </c>
      <c r="H146" s="2">
        <f t="shared" si="2"/>
        <v>1.7930312927132255</v>
      </c>
      <c r="I146" s="2">
        <f t="shared" si="3"/>
        <v>135.96556292644388</v>
      </c>
      <c r="J146" s="2">
        <f t="shared" si="4"/>
        <v>22.821319164021148</v>
      </c>
      <c r="K146" s="15">
        <f t="shared" si="23"/>
        <v>0.44465811965811969</v>
      </c>
      <c r="L146" s="2">
        <f t="shared" si="14"/>
        <v>141</v>
      </c>
      <c r="M146" s="2">
        <f t="shared" si="21"/>
        <v>75.650000000000006</v>
      </c>
      <c r="N146" s="2">
        <v>7.5</v>
      </c>
      <c r="O146" s="2">
        <v>50.26548245743669</v>
      </c>
      <c r="P146" s="11">
        <f t="shared" si="5"/>
        <v>1.492077591486519</v>
      </c>
      <c r="Q146" s="2">
        <f t="shared" si="6"/>
        <v>112.87566979595518</v>
      </c>
      <c r="R146" s="2">
        <f t="shared" si="7"/>
        <v>1.8230646440328588</v>
      </c>
      <c r="S146" s="2">
        <f t="shared" si="8"/>
        <v>137.91484032108579</v>
      </c>
      <c r="T146" s="2">
        <f t="shared" si="9"/>
        <v>25.039170525130615</v>
      </c>
    </row>
    <row r="147" spans="1:20" x14ac:dyDescent="0.25">
      <c r="A147" s="14">
        <f t="shared" si="22"/>
        <v>0.46586538461538463</v>
      </c>
      <c r="B147" s="2">
        <f t="shared" si="11"/>
        <v>142</v>
      </c>
      <c r="C147" s="4">
        <f t="shared" si="20"/>
        <v>76.33</v>
      </c>
      <c r="D147" s="2">
        <v>8</v>
      </c>
      <c r="E147" s="2">
        <v>50.26548245743669</v>
      </c>
      <c r="F147" s="11">
        <f t="shared" si="0"/>
        <v>1.5915494309189535</v>
      </c>
      <c r="G147" s="2">
        <f t="shared" si="1"/>
        <v>121.48296806204372</v>
      </c>
      <c r="H147" s="2">
        <f t="shared" si="2"/>
        <v>1.7930312927132255</v>
      </c>
      <c r="I147" s="2">
        <f t="shared" si="3"/>
        <v>136.8620785728005</v>
      </c>
      <c r="J147" s="2">
        <f t="shared" si="4"/>
        <v>15.379110510756774</v>
      </c>
      <c r="K147" s="15">
        <f t="shared" si="23"/>
        <v>0.44478276353276353</v>
      </c>
      <c r="L147" s="2">
        <f t="shared" si="14"/>
        <v>142</v>
      </c>
      <c r="M147" s="2">
        <f t="shared" si="21"/>
        <v>76.150000000000006</v>
      </c>
      <c r="N147" s="2">
        <v>9</v>
      </c>
      <c r="O147" s="2">
        <v>50.26548245743669</v>
      </c>
      <c r="P147" s="11">
        <f t="shared" si="5"/>
        <v>1.7904931097838226</v>
      </c>
      <c r="Q147" s="2">
        <f t="shared" si="6"/>
        <v>136.34605031003809</v>
      </c>
      <c r="R147" s="2">
        <f t="shared" si="7"/>
        <v>1.8230646440328588</v>
      </c>
      <c r="S147" s="2">
        <f t="shared" si="8"/>
        <v>138.82637264310222</v>
      </c>
      <c r="T147" s="2">
        <f t="shared" si="9"/>
        <v>2.4803223330641231</v>
      </c>
    </row>
    <row r="148" spans="1:20" x14ac:dyDescent="0.25">
      <c r="A148" s="14">
        <f t="shared" si="22"/>
        <v>0.46597222222222223</v>
      </c>
      <c r="B148" s="2">
        <f t="shared" si="11"/>
        <v>143</v>
      </c>
      <c r="C148" s="4">
        <f t="shared" si="20"/>
        <v>76.83</v>
      </c>
      <c r="D148" s="21">
        <v>7.5</v>
      </c>
      <c r="E148" s="2">
        <v>50.26548245743669</v>
      </c>
      <c r="F148" s="11">
        <f t="shared" si="0"/>
        <v>1.492077591486519</v>
      </c>
      <c r="G148" s="2">
        <f t="shared" si="1"/>
        <v>114.63632135390925</v>
      </c>
      <c r="H148" s="2">
        <f t="shared" si="2"/>
        <v>1.7930312927132255</v>
      </c>
      <c r="I148" s="2">
        <f t="shared" si="3"/>
        <v>137.75859421915712</v>
      </c>
      <c r="J148" s="2">
        <f t="shared" si="4"/>
        <v>23.122272865247865</v>
      </c>
      <c r="K148" s="15">
        <f t="shared" si="23"/>
        <v>0.44490740740740742</v>
      </c>
      <c r="L148" s="2">
        <f t="shared" si="14"/>
        <v>143</v>
      </c>
      <c r="M148" s="2">
        <f t="shared" si="21"/>
        <v>76.650000000000006</v>
      </c>
      <c r="N148" s="2">
        <v>8</v>
      </c>
      <c r="O148" s="2">
        <v>50.26548245743669</v>
      </c>
      <c r="P148" s="11">
        <f t="shared" si="5"/>
        <v>1.5915494309189535</v>
      </c>
      <c r="Q148" s="2">
        <f t="shared" si="6"/>
        <v>121.99226387993779</v>
      </c>
      <c r="R148" s="2">
        <f t="shared" si="7"/>
        <v>1.8230646440328588</v>
      </c>
      <c r="S148" s="2">
        <f t="shared" si="8"/>
        <v>139.73790496511864</v>
      </c>
      <c r="T148" s="2">
        <f t="shared" si="9"/>
        <v>17.74564108518085</v>
      </c>
    </row>
    <row r="149" spans="1:20" x14ac:dyDescent="0.25">
      <c r="A149" s="14">
        <f t="shared" si="22"/>
        <v>0.46607905982905984</v>
      </c>
      <c r="B149" s="2">
        <f t="shared" si="11"/>
        <v>144</v>
      </c>
      <c r="C149" s="4">
        <f t="shared" si="20"/>
        <v>77.33</v>
      </c>
      <c r="D149" s="21">
        <v>7.5</v>
      </c>
      <c r="E149" s="2">
        <v>50.26548245743669</v>
      </c>
      <c r="F149" s="11">
        <f t="shared" si="0"/>
        <v>1.492077591486519</v>
      </c>
      <c r="G149" s="2">
        <f t="shared" si="1"/>
        <v>115.38236014965251</v>
      </c>
      <c r="H149" s="2">
        <f t="shared" si="2"/>
        <v>1.7930312927132255</v>
      </c>
      <c r="I149" s="2">
        <f t="shared" si="3"/>
        <v>138.65510986551374</v>
      </c>
      <c r="J149" s="2">
        <f t="shared" si="4"/>
        <v>23.272749715861224</v>
      </c>
      <c r="K149" s="15">
        <f t="shared" si="23"/>
        <v>0.44503205128205131</v>
      </c>
      <c r="L149" s="2">
        <f t="shared" si="14"/>
        <v>144</v>
      </c>
      <c r="M149" s="2">
        <f t="shared" si="21"/>
        <v>77.150000000000006</v>
      </c>
      <c r="N149" s="2">
        <v>8</v>
      </c>
      <c r="O149" s="2">
        <v>50.26548245743669</v>
      </c>
      <c r="P149" s="11">
        <f t="shared" si="5"/>
        <v>1.5915494309189535</v>
      </c>
      <c r="Q149" s="2">
        <f t="shared" si="6"/>
        <v>122.78803859539727</v>
      </c>
      <c r="R149" s="2">
        <f t="shared" si="7"/>
        <v>1.8230646440328588</v>
      </c>
      <c r="S149" s="2">
        <f t="shared" si="8"/>
        <v>140.64943728713507</v>
      </c>
      <c r="T149" s="2">
        <f t="shared" si="9"/>
        <v>17.861398691737804</v>
      </c>
    </row>
    <row r="150" spans="1:20" x14ac:dyDescent="0.25">
      <c r="A150" s="14">
        <f t="shared" si="22"/>
        <v>0.46618589743589745</v>
      </c>
      <c r="B150" s="2">
        <f t="shared" si="11"/>
        <v>145</v>
      </c>
      <c r="C150" s="4">
        <f t="shared" si="20"/>
        <v>77.83</v>
      </c>
      <c r="D150" s="21">
        <v>8</v>
      </c>
      <c r="E150" s="2">
        <v>50.26548245743669</v>
      </c>
      <c r="F150" s="11">
        <f t="shared" si="0"/>
        <v>1.5915494309189535</v>
      </c>
      <c r="G150" s="2">
        <f t="shared" si="1"/>
        <v>123.87029220842214</v>
      </c>
      <c r="H150" s="2">
        <f t="shared" si="2"/>
        <v>1.7930312927132255</v>
      </c>
      <c r="I150" s="2">
        <f t="shared" si="3"/>
        <v>139.55162551187033</v>
      </c>
      <c r="J150" s="2">
        <f t="shared" si="4"/>
        <v>15.681333303448184</v>
      </c>
      <c r="K150" s="15">
        <f t="shared" si="23"/>
        <v>0.44515669515669515</v>
      </c>
      <c r="L150" s="2">
        <f t="shared" si="14"/>
        <v>145</v>
      </c>
      <c r="M150" s="2">
        <f t="shared" si="21"/>
        <v>77.650000000000006</v>
      </c>
      <c r="N150" s="2">
        <v>8.5</v>
      </c>
      <c r="O150" s="2">
        <v>50.26548245743669</v>
      </c>
      <c r="P150" s="11">
        <f t="shared" si="5"/>
        <v>1.6910212703513881</v>
      </c>
      <c r="Q150" s="2">
        <f t="shared" si="6"/>
        <v>131.30780164278528</v>
      </c>
      <c r="R150" s="2">
        <f t="shared" si="7"/>
        <v>1.8230646440328588</v>
      </c>
      <c r="S150" s="2">
        <f t="shared" si="8"/>
        <v>141.5609696091515</v>
      </c>
      <c r="T150" s="2">
        <f t="shared" si="9"/>
        <v>10.25316796636622</v>
      </c>
    </row>
    <row r="151" spans="1:20" x14ac:dyDescent="0.25">
      <c r="A151" s="14">
        <f t="shared" si="22"/>
        <v>0.46629273504273505</v>
      </c>
      <c r="B151" s="2">
        <f t="shared" si="11"/>
        <v>146</v>
      </c>
      <c r="C151" s="4">
        <f t="shared" si="20"/>
        <v>78.33</v>
      </c>
      <c r="D151" s="2">
        <v>8</v>
      </c>
      <c r="E151" s="2">
        <v>50.26548245743669</v>
      </c>
      <c r="F151" s="11">
        <f t="shared" si="0"/>
        <v>1.5915494309189535</v>
      </c>
      <c r="G151" s="2">
        <f t="shared" si="1"/>
        <v>124.66606692388163</v>
      </c>
      <c r="H151" s="2">
        <f t="shared" si="2"/>
        <v>1.7930312927132255</v>
      </c>
      <c r="I151" s="2">
        <f t="shared" si="3"/>
        <v>140.44814115822695</v>
      </c>
      <c r="J151" s="2">
        <f t="shared" si="4"/>
        <v>15.782074234345316</v>
      </c>
      <c r="K151" s="15">
        <f t="shared" si="23"/>
        <v>0.44528133903133904</v>
      </c>
      <c r="L151" s="2">
        <f t="shared" si="14"/>
        <v>146</v>
      </c>
      <c r="M151" s="2">
        <f t="shared" si="21"/>
        <v>78.150000000000006</v>
      </c>
      <c r="N151" s="2">
        <v>8</v>
      </c>
      <c r="O151" s="2">
        <v>50.26548245743669</v>
      </c>
      <c r="P151" s="11">
        <f t="shared" si="5"/>
        <v>1.5915494309189535</v>
      </c>
      <c r="Q151" s="2">
        <f t="shared" si="6"/>
        <v>124.37958802631623</v>
      </c>
      <c r="R151" s="2">
        <f t="shared" si="7"/>
        <v>1.8230646440328588</v>
      </c>
      <c r="S151" s="2">
        <f t="shared" si="8"/>
        <v>142.47250193116793</v>
      </c>
      <c r="T151" s="2">
        <f t="shared" si="9"/>
        <v>18.092913904851699</v>
      </c>
    </row>
    <row r="152" spans="1:20" x14ac:dyDescent="0.25">
      <c r="A152" s="14">
        <f t="shared" si="22"/>
        <v>0.46639957264957266</v>
      </c>
      <c r="B152" s="2">
        <f t="shared" si="11"/>
        <v>147</v>
      </c>
      <c r="C152" s="4">
        <f t="shared" si="20"/>
        <v>78.83</v>
      </c>
      <c r="D152" s="2">
        <v>9</v>
      </c>
      <c r="E152" s="2">
        <v>50.26548245743669</v>
      </c>
      <c r="F152" s="11">
        <f t="shared" si="0"/>
        <v>1.7904931097838226</v>
      </c>
      <c r="G152" s="2">
        <f t="shared" si="1"/>
        <v>141.14457184425873</v>
      </c>
      <c r="H152" s="2">
        <f t="shared" si="2"/>
        <v>1.7930312927132255</v>
      </c>
      <c r="I152" s="2">
        <f t="shared" si="3"/>
        <v>141.34465680458356</v>
      </c>
      <c r="J152" s="2">
        <f t="shared" si="4"/>
        <v>0.20008496032482981</v>
      </c>
      <c r="K152" s="15">
        <f t="shared" si="23"/>
        <v>0.44540598290598293</v>
      </c>
      <c r="L152" s="2">
        <f t="shared" si="14"/>
        <v>147</v>
      </c>
      <c r="M152" s="2">
        <f t="shared" si="21"/>
        <v>78.650000000000006</v>
      </c>
      <c r="N152" s="2">
        <v>9.5</v>
      </c>
      <c r="O152" s="2">
        <v>50.26548245743669</v>
      </c>
      <c r="P152" s="11">
        <f t="shared" si="5"/>
        <v>1.8899649492162571</v>
      </c>
      <c r="Q152" s="2">
        <f t="shared" si="6"/>
        <v>148.64574325585863</v>
      </c>
      <c r="R152" s="2">
        <f t="shared" si="7"/>
        <v>1.8230646440328588</v>
      </c>
      <c r="S152" s="2">
        <f t="shared" si="8"/>
        <v>143.38403425318435</v>
      </c>
      <c r="T152" s="2">
        <f t="shared" si="9"/>
        <v>5.2617090026742801</v>
      </c>
    </row>
    <row r="153" spans="1:20" x14ac:dyDescent="0.25">
      <c r="A153" s="14">
        <f t="shared" si="22"/>
        <v>0.46650641025641026</v>
      </c>
      <c r="B153" s="2">
        <f t="shared" si="11"/>
        <v>148</v>
      </c>
      <c r="C153" s="4">
        <f t="shared" si="20"/>
        <v>79.33</v>
      </c>
      <c r="D153" s="2">
        <v>9</v>
      </c>
      <c r="E153" s="2">
        <v>50.26548245743669</v>
      </c>
      <c r="F153" s="11">
        <f t="shared" si="0"/>
        <v>1.7904931097838226</v>
      </c>
      <c r="G153" s="2">
        <f t="shared" si="1"/>
        <v>142.03981839915065</v>
      </c>
      <c r="H153" s="2">
        <f t="shared" si="2"/>
        <v>1.7930312927132255</v>
      </c>
      <c r="I153" s="2">
        <f t="shared" si="3"/>
        <v>142.24117245094018</v>
      </c>
      <c r="J153" s="2">
        <f t="shared" si="4"/>
        <v>0.20135405178953647</v>
      </c>
      <c r="K153" s="15">
        <f t="shared" si="23"/>
        <v>0.44553062678062677</v>
      </c>
      <c r="L153" s="2">
        <f t="shared" si="14"/>
        <v>148</v>
      </c>
      <c r="M153" s="2">
        <f t="shared" si="21"/>
        <v>79.150000000000006</v>
      </c>
      <c r="N153" s="2">
        <v>8.5</v>
      </c>
      <c r="O153" s="2">
        <v>50.26548245743669</v>
      </c>
      <c r="P153" s="11">
        <f t="shared" si="5"/>
        <v>1.6910212703513881</v>
      </c>
      <c r="Q153" s="2">
        <f t="shared" si="6"/>
        <v>133.84433354831236</v>
      </c>
      <c r="R153" s="2">
        <f t="shared" si="7"/>
        <v>1.8230646440328588</v>
      </c>
      <c r="S153" s="2">
        <f t="shared" si="8"/>
        <v>144.29556657520078</v>
      </c>
      <c r="T153" s="2">
        <f t="shared" si="9"/>
        <v>10.451233026888417</v>
      </c>
    </row>
    <row r="154" spans="1:20" x14ac:dyDescent="0.25">
      <c r="A154" s="14">
        <f t="shared" si="22"/>
        <v>0.46661324786324787</v>
      </c>
      <c r="B154" s="2">
        <f t="shared" si="11"/>
        <v>149</v>
      </c>
      <c r="C154" s="4">
        <f t="shared" si="20"/>
        <v>79.83</v>
      </c>
      <c r="D154" s="2">
        <v>7.5</v>
      </c>
      <c r="E154" s="2">
        <v>50.26548245743669</v>
      </c>
      <c r="F154" s="11">
        <f t="shared" si="0"/>
        <v>1.492077591486519</v>
      </c>
      <c r="G154" s="2">
        <f t="shared" si="1"/>
        <v>119.11255412836881</v>
      </c>
      <c r="H154" s="2">
        <f t="shared" si="2"/>
        <v>1.7930312927132255</v>
      </c>
      <c r="I154" s="2">
        <f t="shared" si="3"/>
        <v>143.13768809729677</v>
      </c>
      <c r="J154" s="2">
        <f t="shared" si="4"/>
        <v>24.02513396892796</v>
      </c>
      <c r="K154" s="15">
        <f t="shared" si="23"/>
        <v>0.44565527065527066</v>
      </c>
      <c r="L154" s="2">
        <f t="shared" si="14"/>
        <v>149</v>
      </c>
      <c r="M154" s="2">
        <f t="shared" si="21"/>
        <v>79.650000000000006</v>
      </c>
      <c r="N154" s="2">
        <v>9</v>
      </c>
      <c r="O154" s="2">
        <v>50.26548245743669</v>
      </c>
      <c r="P154" s="11">
        <f t="shared" si="5"/>
        <v>1.7904931097838226</v>
      </c>
      <c r="Q154" s="2">
        <f t="shared" si="6"/>
        <v>142.61277619428148</v>
      </c>
      <c r="R154" s="2">
        <f t="shared" si="7"/>
        <v>1.8230646440328588</v>
      </c>
      <c r="S154" s="2">
        <f t="shared" si="8"/>
        <v>145.20709889721721</v>
      </c>
      <c r="T154" s="2">
        <f t="shared" si="9"/>
        <v>2.5943227029357274</v>
      </c>
    </row>
    <row r="155" spans="1:20" x14ac:dyDescent="0.25">
      <c r="A155" s="14">
        <f t="shared" si="22"/>
        <v>0.46672008547008548</v>
      </c>
      <c r="B155" s="2">
        <f t="shared" si="11"/>
        <v>150</v>
      </c>
      <c r="C155" s="4">
        <f t="shared" si="20"/>
        <v>80.33</v>
      </c>
      <c r="D155" s="2">
        <v>8.5</v>
      </c>
      <c r="E155" s="2">
        <v>50.26548245743669</v>
      </c>
      <c r="F155" s="11">
        <f t="shared" si="0"/>
        <v>1.6910212703513881</v>
      </c>
      <c r="G155" s="2">
        <f t="shared" si="1"/>
        <v>135.83973864732701</v>
      </c>
      <c r="H155" s="2">
        <f t="shared" si="2"/>
        <v>1.7930312927132255</v>
      </c>
      <c r="I155" s="2">
        <f t="shared" si="3"/>
        <v>144.03420374365339</v>
      </c>
      <c r="J155" s="2">
        <f t="shared" si="4"/>
        <v>8.1944650963263825</v>
      </c>
      <c r="K155" s="15">
        <f t="shared" si="23"/>
        <v>0.44577991452991456</v>
      </c>
      <c r="L155" s="2">
        <f t="shared" si="14"/>
        <v>150</v>
      </c>
      <c r="M155" s="2">
        <f t="shared" si="21"/>
        <v>80.150000000000006</v>
      </c>
      <c r="N155" s="2">
        <v>12</v>
      </c>
      <c r="O155" s="2">
        <v>50.26548245743669</v>
      </c>
      <c r="P155" s="11">
        <f t="shared" si="5"/>
        <v>2.3873241463784298</v>
      </c>
      <c r="Q155" s="2">
        <f t="shared" si="6"/>
        <v>191.34403033223117</v>
      </c>
      <c r="R155" s="2">
        <f t="shared" si="7"/>
        <v>1.8230646440328588</v>
      </c>
      <c r="S155" s="2">
        <f t="shared" si="8"/>
        <v>146.11863121923363</v>
      </c>
      <c r="T155" s="2">
        <f t="shared" si="9"/>
        <v>45.225399112997536</v>
      </c>
    </row>
    <row r="156" spans="1:20" x14ac:dyDescent="0.25">
      <c r="A156" s="14">
        <f t="shared" si="22"/>
        <v>0.46682692307692308</v>
      </c>
      <c r="B156" s="2">
        <f t="shared" si="11"/>
        <v>151</v>
      </c>
      <c r="C156" s="4">
        <f t="shared" si="20"/>
        <v>80.83</v>
      </c>
      <c r="D156" s="2">
        <v>7</v>
      </c>
      <c r="E156" s="2">
        <v>50.26548245743669</v>
      </c>
      <c r="F156" s="11">
        <f t="shared" si="0"/>
        <v>1.3926057520540844</v>
      </c>
      <c r="G156" s="2">
        <f t="shared" si="1"/>
        <v>112.56432293853165</v>
      </c>
      <c r="H156" s="2">
        <f t="shared" si="2"/>
        <v>1.7930312927132255</v>
      </c>
      <c r="I156" s="2">
        <f t="shared" si="3"/>
        <v>144.93071939001001</v>
      </c>
      <c r="J156" s="2">
        <f t="shared" si="4"/>
        <v>32.366396451478366</v>
      </c>
      <c r="K156" s="15">
        <f t="shared" si="23"/>
        <v>0.44590455840455845</v>
      </c>
      <c r="L156" s="2">
        <f t="shared" si="14"/>
        <v>151</v>
      </c>
      <c r="M156" s="2">
        <f t="shared" si="21"/>
        <v>80.650000000000006</v>
      </c>
      <c r="N156" s="2">
        <v>7.5</v>
      </c>
      <c r="O156" s="2">
        <v>50.26548245743669</v>
      </c>
      <c r="P156" s="11">
        <f t="shared" si="5"/>
        <v>1.492077591486519</v>
      </c>
      <c r="Q156" s="2">
        <f t="shared" si="6"/>
        <v>120.33605775338776</v>
      </c>
      <c r="R156" s="2">
        <f t="shared" si="7"/>
        <v>1.8230646440328588</v>
      </c>
      <c r="S156" s="2">
        <f t="shared" si="8"/>
        <v>147.03016354125006</v>
      </c>
      <c r="T156" s="2">
        <f t="shared" si="9"/>
        <v>26.694105787862298</v>
      </c>
    </row>
    <row r="157" spans="1:20" x14ac:dyDescent="0.25">
      <c r="A157" s="14">
        <f t="shared" si="22"/>
        <v>0.46693376068376069</v>
      </c>
      <c r="B157" s="2">
        <f t="shared" si="11"/>
        <v>152</v>
      </c>
      <c r="C157" s="4">
        <f t="shared" si="20"/>
        <v>81.33</v>
      </c>
      <c r="D157" s="2">
        <v>7</v>
      </c>
      <c r="E157" s="2">
        <v>50.26548245743669</v>
      </c>
      <c r="F157" s="11">
        <f t="shared" si="0"/>
        <v>1.3926057520540844</v>
      </c>
      <c r="G157" s="2">
        <f t="shared" si="1"/>
        <v>113.26062581455868</v>
      </c>
      <c r="H157" s="2">
        <f t="shared" si="2"/>
        <v>1.7930312927132255</v>
      </c>
      <c r="I157" s="2">
        <f t="shared" si="3"/>
        <v>145.82723503636663</v>
      </c>
      <c r="J157" s="2">
        <f t="shared" si="4"/>
        <v>32.566609221807951</v>
      </c>
      <c r="K157" s="15">
        <f t="shared" si="23"/>
        <v>0.44602920227920229</v>
      </c>
      <c r="L157" s="2">
        <f t="shared" si="14"/>
        <v>152</v>
      </c>
      <c r="M157" s="2">
        <f t="shared" si="21"/>
        <v>81.150000000000006</v>
      </c>
      <c r="N157" s="2">
        <v>7.5</v>
      </c>
      <c r="O157" s="2">
        <v>50.26548245743669</v>
      </c>
      <c r="P157" s="11">
        <f t="shared" si="5"/>
        <v>1.492077591486519</v>
      </c>
      <c r="Q157" s="2">
        <f t="shared" si="6"/>
        <v>121.08209654913102</v>
      </c>
      <c r="R157" s="2">
        <f t="shared" si="7"/>
        <v>1.8230646440328588</v>
      </c>
      <c r="S157" s="2">
        <f t="shared" si="8"/>
        <v>147.94169586326652</v>
      </c>
      <c r="T157" s="2">
        <f t="shared" si="9"/>
        <v>26.859599314135494</v>
      </c>
    </row>
    <row r="158" spans="1:20" x14ac:dyDescent="0.25">
      <c r="A158" s="14">
        <f t="shared" si="22"/>
        <v>0.4670405982905983</v>
      </c>
      <c r="B158" s="2">
        <f t="shared" si="11"/>
        <v>153</v>
      </c>
      <c r="C158" s="4">
        <f t="shared" si="20"/>
        <v>81.83</v>
      </c>
      <c r="D158" s="2">
        <v>7.5</v>
      </c>
      <c r="E158" s="2">
        <v>50.26548245743669</v>
      </c>
      <c r="F158" s="11">
        <f t="shared" si="0"/>
        <v>1.492077591486519</v>
      </c>
      <c r="G158" s="2">
        <f t="shared" si="1"/>
        <v>122.09670931134184</v>
      </c>
      <c r="H158" s="2">
        <f t="shared" si="2"/>
        <v>1.7930312927132255</v>
      </c>
      <c r="I158" s="2">
        <f t="shared" si="3"/>
        <v>146.72375068272325</v>
      </c>
      <c r="J158" s="2">
        <f t="shared" si="4"/>
        <v>24.627041371381409</v>
      </c>
      <c r="K158" s="15">
        <f t="shared" si="23"/>
        <v>0.44615384615384618</v>
      </c>
      <c r="L158" s="2">
        <f t="shared" si="14"/>
        <v>153</v>
      </c>
      <c r="M158" s="2">
        <f t="shared" si="21"/>
        <v>81.650000000000006</v>
      </c>
      <c r="N158" s="2">
        <v>6.5</v>
      </c>
      <c r="O158" s="2">
        <v>50.26548245743669</v>
      </c>
      <c r="P158" s="11">
        <f t="shared" si="5"/>
        <v>1.2931339126216495</v>
      </c>
      <c r="Q158" s="2">
        <f t="shared" si="6"/>
        <v>105.58438396555769</v>
      </c>
      <c r="R158" s="2">
        <f t="shared" si="7"/>
        <v>1.8230646440328588</v>
      </c>
      <c r="S158" s="2">
        <f t="shared" si="8"/>
        <v>148.85322818528294</v>
      </c>
      <c r="T158" s="2">
        <f t="shared" si="9"/>
        <v>43.268844219725253</v>
      </c>
    </row>
    <row r="159" spans="1:20" x14ac:dyDescent="0.25">
      <c r="A159" s="14">
        <f t="shared" si="22"/>
        <v>0.4671474358974359</v>
      </c>
      <c r="B159" s="2">
        <f t="shared" si="11"/>
        <v>154</v>
      </c>
      <c r="C159" s="4">
        <f t="shared" si="20"/>
        <v>82.33</v>
      </c>
      <c r="D159" s="2">
        <v>7</v>
      </c>
      <c r="E159" s="2">
        <v>50.26548245743669</v>
      </c>
      <c r="F159" s="11">
        <f t="shared" si="0"/>
        <v>1.3926057520540844</v>
      </c>
      <c r="G159" s="2">
        <f t="shared" si="1"/>
        <v>114.65323156661277</v>
      </c>
      <c r="H159" s="2">
        <f t="shared" si="2"/>
        <v>1.7930312927132255</v>
      </c>
      <c r="I159" s="2">
        <f t="shared" si="3"/>
        <v>147.62026632907984</v>
      </c>
      <c r="J159" s="2">
        <f t="shared" si="4"/>
        <v>32.967034762467065</v>
      </c>
      <c r="K159" s="15">
        <f t="shared" si="23"/>
        <v>0.44627849002849007</v>
      </c>
      <c r="L159" s="2">
        <f t="shared" si="14"/>
        <v>154</v>
      </c>
      <c r="M159" s="2">
        <f t="shared" si="21"/>
        <v>82.15</v>
      </c>
      <c r="N159" s="2">
        <v>6</v>
      </c>
      <c r="O159" s="2">
        <v>50.26548245743669</v>
      </c>
      <c r="P159" s="11">
        <f t="shared" si="5"/>
        <v>1.1936620731892149</v>
      </c>
      <c r="Q159" s="2">
        <f t="shared" si="6"/>
        <v>98.059339312494018</v>
      </c>
      <c r="R159" s="2">
        <f t="shared" si="7"/>
        <v>1.8230646440328588</v>
      </c>
      <c r="S159" s="2">
        <f t="shared" si="8"/>
        <v>149.76476050729937</v>
      </c>
      <c r="T159" s="2">
        <f t="shared" si="9"/>
        <v>51.705421194805353</v>
      </c>
    </row>
    <row r="160" spans="1:20" x14ac:dyDescent="0.25">
      <c r="A160" s="14">
        <f t="shared" si="22"/>
        <v>0.46725427350427351</v>
      </c>
      <c r="B160" s="2">
        <f t="shared" si="11"/>
        <v>155</v>
      </c>
      <c r="C160" s="4">
        <f t="shared" si="20"/>
        <v>82.83</v>
      </c>
      <c r="D160" s="2">
        <v>5</v>
      </c>
      <c r="E160" s="2">
        <v>50.26548245743669</v>
      </c>
      <c r="F160" s="11">
        <f t="shared" si="0"/>
        <v>0.99471839432434594</v>
      </c>
      <c r="G160" s="2">
        <f t="shared" si="1"/>
        <v>82.392524601885569</v>
      </c>
      <c r="H160" s="2">
        <f t="shared" si="2"/>
        <v>1.7930312927132255</v>
      </c>
      <c r="I160" s="2">
        <f t="shared" si="3"/>
        <v>148.51678197543646</v>
      </c>
      <c r="J160" s="2">
        <f t="shared" si="4"/>
        <v>66.12425737355089</v>
      </c>
      <c r="K160" s="15">
        <f t="shared" si="23"/>
        <v>0.44640313390313391</v>
      </c>
      <c r="L160" s="2">
        <f t="shared" si="14"/>
        <v>155</v>
      </c>
      <c r="M160" s="2">
        <f t="shared" si="21"/>
        <v>82.65</v>
      </c>
      <c r="N160" s="2">
        <v>6</v>
      </c>
      <c r="O160" s="2">
        <v>50.26548245743669</v>
      </c>
      <c r="P160" s="11">
        <f t="shared" si="5"/>
        <v>1.1936620731892149</v>
      </c>
      <c r="Q160" s="2">
        <f t="shared" si="6"/>
        <v>98.656170349088626</v>
      </c>
      <c r="R160" s="2">
        <f t="shared" si="7"/>
        <v>1.8230646440328588</v>
      </c>
      <c r="S160" s="2">
        <f t="shared" si="8"/>
        <v>150.6762928293158</v>
      </c>
      <c r="T160" s="2">
        <f t="shared" si="9"/>
        <v>52.020122480227172</v>
      </c>
    </row>
    <row r="161" spans="1:20" x14ac:dyDescent="0.25">
      <c r="A161" s="10">
        <v>0.46736111111111112</v>
      </c>
      <c r="B161" s="2">
        <f t="shared" si="11"/>
        <v>156</v>
      </c>
      <c r="C161" s="4">
        <f t="shared" si="20"/>
        <v>83.33</v>
      </c>
      <c r="D161" s="2">
        <v>6</v>
      </c>
      <c r="E161" s="2">
        <v>50.26548245743669</v>
      </c>
      <c r="F161" s="11">
        <f t="shared" si="0"/>
        <v>1.1936620731892149</v>
      </c>
      <c r="G161" s="2">
        <f t="shared" si="1"/>
        <v>99.467860558857282</v>
      </c>
      <c r="H161" s="2">
        <f t="shared" si="2"/>
        <v>1.7930312927132255</v>
      </c>
      <c r="I161" s="2">
        <f t="shared" si="3"/>
        <v>149.41329762179308</v>
      </c>
      <c r="J161" s="2">
        <f t="shared" si="4"/>
        <v>49.945437062935795</v>
      </c>
      <c r="K161" s="12">
        <v>0.4465277777777778</v>
      </c>
      <c r="L161" s="2">
        <f t="shared" si="14"/>
        <v>156</v>
      </c>
      <c r="M161" s="2">
        <f t="shared" si="21"/>
        <v>83.15</v>
      </c>
      <c r="N161" s="2">
        <v>5</v>
      </c>
      <c r="O161" s="2">
        <v>50.26548245743669</v>
      </c>
      <c r="P161" s="11">
        <f t="shared" si="5"/>
        <v>0.99471839432434594</v>
      </c>
      <c r="Q161" s="2">
        <f t="shared" si="6"/>
        <v>82.710834488069366</v>
      </c>
      <c r="R161" s="2">
        <f t="shared" si="7"/>
        <v>1.8230646440328588</v>
      </c>
      <c r="S161" s="2">
        <f t="shared" si="8"/>
        <v>151.58782515133223</v>
      </c>
      <c r="T161" s="2">
        <f t="shared" si="9"/>
        <v>68.876990663262859</v>
      </c>
    </row>
    <row r="162" spans="1:20" x14ac:dyDescent="0.25">
      <c r="A162" s="10">
        <v>0.46736111111111112</v>
      </c>
      <c r="B162" s="2">
        <f t="shared" si="11"/>
        <v>157</v>
      </c>
      <c r="C162" s="4">
        <f t="shared" si="20"/>
        <v>83.83</v>
      </c>
      <c r="D162" s="2">
        <v>5</v>
      </c>
      <c r="E162" s="2">
        <v>50.26548245743669</v>
      </c>
      <c r="F162" s="11">
        <f t="shared" si="0"/>
        <v>0.99471839432434594</v>
      </c>
      <c r="G162" s="2">
        <f t="shared" si="1"/>
        <v>83.38724299620992</v>
      </c>
      <c r="H162" s="2">
        <f t="shared" si="2"/>
        <v>1.7930312927132255</v>
      </c>
      <c r="I162" s="2">
        <f t="shared" si="3"/>
        <v>150.3098132681497</v>
      </c>
      <c r="J162" s="2">
        <f t="shared" si="4"/>
        <v>66.922570271939776</v>
      </c>
      <c r="K162" s="12">
        <v>0.4465277777777778</v>
      </c>
      <c r="L162" s="2">
        <f t="shared" si="14"/>
        <v>157</v>
      </c>
      <c r="M162" s="2">
        <f t="shared" si="21"/>
        <v>83.65</v>
      </c>
      <c r="N162" s="2">
        <v>4.5</v>
      </c>
      <c r="O162" s="2">
        <v>50.26548245743669</v>
      </c>
      <c r="P162" s="11">
        <f t="shared" si="5"/>
        <v>0.89524655489191129</v>
      </c>
      <c r="Q162" s="2">
        <f t="shared" si="6"/>
        <v>74.887374316708389</v>
      </c>
      <c r="R162" s="2">
        <f t="shared" si="7"/>
        <v>1.8230646440328588</v>
      </c>
      <c r="S162" s="2">
        <f t="shared" si="8"/>
        <v>152.49935747334865</v>
      </c>
      <c r="T162" s="2">
        <f t="shared" si="9"/>
        <v>77.611983156640264</v>
      </c>
    </row>
    <row r="163" spans="1:20" x14ac:dyDescent="0.25">
      <c r="A163" s="10"/>
      <c r="C163" s="4"/>
      <c r="F163" s="11"/>
      <c r="K163" s="12"/>
      <c r="P163" s="11"/>
    </row>
    <row r="164" spans="1:20" x14ac:dyDescent="0.25">
      <c r="A164" s="10"/>
      <c r="C164" s="4"/>
      <c r="F164" s="11"/>
      <c r="K164" s="12"/>
      <c r="P164" s="11"/>
    </row>
    <row r="165" spans="1:20" x14ac:dyDescent="0.25">
      <c r="A165" s="10"/>
      <c r="C165" s="4"/>
      <c r="F165" s="11"/>
      <c r="K165" s="12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29">
    <mergeCell ref="V23:X23"/>
    <mergeCell ref="V24:X24"/>
    <mergeCell ref="V25:X25"/>
    <mergeCell ref="V26:X26"/>
    <mergeCell ref="V11:W11"/>
    <mergeCell ref="V12:W12"/>
    <mergeCell ref="V13:W13"/>
    <mergeCell ref="V14:W14"/>
    <mergeCell ref="V15:W15"/>
    <mergeCell ref="V16:W16"/>
    <mergeCell ref="V17:W17"/>
    <mergeCell ref="V10:W10"/>
    <mergeCell ref="V18:W18"/>
    <mergeCell ref="V19:X19"/>
    <mergeCell ref="W20:X20"/>
    <mergeCell ref="V21:W21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E4:F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X174"/>
  <sheetViews>
    <sheetView workbookViewId="0">
      <selection activeCell="A9" sqref="A9"/>
    </sheetView>
  </sheetViews>
  <sheetFormatPr defaultColWidth="12.6640625" defaultRowHeight="15.75" customHeight="1" x14ac:dyDescent="0.25"/>
  <sheetData>
    <row r="1" spans="1:24" x14ac:dyDescent="0.25">
      <c r="A1" s="1"/>
      <c r="B1" s="1"/>
      <c r="C1" s="1"/>
      <c r="D1" s="1"/>
      <c r="E1" s="1"/>
      <c r="F1" s="2" t="s">
        <v>0</v>
      </c>
      <c r="G1" s="2" t="s">
        <v>1</v>
      </c>
      <c r="H1" s="2" t="s">
        <v>2</v>
      </c>
      <c r="I1" s="3" t="s">
        <v>3</v>
      </c>
      <c r="J1" s="2" t="s">
        <v>4</v>
      </c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3" t="s">
        <v>3</v>
      </c>
      <c r="T1" s="2" t="s">
        <v>4</v>
      </c>
    </row>
    <row r="2" spans="1:24" x14ac:dyDescent="0.25">
      <c r="A2" s="1"/>
      <c r="B2" s="1"/>
      <c r="C2" s="1"/>
      <c r="D2" s="1"/>
      <c r="E2" s="1"/>
      <c r="F2" s="2">
        <f>SUM(G6:G174)</f>
        <v>9479.8310232771182</v>
      </c>
      <c r="G2" s="4">
        <f>SUM(C6:C174)</f>
        <v>6934.3099999999931</v>
      </c>
      <c r="H2" s="2">
        <f>F2/G2</f>
        <v>1.3670907449013856</v>
      </c>
      <c r="I2" s="2">
        <f>SUM(J6:J174)</f>
        <v>1459.2235113108732</v>
      </c>
      <c r="J2" s="2">
        <f>(1-(I2/(F2)))*100</f>
        <v>84.60707255511366</v>
      </c>
      <c r="K2" s="1"/>
      <c r="L2" s="1"/>
      <c r="M2" s="1"/>
      <c r="N2" s="1"/>
      <c r="O2" s="1"/>
      <c r="P2" s="2">
        <f>SUM(Q6:Q174)</f>
        <v>9992.0208748676268</v>
      </c>
      <c r="Q2" s="2">
        <f>SUM(M6:M174)</f>
        <v>6906.0499999999911</v>
      </c>
      <c r="R2" s="2">
        <f>P2/Q2</f>
        <v>1.446850352208229</v>
      </c>
      <c r="S2" s="2">
        <f>SUM(T6:T174)</f>
        <v>1476.1358230320247</v>
      </c>
      <c r="T2" s="2">
        <f>(1-(S2/(P2)))*100</f>
        <v>85.226854091699636</v>
      </c>
    </row>
    <row r="3" spans="1:24" x14ac:dyDescent="0.25">
      <c r="A3" s="31" t="s">
        <v>5</v>
      </c>
      <c r="B3" s="32"/>
      <c r="C3" s="32"/>
      <c r="D3" s="32"/>
      <c r="E3" s="32"/>
      <c r="F3" s="32"/>
      <c r="G3" s="1"/>
      <c r="H3" s="1"/>
      <c r="I3" s="1"/>
      <c r="J3" s="1"/>
      <c r="K3" s="33" t="s">
        <v>5</v>
      </c>
      <c r="L3" s="32"/>
      <c r="M3" s="32"/>
      <c r="N3" s="32"/>
      <c r="O3" s="32"/>
      <c r="P3" s="32"/>
      <c r="V3" s="34" t="s">
        <v>6</v>
      </c>
      <c r="W3" s="35"/>
      <c r="X3" s="36"/>
    </row>
    <row r="4" spans="1:24" x14ac:dyDescent="0.25">
      <c r="A4" s="1" t="s">
        <v>7</v>
      </c>
      <c r="B4" s="31" t="s">
        <v>8</v>
      </c>
      <c r="C4" s="32"/>
      <c r="D4" s="1" t="s">
        <v>9</v>
      </c>
      <c r="E4" s="50" t="s">
        <v>101</v>
      </c>
      <c r="F4" s="36"/>
      <c r="G4" s="1"/>
      <c r="H4" s="1"/>
      <c r="I4" s="1"/>
      <c r="J4" s="1"/>
      <c r="K4" s="5" t="s">
        <v>7</v>
      </c>
      <c r="L4" s="31" t="s">
        <v>11</v>
      </c>
      <c r="M4" s="32"/>
      <c r="N4" s="1" t="s">
        <v>9</v>
      </c>
      <c r="O4" s="50" t="s">
        <v>101</v>
      </c>
      <c r="P4" s="36"/>
      <c r="V4" s="34" t="s">
        <v>12</v>
      </c>
      <c r="W4" s="36"/>
      <c r="X4" s="6" t="s">
        <v>101</v>
      </c>
    </row>
    <row r="5" spans="1:24" x14ac:dyDescent="0.25">
      <c r="A5" s="1" t="s">
        <v>13</v>
      </c>
      <c r="B5" s="1" t="s">
        <v>14</v>
      </c>
      <c r="C5" s="7" t="s">
        <v>15</v>
      </c>
      <c r="D5" s="1" t="s">
        <v>16</v>
      </c>
      <c r="E5" s="8" t="s">
        <v>17</v>
      </c>
      <c r="F5" s="1" t="s">
        <v>18</v>
      </c>
      <c r="G5" s="2" t="s">
        <v>19</v>
      </c>
      <c r="H5" s="2" t="s">
        <v>2</v>
      </c>
      <c r="I5" s="2" t="s">
        <v>20</v>
      </c>
      <c r="J5" s="2" t="s">
        <v>21</v>
      </c>
      <c r="K5" s="5" t="s">
        <v>13</v>
      </c>
      <c r="L5" s="1" t="s">
        <v>14</v>
      </c>
      <c r="M5" s="7" t="s">
        <v>15</v>
      </c>
      <c r="N5" s="1" t="s">
        <v>16</v>
      </c>
      <c r="O5" s="8" t="s">
        <v>17</v>
      </c>
      <c r="P5" s="1" t="s">
        <v>18</v>
      </c>
      <c r="Q5" s="2" t="s">
        <v>19</v>
      </c>
      <c r="R5" s="2" t="s">
        <v>2</v>
      </c>
      <c r="S5" s="2" t="s">
        <v>20</v>
      </c>
      <c r="T5" s="2" t="s">
        <v>21</v>
      </c>
      <c r="V5" s="34" t="s">
        <v>22</v>
      </c>
      <c r="W5" s="36"/>
      <c r="X5" s="9">
        <v>45938</v>
      </c>
    </row>
    <row r="6" spans="1:24" x14ac:dyDescent="0.25">
      <c r="A6" s="10">
        <v>0.60416666666666663</v>
      </c>
      <c r="B6" s="2">
        <v>1</v>
      </c>
      <c r="C6" s="4">
        <v>4.83</v>
      </c>
      <c r="D6" s="2">
        <v>1</v>
      </c>
      <c r="E6" s="2">
        <v>50.26548245743669</v>
      </c>
      <c r="F6" s="11">
        <f t="shared" ref="F6:F162" si="0">(D6/E6)*10</f>
        <v>0.19894367886486919</v>
      </c>
      <c r="G6" s="2">
        <f t="shared" ref="G6:G162" si="1">F6*C6</f>
        <v>0.96089796891731816</v>
      </c>
      <c r="H6" s="2">
        <f t="shared" ref="H6:H162" si="2">$H$2</f>
        <v>1.3670907449013856</v>
      </c>
      <c r="I6" s="2">
        <f t="shared" ref="I6:I162" si="3">H6*C6</f>
        <v>6.6030482978736922</v>
      </c>
      <c r="J6" s="2">
        <f t="shared" ref="J6:J162" si="4">ABS(G6-I6)</f>
        <v>5.6421503289563741</v>
      </c>
      <c r="K6" s="12">
        <v>0.58263888888888893</v>
      </c>
      <c r="L6" s="2">
        <v>1</v>
      </c>
      <c r="M6" s="2">
        <v>4.6500000000000004</v>
      </c>
      <c r="N6" s="2">
        <v>0.5</v>
      </c>
      <c r="O6" s="2">
        <v>50.26548245743669</v>
      </c>
      <c r="P6" s="11">
        <f t="shared" ref="P6:P162" si="5">(N6/O6)*10</f>
        <v>9.9471839432434594E-2</v>
      </c>
      <c r="Q6" s="2">
        <f t="shared" ref="Q6:Q162" si="6">P6*M6</f>
        <v>0.46254405336082088</v>
      </c>
      <c r="R6" s="2">
        <f t="shared" ref="R6:R162" si="7">$R$2</f>
        <v>1.446850352208229</v>
      </c>
      <c r="S6" s="2">
        <f t="shared" ref="S6:S162" si="8">R6*M6</f>
        <v>6.727854137768265</v>
      </c>
      <c r="T6" s="2">
        <f t="shared" ref="T6:T162" si="9">ABS(Q6-S6)</f>
        <v>6.2653100844074441</v>
      </c>
      <c r="V6" s="37" t="s">
        <v>23</v>
      </c>
      <c r="W6" s="36"/>
      <c r="X6" s="13" t="s">
        <v>102</v>
      </c>
    </row>
    <row r="7" spans="1:24" x14ac:dyDescent="0.25">
      <c r="A7" s="30">
        <f t="shared" ref="A7:A43" si="10">IF(AND($A$6&lt;&gt;"",$A$44&lt;&gt;""), $A$6 + (B7 - $B$6) * (($A$44 - $A$6) / ($B$44 - $B$6)), "")</f>
        <v>0.60427631578947361</v>
      </c>
      <c r="B7" s="2">
        <f t="shared" ref="B7:B162" si="11">B6+1</f>
        <v>2</v>
      </c>
      <c r="C7" s="4">
        <f t="shared" ref="C7:C109" si="12">C6+0.5</f>
        <v>5.33</v>
      </c>
      <c r="D7" s="2">
        <v>2</v>
      </c>
      <c r="E7" s="2">
        <v>50.26548245743669</v>
      </c>
      <c r="F7" s="11">
        <f t="shared" si="0"/>
        <v>0.39788735772973838</v>
      </c>
      <c r="G7" s="2">
        <f t="shared" si="1"/>
        <v>2.1207396166995056</v>
      </c>
      <c r="H7" s="2">
        <f t="shared" si="2"/>
        <v>1.3670907449013856</v>
      </c>
      <c r="I7" s="2">
        <f t="shared" si="3"/>
        <v>7.2865936703243852</v>
      </c>
      <c r="J7" s="2">
        <f t="shared" si="4"/>
        <v>5.16585405362488</v>
      </c>
      <c r="K7" s="15">
        <f t="shared" ref="K7:K43" si="13">IF(AND($K$6&lt;&gt;"",$K$44&lt;&gt;""), $K$6 + (L7 - $L$6) * (($K$44 - $K$6) / ($L$44 - $L$6)), "")</f>
        <v>0.5827485380116959</v>
      </c>
      <c r="L7" s="2">
        <f t="shared" ref="L7:L162" si="14">L6+1</f>
        <v>2</v>
      </c>
      <c r="M7" s="2">
        <f t="shared" ref="M7:M109" si="15">M6+0.5</f>
        <v>5.15</v>
      </c>
      <c r="N7" s="2">
        <v>3</v>
      </c>
      <c r="O7" s="2">
        <v>50.26548245743669</v>
      </c>
      <c r="P7" s="11">
        <f t="shared" si="5"/>
        <v>0.59683103659460746</v>
      </c>
      <c r="Q7" s="2">
        <f t="shared" si="6"/>
        <v>3.0736798384622288</v>
      </c>
      <c r="R7" s="2">
        <f t="shared" si="7"/>
        <v>1.446850352208229</v>
      </c>
      <c r="S7" s="2">
        <f t="shared" si="8"/>
        <v>7.4512793138723801</v>
      </c>
      <c r="T7" s="2">
        <f t="shared" si="9"/>
        <v>4.3775994754101513</v>
      </c>
      <c r="V7" s="37" t="s">
        <v>24</v>
      </c>
      <c r="W7" s="36"/>
      <c r="X7" s="6" t="s">
        <v>103</v>
      </c>
    </row>
    <row r="8" spans="1:24" x14ac:dyDescent="0.25">
      <c r="A8" s="30">
        <f t="shared" si="10"/>
        <v>0.60438596491228069</v>
      </c>
      <c r="B8" s="2">
        <f t="shared" si="11"/>
        <v>3</v>
      </c>
      <c r="C8" s="4">
        <f t="shared" si="12"/>
        <v>5.83</v>
      </c>
      <c r="D8" s="2">
        <v>4</v>
      </c>
      <c r="E8" s="2">
        <v>50.26548245743669</v>
      </c>
      <c r="F8" s="11">
        <f t="shared" si="0"/>
        <v>0.79577471545947676</v>
      </c>
      <c r="G8" s="2">
        <f t="shared" si="1"/>
        <v>4.6393665911287494</v>
      </c>
      <c r="H8" s="2">
        <f t="shared" si="2"/>
        <v>1.3670907449013856</v>
      </c>
      <c r="I8" s="2">
        <f t="shared" si="3"/>
        <v>7.9701390427750782</v>
      </c>
      <c r="J8" s="2">
        <f t="shared" si="4"/>
        <v>3.3307724516463288</v>
      </c>
      <c r="K8" s="15">
        <f t="shared" si="13"/>
        <v>0.58285818713450299</v>
      </c>
      <c r="L8" s="2">
        <f t="shared" si="14"/>
        <v>3</v>
      </c>
      <c r="M8" s="2">
        <f t="shared" si="15"/>
        <v>5.65</v>
      </c>
      <c r="N8" s="2">
        <v>4.5</v>
      </c>
      <c r="O8" s="2">
        <v>50.26548245743669</v>
      </c>
      <c r="P8" s="11">
        <f t="shared" si="5"/>
        <v>0.89524655489191129</v>
      </c>
      <c r="Q8" s="2">
        <f t="shared" si="6"/>
        <v>5.0581430351392989</v>
      </c>
      <c r="R8" s="2">
        <f t="shared" si="7"/>
        <v>1.446850352208229</v>
      </c>
      <c r="S8" s="2">
        <f t="shared" si="8"/>
        <v>8.1747044899764951</v>
      </c>
      <c r="T8" s="2">
        <f t="shared" si="9"/>
        <v>3.1165614548371963</v>
      </c>
      <c r="V8" s="34" t="s">
        <v>25</v>
      </c>
      <c r="W8" s="35"/>
      <c r="X8" s="36"/>
    </row>
    <row r="9" spans="1:24" x14ac:dyDescent="0.25">
      <c r="A9" s="30">
        <f t="shared" si="10"/>
        <v>0.60449561403508767</v>
      </c>
      <c r="B9" s="2">
        <f t="shared" si="11"/>
        <v>4</v>
      </c>
      <c r="C9" s="4">
        <f t="shared" si="12"/>
        <v>6.33</v>
      </c>
      <c r="D9" s="2">
        <v>5.5</v>
      </c>
      <c r="E9" s="2">
        <v>50.26548245743669</v>
      </c>
      <c r="F9" s="11">
        <f t="shared" si="0"/>
        <v>1.0941902337567804</v>
      </c>
      <c r="G9" s="2">
        <f t="shared" si="1"/>
        <v>6.9262241796804203</v>
      </c>
      <c r="H9" s="2">
        <f t="shared" si="2"/>
        <v>1.3670907449013856</v>
      </c>
      <c r="I9" s="2">
        <f t="shared" si="3"/>
        <v>8.6536844152257704</v>
      </c>
      <c r="J9" s="2">
        <f t="shared" si="4"/>
        <v>1.7274602355453501</v>
      </c>
      <c r="K9" s="15">
        <f t="shared" si="13"/>
        <v>0.58296783625730997</v>
      </c>
      <c r="L9" s="2">
        <f t="shared" si="14"/>
        <v>4</v>
      </c>
      <c r="M9" s="2">
        <f t="shared" si="15"/>
        <v>6.15</v>
      </c>
      <c r="N9" s="2">
        <v>7</v>
      </c>
      <c r="O9" s="2">
        <v>50.26548245743669</v>
      </c>
      <c r="P9" s="11">
        <f t="shared" si="5"/>
        <v>1.3926057520540844</v>
      </c>
      <c r="Q9" s="2">
        <f t="shared" si="6"/>
        <v>8.5645253751326198</v>
      </c>
      <c r="R9" s="2">
        <f t="shared" si="7"/>
        <v>1.446850352208229</v>
      </c>
      <c r="S9" s="2">
        <f t="shared" si="8"/>
        <v>8.8981296660806084</v>
      </c>
      <c r="T9" s="2">
        <f t="shared" si="9"/>
        <v>0.3336042909479886</v>
      </c>
      <c r="V9" s="34" t="s">
        <v>26</v>
      </c>
      <c r="W9" s="36"/>
      <c r="X9" s="16">
        <v>0.53263888888888888</v>
      </c>
    </row>
    <row r="10" spans="1:24" x14ac:dyDescent="0.25">
      <c r="A10" s="30">
        <f t="shared" si="10"/>
        <v>0.60460526315789465</v>
      </c>
      <c r="B10" s="2">
        <f t="shared" si="11"/>
        <v>5</v>
      </c>
      <c r="C10" s="4">
        <f t="shared" si="12"/>
        <v>6.83</v>
      </c>
      <c r="D10" s="2">
        <v>7</v>
      </c>
      <c r="E10" s="2">
        <v>50.26548245743669</v>
      </c>
      <c r="F10" s="11">
        <f t="shared" si="0"/>
        <v>1.3926057520540844</v>
      </c>
      <c r="G10" s="2">
        <f t="shared" si="1"/>
        <v>9.5114972865293961</v>
      </c>
      <c r="H10" s="2">
        <f t="shared" si="2"/>
        <v>1.3670907449013856</v>
      </c>
      <c r="I10" s="2">
        <f t="shared" si="3"/>
        <v>9.3372297876764634</v>
      </c>
      <c r="J10" s="2">
        <f t="shared" si="4"/>
        <v>0.17426749885293269</v>
      </c>
      <c r="K10" s="15">
        <f t="shared" si="13"/>
        <v>0.58307748538011694</v>
      </c>
      <c r="L10" s="2">
        <f t="shared" si="14"/>
        <v>5</v>
      </c>
      <c r="M10" s="2">
        <f t="shared" si="15"/>
        <v>6.65</v>
      </c>
      <c r="N10" s="2">
        <v>6.5</v>
      </c>
      <c r="O10" s="2">
        <v>50.26548245743669</v>
      </c>
      <c r="P10" s="11">
        <f t="shared" si="5"/>
        <v>1.2931339126216495</v>
      </c>
      <c r="Q10" s="2">
        <f t="shared" si="6"/>
        <v>8.5993405189339693</v>
      </c>
      <c r="R10" s="2">
        <f t="shared" si="7"/>
        <v>1.446850352208229</v>
      </c>
      <c r="S10" s="2">
        <f t="shared" si="8"/>
        <v>9.6215548421847235</v>
      </c>
      <c r="T10" s="2">
        <f t="shared" si="9"/>
        <v>1.0222143232507541</v>
      </c>
      <c r="V10" s="34" t="s">
        <v>27</v>
      </c>
      <c r="W10" s="36"/>
      <c r="X10" s="6">
        <v>50</v>
      </c>
    </row>
    <row r="11" spans="1:24" x14ac:dyDescent="0.25">
      <c r="A11" s="30">
        <f t="shared" si="10"/>
        <v>0.60471491228070173</v>
      </c>
      <c r="B11" s="2">
        <f t="shared" si="11"/>
        <v>6</v>
      </c>
      <c r="C11" s="4">
        <f t="shared" si="12"/>
        <v>7.33</v>
      </c>
      <c r="D11" s="2">
        <v>9.5</v>
      </c>
      <c r="E11" s="2">
        <v>50.26548245743669</v>
      </c>
      <c r="F11" s="11">
        <f t="shared" si="0"/>
        <v>1.8899649492162571</v>
      </c>
      <c r="G11" s="2">
        <f t="shared" si="1"/>
        <v>13.853443077755164</v>
      </c>
      <c r="H11" s="2">
        <f t="shared" si="2"/>
        <v>1.3670907449013856</v>
      </c>
      <c r="I11" s="2">
        <f t="shared" si="3"/>
        <v>10.020775160127156</v>
      </c>
      <c r="J11" s="2">
        <f t="shared" si="4"/>
        <v>3.8326679176280081</v>
      </c>
      <c r="K11" s="15">
        <f t="shared" si="13"/>
        <v>0.58318713450292403</v>
      </c>
      <c r="L11" s="2">
        <f t="shared" si="14"/>
        <v>6</v>
      </c>
      <c r="M11" s="2">
        <f t="shared" si="15"/>
        <v>7.15</v>
      </c>
      <c r="N11" s="2">
        <v>8.5</v>
      </c>
      <c r="O11" s="2">
        <v>50.26548245743669</v>
      </c>
      <c r="P11" s="11">
        <f t="shared" si="5"/>
        <v>1.6910212703513881</v>
      </c>
      <c r="Q11" s="2">
        <f t="shared" si="6"/>
        <v>12.090802083012425</v>
      </c>
      <c r="R11" s="2">
        <f t="shared" si="7"/>
        <v>1.446850352208229</v>
      </c>
      <c r="S11" s="2">
        <f t="shared" si="8"/>
        <v>10.344980018288839</v>
      </c>
      <c r="T11" s="2">
        <f t="shared" si="9"/>
        <v>1.7458220647235869</v>
      </c>
      <c r="V11" s="34" t="s">
        <v>28</v>
      </c>
      <c r="W11" s="36"/>
      <c r="X11" s="6">
        <v>50</v>
      </c>
    </row>
    <row r="12" spans="1:24" x14ac:dyDescent="0.25">
      <c r="A12" s="30">
        <f t="shared" si="10"/>
        <v>0.60482456140350871</v>
      </c>
      <c r="B12" s="2">
        <f t="shared" si="11"/>
        <v>7</v>
      </c>
      <c r="C12" s="4">
        <f t="shared" si="12"/>
        <v>7.83</v>
      </c>
      <c r="D12" s="23">
        <v>17</v>
      </c>
      <c r="E12" s="2">
        <v>50.26548245743669</v>
      </c>
      <c r="F12" s="11">
        <f t="shared" si="0"/>
        <v>3.3820425407027761</v>
      </c>
      <c r="G12" s="2">
        <f t="shared" si="1"/>
        <v>26.481393093702739</v>
      </c>
      <c r="H12" s="2">
        <f t="shared" si="2"/>
        <v>1.3670907449013856</v>
      </c>
      <c r="I12" s="2">
        <f t="shared" si="3"/>
        <v>10.704320532577849</v>
      </c>
      <c r="J12" s="2">
        <f t="shared" si="4"/>
        <v>15.777072561124889</v>
      </c>
      <c r="K12" s="15">
        <f t="shared" si="13"/>
        <v>0.58329678362573101</v>
      </c>
      <c r="L12" s="2">
        <f t="shared" si="14"/>
        <v>7</v>
      </c>
      <c r="M12" s="2">
        <f t="shared" si="15"/>
        <v>7.65</v>
      </c>
      <c r="N12" s="23">
        <v>11.5</v>
      </c>
      <c r="O12" s="2">
        <v>50.26548245743669</v>
      </c>
      <c r="P12" s="11">
        <f t="shared" si="5"/>
        <v>2.2878523069459957</v>
      </c>
      <c r="Q12" s="2">
        <f t="shared" si="6"/>
        <v>17.50207014813687</v>
      </c>
      <c r="R12" s="2">
        <f t="shared" si="7"/>
        <v>1.446850352208229</v>
      </c>
      <c r="S12" s="2">
        <f t="shared" si="8"/>
        <v>11.068405194392952</v>
      </c>
      <c r="T12" s="2">
        <f t="shared" si="9"/>
        <v>6.4336649537439179</v>
      </c>
      <c r="V12" s="34" t="s">
        <v>29</v>
      </c>
      <c r="W12" s="36"/>
      <c r="X12" s="6">
        <v>50</v>
      </c>
    </row>
    <row r="13" spans="1:24" x14ac:dyDescent="0.25">
      <c r="A13" s="30">
        <f t="shared" si="10"/>
        <v>0.6049342105263158</v>
      </c>
      <c r="B13" s="2">
        <f t="shared" si="11"/>
        <v>8</v>
      </c>
      <c r="C13" s="4">
        <f t="shared" si="12"/>
        <v>8.33</v>
      </c>
      <c r="D13" s="2">
        <v>11.5</v>
      </c>
      <c r="E13" s="2">
        <v>50.26548245743669</v>
      </c>
      <c r="F13" s="11">
        <f t="shared" si="0"/>
        <v>2.2878523069459957</v>
      </c>
      <c r="G13" s="2">
        <f t="shared" si="1"/>
        <v>19.057809716860145</v>
      </c>
      <c r="H13" s="2">
        <f t="shared" si="2"/>
        <v>1.3670907449013856</v>
      </c>
      <c r="I13" s="2">
        <f t="shared" si="3"/>
        <v>11.387865905028542</v>
      </c>
      <c r="J13" s="2">
        <f t="shared" si="4"/>
        <v>7.6699438118316028</v>
      </c>
      <c r="K13" s="15">
        <f t="shared" si="13"/>
        <v>0.5834064327485381</v>
      </c>
      <c r="L13" s="2">
        <f t="shared" si="14"/>
        <v>8</v>
      </c>
      <c r="M13" s="2">
        <f t="shared" si="15"/>
        <v>8.15</v>
      </c>
      <c r="N13" s="2">
        <v>12.5</v>
      </c>
      <c r="O13" s="2">
        <v>50.26548245743669</v>
      </c>
      <c r="P13" s="11">
        <f t="shared" si="5"/>
        <v>2.4867959858108648</v>
      </c>
      <c r="Q13" s="2">
        <f t="shared" si="6"/>
        <v>20.267387284358549</v>
      </c>
      <c r="R13" s="2">
        <f t="shared" si="7"/>
        <v>1.446850352208229</v>
      </c>
      <c r="S13" s="2">
        <f t="shared" si="8"/>
        <v>11.791830370497067</v>
      </c>
      <c r="T13" s="2">
        <f t="shared" si="9"/>
        <v>8.4755569138614817</v>
      </c>
      <c r="V13" s="34" t="s">
        <v>30</v>
      </c>
      <c r="W13" s="36"/>
      <c r="X13" s="16">
        <v>0.62291666666666667</v>
      </c>
    </row>
    <row r="14" spans="1:24" x14ac:dyDescent="0.25">
      <c r="A14" s="30">
        <f t="shared" si="10"/>
        <v>0.60504385964912277</v>
      </c>
      <c r="B14" s="2">
        <f t="shared" si="11"/>
        <v>9</v>
      </c>
      <c r="C14" s="4">
        <f t="shared" si="12"/>
        <v>8.83</v>
      </c>
      <c r="D14" s="2">
        <v>12.5</v>
      </c>
      <c r="E14" s="2">
        <v>50.26548245743669</v>
      </c>
      <c r="F14" s="11">
        <f t="shared" si="0"/>
        <v>2.4867959858108648</v>
      </c>
      <c r="G14" s="2">
        <f t="shared" si="1"/>
        <v>21.958408554709937</v>
      </c>
      <c r="H14" s="2">
        <f t="shared" si="2"/>
        <v>1.3670907449013856</v>
      </c>
      <c r="I14" s="2">
        <f t="shared" si="3"/>
        <v>12.071411277479235</v>
      </c>
      <c r="J14" s="2">
        <f t="shared" si="4"/>
        <v>9.8869972772307015</v>
      </c>
      <c r="K14" s="15">
        <f t="shared" si="13"/>
        <v>0.58351608187134507</v>
      </c>
      <c r="L14" s="2">
        <f t="shared" si="14"/>
        <v>9</v>
      </c>
      <c r="M14" s="2">
        <f t="shared" si="15"/>
        <v>8.65</v>
      </c>
      <c r="N14" s="2">
        <v>13</v>
      </c>
      <c r="O14" s="2">
        <v>50.26548245743669</v>
      </c>
      <c r="P14" s="11">
        <f t="shared" si="5"/>
        <v>2.5862678252432989</v>
      </c>
      <c r="Q14" s="2">
        <f t="shared" si="6"/>
        <v>22.371216688354536</v>
      </c>
      <c r="R14" s="2">
        <f t="shared" si="7"/>
        <v>1.446850352208229</v>
      </c>
      <c r="S14" s="2">
        <f t="shared" si="8"/>
        <v>12.515255546601182</v>
      </c>
      <c r="T14" s="2">
        <f t="shared" si="9"/>
        <v>9.8559611417533546</v>
      </c>
      <c r="V14" s="34" t="s">
        <v>31</v>
      </c>
      <c r="W14" s="36"/>
      <c r="X14" s="6">
        <v>44</v>
      </c>
    </row>
    <row r="15" spans="1:24" x14ac:dyDescent="0.25">
      <c r="A15" s="30">
        <f t="shared" si="10"/>
        <v>0.60515350877192975</v>
      </c>
      <c r="B15" s="2">
        <f t="shared" si="11"/>
        <v>10</v>
      </c>
      <c r="C15" s="4">
        <f t="shared" si="12"/>
        <v>9.33</v>
      </c>
      <c r="D15" s="2">
        <v>13.5</v>
      </c>
      <c r="E15" s="2">
        <v>50.26548245743669</v>
      </c>
      <c r="F15" s="11">
        <f t="shared" si="0"/>
        <v>2.6857396646757339</v>
      </c>
      <c r="G15" s="2">
        <f t="shared" si="1"/>
        <v>25.057951071424597</v>
      </c>
      <c r="H15" s="2">
        <f t="shared" si="2"/>
        <v>1.3670907449013856</v>
      </c>
      <c r="I15" s="2">
        <f t="shared" si="3"/>
        <v>12.754956649929929</v>
      </c>
      <c r="J15" s="2">
        <f t="shared" si="4"/>
        <v>12.302994421494668</v>
      </c>
      <c r="K15" s="15">
        <f t="shared" si="13"/>
        <v>0.58362573099415205</v>
      </c>
      <c r="L15" s="2">
        <f t="shared" si="14"/>
        <v>10</v>
      </c>
      <c r="M15" s="2">
        <f t="shared" si="15"/>
        <v>9.15</v>
      </c>
      <c r="N15" s="2">
        <v>14</v>
      </c>
      <c r="O15" s="2">
        <v>50.26548245743669</v>
      </c>
      <c r="P15" s="11">
        <f t="shared" si="5"/>
        <v>2.7852115041081689</v>
      </c>
      <c r="Q15" s="2">
        <f t="shared" si="6"/>
        <v>25.484685262589746</v>
      </c>
      <c r="R15" s="2">
        <f t="shared" si="7"/>
        <v>1.446850352208229</v>
      </c>
      <c r="S15" s="2">
        <f t="shared" si="8"/>
        <v>13.238680722705295</v>
      </c>
      <c r="T15" s="2">
        <f t="shared" si="9"/>
        <v>12.246004539884451</v>
      </c>
      <c r="V15" s="34" t="s">
        <v>32</v>
      </c>
      <c r="W15" s="36"/>
      <c r="X15" s="6">
        <v>45</v>
      </c>
    </row>
    <row r="16" spans="1:24" x14ac:dyDescent="0.25">
      <c r="A16" s="30">
        <f t="shared" si="10"/>
        <v>0.60526315789473684</v>
      </c>
      <c r="B16" s="2">
        <f t="shared" si="11"/>
        <v>11</v>
      </c>
      <c r="C16" s="4">
        <f t="shared" si="12"/>
        <v>9.83</v>
      </c>
      <c r="D16" s="2">
        <v>15.5</v>
      </c>
      <c r="E16" s="2">
        <v>50.26548245743669</v>
      </c>
      <c r="F16" s="11">
        <f t="shared" si="0"/>
        <v>3.0836270224054725</v>
      </c>
      <c r="G16" s="2">
        <f t="shared" si="1"/>
        <v>30.312053630245796</v>
      </c>
      <c r="H16" s="2">
        <f t="shared" si="2"/>
        <v>1.3670907449013856</v>
      </c>
      <c r="I16" s="2">
        <f t="shared" si="3"/>
        <v>13.43850202238062</v>
      </c>
      <c r="J16" s="2">
        <f t="shared" si="4"/>
        <v>16.873551607865174</v>
      </c>
      <c r="K16" s="15">
        <f t="shared" si="13"/>
        <v>0.58373538011695913</v>
      </c>
      <c r="L16" s="2">
        <f t="shared" si="14"/>
        <v>11</v>
      </c>
      <c r="M16" s="2">
        <f t="shared" si="15"/>
        <v>9.65</v>
      </c>
      <c r="N16" s="2">
        <v>14.5</v>
      </c>
      <c r="O16" s="2">
        <v>50.26548245743669</v>
      </c>
      <c r="P16" s="11">
        <f t="shared" si="5"/>
        <v>2.8846833435406034</v>
      </c>
      <c r="Q16" s="2">
        <f t="shared" si="6"/>
        <v>27.837194265166826</v>
      </c>
      <c r="R16" s="2">
        <f t="shared" si="7"/>
        <v>1.446850352208229</v>
      </c>
      <c r="S16" s="2">
        <f t="shared" si="8"/>
        <v>13.96210589880941</v>
      </c>
      <c r="T16" s="2">
        <f t="shared" si="9"/>
        <v>13.875088366357415</v>
      </c>
      <c r="V16" s="34" t="s">
        <v>33</v>
      </c>
      <c r="W16" s="36"/>
      <c r="X16" s="6">
        <v>44</v>
      </c>
    </row>
    <row r="17" spans="1:24" x14ac:dyDescent="0.25">
      <c r="A17" s="30">
        <f t="shared" si="10"/>
        <v>0.60537280701754381</v>
      </c>
      <c r="B17" s="2">
        <f t="shared" si="11"/>
        <v>12</v>
      </c>
      <c r="C17" s="4">
        <f t="shared" si="12"/>
        <v>10.33</v>
      </c>
      <c r="D17" s="2">
        <v>14.5</v>
      </c>
      <c r="E17" s="2">
        <v>50.26548245743669</v>
      </c>
      <c r="F17" s="11">
        <f t="shared" si="0"/>
        <v>2.8846833435406034</v>
      </c>
      <c r="G17" s="2">
        <f t="shared" si="1"/>
        <v>29.798778938774433</v>
      </c>
      <c r="H17" s="2">
        <f t="shared" si="2"/>
        <v>1.3670907449013856</v>
      </c>
      <c r="I17" s="2">
        <f t="shared" si="3"/>
        <v>14.122047394831313</v>
      </c>
      <c r="J17" s="2">
        <f t="shared" si="4"/>
        <v>15.67673154394312</v>
      </c>
      <c r="K17" s="15">
        <f t="shared" si="13"/>
        <v>0.58384502923976611</v>
      </c>
      <c r="L17" s="2">
        <f t="shared" si="14"/>
        <v>12</v>
      </c>
      <c r="M17" s="2">
        <f t="shared" si="15"/>
        <v>10.15</v>
      </c>
      <c r="N17" s="2">
        <v>14.5</v>
      </c>
      <c r="O17" s="2">
        <v>50.26548245743669</v>
      </c>
      <c r="P17" s="11">
        <f t="shared" si="5"/>
        <v>2.8846833435406034</v>
      </c>
      <c r="Q17" s="2">
        <f t="shared" si="6"/>
        <v>29.279535936937126</v>
      </c>
      <c r="R17" s="2">
        <f t="shared" si="7"/>
        <v>1.446850352208229</v>
      </c>
      <c r="S17" s="2">
        <f t="shared" si="8"/>
        <v>14.685531074913525</v>
      </c>
      <c r="T17" s="2">
        <f t="shared" si="9"/>
        <v>14.594004862023601</v>
      </c>
      <c r="V17" s="38" t="s">
        <v>34</v>
      </c>
      <c r="W17" s="36"/>
      <c r="X17" s="17">
        <f>((X10-X14)+(X11-X15)+(X12-X16))/3</f>
        <v>5.666666666666667</v>
      </c>
    </row>
    <row r="18" spans="1:24" x14ac:dyDescent="0.25">
      <c r="A18" s="30">
        <f t="shared" si="10"/>
        <v>0.60548245614035079</v>
      </c>
      <c r="B18" s="2">
        <f t="shared" si="11"/>
        <v>13</v>
      </c>
      <c r="C18" s="4">
        <f t="shared" si="12"/>
        <v>10.83</v>
      </c>
      <c r="D18" s="2">
        <v>12</v>
      </c>
      <c r="E18" s="2">
        <v>50.26548245743669</v>
      </c>
      <c r="F18" s="11">
        <f t="shared" si="0"/>
        <v>2.3873241463784298</v>
      </c>
      <c r="G18" s="2">
        <f t="shared" si="1"/>
        <v>25.854720505278394</v>
      </c>
      <c r="H18" s="2">
        <f t="shared" si="2"/>
        <v>1.3670907449013856</v>
      </c>
      <c r="I18" s="2">
        <f t="shared" si="3"/>
        <v>14.805592767282006</v>
      </c>
      <c r="J18" s="2">
        <f t="shared" si="4"/>
        <v>11.049127737996388</v>
      </c>
      <c r="K18" s="15">
        <f t="shared" si="13"/>
        <v>0.58395467836257309</v>
      </c>
      <c r="L18" s="2">
        <f t="shared" si="14"/>
        <v>13</v>
      </c>
      <c r="M18" s="2">
        <f t="shared" si="15"/>
        <v>10.65</v>
      </c>
      <c r="N18" s="2">
        <v>12.5</v>
      </c>
      <c r="O18" s="2">
        <v>50.26548245743669</v>
      </c>
      <c r="P18" s="11">
        <f t="shared" si="5"/>
        <v>2.4867959858108648</v>
      </c>
      <c r="Q18" s="2">
        <f t="shared" si="6"/>
        <v>26.484377248885711</v>
      </c>
      <c r="R18" s="2">
        <f t="shared" si="7"/>
        <v>1.446850352208229</v>
      </c>
      <c r="S18" s="2">
        <f t="shared" si="8"/>
        <v>15.408956251017639</v>
      </c>
      <c r="T18" s="2">
        <f t="shared" si="9"/>
        <v>11.075420997868072</v>
      </c>
      <c r="V18" s="38" t="s">
        <v>35</v>
      </c>
      <c r="W18" s="36"/>
      <c r="X18" s="18" t="s">
        <v>41</v>
      </c>
    </row>
    <row r="19" spans="1:24" x14ac:dyDescent="0.25">
      <c r="A19" s="30">
        <f t="shared" si="10"/>
        <v>0.60559210526315788</v>
      </c>
      <c r="B19" s="2">
        <f t="shared" si="11"/>
        <v>14</v>
      </c>
      <c r="C19" s="4">
        <f t="shared" si="12"/>
        <v>11.33</v>
      </c>
      <c r="D19" s="2">
        <v>11</v>
      </c>
      <c r="E19" s="2">
        <v>50.26548245743669</v>
      </c>
      <c r="F19" s="11">
        <f t="shared" si="0"/>
        <v>2.1883804675135607</v>
      </c>
      <c r="G19" s="2">
        <f t="shared" si="1"/>
        <v>24.794350696928642</v>
      </c>
      <c r="H19" s="2">
        <f t="shared" si="2"/>
        <v>1.3670907449013856</v>
      </c>
      <c r="I19" s="2">
        <f t="shared" si="3"/>
        <v>15.489138139732699</v>
      </c>
      <c r="J19" s="2">
        <f t="shared" si="4"/>
        <v>9.3052125571959436</v>
      </c>
      <c r="K19" s="15">
        <f t="shared" si="13"/>
        <v>0.58406432748538017</v>
      </c>
      <c r="L19" s="2">
        <f t="shared" si="14"/>
        <v>14</v>
      </c>
      <c r="M19" s="2">
        <f t="shared" si="15"/>
        <v>11.15</v>
      </c>
      <c r="N19" s="2">
        <v>12</v>
      </c>
      <c r="O19" s="2">
        <v>50.26548245743669</v>
      </c>
      <c r="P19" s="11">
        <f t="shared" si="5"/>
        <v>2.3873241463784298</v>
      </c>
      <c r="Q19" s="2">
        <f t="shared" si="6"/>
        <v>26.618664232119492</v>
      </c>
      <c r="R19" s="2">
        <f t="shared" si="7"/>
        <v>1.446850352208229</v>
      </c>
      <c r="S19" s="2">
        <f t="shared" si="8"/>
        <v>16.132381427121754</v>
      </c>
      <c r="T19" s="2">
        <f t="shared" si="9"/>
        <v>10.486282804997739</v>
      </c>
      <c r="V19" s="39" t="s">
        <v>37</v>
      </c>
      <c r="W19" s="35"/>
      <c r="X19" s="36"/>
    </row>
    <row r="20" spans="1:24" x14ac:dyDescent="0.25">
      <c r="A20" s="30">
        <f t="shared" si="10"/>
        <v>0.60570175438596485</v>
      </c>
      <c r="B20" s="2">
        <f t="shared" si="11"/>
        <v>15</v>
      </c>
      <c r="C20" s="4">
        <f t="shared" si="12"/>
        <v>11.83</v>
      </c>
      <c r="D20" s="2">
        <v>10</v>
      </c>
      <c r="E20" s="2">
        <v>50.26548245743669</v>
      </c>
      <c r="F20" s="11">
        <f t="shared" si="0"/>
        <v>1.9894367886486919</v>
      </c>
      <c r="G20" s="2">
        <f t="shared" si="1"/>
        <v>23.535037209714027</v>
      </c>
      <c r="H20" s="2">
        <f t="shared" si="2"/>
        <v>1.3670907449013856</v>
      </c>
      <c r="I20" s="2">
        <f t="shared" si="3"/>
        <v>16.17268351218339</v>
      </c>
      <c r="J20" s="2">
        <f t="shared" si="4"/>
        <v>7.3623536975306365</v>
      </c>
      <c r="K20" s="15">
        <f t="shared" si="13"/>
        <v>0.58417397660818715</v>
      </c>
      <c r="L20" s="2">
        <f t="shared" si="14"/>
        <v>15</v>
      </c>
      <c r="M20" s="2">
        <f t="shared" si="15"/>
        <v>11.65</v>
      </c>
      <c r="N20" s="2">
        <v>10.5</v>
      </c>
      <c r="O20" s="2">
        <v>50.26548245743669</v>
      </c>
      <c r="P20" s="11">
        <f t="shared" si="5"/>
        <v>2.0889086280811267</v>
      </c>
      <c r="Q20" s="2">
        <f t="shared" si="6"/>
        <v>24.335785517145126</v>
      </c>
      <c r="R20" s="2">
        <f t="shared" si="7"/>
        <v>1.446850352208229</v>
      </c>
      <c r="S20" s="2">
        <f t="shared" si="8"/>
        <v>16.855806603225869</v>
      </c>
      <c r="T20" s="2">
        <f t="shared" si="9"/>
        <v>7.4799789139192576</v>
      </c>
      <c r="V20" s="19" t="s">
        <v>38</v>
      </c>
      <c r="W20" s="39">
        <f>((((80/10)/2)^2)*PI())</f>
        <v>50.26548245743669</v>
      </c>
      <c r="X20" s="36"/>
    </row>
    <row r="21" spans="1:24" x14ac:dyDescent="0.25">
      <c r="A21" s="30">
        <f t="shared" si="10"/>
        <v>0.60581140350877194</v>
      </c>
      <c r="B21" s="2">
        <f t="shared" si="11"/>
        <v>16</v>
      </c>
      <c r="C21" s="4">
        <f t="shared" si="12"/>
        <v>12.33</v>
      </c>
      <c r="D21" s="2">
        <v>8.5</v>
      </c>
      <c r="E21" s="2">
        <v>50.26548245743669</v>
      </c>
      <c r="F21" s="11">
        <f t="shared" si="0"/>
        <v>1.6910212703513881</v>
      </c>
      <c r="G21" s="2">
        <f t="shared" si="1"/>
        <v>20.850292263432614</v>
      </c>
      <c r="H21" s="2">
        <f t="shared" si="2"/>
        <v>1.3670907449013856</v>
      </c>
      <c r="I21" s="2">
        <f t="shared" si="3"/>
        <v>16.856228884634085</v>
      </c>
      <c r="J21" s="2">
        <f t="shared" si="4"/>
        <v>3.9940633787985291</v>
      </c>
      <c r="K21" s="15">
        <f t="shared" si="13"/>
        <v>0.58428362573099424</v>
      </c>
      <c r="L21" s="2">
        <f t="shared" si="14"/>
        <v>16</v>
      </c>
      <c r="M21" s="2">
        <f t="shared" si="15"/>
        <v>12.15</v>
      </c>
      <c r="N21" s="2">
        <v>9.5</v>
      </c>
      <c r="O21" s="2">
        <v>50.26548245743669</v>
      </c>
      <c r="P21" s="11">
        <f t="shared" si="5"/>
        <v>1.8899649492162571</v>
      </c>
      <c r="Q21" s="2">
        <f t="shared" si="6"/>
        <v>22.963074132977525</v>
      </c>
      <c r="R21" s="2">
        <f t="shared" si="7"/>
        <v>1.446850352208229</v>
      </c>
      <c r="S21" s="2">
        <f t="shared" si="8"/>
        <v>17.579231779329984</v>
      </c>
      <c r="T21" s="2">
        <f t="shared" si="9"/>
        <v>5.383842353647541</v>
      </c>
      <c r="V21" s="39" t="s">
        <v>39</v>
      </c>
      <c r="W21" s="36"/>
      <c r="X21" s="20">
        <f>(J2+T2)/2</f>
        <v>84.916963323406648</v>
      </c>
    </row>
    <row r="22" spans="1:24" x14ac:dyDescent="0.25">
      <c r="A22" s="30">
        <f t="shared" si="10"/>
        <v>0.60592105263157892</v>
      </c>
      <c r="B22" s="2">
        <f t="shared" si="11"/>
        <v>17</v>
      </c>
      <c r="C22" s="4">
        <f t="shared" si="12"/>
        <v>12.83</v>
      </c>
      <c r="D22" s="2">
        <v>7</v>
      </c>
      <c r="E22" s="2">
        <v>50.26548245743669</v>
      </c>
      <c r="F22" s="11">
        <f t="shared" si="0"/>
        <v>1.3926057520540844</v>
      </c>
      <c r="G22" s="2">
        <f t="shared" si="1"/>
        <v>17.867131798853904</v>
      </c>
      <c r="H22" s="2">
        <f t="shared" si="2"/>
        <v>1.3670907449013856</v>
      </c>
      <c r="I22" s="2">
        <f t="shared" si="3"/>
        <v>17.539774257084776</v>
      </c>
      <c r="J22" s="2">
        <f t="shared" si="4"/>
        <v>0.32735754176912835</v>
      </c>
      <c r="K22" s="15">
        <f t="shared" si="13"/>
        <v>0.58439327485380121</v>
      </c>
      <c r="L22" s="2">
        <f t="shared" si="14"/>
        <v>17</v>
      </c>
      <c r="M22" s="2">
        <f t="shared" si="15"/>
        <v>12.65</v>
      </c>
      <c r="N22" s="2">
        <v>8</v>
      </c>
      <c r="O22" s="2">
        <v>50.26548245743669</v>
      </c>
      <c r="P22" s="11">
        <f t="shared" si="5"/>
        <v>1.5915494309189535</v>
      </c>
      <c r="Q22" s="2">
        <f t="shared" si="6"/>
        <v>20.133100301124763</v>
      </c>
      <c r="R22" s="2">
        <f t="shared" si="7"/>
        <v>1.446850352208229</v>
      </c>
      <c r="S22" s="2">
        <f t="shared" si="8"/>
        <v>18.302656955434099</v>
      </c>
      <c r="T22" s="2">
        <f t="shared" si="9"/>
        <v>1.8304433456906644</v>
      </c>
      <c r="V22" s="27"/>
      <c r="W22" s="27"/>
      <c r="X22" s="28"/>
    </row>
    <row r="23" spans="1:24" x14ac:dyDescent="0.25">
      <c r="A23" s="30">
        <f t="shared" si="10"/>
        <v>0.60603070175438589</v>
      </c>
      <c r="B23" s="2">
        <f t="shared" si="11"/>
        <v>18</v>
      </c>
      <c r="C23" s="4">
        <f t="shared" si="12"/>
        <v>13.33</v>
      </c>
      <c r="D23" s="2">
        <v>7</v>
      </c>
      <c r="E23" s="2">
        <v>50.26548245743669</v>
      </c>
      <c r="F23" s="11">
        <f t="shared" si="0"/>
        <v>1.3926057520540844</v>
      </c>
      <c r="G23" s="2">
        <f t="shared" si="1"/>
        <v>18.563434674880945</v>
      </c>
      <c r="H23" s="2">
        <f t="shared" si="2"/>
        <v>1.3670907449013856</v>
      </c>
      <c r="I23" s="2">
        <f t="shared" si="3"/>
        <v>18.223319629535471</v>
      </c>
      <c r="J23" s="2">
        <f t="shared" si="4"/>
        <v>0.34011504534547399</v>
      </c>
      <c r="K23" s="15">
        <f t="shared" si="13"/>
        <v>0.58450292397660819</v>
      </c>
      <c r="L23" s="2">
        <f t="shared" si="14"/>
        <v>18</v>
      </c>
      <c r="M23" s="2">
        <f t="shared" si="15"/>
        <v>13.15</v>
      </c>
      <c r="N23" s="2">
        <v>8.5</v>
      </c>
      <c r="O23" s="2">
        <v>50.26548245743669</v>
      </c>
      <c r="P23" s="11">
        <f t="shared" si="5"/>
        <v>1.6910212703513881</v>
      </c>
      <c r="Q23" s="2">
        <f t="shared" si="6"/>
        <v>22.236929705120755</v>
      </c>
      <c r="R23" s="2">
        <f t="shared" si="7"/>
        <v>1.446850352208229</v>
      </c>
      <c r="S23" s="2">
        <f t="shared" si="8"/>
        <v>19.02608213153821</v>
      </c>
      <c r="T23" s="2">
        <f t="shared" si="9"/>
        <v>3.2108475735825444</v>
      </c>
      <c r="V23" s="34" t="s">
        <v>45</v>
      </c>
      <c r="W23" s="35"/>
      <c r="X23" s="36"/>
    </row>
    <row r="24" spans="1:24" x14ac:dyDescent="0.25">
      <c r="A24" s="30">
        <f t="shared" si="10"/>
        <v>0.60614035087719298</v>
      </c>
      <c r="B24" s="2">
        <f t="shared" si="11"/>
        <v>19</v>
      </c>
      <c r="C24" s="4">
        <f t="shared" si="12"/>
        <v>13.83</v>
      </c>
      <c r="D24" s="2">
        <v>6.5</v>
      </c>
      <c r="E24" s="2">
        <v>50.26548245743669</v>
      </c>
      <c r="F24" s="11">
        <f t="shared" si="0"/>
        <v>1.2931339126216495</v>
      </c>
      <c r="G24" s="2">
        <f t="shared" si="1"/>
        <v>17.884042011557412</v>
      </c>
      <c r="H24" s="2">
        <f t="shared" si="2"/>
        <v>1.3670907449013856</v>
      </c>
      <c r="I24" s="2">
        <f t="shared" si="3"/>
        <v>18.906865001986162</v>
      </c>
      <c r="J24" s="2">
        <f t="shared" si="4"/>
        <v>1.0228229904287502</v>
      </c>
      <c r="K24" s="15">
        <f t="shared" si="13"/>
        <v>0.58461257309941528</v>
      </c>
      <c r="L24" s="2">
        <f t="shared" si="14"/>
        <v>19</v>
      </c>
      <c r="M24" s="2">
        <f t="shared" si="15"/>
        <v>13.65</v>
      </c>
      <c r="N24" s="2">
        <v>7</v>
      </c>
      <c r="O24" s="2">
        <v>50.26548245743669</v>
      </c>
      <c r="P24" s="11">
        <f t="shared" si="5"/>
        <v>1.3926057520540844</v>
      </c>
      <c r="Q24" s="2">
        <f t="shared" si="6"/>
        <v>19.009068515538253</v>
      </c>
      <c r="R24" s="2">
        <f t="shared" si="7"/>
        <v>1.446850352208229</v>
      </c>
      <c r="S24" s="2">
        <f t="shared" si="8"/>
        <v>19.749507307642325</v>
      </c>
      <c r="T24" s="2">
        <f t="shared" si="9"/>
        <v>0.74043879210407226</v>
      </c>
      <c r="V24" s="49" t="s">
        <v>46</v>
      </c>
      <c r="W24" s="35"/>
      <c r="X24" s="36"/>
    </row>
    <row r="25" spans="1:24" x14ac:dyDescent="0.25">
      <c r="A25" s="30">
        <f t="shared" si="10"/>
        <v>0.60624999999999996</v>
      </c>
      <c r="B25" s="2">
        <f t="shared" si="11"/>
        <v>20</v>
      </c>
      <c r="C25" s="4">
        <f t="shared" si="12"/>
        <v>14.33</v>
      </c>
      <c r="D25" s="2">
        <v>7.6</v>
      </c>
      <c r="E25" s="2">
        <v>50.26548245743669</v>
      </c>
      <c r="F25" s="11">
        <f t="shared" si="0"/>
        <v>1.5119719593730059</v>
      </c>
      <c r="G25" s="2">
        <f t="shared" si="1"/>
        <v>21.666558177815176</v>
      </c>
      <c r="H25" s="2">
        <f t="shared" si="2"/>
        <v>1.3670907449013856</v>
      </c>
      <c r="I25" s="2">
        <f t="shared" si="3"/>
        <v>19.590410374436857</v>
      </c>
      <c r="J25" s="2">
        <f t="shared" si="4"/>
        <v>2.0761478033783192</v>
      </c>
      <c r="K25" s="15">
        <f t="shared" si="13"/>
        <v>0.58472222222222225</v>
      </c>
      <c r="L25" s="2">
        <f t="shared" si="14"/>
        <v>20</v>
      </c>
      <c r="M25" s="2">
        <f t="shared" si="15"/>
        <v>14.15</v>
      </c>
      <c r="N25" s="2">
        <v>11</v>
      </c>
      <c r="O25" s="2">
        <v>50.26548245743669</v>
      </c>
      <c r="P25" s="11">
        <f t="shared" si="5"/>
        <v>2.1883804675135607</v>
      </c>
      <c r="Q25" s="2">
        <f t="shared" si="6"/>
        <v>30.965583615316884</v>
      </c>
      <c r="R25" s="2">
        <f t="shared" si="7"/>
        <v>1.446850352208229</v>
      </c>
      <c r="S25" s="2">
        <f t="shared" si="8"/>
        <v>20.47293248374644</v>
      </c>
      <c r="T25" s="2">
        <f t="shared" si="9"/>
        <v>10.492651131570444</v>
      </c>
      <c r="V25" s="34" t="s">
        <v>47</v>
      </c>
      <c r="W25" s="35"/>
      <c r="X25" s="36"/>
    </row>
    <row r="26" spans="1:24" x14ac:dyDescent="0.25">
      <c r="A26" s="30">
        <f t="shared" si="10"/>
        <v>0.60635964912280693</v>
      </c>
      <c r="B26" s="2">
        <f t="shared" si="11"/>
        <v>21</v>
      </c>
      <c r="C26" s="4">
        <f t="shared" si="12"/>
        <v>14.83</v>
      </c>
      <c r="D26" s="2">
        <v>7</v>
      </c>
      <c r="E26" s="2">
        <v>50.26548245743669</v>
      </c>
      <c r="F26" s="11">
        <f t="shared" si="0"/>
        <v>1.3926057520540844</v>
      </c>
      <c r="G26" s="2">
        <f t="shared" si="1"/>
        <v>20.652343302962073</v>
      </c>
      <c r="H26" s="2">
        <f t="shared" si="2"/>
        <v>1.3670907449013856</v>
      </c>
      <c r="I26" s="2">
        <f t="shared" si="3"/>
        <v>20.273955746887548</v>
      </c>
      <c r="J26" s="2">
        <f t="shared" si="4"/>
        <v>0.37838755607452512</v>
      </c>
      <c r="K26" s="15">
        <f t="shared" si="13"/>
        <v>0.58483187134502923</v>
      </c>
      <c r="L26" s="2">
        <f t="shared" si="14"/>
        <v>21</v>
      </c>
      <c r="M26" s="2">
        <f t="shared" si="15"/>
        <v>14.65</v>
      </c>
      <c r="N26" s="2">
        <v>8</v>
      </c>
      <c r="O26" s="2">
        <v>50.26548245743669</v>
      </c>
      <c r="P26" s="11">
        <f t="shared" si="5"/>
        <v>1.5915494309189535</v>
      </c>
      <c r="Q26" s="2">
        <f t="shared" si="6"/>
        <v>23.316199162962668</v>
      </c>
      <c r="R26" s="2">
        <f t="shared" si="7"/>
        <v>1.446850352208229</v>
      </c>
      <c r="S26" s="2">
        <f t="shared" si="8"/>
        <v>21.196357659850555</v>
      </c>
      <c r="T26" s="2">
        <f t="shared" si="9"/>
        <v>2.1198415031121129</v>
      </c>
      <c r="V26" s="49" t="s">
        <v>48</v>
      </c>
      <c r="W26" s="35"/>
      <c r="X26" s="36"/>
    </row>
    <row r="27" spans="1:24" x14ac:dyDescent="0.25">
      <c r="A27" s="30">
        <f t="shared" si="10"/>
        <v>0.60646929824561402</v>
      </c>
      <c r="B27" s="2">
        <f t="shared" si="11"/>
        <v>22</v>
      </c>
      <c r="C27" s="4">
        <f t="shared" si="12"/>
        <v>15.33</v>
      </c>
      <c r="D27" s="2">
        <v>6.5</v>
      </c>
      <c r="E27" s="2">
        <v>50.26548245743669</v>
      </c>
      <c r="F27" s="11">
        <f t="shared" si="0"/>
        <v>1.2931339126216495</v>
      </c>
      <c r="G27" s="2">
        <f t="shared" si="1"/>
        <v>19.823742880489885</v>
      </c>
      <c r="H27" s="2">
        <f t="shared" si="2"/>
        <v>1.3670907449013856</v>
      </c>
      <c r="I27" s="2">
        <f t="shared" si="3"/>
        <v>20.957501119338243</v>
      </c>
      <c r="J27" s="2">
        <f t="shared" si="4"/>
        <v>1.1337582388483582</v>
      </c>
      <c r="K27" s="15">
        <f t="shared" si="13"/>
        <v>0.58494152046783632</v>
      </c>
      <c r="L27" s="2">
        <f t="shared" si="14"/>
        <v>22</v>
      </c>
      <c r="M27" s="2">
        <f t="shared" si="15"/>
        <v>15.15</v>
      </c>
      <c r="N27" s="2">
        <v>8</v>
      </c>
      <c r="O27" s="2">
        <v>50.26548245743669</v>
      </c>
      <c r="P27" s="11">
        <f t="shared" si="5"/>
        <v>1.5915494309189535</v>
      </c>
      <c r="Q27" s="2">
        <f t="shared" si="6"/>
        <v>24.111973878422145</v>
      </c>
      <c r="R27" s="2">
        <f t="shared" si="7"/>
        <v>1.446850352208229</v>
      </c>
      <c r="S27" s="2">
        <f t="shared" si="8"/>
        <v>21.91978283595467</v>
      </c>
      <c r="T27" s="2">
        <f t="shared" si="9"/>
        <v>2.1921910424674742</v>
      </c>
      <c r="V27" s="29"/>
      <c r="W27" s="29"/>
      <c r="X27" s="29"/>
    </row>
    <row r="28" spans="1:24" x14ac:dyDescent="0.25">
      <c r="A28" s="30">
        <f t="shared" si="10"/>
        <v>0.606578947368421</v>
      </c>
      <c r="B28" s="2">
        <f t="shared" si="11"/>
        <v>23</v>
      </c>
      <c r="C28" s="4">
        <f t="shared" si="12"/>
        <v>15.83</v>
      </c>
      <c r="D28" s="2">
        <v>7</v>
      </c>
      <c r="E28" s="2">
        <v>50.26548245743669</v>
      </c>
      <c r="F28" s="11">
        <f t="shared" si="0"/>
        <v>1.3926057520540844</v>
      </c>
      <c r="G28" s="2">
        <f t="shared" si="1"/>
        <v>22.044949055016158</v>
      </c>
      <c r="H28" s="2">
        <f t="shared" si="2"/>
        <v>1.3670907449013856</v>
      </c>
      <c r="I28" s="2">
        <f t="shared" si="3"/>
        <v>21.641046491788934</v>
      </c>
      <c r="J28" s="2">
        <f t="shared" si="4"/>
        <v>0.40390256322722351</v>
      </c>
      <c r="K28" s="15">
        <f t="shared" si="13"/>
        <v>0.58505116959064329</v>
      </c>
      <c r="L28" s="2">
        <f t="shared" si="14"/>
        <v>23</v>
      </c>
      <c r="M28" s="2">
        <f t="shared" si="15"/>
        <v>15.65</v>
      </c>
      <c r="N28" s="2">
        <v>7.5</v>
      </c>
      <c r="O28" s="2">
        <v>50.26548245743669</v>
      </c>
      <c r="P28" s="11">
        <f t="shared" si="5"/>
        <v>1.492077591486519</v>
      </c>
      <c r="Q28" s="2">
        <f t="shared" si="6"/>
        <v>23.351014306764021</v>
      </c>
      <c r="R28" s="2">
        <f t="shared" si="7"/>
        <v>1.446850352208229</v>
      </c>
      <c r="S28" s="2">
        <f t="shared" si="8"/>
        <v>22.643208012058786</v>
      </c>
      <c r="T28" s="2">
        <f t="shared" si="9"/>
        <v>0.70780629470523593</v>
      </c>
      <c r="V28" s="24" t="s">
        <v>49</v>
      </c>
      <c r="W28" s="24" t="s">
        <v>50</v>
      </c>
      <c r="X28" s="29"/>
    </row>
    <row r="29" spans="1:24" x14ac:dyDescent="0.25">
      <c r="A29" s="30">
        <f t="shared" si="10"/>
        <v>0.60668859649122797</v>
      </c>
      <c r="B29" s="2">
        <f t="shared" si="11"/>
        <v>24</v>
      </c>
      <c r="C29" s="4">
        <f t="shared" si="12"/>
        <v>16.329999999999998</v>
      </c>
      <c r="D29" s="2">
        <v>8.5</v>
      </c>
      <c r="E29" s="2">
        <v>50.26548245743669</v>
      </c>
      <c r="F29" s="11">
        <f t="shared" si="0"/>
        <v>1.6910212703513881</v>
      </c>
      <c r="G29" s="2">
        <f t="shared" si="1"/>
        <v>27.614377344838164</v>
      </c>
      <c r="H29" s="2">
        <f t="shared" si="2"/>
        <v>1.3670907449013856</v>
      </c>
      <c r="I29" s="2">
        <f t="shared" si="3"/>
        <v>22.324591864239625</v>
      </c>
      <c r="J29" s="2">
        <f t="shared" si="4"/>
        <v>5.2897854805985389</v>
      </c>
      <c r="K29" s="15">
        <f t="shared" si="13"/>
        <v>0.58516081871345027</v>
      </c>
      <c r="L29" s="2">
        <f t="shared" si="14"/>
        <v>24</v>
      </c>
      <c r="M29" s="2">
        <f t="shared" si="15"/>
        <v>16.149999999999999</v>
      </c>
      <c r="N29" s="2">
        <v>8</v>
      </c>
      <c r="O29" s="2">
        <v>50.26548245743669</v>
      </c>
      <c r="P29" s="11">
        <f t="shared" si="5"/>
        <v>1.5915494309189535</v>
      </c>
      <c r="Q29" s="2">
        <f t="shared" si="6"/>
        <v>25.703523309341097</v>
      </c>
      <c r="R29" s="2">
        <f t="shared" si="7"/>
        <v>1.446850352208229</v>
      </c>
      <c r="S29" s="2">
        <f t="shared" si="8"/>
        <v>23.366633188162897</v>
      </c>
      <c r="T29" s="2">
        <f t="shared" si="9"/>
        <v>2.3368901211782003</v>
      </c>
      <c r="V29" s="24">
        <f>MAX(D4:D160)</f>
        <v>17</v>
      </c>
      <c r="W29" s="24">
        <f>MAX(N4:N160)</f>
        <v>15</v>
      </c>
      <c r="X29" s="29"/>
    </row>
    <row r="30" spans="1:24" x14ac:dyDescent="0.25">
      <c r="A30" s="30">
        <f t="shared" si="10"/>
        <v>0.60679824561403506</v>
      </c>
      <c r="B30" s="2">
        <f t="shared" si="11"/>
        <v>25</v>
      </c>
      <c r="C30" s="4">
        <f t="shared" si="12"/>
        <v>16.829999999999998</v>
      </c>
      <c r="D30" s="2">
        <v>7</v>
      </c>
      <c r="E30" s="2">
        <v>50.26548245743669</v>
      </c>
      <c r="F30" s="11">
        <f t="shared" si="0"/>
        <v>1.3926057520540844</v>
      </c>
      <c r="G30" s="2">
        <f t="shared" si="1"/>
        <v>23.437554807070239</v>
      </c>
      <c r="H30" s="2">
        <f t="shared" si="2"/>
        <v>1.3670907449013856</v>
      </c>
      <c r="I30" s="2">
        <f t="shared" si="3"/>
        <v>23.008137236690317</v>
      </c>
      <c r="J30" s="2">
        <f t="shared" si="4"/>
        <v>0.4294175703799219</v>
      </c>
      <c r="K30" s="15">
        <f t="shared" si="13"/>
        <v>0.58527046783625736</v>
      </c>
      <c r="L30" s="2">
        <f t="shared" si="14"/>
        <v>25</v>
      </c>
      <c r="M30" s="2">
        <f t="shared" si="15"/>
        <v>16.649999999999999</v>
      </c>
      <c r="N30" s="2">
        <v>9</v>
      </c>
      <c r="O30" s="2">
        <v>50.26548245743669</v>
      </c>
      <c r="P30" s="11">
        <f t="shared" si="5"/>
        <v>1.7904931097838226</v>
      </c>
      <c r="Q30" s="2">
        <f t="shared" si="6"/>
        <v>29.811710277900644</v>
      </c>
      <c r="R30" s="2">
        <f t="shared" si="7"/>
        <v>1.446850352208229</v>
      </c>
      <c r="S30" s="2">
        <f t="shared" si="8"/>
        <v>24.090058364267012</v>
      </c>
      <c r="T30" s="2">
        <f t="shared" si="9"/>
        <v>5.7216519136336323</v>
      </c>
      <c r="V30" s="24" t="s">
        <v>14</v>
      </c>
      <c r="W30" s="24" t="s">
        <v>14</v>
      </c>
      <c r="X30" s="29"/>
    </row>
    <row r="31" spans="1:24" x14ac:dyDescent="0.25">
      <c r="A31" s="30">
        <f t="shared" si="10"/>
        <v>0.60690789473684204</v>
      </c>
      <c r="B31" s="2">
        <f t="shared" si="11"/>
        <v>26</v>
      </c>
      <c r="C31" s="4">
        <f t="shared" si="12"/>
        <v>17.329999999999998</v>
      </c>
      <c r="D31" s="2">
        <v>6</v>
      </c>
      <c r="E31" s="2">
        <v>50.26548245743669</v>
      </c>
      <c r="F31" s="11">
        <f t="shared" si="0"/>
        <v>1.1936620731892149</v>
      </c>
      <c r="G31" s="2">
        <f t="shared" si="1"/>
        <v>20.686163728369092</v>
      </c>
      <c r="H31" s="2">
        <f t="shared" si="2"/>
        <v>1.3670907449013856</v>
      </c>
      <c r="I31" s="2">
        <f t="shared" si="3"/>
        <v>23.691682609141012</v>
      </c>
      <c r="J31" s="2">
        <f t="shared" si="4"/>
        <v>3.0055188807719198</v>
      </c>
      <c r="K31" s="15">
        <f t="shared" si="13"/>
        <v>0.58538011695906433</v>
      </c>
      <c r="L31" s="2">
        <f t="shared" si="14"/>
        <v>26</v>
      </c>
      <c r="M31" s="2">
        <f t="shared" si="15"/>
        <v>17.149999999999999</v>
      </c>
      <c r="N31" s="2">
        <v>7.5</v>
      </c>
      <c r="O31" s="2">
        <v>50.26548245743669</v>
      </c>
      <c r="P31" s="11">
        <f t="shared" si="5"/>
        <v>1.492077591486519</v>
      </c>
      <c r="Q31" s="2">
        <f t="shared" si="6"/>
        <v>25.589130693993798</v>
      </c>
      <c r="R31" s="2">
        <f t="shared" si="7"/>
        <v>1.446850352208229</v>
      </c>
      <c r="S31" s="2">
        <f t="shared" si="8"/>
        <v>24.813483540371124</v>
      </c>
      <c r="T31" s="2">
        <f t="shared" si="9"/>
        <v>0.77564715362267478</v>
      </c>
      <c r="V31" s="24">
        <f t="array" ref="V31">INDEX(B4:B160, MATCH(MAX(D4:D160), D4:D160, 0))</f>
        <v>7</v>
      </c>
      <c r="W31" s="24">
        <f t="array" ref="W31">INDEX(L4:L160, MATCH(MAX(N4:N160), N4:N160, 0))</f>
        <v>33</v>
      </c>
      <c r="X31" s="29"/>
    </row>
    <row r="32" spans="1:24" x14ac:dyDescent="0.25">
      <c r="A32" s="30">
        <f t="shared" si="10"/>
        <v>0.60701754385964912</v>
      </c>
      <c r="B32" s="2">
        <f t="shared" si="11"/>
        <v>27</v>
      </c>
      <c r="C32" s="4">
        <f t="shared" si="12"/>
        <v>17.829999999999998</v>
      </c>
      <c r="D32" s="2">
        <v>6.5</v>
      </c>
      <c r="E32" s="2">
        <v>50.26548245743669</v>
      </c>
      <c r="F32" s="11">
        <f t="shared" si="0"/>
        <v>1.2931339126216495</v>
      </c>
      <c r="G32" s="2">
        <f t="shared" si="1"/>
        <v>23.056577662044006</v>
      </c>
      <c r="H32" s="2">
        <f t="shared" si="2"/>
        <v>1.3670907449013856</v>
      </c>
      <c r="I32" s="2">
        <f t="shared" si="3"/>
        <v>24.375227981591703</v>
      </c>
      <c r="J32" s="2">
        <f t="shared" si="4"/>
        <v>1.3186503195476966</v>
      </c>
      <c r="K32" s="15">
        <f t="shared" si="13"/>
        <v>0.58548976608187142</v>
      </c>
      <c r="L32" s="2">
        <f t="shared" si="14"/>
        <v>27</v>
      </c>
      <c r="M32" s="2">
        <f t="shared" si="15"/>
        <v>17.649999999999999</v>
      </c>
      <c r="N32" s="2">
        <v>7.5</v>
      </c>
      <c r="O32" s="2">
        <v>50.26548245743669</v>
      </c>
      <c r="P32" s="11">
        <f t="shared" si="5"/>
        <v>1.492077591486519</v>
      </c>
      <c r="Q32" s="2">
        <f t="shared" si="6"/>
        <v>26.335169489737059</v>
      </c>
      <c r="R32" s="2">
        <f t="shared" si="7"/>
        <v>1.446850352208229</v>
      </c>
      <c r="S32" s="2">
        <f t="shared" si="8"/>
        <v>25.536908716475239</v>
      </c>
      <c r="T32" s="2">
        <f t="shared" si="9"/>
        <v>0.79826077326181988</v>
      </c>
    </row>
    <row r="33" spans="1:20" x14ac:dyDescent="0.25">
      <c r="A33" s="30">
        <f t="shared" si="10"/>
        <v>0.6071271929824561</v>
      </c>
      <c r="B33" s="2">
        <f t="shared" si="11"/>
        <v>28</v>
      </c>
      <c r="C33" s="4">
        <f t="shared" si="12"/>
        <v>18.329999999999998</v>
      </c>
      <c r="D33" s="2">
        <v>7</v>
      </c>
      <c r="E33" s="2">
        <v>50.26548245743669</v>
      </c>
      <c r="F33" s="11">
        <f t="shared" si="0"/>
        <v>1.3926057520540844</v>
      </c>
      <c r="G33" s="2">
        <f t="shared" si="1"/>
        <v>25.526463435151367</v>
      </c>
      <c r="H33" s="2">
        <f t="shared" si="2"/>
        <v>1.3670907449013856</v>
      </c>
      <c r="I33" s="2">
        <f t="shared" si="3"/>
        <v>25.058773354042394</v>
      </c>
      <c r="J33" s="2">
        <f t="shared" si="4"/>
        <v>0.46769008110897303</v>
      </c>
      <c r="K33" s="15">
        <f t="shared" si="13"/>
        <v>0.5855994152046784</v>
      </c>
      <c r="L33" s="2">
        <f t="shared" si="14"/>
        <v>28</v>
      </c>
      <c r="M33" s="2">
        <f t="shared" si="15"/>
        <v>18.149999999999999</v>
      </c>
      <c r="N33" s="2">
        <v>7</v>
      </c>
      <c r="O33" s="2">
        <v>50.26548245743669</v>
      </c>
      <c r="P33" s="11">
        <f t="shared" si="5"/>
        <v>1.3926057520540844</v>
      </c>
      <c r="Q33" s="2">
        <f t="shared" si="6"/>
        <v>25.275794399781631</v>
      </c>
      <c r="R33" s="2">
        <f t="shared" si="7"/>
        <v>1.446850352208229</v>
      </c>
      <c r="S33" s="2">
        <f t="shared" si="8"/>
        <v>26.260333892579354</v>
      </c>
      <c r="T33" s="2">
        <f t="shared" si="9"/>
        <v>0.98453949279772246</v>
      </c>
    </row>
    <row r="34" spans="1:20" x14ac:dyDescent="0.25">
      <c r="A34" s="30">
        <f t="shared" si="10"/>
        <v>0.60723684210526307</v>
      </c>
      <c r="B34" s="2">
        <f t="shared" si="11"/>
        <v>29</v>
      </c>
      <c r="C34" s="4">
        <f t="shared" si="12"/>
        <v>18.829999999999998</v>
      </c>
      <c r="D34" s="2">
        <v>7.5</v>
      </c>
      <c r="E34" s="2">
        <v>50.26548245743669</v>
      </c>
      <c r="F34" s="11">
        <f t="shared" si="0"/>
        <v>1.492077591486519</v>
      </c>
      <c r="G34" s="2">
        <f t="shared" si="1"/>
        <v>28.09582104769115</v>
      </c>
      <c r="H34" s="2">
        <f t="shared" si="2"/>
        <v>1.3670907449013856</v>
      </c>
      <c r="I34" s="2">
        <f t="shared" si="3"/>
        <v>25.742318726493089</v>
      </c>
      <c r="J34" s="2">
        <f t="shared" si="4"/>
        <v>2.3535023211980608</v>
      </c>
      <c r="K34" s="15">
        <f t="shared" si="13"/>
        <v>0.58570906432748537</v>
      </c>
      <c r="L34" s="2">
        <f t="shared" si="14"/>
        <v>29</v>
      </c>
      <c r="M34" s="2">
        <f t="shared" si="15"/>
        <v>18.649999999999999</v>
      </c>
      <c r="N34" s="2">
        <v>9</v>
      </c>
      <c r="O34" s="2">
        <v>50.26548245743669</v>
      </c>
      <c r="P34" s="11">
        <f t="shared" si="5"/>
        <v>1.7904931097838226</v>
      </c>
      <c r="Q34" s="2">
        <f t="shared" si="6"/>
        <v>33.392696497468286</v>
      </c>
      <c r="R34" s="2">
        <f t="shared" si="7"/>
        <v>1.446850352208229</v>
      </c>
      <c r="S34" s="2">
        <f t="shared" si="8"/>
        <v>26.983759068683469</v>
      </c>
      <c r="T34" s="2">
        <f t="shared" si="9"/>
        <v>6.4089374287848173</v>
      </c>
    </row>
    <row r="35" spans="1:20" x14ac:dyDescent="0.25">
      <c r="A35" s="30">
        <f t="shared" si="10"/>
        <v>0.60734649122807016</v>
      </c>
      <c r="B35" s="2">
        <f t="shared" si="11"/>
        <v>30</v>
      </c>
      <c r="C35" s="4">
        <f t="shared" si="12"/>
        <v>19.329999999999998</v>
      </c>
      <c r="D35" s="2">
        <v>6</v>
      </c>
      <c r="E35" s="2">
        <v>50.26548245743669</v>
      </c>
      <c r="F35" s="11">
        <f t="shared" si="0"/>
        <v>1.1936620731892149</v>
      </c>
      <c r="G35" s="2">
        <f t="shared" si="1"/>
        <v>23.073487874747521</v>
      </c>
      <c r="H35" s="2">
        <f t="shared" si="2"/>
        <v>1.3670907449013856</v>
      </c>
      <c r="I35" s="2">
        <f t="shared" si="3"/>
        <v>26.42586409894378</v>
      </c>
      <c r="J35" s="2">
        <f t="shared" si="4"/>
        <v>3.3523762241962594</v>
      </c>
      <c r="K35" s="15">
        <f t="shared" si="13"/>
        <v>0.58581871345029246</v>
      </c>
      <c r="L35" s="2">
        <f t="shared" si="14"/>
        <v>30</v>
      </c>
      <c r="M35" s="2">
        <f t="shared" si="15"/>
        <v>19.149999999999999</v>
      </c>
      <c r="N35" s="2">
        <v>8.5</v>
      </c>
      <c r="O35" s="2">
        <v>50.26548245743669</v>
      </c>
      <c r="P35" s="11">
        <f t="shared" si="5"/>
        <v>1.6910212703513881</v>
      </c>
      <c r="Q35" s="2">
        <f t="shared" si="6"/>
        <v>32.383057327229082</v>
      </c>
      <c r="R35" s="2">
        <f t="shared" si="7"/>
        <v>1.446850352208229</v>
      </c>
      <c r="S35" s="2">
        <f t="shared" si="8"/>
        <v>27.707184244787584</v>
      </c>
      <c r="T35" s="2">
        <f t="shared" si="9"/>
        <v>4.6758730824414982</v>
      </c>
    </row>
    <row r="36" spans="1:20" x14ac:dyDescent="0.25">
      <c r="A36" s="30">
        <f t="shared" si="10"/>
        <v>0.60745614035087714</v>
      </c>
      <c r="B36" s="2">
        <f t="shared" si="11"/>
        <v>31</v>
      </c>
      <c r="C36" s="4">
        <f t="shared" si="12"/>
        <v>19.829999999999998</v>
      </c>
      <c r="D36" s="2">
        <v>6</v>
      </c>
      <c r="E36" s="2">
        <v>50.26548245743669</v>
      </c>
      <c r="F36" s="11">
        <f t="shared" si="0"/>
        <v>1.1936620731892149</v>
      </c>
      <c r="G36" s="2">
        <f t="shared" si="1"/>
        <v>23.670318911342129</v>
      </c>
      <c r="H36" s="2">
        <f t="shared" si="2"/>
        <v>1.3670907449013856</v>
      </c>
      <c r="I36" s="2">
        <f t="shared" si="3"/>
        <v>27.109409471394475</v>
      </c>
      <c r="J36" s="2">
        <f t="shared" si="4"/>
        <v>3.439090560052346</v>
      </c>
      <c r="K36" s="15">
        <f t="shared" si="13"/>
        <v>0.58592836257309944</v>
      </c>
      <c r="L36" s="2">
        <f t="shared" si="14"/>
        <v>31</v>
      </c>
      <c r="M36" s="2">
        <f t="shared" si="15"/>
        <v>19.649999999999999</v>
      </c>
      <c r="N36" s="2">
        <v>6.5</v>
      </c>
      <c r="O36" s="2">
        <v>50.26548245743669</v>
      </c>
      <c r="P36" s="11">
        <f t="shared" si="5"/>
        <v>1.2931339126216495</v>
      </c>
      <c r="Q36" s="2">
        <f t="shared" si="6"/>
        <v>25.41008138301541</v>
      </c>
      <c r="R36" s="2">
        <f t="shared" si="7"/>
        <v>1.446850352208229</v>
      </c>
      <c r="S36" s="2">
        <f t="shared" si="8"/>
        <v>28.430609420891699</v>
      </c>
      <c r="T36" s="2">
        <f t="shared" si="9"/>
        <v>3.0205280378762893</v>
      </c>
    </row>
    <row r="37" spans="1:20" x14ac:dyDescent="0.25">
      <c r="A37" s="30">
        <f t="shared" si="10"/>
        <v>0.60756578947368411</v>
      </c>
      <c r="B37" s="2">
        <f t="shared" si="11"/>
        <v>32</v>
      </c>
      <c r="C37" s="4">
        <f t="shared" si="12"/>
        <v>20.329999999999998</v>
      </c>
      <c r="D37" s="23">
        <v>6</v>
      </c>
      <c r="E37" s="2">
        <v>50.26548245743669</v>
      </c>
      <c r="F37" s="11">
        <f t="shared" si="0"/>
        <v>1.1936620731892149</v>
      </c>
      <c r="G37" s="2">
        <f t="shared" si="1"/>
        <v>24.267149947936737</v>
      </c>
      <c r="H37" s="2">
        <f t="shared" si="2"/>
        <v>1.3670907449013856</v>
      </c>
      <c r="I37" s="2">
        <f t="shared" si="3"/>
        <v>27.792954843845166</v>
      </c>
      <c r="J37" s="2">
        <f t="shared" si="4"/>
        <v>3.5258048959084292</v>
      </c>
      <c r="K37" s="15">
        <f t="shared" si="13"/>
        <v>0.58603801169590641</v>
      </c>
      <c r="L37" s="23">
        <f t="shared" si="14"/>
        <v>32</v>
      </c>
      <c r="M37" s="23">
        <f t="shared" si="15"/>
        <v>20.149999999999999</v>
      </c>
      <c r="N37" s="23">
        <v>6.5</v>
      </c>
      <c r="O37" s="2">
        <v>50.26548245743669</v>
      </c>
      <c r="P37" s="11">
        <f t="shared" si="5"/>
        <v>1.2931339126216495</v>
      </c>
      <c r="Q37" s="2">
        <f t="shared" si="6"/>
        <v>26.056648339326234</v>
      </c>
      <c r="R37" s="2">
        <f t="shared" si="7"/>
        <v>1.446850352208229</v>
      </c>
      <c r="S37" s="2">
        <f t="shared" si="8"/>
        <v>29.154034596995814</v>
      </c>
      <c r="T37" s="2">
        <f t="shared" si="9"/>
        <v>3.0973862576695801</v>
      </c>
    </row>
    <row r="38" spans="1:20" x14ac:dyDescent="0.25">
      <c r="A38" s="30">
        <f t="shared" si="10"/>
        <v>0.6076754385964912</v>
      </c>
      <c r="B38" s="2">
        <f t="shared" si="11"/>
        <v>33</v>
      </c>
      <c r="C38" s="4">
        <f t="shared" si="12"/>
        <v>20.83</v>
      </c>
      <c r="D38" s="2">
        <v>9</v>
      </c>
      <c r="E38" s="2">
        <v>50.26548245743669</v>
      </c>
      <c r="F38" s="11">
        <f t="shared" si="0"/>
        <v>1.7904931097838226</v>
      </c>
      <c r="G38" s="2">
        <f t="shared" si="1"/>
        <v>37.295971476797021</v>
      </c>
      <c r="H38" s="2">
        <f t="shared" si="2"/>
        <v>1.3670907449013856</v>
      </c>
      <c r="I38" s="2">
        <f t="shared" si="3"/>
        <v>28.476500216295861</v>
      </c>
      <c r="J38" s="2">
        <f t="shared" si="4"/>
        <v>8.8194712605011603</v>
      </c>
      <c r="K38" s="15">
        <f t="shared" si="13"/>
        <v>0.5861476608187135</v>
      </c>
      <c r="L38" s="2">
        <f t="shared" si="14"/>
        <v>33</v>
      </c>
      <c r="M38" s="2">
        <f t="shared" si="15"/>
        <v>20.65</v>
      </c>
      <c r="N38" s="2">
        <v>15</v>
      </c>
      <c r="O38" s="2">
        <v>50.26548245743669</v>
      </c>
      <c r="P38" s="11">
        <f t="shared" si="5"/>
        <v>2.9841551829730379</v>
      </c>
      <c r="Q38" s="2">
        <f t="shared" si="6"/>
        <v>61.622804528393232</v>
      </c>
      <c r="R38" s="2">
        <f t="shared" si="7"/>
        <v>1.446850352208229</v>
      </c>
      <c r="S38" s="2">
        <f t="shared" si="8"/>
        <v>29.877459773099925</v>
      </c>
      <c r="T38" s="2">
        <f t="shared" si="9"/>
        <v>31.745344755293306</v>
      </c>
    </row>
    <row r="39" spans="1:20" x14ac:dyDescent="0.25">
      <c r="A39" s="30">
        <f t="shared" si="10"/>
        <v>0.60778508771929818</v>
      </c>
      <c r="B39" s="2">
        <f t="shared" si="11"/>
        <v>34</v>
      </c>
      <c r="C39" s="4">
        <f t="shared" si="12"/>
        <v>21.33</v>
      </c>
      <c r="D39" s="2">
        <v>6</v>
      </c>
      <c r="E39" s="2">
        <v>50.26548245743669</v>
      </c>
      <c r="F39" s="11">
        <f t="shared" si="0"/>
        <v>1.1936620731892149</v>
      </c>
      <c r="G39" s="2">
        <f t="shared" si="1"/>
        <v>25.460812021125953</v>
      </c>
      <c r="H39" s="2">
        <f t="shared" si="2"/>
        <v>1.3670907449013856</v>
      </c>
      <c r="I39" s="2">
        <f t="shared" si="3"/>
        <v>29.160045588746552</v>
      </c>
      <c r="J39" s="2">
        <f t="shared" si="4"/>
        <v>3.699233567620599</v>
      </c>
      <c r="K39" s="15">
        <f t="shared" si="13"/>
        <v>0.58625730994152048</v>
      </c>
      <c r="L39" s="2">
        <f t="shared" si="14"/>
        <v>34</v>
      </c>
      <c r="M39" s="2">
        <f t="shared" si="15"/>
        <v>21.15</v>
      </c>
      <c r="N39" s="2">
        <v>8</v>
      </c>
      <c r="O39" s="2">
        <v>50.26548245743669</v>
      </c>
      <c r="P39" s="11">
        <f t="shared" si="5"/>
        <v>1.5915494309189535</v>
      </c>
      <c r="Q39" s="2">
        <f t="shared" si="6"/>
        <v>33.661270463935864</v>
      </c>
      <c r="R39" s="2">
        <f t="shared" si="7"/>
        <v>1.446850352208229</v>
      </c>
      <c r="S39" s="2">
        <f t="shared" si="8"/>
        <v>30.60088494920404</v>
      </c>
      <c r="T39" s="2">
        <f t="shared" si="9"/>
        <v>3.0603855147318235</v>
      </c>
    </row>
    <row r="40" spans="1:20" x14ac:dyDescent="0.25">
      <c r="A40" s="30">
        <f t="shared" si="10"/>
        <v>0.60789473684210527</v>
      </c>
      <c r="B40" s="2">
        <f t="shared" si="11"/>
        <v>35</v>
      </c>
      <c r="C40" s="4">
        <f t="shared" si="12"/>
        <v>21.83</v>
      </c>
      <c r="D40" s="2">
        <v>5.5</v>
      </c>
      <c r="E40" s="2">
        <v>50.26548245743669</v>
      </c>
      <c r="F40" s="11">
        <f t="shared" si="0"/>
        <v>1.0941902337567804</v>
      </c>
      <c r="G40" s="2">
        <f t="shared" si="1"/>
        <v>23.886172802910515</v>
      </c>
      <c r="H40" s="2">
        <f t="shared" si="2"/>
        <v>1.3670907449013856</v>
      </c>
      <c r="I40" s="2">
        <f t="shared" si="3"/>
        <v>29.843590961197247</v>
      </c>
      <c r="J40" s="2">
        <f t="shared" si="4"/>
        <v>5.9574181582867318</v>
      </c>
      <c r="K40" s="15">
        <f t="shared" si="13"/>
        <v>0.58636695906432756</v>
      </c>
      <c r="L40" s="2">
        <f t="shared" si="14"/>
        <v>35</v>
      </c>
      <c r="M40" s="2">
        <f t="shared" si="15"/>
        <v>21.65</v>
      </c>
      <c r="N40" s="2">
        <v>7</v>
      </c>
      <c r="O40" s="2">
        <v>50.26548245743669</v>
      </c>
      <c r="P40" s="11">
        <f t="shared" si="5"/>
        <v>1.3926057520540844</v>
      </c>
      <c r="Q40" s="2">
        <f t="shared" si="6"/>
        <v>30.149914531970925</v>
      </c>
      <c r="R40" s="2">
        <f t="shared" si="7"/>
        <v>1.446850352208229</v>
      </c>
      <c r="S40" s="2">
        <f t="shared" si="8"/>
        <v>31.324310125308156</v>
      </c>
      <c r="T40" s="2">
        <f t="shared" si="9"/>
        <v>1.1743955933372305</v>
      </c>
    </row>
    <row r="41" spans="1:20" x14ac:dyDescent="0.25">
      <c r="A41" s="30">
        <f t="shared" si="10"/>
        <v>0.60800438596491224</v>
      </c>
      <c r="B41" s="2">
        <f t="shared" si="11"/>
        <v>36</v>
      </c>
      <c r="C41" s="4">
        <f t="shared" si="12"/>
        <v>22.33</v>
      </c>
      <c r="D41" s="2">
        <v>6.5</v>
      </c>
      <c r="E41" s="2">
        <v>50.26548245743669</v>
      </c>
      <c r="F41" s="11">
        <f t="shared" si="0"/>
        <v>1.2931339126216495</v>
      </c>
      <c r="G41" s="2">
        <f t="shared" si="1"/>
        <v>28.875680268841432</v>
      </c>
      <c r="H41" s="2">
        <f t="shared" si="2"/>
        <v>1.3670907449013856</v>
      </c>
      <c r="I41" s="2">
        <f t="shared" si="3"/>
        <v>30.527136333647938</v>
      </c>
      <c r="J41" s="2">
        <f t="shared" si="4"/>
        <v>1.6514560648065064</v>
      </c>
      <c r="K41" s="15">
        <f t="shared" si="13"/>
        <v>0.58647660818713454</v>
      </c>
      <c r="L41" s="2">
        <f t="shared" si="14"/>
        <v>36</v>
      </c>
      <c r="M41" s="2">
        <f t="shared" si="15"/>
        <v>22.15</v>
      </c>
      <c r="N41" s="2">
        <v>7.5</v>
      </c>
      <c r="O41" s="2">
        <v>50.26548245743669</v>
      </c>
      <c r="P41" s="11">
        <f t="shared" si="5"/>
        <v>1.492077591486519</v>
      </c>
      <c r="Q41" s="2">
        <f t="shared" si="6"/>
        <v>33.049518651426396</v>
      </c>
      <c r="R41" s="2">
        <f t="shared" si="7"/>
        <v>1.446850352208229</v>
      </c>
      <c r="S41" s="2">
        <f t="shared" si="8"/>
        <v>32.047735301412267</v>
      </c>
      <c r="T41" s="2">
        <f t="shared" si="9"/>
        <v>1.0017833500141293</v>
      </c>
    </row>
    <row r="42" spans="1:20" x14ac:dyDescent="0.25">
      <c r="A42" s="30">
        <f t="shared" si="10"/>
        <v>0.60811403508771922</v>
      </c>
      <c r="B42" s="2">
        <f t="shared" si="11"/>
        <v>37</v>
      </c>
      <c r="C42" s="4">
        <f t="shared" si="12"/>
        <v>22.83</v>
      </c>
      <c r="D42" s="2">
        <v>10.5</v>
      </c>
      <c r="E42" s="2">
        <v>50.26548245743669</v>
      </c>
      <c r="F42" s="11">
        <f t="shared" si="0"/>
        <v>2.0889086280811267</v>
      </c>
      <c r="G42" s="2">
        <f t="shared" si="1"/>
        <v>47.68978397909212</v>
      </c>
      <c r="H42" s="2">
        <f t="shared" si="2"/>
        <v>1.3670907449013856</v>
      </c>
      <c r="I42" s="2">
        <f t="shared" si="3"/>
        <v>31.210681706098629</v>
      </c>
      <c r="J42" s="2">
        <f t="shared" si="4"/>
        <v>16.47910227299349</v>
      </c>
      <c r="K42" s="15">
        <f t="shared" si="13"/>
        <v>0.58658625730994152</v>
      </c>
      <c r="L42" s="2">
        <f t="shared" si="14"/>
        <v>37</v>
      </c>
      <c r="M42" s="2">
        <f t="shared" si="15"/>
        <v>22.65</v>
      </c>
      <c r="N42" s="2">
        <v>8</v>
      </c>
      <c r="O42" s="2">
        <v>50.26548245743669</v>
      </c>
      <c r="P42" s="11">
        <f t="shared" si="5"/>
        <v>1.5915494309189535</v>
      </c>
      <c r="Q42" s="2">
        <f t="shared" si="6"/>
        <v>36.048594610314296</v>
      </c>
      <c r="R42" s="2">
        <f t="shared" si="7"/>
        <v>1.446850352208229</v>
      </c>
      <c r="S42" s="2">
        <f t="shared" si="8"/>
        <v>32.771160477516382</v>
      </c>
      <c r="T42" s="2">
        <f t="shared" si="9"/>
        <v>3.2774341327979144</v>
      </c>
    </row>
    <row r="43" spans="1:20" x14ac:dyDescent="0.25">
      <c r="A43" s="30">
        <f t="shared" si="10"/>
        <v>0.60822368421052631</v>
      </c>
      <c r="B43" s="2">
        <f t="shared" si="11"/>
        <v>38</v>
      </c>
      <c r="C43" s="4">
        <f t="shared" si="12"/>
        <v>23.33</v>
      </c>
      <c r="D43" s="2">
        <v>6.5</v>
      </c>
      <c r="E43" s="2">
        <v>50.26548245743669</v>
      </c>
      <c r="F43" s="11">
        <f t="shared" si="0"/>
        <v>1.2931339126216495</v>
      </c>
      <c r="G43" s="2">
        <f t="shared" si="1"/>
        <v>30.16881418146308</v>
      </c>
      <c r="H43" s="2">
        <f t="shared" si="2"/>
        <v>1.3670907449013856</v>
      </c>
      <c r="I43" s="2">
        <f t="shared" si="3"/>
        <v>31.894227078549324</v>
      </c>
      <c r="J43" s="2">
        <f t="shared" si="4"/>
        <v>1.7254128970862439</v>
      </c>
      <c r="K43" s="15">
        <f t="shared" si="13"/>
        <v>0.5866959064327486</v>
      </c>
      <c r="L43" s="2">
        <f t="shared" si="14"/>
        <v>38</v>
      </c>
      <c r="M43" s="2">
        <f t="shared" si="15"/>
        <v>23.15</v>
      </c>
      <c r="N43" s="2">
        <v>7.5</v>
      </c>
      <c r="O43" s="2">
        <v>50.26548245743669</v>
      </c>
      <c r="P43" s="11">
        <f t="shared" si="5"/>
        <v>1.492077591486519</v>
      </c>
      <c r="Q43" s="2">
        <f t="shared" si="6"/>
        <v>34.54159624291291</v>
      </c>
      <c r="R43" s="2">
        <f t="shared" si="7"/>
        <v>1.446850352208229</v>
      </c>
      <c r="S43" s="2">
        <f t="shared" si="8"/>
        <v>33.494585653620497</v>
      </c>
      <c r="T43" s="2">
        <f t="shared" si="9"/>
        <v>1.0470105892924124</v>
      </c>
    </row>
    <row r="44" spans="1:20" x14ac:dyDescent="0.25">
      <c r="A44" s="10">
        <v>0.60833333333333328</v>
      </c>
      <c r="B44" s="2">
        <f t="shared" si="11"/>
        <v>39</v>
      </c>
      <c r="C44" s="4">
        <f t="shared" si="12"/>
        <v>23.83</v>
      </c>
      <c r="D44" s="2">
        <v>6.5</v>
      </c>
      <c r="E44" s="2">
        <v>50.26548245743669</v>
      </c>
      <c r="F44" s="11">
        <f t="shared" si="0"/>
        <v>1.2931339126216495</v>
      </c>
      <c r="G44" s="2">
        <f t="shared" si="1"/>
        <v>30.815381137773905</v>
      </c>
      <c r="H44" s="2">
        <f t="shared" si="2"/>
        <v>1.3670907449013856</v>
      </c>
      <c r="I44" s="2">
        <f t="shared" si="3"/>
        <v>32.577772451000016</v>
      </c>
      <c r="J44" s="2">
        <f t="shared" si="4"/>
        <v>1.7623913132261109</v>
      </c>
      <c r="K44" s="12">
        <v>0.58680555555555558</v>
      </c>
      <c r="L44" s="2">
        <f t="shared" si="14"/>
        <v>39</v>
      </c>
      <c r="M44" s="2">
        <f t="shared" si="15"/>
        <v>23.65</v>
      </c>
      <c r="N44" s="2">
        <v>7</v>
      </c>
      <c r="O44" s="2">
        <v>50.26548245743669</v>
      </c>
      <c r="P44" s="11">
        <f t="shared" si="5"/>
        <v>1.3926057520540844</v>
      </c>
      <c r="Q44" s="2">
        <f t="shared" si="6"/>
        <v>32.935126036079097</v>
      </c>
      <c r="R44" s="2">
        <f t="shared" si="7"/>
        <v>1.446850352208229</v>
      </c>
      <c r="S44" s="2">
        <f t="shared" si="8"/>
        <v>34.218010829724612</v>
      </c>
      <c r="T44" s="2">
        <f t="shared" si="9"/>
        <v>1.2828847936455148</v>
      </c>
    </row>
    <row r="45" spans="1:20" x14ac:dyDescent="0.25">
      <c r="A45" s="14">
        <f t="shared" ref="A45:A82" si="16">IF(AND($A$44&lt;&gt;"",$A$83&lt;&gt;""), $A$44 + (B45 - $B$44) * (($A$83 - $A$44) / ($B$83 - $B$44)), "")</f>
        <v>0.60844017094017089</v>
      </c>
      <c r="B45" s="2">
        <f t="shared" si="11"/>
        <v>40</v>
      </c>
      <c r="C45" s="4">
        <f t="shared" si="12"/>
        <v>24.33</v>
      </c>
      <c r="D45" s="2">
        <v>6</v>
      </c>
      <c r="E45" s="2">
        <v>50.26548245743669</v>
      </c>
      <c r="F45" s="11">
        <f t="shared" si="0"/>
        <v>1.1936620731892149</v>
      </c>
      <c r="G45" s="2">
        <f t="shared" si="1"/>
        <v>29.041798240693598</v>
      </c>
      <c r="H45" s="2">
        <f t="shared" si="2"/>
        <v>1.3670907449013856</v>
      </c>
      <c r="I45" s="2">
        <f t="shared" si="3"/>
        <v>33.26131782345071</v>
      </c>
      <c r="J45" s="2">
        <f t="shared" si="4"/>
        <v>4.2195195827571119</v>
      </c>
      <c r="K45" s="15">
        <f t="shared" ref="K45:K82" si="17">IF(AND($K$44&lt;&gt;"",$K$83&lt;&gt;""), $K$44 + (L45 - $L$44) * (($K$83 - $K$44) / ($L$83 - $L$44)), "")</f>
        <v>0.58691239316239319</v>
      </c>
      <c r="L45" s="2">
        <f t="shared" si="14"/>
        <v>40</v>
      </c>
      <c r="M45" s="2">
        <f t="shared" si="15"/>
        <v>24.15</v>
      </c>
      <c r="N45" s="2">
        <v>7</v>
      </c>
      <c r="O45" s="2">
        <v>50.26548245743669</v>
      </c>
      <c r="P45" s="11">
        <f t="shared" si="5"/>
        <v>1.3926057520540844</v>
      </c>
      <c r="Q45" s="2">
        <f t="shared" si="6"/>
        <v>33.631428912106138</v>
      </c>
      <c r="R45" s="2">
        <f t="shared" si="7"/>
        <v>1.446850352208229</v>
      </c>
      <c r="S45" s="2">
        <f t="shared" si="8"/>
        <v>34.941436005828727</v>
      </c>
      <c r="T45" s="2">
        <f t="shared" si="9"/>
        <v>1.3100070937225894</v>
      </c>
    </row>
    <row r="46" spans="1:20" x14ac:dyDescent="0.25">
      <c r="A46" s="14">
        <f t="shared" si="16"/>
        <v>0.60854700854700849</v>
      </c>
      <c r="B46" s="2">
        <f t="shared" si="11"/>
        <v>41</v>
      </c>
      <c r="C46" s="4">
        <f t="shared" si="12"/>
        <v>24.83</v>
      </c>
      <c r="D46" s="2">
        <v>5.5</v>
      </c>
      <c r="E46" s="2">
        <v>50.26548245743669</v>
      </c>
      <c r="F46" s="11">
        <f t="shared" si="0"/>
        <v>1.0941902337567804</v>
      </c>
      <c r="G46" s="2">
        <f t="shared" si="1"/>
        <v>27.168743504180856</v>
      </c>
      <c r="H46" s="2">
        <f t="shared" si="2"/>
        <v>1.3670907449013856</v>
      </c>
      <c r="I46" s="2">
        <f t="shared" si="3"/>
        <v>33.944863195901405</v>
      </c>
      <c r="J46" s="2">
        <f t="shared" si="4"/>
        <v>6.7761196917205488</v>
      </c>
      <c r="K46" s="15">
        <f t="shared" si="17"/>
        <v>0.58701923076923079</v>
      </c>
      <c r="L46" s="2">
        <f t="shared" si="14"/>
        <v>41</v>
      </c>
      <c r="M46" s="2">
        <f t="shared" si="15"/>
        <v>24.65</v>
      </c>
      <c r="N46" s="2">
        <v>8</v>
      </c>
      <c r="O46" s="2">
        <v>50.26548245743669</v>
      </c>
      <c r="P46" s="11">
        <f t="shared" si="5"/>
        <v>1.5915494309189535</v>
      </c>
      <c r="Q46" s="2">
        <f t="shared" si="6"/>
        <v>39.231693472152202</v>
      </c>
      <c r="R46" s="2">
        <f t="shared" si="7"/>
        <v>1.446850352208229</v>
      </c>
      <c r="S46" s="2">
        <f t="shared" si="8"/>
        <v>35.664861181932842</v>
      </c>
      <c r="T46" s="2">
        <f t="shared" si="9"/>
        <v>3.5668322902193594</v>
      </c>
    </row>
    <row r="47" spans="1:20" x14ac:dyDescent="0.25">
      <c r="A47" s="14">
        <f t="shared" si="16"/>
        <v>0.6086538461538461</v>
      </c>
      <c r="B47" s="2">
        <f t="shared" si="11"/>
        <v>42</v>
      </c>
      <c r="C47" s="4">
        <f t="shared" si="12"/>
        <v>25.33</v>
      </c>
      <c r="D47" s="2">
        <v>5.5</v>
      </c>
      <c r="E47" s="2">
        <v>50.26548245743669</v>
      </c>
      <c r="F47" s="11">
        <f t="shared" si="0"/>
        <v>1.0941902337567804</v>
      </c>
      <c r="G47" s="2">
        <f t="shared" si="1"/>
        <v>27.715838621059245</v>
      </c>
      <c r="H47" s="2">
        <f t="shared" si="2"/>
        <v>1.3670907449013856</v>
      </c>
      <c r="I47" s="2">
        <f t="shared" si="3"/>
        <v>34.628408568352093</v>
      </c>
      <c r="J47" s="2">
        <f t="shared" si="4"/>
        <v>6.9125699472928481</v>
      </c>
      <c r="K47" s="15">
        <f t="shared" si="17"/>
        <v>0.5871260683760684</v>
      </c>
      <c r="L47" s="2">
        <f t="shared" si="14"/>
        <v>42</v>
      </c>
      <c r="M47" s="2">
        <f t="shared" si="15"/>
        <v>25.15</v>
      </c>
      <c r="N47" s="2">
        <v>7</v>
      </c>
      <c r="O47" s="2">
        <v>50.26548245743669</v>
      </c>
      <c r="P47" s="11">
        <f t="shared" si="5"/>
        <v>1.3926057520540844</v>
      </c>
      <c r="Q47" s="2">
        <f t="shared" si="6"/>
        <v>35.024034664160219</v>
      </c>
      <c r="R47" s="2">
        <f t="shared" si="7"/>
        <v>1.446850352208229</v>
      </c>
      <c r="S47" s="2">
        <f t="shared" si="8"/>
        <v>36.388286358036957</v>
      </c>
      <c r="T47" s="2">
        <f t="shared" si="9"/>
        <v>1.3642516938767386</v>
      </c>
    </row>
    <row r="48" spans="1:20" x14ac:dyDescent="0.25">
      <c r="A48" s="14">
        <f t="shared" si="16"/>
        <v>0.60876068376068371</v>
      </c>
      <c r="B48" s="2">
        <f t="shared" si="11"/>
        <v>43</v>
      </c>
      <c r="C48" s="4">
        <f t="shared" si="12"/>
        <v>25.83</v>
      </c>
      <c r="D48" s="2">
        <v>5</v>
      </c>
      <c r="E48" s="2">
        <v>50.26548245743669</v>
      </c>
      <c r="F48" s="11">
        <f t="shared" si="0"/>
        <v>0.99471839432434594</v>
      </c>
      <c r="G48" s="2">
        <f t="shared" si="1"/>
        <v>25.693576125397854</v>
      </c>
      <c r="H48" s="2">
        <f t="shared" si="2"/>
        <v>1.3670907449013856</v>
      </c>
      <c r="I48" s="2">
        <f t="shared" si="3"/>
        <v>35.311953940802788</v>
      </c>
      <c r="J48" s="2">
        <f t="shared" si="4"/>
        <v>9.6183778154049335</v>
      </c>
      <c r="K48" s="15">
        <f t="shared" si="17"/>
        <v>0.58723290598290601</v>
      </c>
      <c r="L48" s="2">
        <f t="shared" si="14"/>
        <v>43</v>
      </c>
      <c r="M48" s="2">
        <f t="shared" si="15"/>
        <v>25.65</v>
      </c>
      <c r="N48" s="2">
        <v>7</v>
      </c>
      <c r="O48" s="2">
        <v>50.26548245743669</v>
      </c>
      <c r="P48" s="11">
        <f t="shared" si="5"/>
        <v>1.3926057520540844</v>
      </c>
      <c r="Q48" s="2">
        <f t="shared" si="6"/>
        <v>35.720337540187266</v>
      </c>
      <c r="R48" s="2">
        <f t="shared" si="7"/>
        <v>1.446850352208229</v>
      </c>
      <c r="S48" s="2">
        <f t="shared" si="8"/>
        <v>37.111711534141072</v>
      </c>
      <c r="T48" s="2">
        <f t="shared" si="9"/>
        <v>1.3913739939538061</v>
      </c>
    </row>
    <row r="49" spans="1:20" x14ac:dyDescent="0.25">
      <c r="A49" s="14">
        <f t="shared" si="16"/>
        <v>0.60886752136752131</v>
      </c>
      <c r="B49" s="2">
        <f t="shared" si="11"/>
        <v>44</v>
      </c>
      <c r="C49" s="4">
        <f t="shared" si="12"/>
        <v>26.33</v>
      </c>
      <c r="D49" s="2">
        <v>5.5</v>
      </c>
      <c r="E49" s="2">
        <v>50.26548245743669</v>
      </c>
      <c r="F49" s="11">
        <f t="shared" si="0"/>
        <v>1.0941902337567804</v>
      </c>
      <c r="G49" s="2">
        <f t="shared" si="1"/>
        <v>28.810028854816025</v>
      </c>
      <c r="H49" s="2">
        <f t="shared" si="2"/>
        <v>1.3670907449013856</v>
      </c>
      <c r="I49" s="2">
        <f t="shared" si="3"/>
        <v>35.995499313253482</v>
      </c>
      <c r="J49" s="2">
        <f t="shared" si="4"/>
        <v>7.1854704584374574</v>
      </c>
      <c r="K49" s="15">
        <f t="shared" si="17"/>
        <v>0.58733974358974361</v>
      </c>
      <c r="L49" s="2">
        <f t="shared" si="14"/>
        <v>44</v>
      </c>
      <c r="M49" s="2">
        <f t="shared" si="15"/>
        <v>26.15</v>
      </c>
      <c r="N49" s="2">
        <v>6.5</v>
      </c>
      <c r="O49" s="2">
        <v>50.26548245743669</v>
      </c>
      <c r="P49" s="11">
        <f t="shared" si="5"/>
        <v>1.2931339126216495</v>
      </c>
      <c r="Q49" s="2">
        <f t="shared" si="6"/>
        <v>33.815451815056129</v>
      </c>
      <c r="R49" s="2">
        <f t="shared" si="7"/>
        <v>1.446850352208229</v>
      </c>
      <c r="S49" s="2">
        <f t="shared" si="8"/>
        <v>37.835136710245187</v>
      </c>
      <c r="T49" s="2">
        <f t="shared" si="9"/>
        <v>4.0196848951890587</v>
      </c>
    </row>
    <row r="50" spans="1:20" x14ac:dyDescent="0.25">
      <c r="A50" s="14">
        <f t="shared" si="16"/>
        <v>0.60897435897435892</v>
      </c>
      <c r="B50" s="2">
        <f t="shared" si="11"/>
        <v>45</v>
      </c>
      <c r="C50" s="4">
        <f t="shared" si="12"/>
        <v>26.83</v>
      </c>
      <c r="D50" s="2">
        <v>6</v>
      </c>
      <c r="E50" s="2">
        <v>50.26548245743669</v>
      </c>
      <c r="F50" s="11">
        <f t="shared" si="0"/>
        <v>1.1936620731892149</v>
      </c>
      <c r="G50" s="2">
        <f t="shared" si="1"/>
        <v>32.025953423666635</v>
      </c>
      <c r="H50" s="2">
        <f t="shared" si="2"/>
        <v>1.3670907449013856</v>
      </c>
      <c r="I50" s="2">
        <f t="shared" si="3"/>
        <v>36.67904468570417</v>
      </c>
      <c r="J50" s="2">
        <f t="shared" si="4"/>
        <v>4.6530912620375346</v>
      </c>
      <c r="K50" s="15">
        <f t="shared" si="17"/>
        <v>0.58744658119658122</v>
      </c>
      <c r="L50" s="2">
        <f t="shared" si="14"/>
        <v>45</v>
      </c>
      <c r="M50" s="2">
        <f t="shared" si="15"/>
        <v>26.65</v>
      </c>
      <c r="N50" s="2">
        <v>6.5</v>
      </c>
      <c r="O50" s="2">
        <v>50.26548245743669</v>
      </c>
      <c r="P50" s="11">
        <f t="shared" si="5"/>
        <v>1.2931339126216495</v>
      </c>
      <c r="Q50" s="2">
        <f t="shared" si="6"/>
        <v>34.462018771366957</v>
      </c>
      <c r="R50" s="2">
        <f t="shared" si="7"/>
        <v>1.446850352208229</v>
      </c>
      <c r="S50" s="2">
        <f t="shared" si="8"/>
        <v>38.558561886349302</v>
      </c>
      <c r="T50" s="2">
        <f t="shared" si="9"/>
        <v>4.0965431149823459</v>
      </c>
    </row>
    <row r="51" spans="1:20" x14ac:dyDescent="0.25">
      <c r="A51" s="14">
        <f t="shared" si="16"/>
        <v>0.60908119658119653</v>
      </c>
      <c r="B51" s="2">
        <f t="shared" si="11"/>
        <v>46</v>
      </c>
      <c r="C51" s="4">
        <f t="shared" si="12"/>
        <v>27.33</v>
      </c>
      <c r="D51" s="2">
        <v>6</v>
      </c>
      <c r="E51" s="2">
        <v>50.26548245743669</v>
      </c>
      <c r="F51" s="11">
        <f t="shared" si="0"/>
        <v>1.1936620731892149</v>
      </c>
      <c r="G51" s="2">
        <f t="shared" si="1"/>
        <v>32.622784460261244</v>
      </c>
      <c r="H51" s="2">
        <f t="shared" si="2"/>
        <v>1.3670907449013856</v>
      </c>
      <c r="I51" s="2">
        <f t="shared" si="3"/>
        <v>37.362590058154865</v>
      </c>
      <c r="J51" s="2">
        <f t="shared" si="4"/>
        <v>4.7398055978936213</v>
      </c>
      <c r="K51" s="15">
        <f t="shared" si="17"/>
        <v>0.58755341880341883</v>
      </c>
      <c r="L51" s="2">
        <f t="shared" si="14"/>
        <v>46</v>
      </c>
      <c r="M51" s="2">
        <f t="shared" si="15"/>
        <v>27.15</v>
      </c>
      <c r="N51" s="2">
        <v>8.5</v>
      </c>
      <c r="O51" s="2">
        <v>50.26548245743669</v>
      </c>
      <c r="P51" s="11">
        <f t="shared" si="5"/>
        <v>1.6910212703513881</v>
      </c>
      <c r="Q51" s="2">
        <f t="shared" si="6"/>
        <v>45.911227490040183</v>
      </c>
      <c r="R51" s="2">
        <f t="shared" si="7"/>
        <v>1.446850352208229</v>
      </c>
      <c r="S51" s="2">
        <f t="shared" si="8"/>
        <v>39.281987062453418</v>
      </c>
      <c r="T51" s="2">
        <f t="shared" si="9"/>
        <v>6.6292404275867653</v>
      </c>
    </row>
    <row r="52" spans="1:20" x14ac:dyDescent="0.25">
      <c r="A52" s="14">
        <f t="shared" si="16"/>
        <v>0.60918803418803413</v>
      </c>
      <c r="B52" s="2">
        <f t="shared" si="11"/>
        <v>47</v>
      </c>
      <c r="C52" s="4">
        <f t="shared" si="12"/>
        <v>27.83</v>
      </c>
      <c r="D52" s="2">
        <v>5.5</v>
      </c>
      <c r="E52" s="2">
        <v>50.26548245743669</v>
      </c>
      <c r="F52" s="11">
        <f t="shared" si="0"/>
        <v>1.0941902337567804</v>
      </c>
      <c r="G52" s="2">
        <f t="shared" si="1"/>
        <v>30.451314205451197</v>
      </c>
      <c r="H52" s="2">
        <f t="shared" si="2"/>
        <v>1.3670907449013856</v>
      </c>
      <c r="I52" s="2">
        <f t="shared" si="3"/>
        <v>38.04613543060556</v>
      </c>
      <c r="J52" s="2">
        <f t="shared" si="4"/>
        <v>7.5948212251543623</v>
      </c>
      <c r="K52" s="15">
        <f t="shared" si="17"/>
        <v>0.58766025641025643</v>
      </c>
      <c r="L52" s="2">
        <f t="shared" si="14"/>
        <v>47</v>
      </c>
      <c r="M52" s="2">
        <f t="shared" si="15"/>
        <v>27.65</v>
      </c>
      <c r="N52" s="2">
        <v>7</v>
      </c>
      <c r="O52" s="2">
        <v>50.26548245743669</v>
      </c>
      <c r="P52" s="11">
        <f t="shared" si="5"/>
        <v>1.3926057520540844</v>
      </c>
      <c r="Q52" s="2">
        <f t="shared" si="6"/>
        <v>38.505549044295435</v>
      </c>
      <c r="R52" s="2">
        <f t="shared" si="7"/>
        <v>1.446850352208229</v>
      </c>
      <c r="S52" s="2">
        <f t="shared" si="8"/>
        <v>40.005412238557533</v>
      </c>
      <c r="T52" s="2">
        <f t="shared" si="9"/>
        <v>1.4998631942620975</v>
      </c>
    </row>
    <row r="53" spans="1:20" x14ac:dyDescent="0.25">
      <c r="A53" s="14">
        <f t="shared" si="16"/>
        <v>0.60929487179487174</v>
      </c>
      <c r="B53" s="2">
        <f t="shared" si="11"/>
        <v>48</v>
      </c>
      <c r="C53" s="4">
        <f t="shared" si="12"/>
        <v>28.33</v>
      </c>
      <c r="D53" s="2">
        <v>5.5</v>
      </c>
      <c r="E53" s="2">
        <v>50.26548245743669</v>
      </c>
      <c r="F53" s="11">
        <f t="shared" si="0"/>
        <v>1.0941902337567804</v>
      </c>
      <c r="G53" s="2">
        <f t="shared" si="1"/>
        <v>30.998409322329586</v>
      </c>
      <c r="H53" s="2">
        <f t="shared" si="2"/>
        <v>1.3670907449013856</v>
      </c>
      <c r="I53" s="2">
        <f t="shared" si="3"/>
        <v>38.729680803056254</v>
      </c>
      <c r="J53" s="2">
        <f t="shared" si="4"/>
        <v>7.7312714807266687</v>
      </c>
      <c r="K53" s="15">
        <f t="shared" si="17"/>
        <v>0.58776709401709404</v>
      </c>
      <c r="L53" s="2">
        <f t="shared" si="14"/>
        <v>48</v>
      </c>
      <c r="M53" s="2">
        <f t="shared" si="15"/>
        <v>28.15</v>
      </c>
      <c r="N53" s="2">
        <v>7.5</v>
      </c>
      <c r="O53" s="2">
        <v>50.26548245743669</v>
      </c>
      <c r="P53" s="11">
        <f t="shared" si="5"/>
        <v>1.492077591486519</v>
      </c>
      <c r="Q53" s="2">
        <f t="shared" si="6"/>
        <v>42.001984200345504</v>
      </c>
      <c r="R53" s="2">
        <f t="shared" si="7"/>
        <v>1.446850352208229</v>
      </c>
      <c r="S53" s="2">
        <f t="shared" si="8"/>
        <v>40.728837414661648</v>
      </c>
      <c r="T53" s="2">
        <f t="shared" si="9"/>
        <v>1.2731467856838563</v>
      </c>
    </row>
    <row r="54" spans="1:20" x14ac:dyDescent="0.25">
      <c r="A54" s="14">
        <f t="shared" si="16"/>
        <v>0.60940170940170935</v>
      </c>
      <c r="B54" s="2">
        <f t="shared" si="11"/>
        <v>49</v>
      </c>
      <c r="C54" s="4">
        <f t="shared" si="12"/>
        <v>28.83</v>
      </c>
      <c r="D54" s="2">
        <v>5</v>
      </c>
      <c r="E54" s="2">
        <v>50.26548245743669</v>
      </c>
      <c r="F54" s="11">
        <f t="shared" si="0"/>
        <v>0.99471839432434594</v>
      </c>
      <c r="G54" s="2">
        <f t="shared" si="1"/>
        <v>28.677731308370891</v>
      </c>
      <c r="H54" s="2">
        <f t="shared" si="2"/>
        <v>1.3670907449013856</v>
      </c>
      <c r="I54" s="2">
        <f t="shared" si="3"/>
        <v>39.413226175506942</v>
      </c>
      <c r="J54" s="2">
        <f t="shared" si="4"/>
        <v>10.735494867136051</v>
      </c>
      <c r="K54" s="15">
        <f t="shared" si="17"/>
        <v>0.58787393162393164</v>
      </c>
      <c r="L54" s="2">
        <f t="shared" si="14"/>
        <v>49</v>
      </c>
      <c r="M54" s="2">
        <f t="shared" si="15"/>
        <v>28.65</v>
      </c>
      <c r="N54" s="2">
        <v>7.5</v>
      </c>
      <c r="O54" s="2">
        <v>50.26548245743669</v>
      </c>
      <c r="P54" s="11">
        <f t="shared" si="5"/>
        <v>1.492077591486519</v>
      </c>
      <c r="Q54" s="2">
        <f t="shared" si="6"/>
        <v>42.748022996088764</v>
      </c>
      <c r="R54" s="2">
        <f t="shared" si="7"/>
        <v>1.446850352208229</v>
      </c>
      <c r="S54" s="2">
        <f t="shared" si="8"/>
        <v>41.452262590765756</v>
      </c>
      <c r="T54" s="2">
        <f t="shared" si="9"/>
        <v>1.2957604053230085</v>
      </c>
    </row>
    <row r="55" spans="1:20" x14ac:dyDescent="0.25">
      <c r="A55" s="14">
        <f t="shared" si="16"/>
        <v>0.60950854700854695</v>
      </c>
      <c r="B55" s="2">
        <f t="shared" si="11"/>
        <v>50</v>
      </c>
      <c r="C55" s="4">
        <f t="shared" si="12"/>
        <v>29.33</v>
      </c>
      <c r="D55" s="2">
        <v>8</v>
      </c>
      <c r="E55" s="2">
        <v>50.26548245743669</v>
      </c>
      <c r="F55" s="11">
        <f t="shared" si="0"/>
        <v>1.5915494309189535</v>
      </c>
      <c r="G55" s="2">
        <f t="shared" si="1"/>
        <v>46.680144808852901</v>
      </c>
      <c r="H55" s="2">
        <f t="shared" si="2"/>
        <v>1.3670907449013856</v>
      </c>
      <c r="I55" s="2">
        <f t="shared" si="3"/>
        <v>40.096771547957637</v>
      </c>
      <c r="J55" s="2">
        <f t="shared" si="4"/>
        <v>6.5833732608952644</v>
      </c>
      <c r="K55" s="15">
        <f t="shared" si="17"/>
        <v>0.58798076923076925</v>
      </c>
      <c r="L55" s="2">
        <f t="shared" si="14"/>
        <v>50</v>
      </c>
      <c r="M55" s="2">
        <f t="shared" si="15"/>
        <v>29.15</v>
      </c>
      <c r="N55" s="2">
        <v>10</v>
      </c>
      <c r="O55" s="2">
        <v>50.26548245743669</v>
      </c>
      <c r="P55" s="11">
        <f t="shared" si="5"/>
        <v>1.9894367886486919</v>
      </c>
      <c r="Q55" s="2">
        <f t="shared" si="6"/>
        <v>57.992082389109363</v>
      </c>
      <c r="R55" s="2">
        <f t="shared" si="7"/>
        <v>1.446850352208229</v>
      </c>
      <c r="S55" s="2">
        <f t="shared" si="8"/>
        <v>42.175687766869871</v>
      </c>
      <c r="T55" s="2">
        <f t="shared" si="9"/>
        <v>15.816394622239493</v>
      </c>
    </row>
    <row r="56" spans="1:20" x14ac:dyDescent="0.25">
      <c r="A56" s="14">
        <f t="shared" si="16"/>
        <v>0.60961538461538456</v>
      </c>
      <c r="B56" s="2">
        <f t="shared" si="11"/>
        <v>51</v>
      </c>
      <c r="C56" s="4">
        <f t="shared" si="12"/>
        <v>29.83</v>
      </c>
      <c r="D56" s="2">
        <v>6.5</v>
      </c>
      <c r="E56" s="2">
        <v>50.26548245743669</v>
      </c>
      <c r="F56" s="11">
        <f t="shared" si="0"/>
        <v>1.2931339126216495</v>
      </c>
      <c r="G56" s="2">
        <f t="shared" si="1"/>
        <v>38.574184613503803</v>
      </c>
      <c r="H56" s="2">
        <f t="shared" si="2"/>
        <v>1.3670907449013856</v>
      </c>
      <c r="I56" s="2">
        <f t="shared" si="3"/>
        <v>40.780316920408332</v>
      </c>
      <c r="J56" s="2">
        <f t="shared" si="4"/>
        <v>2.2061323069045287</v>
      </c>
      <c r="K56" s="15">
        <f t="shared" si="17"/>
        <v>0.58808760683760686</v>
      </c>
      <c r="L56" s="2">
        <f t="shared" si="14"/>
        <v>51</v>
      </c>
      <c r="M56" s="2">
        <f t="shared" si="15"/>
        <v>29.65</v>
      </c>
      <c r="N56" s="2">
        <v>8</v>
      </c>
      <c r="O56" s="2">
        <v>50.26548245743669</v>
      </c>
      <c r="P56" s="11">
        <f t="shared" si="5"/>
        <v>1.5915494309189535</v>
      </c>
      <c r="Q56" s="2">
        <f t="shared" si="6"/>
        <v>47.189440626746972</v>
      </c>
      <c r="R56" s="2">
        <f t="shared" si="7"/>
        <v>1.446850352208229</v>
      </c>
      <c r="S56" s="2">
        <f t="shared" si="8"/>
        <v>42.899112942973986</v>
      </c>
      <c r="T56" s="2">
        <f t="shared" si="9"/>
        <v>4.2903276837729862</v>
      </c>
    </row>
    <row r="57" spans="1:20" x14ac:dyDescent="0.25">
      <c r="A57" s="14">
        <f t="shared" si="16"/>
        <v>0.60972222222222217</v>
      </c>
      <c r="B57" s="2">
        <f t="shared" si="11"/>
        <v>52</v>
      </c>
      <c r="C57" s="4">
        <f t="shared" si="12"/>
        <v>30.33</v>
      </c>
      <c r="D57" s="2">
        <v>7</v>
      </c>
      <c r="E57" s="2">
        <v>50.26548245743669</v>
      </c>
      <c r="F57" s="11">
        <f t="shared" si="0"/>
        <v>1.3926057520540844</v>
      </c>
      <c r="G57" s="2">
        <f t="shared" si="1"/>
        <v>42.237732459800377</v>
      </c>
      <c r="H57" s="2">
        <f t="shared" si="2"/>
        <v>1.3670907449013856</v>
      </c>
      <c r="I57" s="2">
        <f t="shared" si="3"/>
        <v>41.463862292859019</v>
      </c>
      <c r="J57" s="2">
        <f t="shared" si="4"/>
        <v>0.77387016694135724</v>
      </c>
      <c r="K57" s="15">
        <f t="shared" si="17"/>
        <v>0.58819444444444446</v>
      </c>
      <c r="L57" s="2">
        <f t="shared" si="14"/>
        <v>52</v>
      </c>
      <c r="M57" s="2">
        <f t="shared" si="15"/>
        <v>30.15</v>
      </c>
      <c r="N57" s="2">
        <v>9</v>
      </c>
      <c r="O57" s="2">
        <v>50.26548245743669</v>
      </c>
      <c r="P57" s="11">
        <f t="shared" si="5"/>
        <v>1.7904931097838226</v>
      </c>
      <c r="Q57" s="2">
        <f t="shared" si="6"/>
        <v>53.983367259982252</v>
      </c>
      <c r="R57" s="2">
        <f t="shared" si="7"/>
        <v>1.446850352208229</v>
      </c>
      <c r="S57" s="2">
        <f t="shared" si="8"/>
        <v>43.622538119078101</v>
      </c>
      <c r="T57" s="2">
        <f t="shared" si="9"/>
        <v>10.360829140904151</v>
      </c>
    </row>
    <row r="58" spans="1:20" x14ac:dyDescent="0.25">
      <c r="A58" s="14">
        <f t="shared" si="16"/>
        <v>0.60982905982905977</v>
      </c>
      <c r="B58" s="2">
        <f t="shared" si="11"/>
        <v>53</v>
      </c>
      <c r="C58" s="4">
        <f t="shared" si="12"/>
        <v>30.83</v>
      </c>
      <c r="D58" s="2">
        <v>7</v>
      </c>
      <c r="E58" s="2">
        <v>50.26548245743669</v>
      </c>
      <c r="F58" s="11">
        <f t="shared" si="0"/>
        <v>1.3926057520540844</v>
      </c>
      <c r="G58" s="2">
        <f t="shared" si="1"/>
        <v>42.934035335827424</v>
      </c>
      <c r="H58" s="2">
        <f t="shared" si="2"/>
        <v>1.3670907449013856</v>
      </c>
      <c r="I58" s="2">
        <f t="shared" si="3"/>
        <v>42.147407665309714</v>
      </c>
      <c r="J58" s="2">
        <f t="shared" si="4"/>
        <v>0.78662767051770999</v>
      </c>
      <c r="K58" s="15">
        <f t="shared" si="17"/>
        <v>0.58830128205128207</v>
      </c>
      <c r="L58" s="2">
        <f t="shared" si="14"/>
        <v>53</v>
      </c>
      <c r="M58" s="2">
        <f t="shared" si="15"/>
        <v>30.65</v>
      </c>
      <c r="N58" s="2">
        <v>7</v>
      </c>
      <c r="O58" s="2">
        <v>50.26548245743669</v>
      </c>
      <c r="P58" s="11">
        <f t="shared" si="5"/>
        <v>1.3926057520540844</v>
      </c>
      <c r="Q58" s="2">
        <f t="shared" si="6"/>
        <v>42.683366300457685</v>
      </c>
      <c r="R58" s="2">
        <f t="shared" si="7"/>
        <v>1.446850352208229</v>
      </c>
      <c r="S58" s="2">
        <f t="shared" si="8"/>
        <v>44.345963295182216</v>
      </c>
      <c r="T58" s="2">
        <f t="shared" si="9"/>
        <v>1.6625969947245309</v>
      </c>
    </row>
    <row r="59" spans="1:20" x14ac:dyDescent="0.25">
      <c r="A59" s="14">
        <f t="shared" si="16"/>
        <v>0.60993589743589738</v>
      </c>
      <c r="B59" s="2">
        <f t="shared" si="11"/>
        <v>54</v>
      </c>
      <c r="C59" s="4">
        <f t="shared" si="12"/>
        <v>31.33</v>
      </c>
      <c r="D59" s="2">
        <v>7</v>
      </c>
      <c r="E59" s="2">
        <v>50.26548245743669</v>
      </c>
      <c r="F59" s="11">
        <f t="shared" si="0"/>
        <v>1.3926057520540844</v>
      </c>
      <c r="G59" s="2">
        <f t="shared" si="1"/>
        <v>43.630338211854465</v>
      </c>
      <c r="H59" s="2">
        <f t="shared" si="2"/>
        <v>1.3670907449013856</v>
      </c>
      <c r="I59" s="2">
        <f t="shared" si="3"/>
        <v>42.830953037760409</v>
      </c>
      <c r="J59" s="2">
        <f t="shared" si="4"/>
        <v>0.79938517409405563</v>
      </c>
      <c r="K59" s="15">
        <f t="shared" si="17"/>
        <v>0.58840811965811968</v>
      </c>
      <c r="L59" s="2">
        <f t="shared" si="14"/>
        <v>54</v>
      </c>
      <c r="M59" s="2">
        <f t="shared" si="15"/>
        <v>31.15</v>
      </c>
      <c r="N59" s="2">
        <v>6.5</v>
      </c>
      <c r="O59" s="2">
        <v>50.26548245743669</v>
      </c>
      <c r="P59" s="11">
        <f t="shared" si="5"/>
        <v>1.2931339126216495</v>
      </c>
      <c r="Q59" s="2">
        <f t="shared" si="6"/>
        <v>40.281121378164379</v>
      </c>
      <c r="R59" s="2">
        <f t="shared" si="7"/>
        <v>1.446850352208229</v>
      </c>
      <c r="S59" s="2">
        <f t="shared" si="8"/>
        <v>45.069388471286331</v>
      </c>
      <c r="T59" s="2">
        <f t="shared" si="9"/>
        <v>4.7882670931219522</v>
      </c>
    </row>
    <row r="60" spans="1:20" x14ac:dyDescent="0.25">
      <c r="A60" s="14">
        <f t="shared" si="16"/>
        <v>0.61004273504273498</v>
      </c>
      <c r="B60" s="2">
        <f t="shared" si="11"/>
        <v>55</v>
      </c>
      <c r="C60" s="4">
        <f t="shared" si="12"/>
        <v>31.83</v>
      </c>
      <c r="D60" s="2">
        <v>7</v>
      </c>
      <c r="E60" s="2">
        <v>50.26548245743669</v>
      </c>
      <c r="F60" s="11">
        <f t="shared" si="0"/>
        <v>1.3926057520540844</v>
      </c>
      <c r="G60" s="2">
        <f t="shared" si="1"/>
        <v>44.326641087881505</v>
      </c>
      <c r="H60" s="2">
        <f t="shared" si="2"/>
        <v>1.3670907449013856</v>
      </c>
      <c r="I60" s="2">
        <f t="shared" si="3"/>
        <v>43.514498410211104</v>
      </c>
      <c r="J60" s="2">
        <f t="shared" si="4"/>
        <v>0.81214267767040127</v>
      </c>
      <c r="K60" s="15">
        <f t="shared" si="17"/>
        <v>0.58851495726495728</v>
      </c>
      <c r="L60" s="2">
        <f t="shared" si="14"/>
        <v>55</v>
      </c>
      <c r="M60" s="2">
        <f t="shared" si="15"/>
        <v>31.65</v>
      </c>
      <c r="N60" s="2">
        <v>8</v>
      </c>
      <c r="O60" s="2">
        <v>50.26548245743669</v>
      </c>
      <c r="P60" s="11">
        <f t="shared" si="5"/>
        <v>1.5915494309189535</v>
      </c>
      <c r="Q60" s="2">
        <f t="shared" si="6"/>
        <v>50.372539488584877</v>
      </c>
      <c r="R60" s="2">
        <f t="shared" si="7"/>
        <v>1.446850352208229</v>
      </c>
      <c r="S60" s="2">
        <f t="shared" si="8"/>
        <v>45.792813647390446</v>
      </c>
      <c r="T60" s="2">
        <f t="shared" si="9"/>
        <v>4.5797258411944313</v>
      </c>
    </row>
    <row r="61" spans="1:20" x14ac:dyDescent="0.25">
      <c r="A61" s="14">
        <f t="shared" si="16"/>
        <v>0.61014957264957259</v>
      </c>
      <c r="B61" s="2">
        <f t="shared" si="11"/>
        <v>56</v>
      </c>
      <c r="C61" s="4">
        <f t="shared" si="12"/>
        <v>32.33</v>
      </c>
      <c r="D61" s="2">
        <v>7</v>
      </c>
      <c r="E61" s="2">
        <v>50.26548245743669</v>
      </c>
      <c r="F61" s="11">
        <f t="shared" si="0"/>
        <v>1.3926057520540844</v>
      </c>
      <c r="G61" s="2">
        <f t="shared" si="1"/>
        <v>45.022943963908546</v>
      </c>
      <c r="H61" s="2">
        <f t="shared" si="2"/>
        <v>1.3670907449013856</v>
      </c>
      <c r="I61" s="2">
        <f t="shared" si="3"/>
        <v>44.198043782661792</v>
      </c>
      <c r="J61" s="2">
        <f t="shared" si="4"/>
        <v>0.82490018124675402</v>
      </c>
      <c r="K61" s="15">
        <f t="shared" si="17"/>
        <v>0.58862179487179489</v>
      </c>
      <c r="L61" s="2">
        <f t="shared" si="14"/>
        <v>56</v>
      </c>
      <c r="M61" s="2">
        <f t="shared" si="15"/>
        <v>32.15</v>
      </c>
      <c r="N61" s="2">
        <v>8</v>
      </c>
      <c r="O61" s="2">
        <v>50.26548245743669</v>
      </c>
      <c r="P61" s="11">
        <f t="shared" si="5"/>
        <v>1.5915494309189535</v>
      </c>
      <c r="Q61" s="2">
        <f t="shared" si="6"/>
        <v>51.16831420404435</v>
      </c>
      <c r="R61" s="2">
        <f t="shared" si="7"/>
        <v>1.446850352208229</v>
      </c>
      <c r="S61" s="2">
        <f t="shared" si="8"/>
        <v>46.516238823494561</v>
      </c>
      <c r="T61" s="2">
        <f t="shared" si="9"/>
        <v>4.652075380549789</v>
      </c>
    </row>
    <row r="62" spans="1:20" x14ac:dyDescent="0.25">
      <c r="A62" s="14">
        <f t="shared" si="16"/>
        <v>0.6102564102564102</v>
      </c>
      <c r="B62" s="2">
        <f t="shared" si="11"/>
        <v>57</v>
      </c>
      <c r="C62" s="4">
        <f t="shared" si="12"/>
        <v>32.83</v>
      </c>
      <c r="D62" s="2">
        <v>7</v>
      </c>
      <c r="E62" s="2">
        <v>50.26548245743669</v>
      </c>
      <c r="F62" s="11">
        <f t="shared" si="0"/>
        <v>1.3926057520540844</v>
      </c>
      <c r="G62" s="2">
        <f t="shared" si="1"/>
        <v>45.719246839935593</v>
      </c>
      <c r="H62" s="2">
        <f t="shared" si="2"/>
        <v>1.3670907449013856</v>
      </c>
      <c r="I62" s="2">
        <f t="shared" si="3"/>
        <v>44.881589155112486</v>
      </c>
      <c r="J62" s="2">
        <f t="shared" si="4"/>
        <v>0.83765768482310676</v>
      </c>
      <c r="K62" s="15">
        <f t="shared" si="17"/>
        <v>0.5887286324786325</v>
      </c>
      <c r="L62" s="2">
        <f t="shared" si="14"/>
        <v>57</v>
      </c>
      <c r="M62" s="2">
        <f t="shared" si="15"/>
        <v>32.65</v>
      </c>
      <c r="N62" s="2">
        <v>8</v>
      </c>
      <c r="O62" s="2">
        <v>50.26548245743669</v>
      </c>
      <c r="P62" s="11">
        <f t="shared" si="5"/>
        <v>1.5915494309189535</v>
      </c>
      <c r="Q62" s="2">
        <f t="shared" si="6"/>
        <v>51.96408891950383</v>
      </c>
      <c r="R62" s="2">
        <f t="shared" si="7"/>
        <v>1.446850352208229</v>
      </c>
      <c r="S62" s="2">
        <f t="shared" si="8"/>
        <v>47.239663999598676</v>
      </c>
      <c r="T62" s="2">
        <f t="shared" si="9"/>
        <v>4.7244249199051538</v>
      </c>
    </row>
    <row r="63" spans="1:20" x14ac:dyDescent="0.25">
      <c r="A63" s="14">
        <f t="shared" si="16"/>
        <v>0.6103632478632478</v>
      </c>
      <c r="B63" s="2">
        <f t="shared" si="11"/>
        <v>58</v>
      </c>
      <c r="C63" s="4">
        <f t="shared" si="12"/>
        <v>33.33</v>
      </c>
      <c r="D63" s="2">
        <v>8.5</v>
      </c>
      <c r="E63" s="2">
        <v>50.26548245743669</v>
      </c>
      <c r="F63" s="11">
        <f t="shared" si="0"/>
        <v>1.6910212703513881</v>
      </c>
      <c r="G63" s="2">
        <f t="shared" si="1"/>
        <v>56.361738940811762</v>
      </c>
      <c r="H63" s="2">
        <f t="shared" si="2"/>
        <v>1.3670907449013856</v>
      </c>
      <c r="I63" s="2">
        <f t="shared" si="3"/>
        <v>45.565134527563181</v>
      </c>
      <c r="J63" s="2">
        <f t="shared" si="4"/>
        <v>10.796604413248581</v>
      </c>
      <c r="K63" s="15">
        <f t="shared" si="17"/>
        <v>0.5888354700854701</v>
      </c>
      <c r="L63" s="2">
        <f t="shared" si="14"/>
        <v>58</v>
      </c>
      <c r="M63" s="2">
        <f t="shared" si="15"/>
        <v>33.15</v>
      </c>
      <c r="N63" s="2">
        <v>8.5</v>
      </c>
      <c r="O63" s="2">
        <v>50.26548245743669</v>
      </c>
      <c r="P63" s="11">
        <f t="shared" si="5"/>
        <v>1.6910212703513881</v>
      </c>
      <c r="Q63" s="2">
        <f t="shared" si="6"/>
        <v>56.057355112148514</v>
      </c>
      <c r="R63" s="2">
        <f t="shared" si="7"/>
        <v>1.446850352208229</v>
      </c>
      <c r="S63" s="2">
        <f t="shared" si="8"/>
        <v>47.963089175702791</v>
      </c>
      <c r="T63" s="2">
        <f t="shared" si="9"/>
        <v>8.0942659364457228</v>
      </c>
    </row>
    <row r="64" spans="1:20" x14ac:dyDescent="0.25">
      <c r="A64" s="14">
        <f t="shared" si="16"/>
        <v>0.61047008547008552</v>
      </c>
      <c r="B64" s="2">
        <f t="shared" si="11"/>
        <v>59</v>
      </c>
      <c r="C64" s="4">
        <f t="shared" si="12"/>
        <v>33.83</v>
      </c>
      <c r="D64" s="2">
        <v>7</v>
      </c>
      <c r="E64" s="2">
        <v>50.26548245743669</v>
      </c>
      <c r="F64" s="11">
        <f t="shared" si="0"/>
        <v>1.3926057520540844</v>
      </c>
      <c r="G64" s="2">
        <f t="shared" si="1"/>
        <v>47.111852591989674</v>
      </c>
      <c r="H64" s="2">
        <f t="shared" si="2"/>
        <v>1.3670907449013856</v>
      </c>
      <c r="I64" s="2">
        <f t="shared" si="3"/>
        <v>46.248679900013876</v>
      </c>
      <c r="J64" s="2">
        <f t="shared" si="4"/>
        <v>0.86317269197579805</v>
      </c>
      <c r="K64" s="15">
        <f t="shared" si="17"/>
        <v>0.58894230769230771</v>
      </c>
      <c r="L64" s="2">
        <f t="shared" si="14"/>
        <v>59</v>
      </c>
      <c r="M64" s="2">
        <f t="shared" si="15"/>
        <v>33.65</v>
      </c>
      <c r="N64" s="2">
        <v>9</v>
      </c>
      <c r="O64" s="2">
        <v>50.26548245743669</v>
      </c>
      <c r="P64" s="11">
        <f t="shared" si="5"/>
        <v>1.7904931097838226</v>
      </c>
      <c r="Q64" s="2">
        <f t="shared" si="6"/>
        <v>60.25009314422563</v>
      </c>
      <c r="R64" s="2">
        <f t="shared" si="7"/>
        <v>1.446850352208229</v>
      </c>
      <c r="S64" s="2">
        <f t="shared" si="8"/>
        <v>48.686514351806906</v>
      </c>
      <c r="T64" s="2">
        <f t="shared" si="9"/>
        <v>11.563578792418724</v>
      </c>
    </row>
    <row r="65" spans="1:20" x14ac:dyDescent="0.25">
      <c r="A65" s="14">
        <f t="shared" si="16"/>
        <v>0.61057692307692313</v>
      </c>
      <c r="B65" s="2">
        <f t="shared" si="11"/>
        <v>60</v>
      </c>
      <c r="C65" s="4">
        <f t="shared" si="12"/>
        <v>34.33</v>
      </c>
      <c r="D65" s="2">
        <v>6.5</v>
      </c>
      <c r="E65" s="2">
        <v>50.26548245743669</v>
      </c>
      <c r="F65" s="11">
        <f t="shared" si="0"/>
        <v>1.2931339126216495</v>
      </c>
      <c r="G65" s="2">
        <f t="shared" si="1"/>
        <v>44.393287220301225</v>
      </c>
      <c r="H65" s="2">
        <f t="shared" si="2"/>
        <v>1.3670907449013856</v>
      </c>
      <c r="I65" s="2">
        <f t="shared" si="3"/>
        <v>46.932225272464564</v>
      </c>
      <c r="J65" s="2">
        <f t="shared" si="4"/>
        <v>2.5389380521633385</v>
      </c>
      <c r="K65" s="15">
        <f t="shared" si="17"/>
        <v>0.58904914529914532</v>
      </c>
      <c r="L65" s="2">
        <f t="shared" si="14"/>
        <v>60</v>
      </c>
      <c r="M65" s="2">
        <f t="shared" si="15"/>
        <v>34.15</v>
      </c>
      <c r="N65" s="2">
        <v>6.5</v>
      </c>
      <c r="O65" s="2">
        <v>50.26548245743669</v>
      </c>
      <c r="P65" s="11">
        <f t="shared" si="5"/>
        <v>1.2931339126216495</v>
      </c>
      <c r="Q65" s="2">
        <f t="shared" si="6"/>
        <v>44.160523116029324</v>
      </c>
      <c r="R65" s="2">
        <f t="shared" si="7"/>
        <v>1.446850352208229</v>
      </c>
      <c r="S65" s="2">
        <f t="shared" si="8"/>
        <v>49.409939527911021</v>
      </c>
      <c r="T65" s="2">
        <f t="shared" si="9"/>
        <v>5.2494164118816968</v>
      </c>
    </row>
    <row r="66" spans="1:20" x14ac:dyDescent="0.25">
      <c r="A66" s="14">
        <f t="shared" si="16"/>
        <v>0.61068376068376073</v>
      </c>
      <c r="B66" s="2">
        <f t="shared" si="11"/>
        <v>61</v>
      </c>
      <c r="C66" s="4">
        <f t="shared" si="12"/>
        <v>34.83</v>
      </c>
      <c r="D66" s="2">
        <v>5.5</v>
      </c>
      <c r="E66" s="2">
        <v>50.26548245743669</v>
      </c>
      <c r="F66" s="11">
        <f t="shared" si="0"/>
        <v>1.0941902337567804</v>
      </c>
      <c r="G66" s="2">
        <f t="shared" si="1"/>
        <v>38.110645841748656</v>
      </c>
      <c r="H66" s="2">
        <f t="shared" si="2"/>
        <v>1.3670907449013856</v>
      </c>
      <c r="I66" s="2">
        <f t="shared" si="3"/>
        <v>47.615770644915258</v>
      </c>
      <c r="J66" s="2">
        <f t="shared" si="4"/>
        <v>9.505124803166602</v>
      </c>
      <c r="K66" s="15">
        <f t="shared" si="17"/>
        <v>0.58915598290598292</v>
      </c>
      <c r="L66" s="2">
        <f t="shared" si="14"/>
        <v>61</v>
      </c>
      <c r="M66" s="2">
        <f t="shared" si="15"/>
        <v>34.65</v>
      </c>
      <c r="N66" s="2">
        <v>7.5</v>
      </c>
      <c r="O66" s="2">
        <v>50.26548245743669</v>
      </c>
      <c r="P66" s="11">
        <f t="shared" si="5"/>
        <v>1.492077591486519</v>
      </c>
      <c r="Q66" s="2">
        <f t="shared" si="6"/>
        <v>51.700488545007879</v>
      </c>
      <c r="R66" s="2">
        <f t="shared" si="7"/>
        <v>1.446850352208229</v>
      </c>
      <c r="S66" s="2">
        <f t="shared" si="8"/>
        <v>50.133364704015129</v>
      </c>
      <c r="T66" s="2">
        <f t="shared" si="9"/>
        <v>1.5671238409927497</v>
      </c>
    </row>
    <row r="67" spans="1:20" x14ac:dyDescent="0.25">
      <c r="A67" s="14">
        <f t="shared" si="16"/>
        <v>0.61079059829059834</v>
      </c>
      <c r="B67" s="2">
        <f t="shared" si="11"/>
        <v>62</v>
      </c>
      <c r="C67" s="4">
        <f t="shared" si="12"/>
        <v>35.33</v>
      </c>
      <c r="D67" s="2">
        <v>5</v>
      </c>
      <c r="E67" s="2">
        <v>50.26548245743669</v>
      </c>
      <c r="F67" s="11">
        <f t="shared" si="0"/>
        <v>0.99471839432434594</v>
      </c>
      <c r="G67" s="2">
        <f t="shared" si="1"/>
        <v>35.143400871479137</v>
      </c>
      <c r="H67" s="2">
        <f t="shared" si="2"/>
        <v>1.3670907449013856</v>
      </c>
      <c r="I67" s="2">
        <f t="shared" si="3"/>
        <v>48.299316017365953</v>
      </c>
      <c r="J67" s="2">
        <f t="shared" si="4"/>
        <v>13.155915145886816</v>
      </c>
      <c r="K67" s="15">
        <f t="shared" si="17"/>
        <v>0.58926282051282053</v>
      </c>
      <c r="L67" s="2">
        <f t="shared" si="14"/>
        <v>62</v>
      </c>
      <c r="M67" s="2">
        <f t="shared" si="15"/>
        <v>35.15</v>
      </c>
      <c r="N67" s="2">
        <v>7</v>
      </c>
      <c r="O67" s="2">
        <v>50.26548245743669</v>
      </c>
      <c r="P67" s="11">
        <f t="shared" si="5"/>
        <v>1.3926057520540844</v>
      </c>
      <c r="Q67" s="2">
        <f t="shared" si="6"/>
        <v>48.950092184701063</v>
      </c>
      <c r="R67" s="2">
        <f t="shared" si="7"/>
        <v>1.446850352208229</v>
      </c>
      <c r="S67" s="2">
        <f t="shared" si="8"/>
        <v>50.856789880119244</v>
      </c>
      <c r="T67" s="2">
        <f t="shared" si="9"/>
        <v>1.9066976954181811</v>
      </c>
    </row>
    <row r="68" spans="1:20" x14ac:dyDescent="0.25">
      <c r="A68" s="14">
        <f t="shared" si="16"/>
        <v>0.61089743589743595</v>
      </c>
      <c r="B68" s="2">
        <f t="shared" si="11"/>
        <v>63</v>
      </c>
      <c r="C68" s="4">
        <f t="shared" si="12"/>
        <v>35.83</v>
      </c>
      <c r="D68" s="2">
        <v>6</v>
      </c>
      <c r="E68" s="2">
        <v>50.26548245743669</v>
      </c>
      <c r="F68" s="11">
        <f t="shared" si="0"/>
        <v>1.1936620731892149</v>
      </c>
      <c r="G68" s="2">
        <f t="shared" si="1"/>
        <v>42.768912082369567</v>
      </c>
      <c r="H68" s="2">
        <f t="shared" si="2"/>
        <v>1.3670907449013856</v>
      </c>
      <c r="I68" s="2">
        <f t="shared" si="3"/>
        <v>48.982861389816641</v>
      </c>
      <c r="J68" s="2">
        <f t="shared" si="4"/>
        <v>6.2139493074470735</v>
      </c>
      <c r="K68" s="15">
        <f t="shared" si="17"/>
        <v>0.58936965811965814</v>
      </c>
      <c r="L68" s="2">
        <f t="shared" si="14"/>
        <v>63</v>
      </c>
      <c r="M68" s="2">
        <f t="shared" si="15"/>
        <v>35.65</v>
      </c>
      <c r="N68" s="2">
        <v>8</v>
      </c>
      <c r="O68" s="2">
        <v>50.26548245743669</v>
      </c>
      <c r="P68" s="11">
        <f t="shared" si="5"/>
        <v>1.5915494309189535</v>
      </c>
      <c r="Q68" s="2">
        <f t="shared" si="6"/>
        <v>56.738737212260688</v>
      </c>
      <c r="R68" s="2">
        <f t="shared" si="7"/>
        <v>1.446850352208229</v>
      </c>
      <c r="S68" s="2">
        <f t="shared" si="8"/>
        <v>51.580215056223359</v>
      </c>
      <c r="T68" s="2">
        <f t="shared" si="9"/>
        <v>5.1585221560373284</v>
      </c>
    </row>
    <row r="69" spans="1:20" x14ac:dyDescent="0.25">
      <c r="A69" s="14">
        <f t="shared" si="16"/>
        <v>0.61100427350427355</v>
      </c>
      <c r="B69" s="2">
        <f t="shared" si="11"/>
        <v>64</v>
      </c>
      <c r="C69" s="4">
        <f t="shared" si="12"/>
        <v>36.33</v>
      </c>
      <c r="D69" s="2">
        <v>6.5</v>
      </c>
      <c r="E69" s="2">
        <v>50.26548245743669</v>
      </c>
      <c r="F69" s="11">
        <f t="shared" si="0"/>
        <v>1.2931339126216495</v>
      </c>
      <c r="G69" s="2">
        <f t="shared" si="1"/>
        <v>46.979555045544522</v>
      </c>
      <c r="H69" s="2">
        <f t="shared" si="2"/>
        <v>1.3670907449013856</v>
      </c>
      <c r="I69" s="2">
        <f t="shared" si="3"/>
        <v>49.666406762267336</v>
      </c>
      <c r="J69" s="2">
        <f t="shared" si="4"/>
        <v>2.6868517167228134</v>
      </c>
      <c r="K69" s="15">
        <f t="shared" si="17"/>
        <v>0.58947649572649574</v>
      </c>
      <c r="L69" s="2">
        <f t="shared" si="14"/>
        <v>64</v>
      </c>
      <c r="M69" s="2">
        <f t="shared" si="15"/>
        <v>36.15</v>
      </c>
      <c r="N69" s="2">
        <v>8</v>
      </c>
      <c r="O69" s="2">
        <v>50.26548245743669</v>
      </c>
      <c r="P69" s="11">
        <f t="shared" si="5"/>
        <v>1.5915494309189535</v>
      </c>
      <c r="Q69" s="2">
        <f t="shared" si="6"/>
        <v>57.534511927720168</v>
      </c>
      <c r="R69" s="2">
        <f t="shared" si="7"/>
        <v>1.446850352208229</v>
      </c>
      <c r="S69" s="2">
        <f t="shared" si="8"/>
        <v>52.303640232327474</v>
      </c>
      <c r="T69" s="2">
        <f t="shared" si="9"/>
        <v>5.2308716953926933</v>
      </c>
    </row>
    <row r="70" spans="1:20" x14ac:dyDescent="0.25">
      <c r="A70" s="14">
        <f t="shared" si="16"/>
        <v>0.61111111111111116</v>
      </c>
      <c r="B70" s="2">
        <f t="shared" si="11"/>
        <v>65</v>
      </c>
      <c r="C70" s="4">
        <f t="shared" si="12"/>
        <v>36.83</v>
      </c>
      <c r="D70" s="2">
        <v>6.5</v>
      </c>
      <c r="E70" s="2">
        <v>50.26548245743669</v>
      </c>
      <c r="F70" s="11">
        <f t="shared" si="0"/>
        <v>1.2931339126216495</v>
      </c>
      <c r="G70" s="2">
        <f t="shared" si="1"/>
        <v>47.62612200185535</v>
      </c>
      <c r="H70" s="2">
        <f t="shared" si="2"/>
        <v>1.3670907449013856</v>
      </c>
      <c r="I70" s="2">
        <f t="shared" si="3"/>
        <v>50.349952134718031</v>
      </c>
      <c r="J70" s="2">
        <f t="shared" si="4"/>
        <v>2.7238301328626804</v>
      </c>
      <c r="K70" s="15">
        <f t="shared" si="17"/>
        <v>0.58958333333333335</v>
      </c>
      <c r="L70" s="2">
        <f t="shared" si="14"/>
        <v>65</v>
      </c>
      <c r="M70" s="2">
        <f t="shared" si="15"/>
        <v>36.65</v>
      </c>
      <c r="N70" s="2">
        <v>8</v>
      </c>
      <c r="O70" s="2">
        <v>50.26548245743669</v>
      </c>
      <c r="P70" s="11">
        <f t="shared" si="5"/>
        <v>1.5915494309189535</v>
      </c>
      <c r="Q70" s="2">
        <f t="shared" si="6"/>
        <v>58.330286643179647</v>
      </c>
      <c r="R70" s="2">
        <f t="shared" si="7"/>
        <v>1.446850352208229</v>
      </c>
      <c r="S70" s="2">
        <f t="shared" si="8"/>
        <v>53.027065408431589</v>
      </c>
      <c r="T70" s="2">
        <f t="shared" si="9"/>
        <v>5.3032212347480581</v>
      </c>
    </row>
    <row r="71" spans="1:20" x14ac:dyDescent="0.25">
      <c r="A71" s="14">
        <f t="shared" si="16"/>
        <v>0.61121794871794877</v>
      </c>
      <c r="B71" s="2">
        <f t="shared" si="11"/>
        <v>66</v>
      </c>
      <c r="C71" s="4">
        <f t="shared" si="12"/>
        <v>37.33</v>
      </c>
      <c r="D71" s="2">
        <v>6.5</v>
      </c>
      <c r="E71" s="2">
        <v>50.26548245743669</v>
      </c>
      <c r="F71" s="11">
        <f t="shared" si="0"/>
        <v>1.2931339126216495</v>
      </c>
      <c r="G71" s="2">
        <f t="shared" si="1"/>
        <v>48.272688958166171</v>
      </c>
      <c r="H71" s="2">
        <f t="shared" si="2"/>
        <v>1.3670907449013856</v>
      </c>
      <c r="I71" s="2">
        <f t="shared" si="3"/>
        <v>51.033497507168725</v>
      </c>
      <c r="J71" s="2">
        <f t="shared" si="4"/>
        <v>2.7608085490025545</v>
      </c>
      <c r="K71" s="15">
        <f t="shared" si="17"/>
        <v>0.58969017094017095</v>
      </c>
      <c r="L71" s="2">
        <f t="shared" si="14"/>
        <v>66</v>
      </c>
      <c r="M71" s="2">
        <f t="shared" si="15"/>
        <v>37.15</v>
      </c>
      <c r="N71" s="2">
        <v>7.5</v>
      </c>
      <c r="O71" s="2">
        <v>50.26548245743669</v>
      </c>
      <c r="P71" s="11">
        <f t="shared" si="5"/>
        <v>1.492077591486519</v>
      </c>
      <c r="Q71" s="2">
        <f t="shared" si="6"/>
        <v>55.43068252372418</v>
      </c>
      <c r="R71" s="2">
        <f t="shared" si="7"/>
        <v>1.446850352208229</v>
      </c>
      <c r="S71" s="2">
        <f t="shared" si="8"/>
        <v>53.750490584535704</v>
      </c>
      <c r="T71" s="2">
        <f t="shared" si="9"/>
        <v>1.6801919391884752</v>
      </c>
    </row>
    <row r="72" spans="1:20" x14ac:dyDescent="0.25">
      <c r="A72" s="14">
        <f t="shared" si="16"/>
        <v>0.61132478632478637</v>
      </c>
      <c r="B72" s="2">
        <f t="shared" si="11"/>
        <v>67</v>
      </c>
      <c r="C72" s="4">
        <f t="shared" si="12"/>
        <v>37.83</v>
      </c>
      <c r="D72" s="2">
        <v>7</v>
      </c>
      <c r="E72" s="2">
        <v>50.26548245743669</v>
      </c>
      <c r="F72" s="11">
        <f t="shared" si="0"/>
        <v>1.3926057520540844</v>
      </c>
      <c r="G72" s="2">
        <f t="shared" si="1"/>
        <v>52.682275600206012</v>
      </c>
      <c r="H72" s="2">
        <f t="shared" si="2"/>
        <v>1.3670907449013856</v>
      </c>
      <c r="I72" s="2">
        <f t="shared" si="3"/>
        <v>51.717042879619413</v>
      </c>
      <c r="J72" s="2">
        <f t="shared" si="4"/>
        <v>0.9652327205865987</v>
      </c>
      <c r="K72" s="15">
        <f t="shared" si="17"/>
        <v>0.58979700854700856</v>
      </c>
      <c r="L72" s="2">
        <f t="shared" si="14"/>
        <v>67</v>
      </c>
      <c r="M72" s="2">
        <f t="shared" si="15"/>
        <v>37.65</v>
      </c>
      <c r="N72" s="2">
        <v>8</v>
      </c>
      <c r="O72" s="2">
        <v>50.26548245743669</v>
      </c>
      <c r="P72" s="11">
        <f t="shared" si="5"/>
        <v>1.5915494309189535</v>
      </c>
      <c r="Q72" s="2">
        <f t="shared" si="6"/>
        <v>59.9218360740986</v>
      </c>
      <c r="R72" s="2">
        <f t="shared" si="7"/>
        <v>1.446850352208229</v>
      </c>
      <c r="S72" s="2">
        <f t="shared" si="8"/>
        <v>54.473915760639819</v>
      </c>
      <c r="T72" s="2">
        <f t="shared" si="9"/>
        <v>5.4479203134587806</v>
      </c>
    </row>
    <row r="73" spans="1:20" x14ac:dyDescent="0.25">
      <c r="A73" s="14">
        <f t="shared" si="16"/>
        <v>0.61143162393162398</v>
      </c>
      <c r="B73" s="2">
        <f t="shared" si="11"/>
        <v>68</v>
      </c>
      <c r="C73" s="4">
        <f t="shared" si="12"/>
        <v>38.33</v>
      </c>
      <c r="D73" s="2">
        <v>7</v>
      </c>
      <c r="E73" s="2">
        <v>50.26548245743669</v>
      </c>
      <c r="F73" s="11">
        <f t="shared" si="0"/>
        <v>1.3926057520540844</v>
      </c>
      <c r="G73" s="2">
        <f t="shared" si="1"/>
        <v>53.378578476233052</v>
      </c>
      <c r="H73" s="2">
        <f t="shared" si="2"/>
        <v>1.3670907449013856</v>
      </c>
      <c r="I73" s="2">
        <f t="shared" si="3"/>
        <v>52.400588252070108</v>
      </c>
      <c r="J73" s="2">
        <f t="shared" si="4"/>
        <v>0.97799022416294434</v>
      </c>
      <c r="K73" s="15">
        <f t="shared" si="17"/>
        <v>0.58990384615384617</v>
      </c>
      <c r="L73" s="2">
        <f t="shared" si="14"/>
        <v>68</v>
      </c>
      <c r="M73" s="2">
        <f t="shared" si="15"/>
        <v>38.15</v>
      </c>
      <c r="N73" s="2">
        <v>8.5</v>
      </c>
      <c r="O73" s="2">
        <v>50.26548245743669</v>
      </c>
      <c r="P73" s="11">
        <f t="shared" si="5"/>
        <v>1.6910212703513881</v>
      </c>
      <c r="Q73" s="2">
        <f t="shared" si="6"/>
        <v>64.512461463905453</v>
      </c>
      <c r="R73" s="2">
        <f t="shared" si="7"/>
        <v>1.446850352208229</v>
      </c>
      <c r="S73" s="2">
        <f t="shared" si="8"/>
        <v>55.197340936743934</v>
      </c>
      <c r="T73" s="2">
        <f t="shared" si="9"/>
        <v>9.3151205271615183</v>
      </c>
    </row>
    <row r="74" spans="1:20" x14ac:dyDescent="0.25">
      <c r="A74" s="14">
        <f t="shared" si="16"/>
        <v>0.61153846153846159</v>
      </c>
      <c r="B74" s="2">
        <f t="shared" si="11"/>
        <v>69</v>
      </c>
      <c r="C74" s="4">
        <f t="shared" si="12"/>
        <v>38.83</v>
      </c>
      <c r="D74" s="2">
        <v>8.5</v>
      </c>
      <c r="E74" s="2">
        <v>50.26548245743669</v>
      </c>
      <c r="F74" s="11">
        <f t="shared" si="0"/>
        <v>1.6910212703513881</v>
      </c>
      <c r="G74" s="2">
        <f t="shared" si="1"/>
        <v>65.6623559277444</v>
      </c>
      <c r="H74" s="2">
        <f t="shared" si="2"/>
        <v>1.3670907449013856</v>
      </c>
      <c r="I74" s="2">
        <f t="shared" si="3"/>
        <v>53.084133624520803</v>
      </c>
      <c r="J74" s="2">
        <f t="shared" si="4"/>
        <v>12.578222303223598</v>
      </c>
      <c r="K74" s="15">
        <f t="shared" si="17"/>
        <v>0.59001068376068377</v>
      </c>
      <c r="L74" s="2">
        <f t="shared" si="14"/>
        <v>69</v>
      </c>
      <c r="M74" s="2">
        <f t="shared" si="15"/>
        <v>38.65</v>
      </c>
      <c r="N74" s="2">
        <v>8</v>
      </c>
      <c r="O74" s="2">
        <v>50.26548245743669</v>
      </c>
      <c r="P74" s="11">
        <f t="shared" si="5"/>
        <v>1.5915494309189535</v>
      </c>
      <c r="Q74" s="2">
        <f t="shared" si="6"/>
        <v>61.513385505017553</v>
      </c>
      <c r="R74" s="2">
        <f t="shared" si="7"/>
        <v>1.446850352208229</v>
      </c>
      <c r="S74" s="2">
        <f t="shared" si="8"/>
        <v>55.92076611284805</v>
      </c>
      <c r="T74" s="2">
        <f t="shared" si="9"/>
        <v>5.5926193921695031</v>
      </c>
    </row>
    <row r="75" spans="1:20" x14ac:dyDescent="0.25">
      <c r="A75" s="14">
        <f t="shared" si="16"/>
        <v>0.61164529914529919</v>
      </c>
      <c r="B75" s="2">
        <f t="shared" si="11"/>
        <v>70</v>
      </c>
      <c r="C75" s="4">
        <f t="shared" si="12"/>
        <v>39.33</v>
      </c>
      <c r="D75" s="2">
        <v>7.5</v>
      </c>
      <c r="E75" s="2">
        <v>50.26548245743669</v>
      </c>
      <c r="F75" s="11">
        <f t="shared" si="0"/>
        <v>1.492077591486519</v>
      </c>
      <c r="G75" s="2">
        <f t="shared" si="1"/>
        <v>58.683411673164791</v>
      </c>
      <c r="H75" s="2">
        <f t="shared" si="2"/>
        <v>1.3670907449013856</v>
      </c>
      <c r="I75" s="2">
        <f t="shared" si="3"/>
        <v>53.76767899697149</v>
      </c>
      <c r="J75" s="2">
        <f t="shared" si="4"/>
        <v>4.9157326761933007</v>
      </c>
      <c r="K75" s="15">
        <f t="shared" si="17"/>
        <v>0.59011752136752138</v>
      </c>
      <c r="L75" s="2">
        <f t="shared" si="14"/>
        <v>70</v>
      </c>
      <c r="M75" s="2">
        <f t="shared" si="15"/>
        <v>39.15</v>
      </c>
      <c r="N75" s="2">
        <v>9.5</v>
      </c>
      <c r="O75" s="2">
        <v>50.26548245743669</v>
      </c>
      <c r="P75" s="11">
        <f t="shared" si="5"/>
        <v>1.8899649492162571</v>
      </c>
      <c r="Q75" s="2">
        <f t="shared" si="6"/>
        <v>73.992127761816462</v>
      </c>
      <c r="R75" s="2">
        <f t="shared" si="7"/>
        <v>1.446850352208229</v>
      </c>
      <c r="S75" s="2">
        <f t="shared" si="8"/>
        <v>56.644191288952165</v>
      </c>
      <c r="T75" s="2">
        <f t="shared" si="9"/>
        <v>17.347936472864298</v>
      </c>
    </row>
    <row r="76" spans="1:20" x14ac:dyDescent="0.25">
      <c r="A76" s="14">
        <f t="shared" si="16"/>
        <v>0.6117521367521368</v>
      </c>
      <c r="B76" s="2">
        <f t="shared" si="11"/>
        <v>71</v>
      </c>
      <c r="C76" s="4">
        <f t="shared" si="12"/>
        <v>39.83</v>
      </c>
      <c r="D76" s="2">
        <v>9.5</v>
      </c>
      <c r="E76" s="2">
        <v>50.26548245743669</v>
      </c>
      <c r="F76" s="11">
        <f t="shared" si="0"/>
        <v>1.8899649492162571</v>
      </c>
      <c r="G76" s="2">
        <f t="shared" si="1"/>
        <v>75.277303927283512</v>
      </c>
      <c r="H76" s="2">
        <f t="shared" si="2"/>
        <v>1.3670907449013856</v>
      </c>
      <c r="I76" s="2">
        <f t="shared" si="3"/>
        <v>54.451224369422185</v>
      </c>
      <c r="J76" s="2">
        <f t="shared" si="4"/>
        <v>20.826079557861327</v>
      </c>
      <c r="K76" s="15">
        <f t="shared" si="17"/>
        <v>0.59022435897435899</v>
      </c>
      <c r="L76" s="2">
        <f t="shared" si="14"/>
        <v>71</v>
      </c>
      <c r="M76" s="2">
        <f t="shared" si="15"/>
        <v>39.65</v>
      </c>
      <c r="N76" s="2">
        <v>8.5</v>
      </c>
      <c r="O76" s="2">
        <v>50.26548245743669</v>
      </c>
      <c r="P76" s="11">
        <f t="shared" si="5"/>
        <v>1.6910212703513881</v>
      </c>
      <c r="Q76" s="2">
        <f t="shared" si="6"/>
        <v>67.048993369432537</v>
      </c>
      <c r="R76" s="2">
        <f t="shared" si="7"/>
        <v>1.446850352208229</v>
      </c>
      <c r="S76" s="2">
        <f t="shared" si="8"/>
        <v>57.36761646505628</v>
      </c>
      <c r="T76" s="2">
        <f t="shared" si="9"/>
        <v>9.6813769043762576</v>
      </c>
    </row>
    <row r="77" spans="1:20" x14ac:dyDescent="0.25">
      <c r="A77" s="14">
        <f t="shared" si="16"/>
        <v>0.61185897435897441</v>
      </c>
      <c r="B77" s="2">
        <f t="shared" si="11"/>
        <v>72</v>
      </c>
      <c r="C77" s="4">
        <f t="shared" si="12"/>
        <v>40.33</v>
      </c>
      <c r="D77" s="2">
        <v>6.5</v>
      </c>
      <c r="E77" s="2">
        <v>50.26548245743669</v>
      </c>
      <c r="F77" s="11">
        <f t="shared" si="0"/>
        <v>1.2931339126216495</v>
      </c>
      <c r="G77" s="2">
        <f t="shared" si="1"/>
        <v>52.152090696031124</v>
      </c>
      <c r="H77" s="2">
        <f t="shared" si="2"/>
        <v>1.3670907449013856</v>
      </c>
      <c r="I77" s="2">
        <f t="shared" si="3"/>
        <v>55.13476974187288</v>
      </c>
      <c r="J77" s="2">
        <f t="shared" si="4"/>
        <v>2.9826790458417562</v>
      </c>
      <c r="K77" s="15">
        <f t="shared" si="17"/>
        <v>0.59033119658119659</v>
      </c>
      <c r="L77" s="2">
        <f t="shared" si="14"/>
        <v>72</v>
      </c>
      <c r="M77" s="2">
        <f t="shared" si="15"/>
        <v>40.15</v>
      </c>
      <c r="N77" s="2">
        <v>7.5</v>
      </c>
      <c r="O77" s="2">
        <v>50.26548245743669</v>
      </c>
      <c r="P77" s="11">
        <f t="shared" si="5"/>
        <v>1.492077591486519</v>
      </c>
      <c r="Q77" s="2">
        <f t="shared" si="6"/>
        <v>59.906915298183733</v>
      </c>
      <c r="R77" s="2">
        <f t="shared" si="7"/>
        <v>1.446850352208229</v>
      </c>
      <c r="S77" s="2">
        <f t="shared" si="8"/>
        <v>58.091041641160395</v>
      </c>
      <c r="T77" s="2">
        <f t="shared" si="9"/>
        <v>1.8158736570233387</v>
      </c>
    </row>
    <row r="78" spans="1:20" x14ac:dyDescent="0.25">
      <c r="A78" s="14">
        <f t="shared" si="16"/>
        <v>0.61196581196581201</v>
      </c>
      <c r="B78" s="2">
        <f t="shared" si="11"/>
        <v>73</v>
      </c>
      <c r="C78" s="4">
        <f t="shared" si="12"/>
        <v>40.83</v>
      </c>
      <c r="D78" s="2">
        <v>5</v>
      </c>
      <c r="E78" s="2">
        <v>50.26548245743669</v>
      </c>
      <c r="F78" s="11">
        <f t="shared" si="0"/>
        <v>0.99471839432434594</v>
      </c>
      <c r="G78" s="2">
        <f t="shared" si="1"/>
        <v>40.614352040263043</v>
      </c>
      <c r="H78" s="2">
        <f t="shared" si="2"/>
        <v>1.3670907449013856</v>
      </c>
      <c r="I78" s="2">
        <f t="shared" si="3"/>
        <v>55.818315114323575</v>
      </c>
      <c r="J78" s="2">
        <f t="shared" si="4"/>
        <v>15.203963074060532</v>
      </c>
      <c r="K78" s="15">
        <f t="shared" si="17"/>
        <v>0.5904380341880342</v>
      </c>
      <c r="L78" s="2">
        <f t="shared" si="14"/>
        <v>73</v>
      </c>
      <c r="M78" s="2">
        <f t="shared" si="15"/>
        <v>40.65</v>
      </c>
      <c r="N78" s="2">
        <v>7</v>
      </c>
      <c r="O78" s="2">
        <v>50.26548245743669</v>
      </c>
      <c r="P78" s="11">
        <f t="shared" si="5"/>
        <v>1.3926057520540844</v>
      </c>
      <c r="Q78" s="2">
        <f t="shared" si="6"/>
        <v>56.609423820998529</v>
      </c>
      <c r="R78" s="2">
        <f t="shared" si="7"/>
        <v>1.446850352208229</v>
      </c>
      <c r="S78" s="2">
        <f t="shared" si="8"/>
        <v>58.81446681726451</v>
      </c>
      <c r="T78" s="2">
        <f t="shared" si="9"/>
        <v>2.2050429962659805</v>
      </c>
    </row>
    <row r="79" spans="1:20" x14ac:dyDescent="0.25">
      <c r="A79" s="14">
        <f t="shared" si="16"/>
        <v>0.61207264957264962</v>
      </c>
      <c r="B79" s="2">
        <f t="shared" si="11"/>
        <v>74</v>
      </c>
      <c r="C79" s="4">
        <f t="shared" si="12"/>
        <v>41.33</v>
      </c>
      <c r="D79" s="2">
        <v>5.5</v>
      </c>
      <c r="E79" s="2">
        <v>50.26548245743669</v>
      </c>
      <c r="F79" s="11">
        <f t="shared" si="0"/>
        <v>1.0941902337567804</v>
      </c>
      <c r="G79" s="2">
        <f t="shared" si="1"/>
        <v>45.222882361167734</v>
      </c>
      <c r="H79" s="2">
        <f t="shared" si="2"/>
        <v>1.3670907449013856</v>
      </c>
      <c r="I79" s="2">
        <f t="shared" si="3"/>
        <v>56.501860486774262</v>
      </c>
      <c r="J79" s="2">
        <f t="shared" si="4"/>
        <v>11.278978125606528</v>
      </c>
      <c r="K79" s="15">
        <f t="shared" si="17"/>
        <v>0.59054487179487181</v>
      </c>
      <c r="L79" s="2">
        <f t="shared" si="14"/>
        <v>74</v>
      </c>
      <c r="M79" s="2">
        <f t="shared" si="15"/>
        <v>41.15</v>
      </c>
      <c r="N79" s="2">
        <v>6</v>
      </c>
      <c r="O79" s="2">
        <v>50.26548245743669</v>
      </c>
      <c r="P79" s="11">
        <f t="shared" si="5"/>
        <v>1.1936620731892149</v>
      </c>
      <c r="Q79" s="2">
        <f t="shared" si="6"/>
        <v>49.119194311736194</v>
      </c>
      <c r="R79" s="2">
        <f t="shared" si="7"/>
        <v>1.446850352208229</v>
      </c>
      <c r="S79" s="2">
        <f t="shared" si="8"/>
        <v>59.537891993368618</v>
      </c>
      <c r="T79" s="2">
        <f t="shared" si="9"/>
        <v>10.418697681632423</v>
      </c>
    </row>
    <row r="80" spans="1:20" x14ac:dyDescent="0.25">
      <c r="A80" s="14">
        <f t="shared" si="16"/>
        <v>0.61217948717948723</v>
      </c>
      <c r="B80" s="2">
        <f t="shared" si="11"/>
        <v>75</v>
      </c>
      <c r="C80" s="4">
        <f t="shared" si="12"/>
        <v>41.83</v>
      </c>
      <c r="D80" s="2">
        <v>5</v>
      </c>
      <c r="E80" s="2">
        <v>50.26548245743669</v>
      </c>
      <c r="F80" s="11">
        <f t="shared" si="0"/>
        <v>0.99471839432434594</v>
      </c>
      <c r="G80" s="2">
        <f t="shared" si="1"/>
        <v>41.609070434587387</v>
      </c>
      <c r="H80" s="2">
        <f t="shared" si="2"/>
        <v>1.3670907449013856</v>
      </c>
      <c r="I80" s="2">
        <f t="shared" si="3"/>
        <v>57.185405859224957</v>
      </c>
      <c r="J80" s="2">
        <f t="shared" si="4"/>
        <v>15.57633542463757</v>
      </c>
      <c r="K80" s="15">
        <f t="shared" si="17"/>
        <v>0.59065170940170941</v>
      </c>
      <c r="L80" s="2">
        <f t="shared" si="14"/>
        <v>75</v>
      </c>
      <c r="M80" s="2">
        <f t="shared" si="15"/>
        <v>41.65</v>
      </c>
      <c r="N80" s="2">
        <v>6</v>
      </c>
      <c r="O80" s="2">
        <v>50.26548245743669</v>
      </c>
      <c r="P80" s="11">
        <f t="shared" si="5"/>
        <v>1.1936620731892149</v>
      </c>
      <c r="Q80" s="2">
        <f t="shared" si="6"/>
        <v>49.716025348330803</v>
      </c>
      <c r="R80" s="2">
        <f t="shared" si="7"/>
        <v>1.446850352208229</v>
      </c>
      <c r="S80" s="2">
        <f t="shared" si="8"/>
        <v>60.261317169472733</v>
      </c>
      <c r="T80" s="2">
        <f t="shared" si="9"/>
        <v>10.54529182114193</v>
      </c>
    </row>
    <row r="81" spans="1:20" x14ac:dyDescent="0.25">
      <c r="A81" s="14">
        <f t="shared" si="16"/>
        <v>0.61228632478632483</v>
      </c>
      <c r="B81" s="2">
        <f t="shared" si="11"/>
        <v>76</v>
      </c>
      <c r="C81" s="4">
        <f t="shared" si="12"/>
        <v>42.33</v>
      </c>
      <c r="D81" s="2">
        <v>5.5</v>
      </c>
      <c r="E81" s="2">
        <v>50.26548245743669</v>
      </c>
      <c r="F81" s="11">
        <f t="shared" si="0"/>
        <v>1.0941902337567804</v>
      </c>
      <c r="G81" s="2">
        <f t="shared" si="1"/>
        <v>46.317072594924511</v>
      </c>
      <c r="H81" s="2">
        <f t="shared" si="2"/>
        <v>1.3670907449013856</v>
      </c>
      <c r="I81" s="2">
        <f t="shared" si="3"/>
        <v>57.868951231675652</v>
      </c>
      <c r="J81" s="2">
        <f t="shared" si="4"/>
        <v>11.551878636751141</v>
      </c>
      <c r="K81" s="15">
        <f t="shared" si="17"/>
        <v>0.59075854700854702</v>
      </c>
      <c r="L81" s="2">
        <f t="shared" si="14"/>
        <v>76</v>
      </c>
      <c r="M81" s="2">
        <f t="shared" si="15"/>
        <v>42.15</v>
      </c>
      <c r="N81" s="2">
        <v>6.5</v>
      </c>
      <c r="O81" s="2">
        <v>50.26548245743669</v>
      </c>
      <c r="P81" s="11">
        <f t="shared" si="5"/>
        <v>1.2931339126216495</v>
      </c>
      <c r="Q81" s="2">
        <f t="shared" si="6"/>
        <v>54.50559441700252</v>
      </c>
      <c r="R81" s="2">
        <f t="shared" si="7"/>
        <v>1.446850352208229</v>
      </c>
      <c r="S81" s="2">
        <f t="shared" si="8"/>
        <v>60.984742345576848</v>
      </c>
      <c r="T81" s="2">
        <f t="shared" si="9"/>
        <v>6.4791479285743279</v>
      </c>
    </row>
    <row r="82" spans="1:20" x14ac:dyDescent="0.25">
      <c r="A82" s="14">
        <f t="shared" si="16"/>
        <v>0.61239316239316244</v>
      </c>
      <c r="B82" s="2">
        <f t="shared" si="11"/>
        <v>77</v>
      </c>
      <c r="C82" s="4">
        <f t="shared" si="12"/>
        <v>42.83</v>
      </c>
      <c r="D82" s="2">
        <v>5.5</v>
      </c>
      <c r="E82" s="2">
        <v>50.26548245743669</v>
      </c>
      <c r="F82" s="11">
        <f t="shared" si="0"/>
        <v>1.0941902337567804</v>
      </c>
      <c r="G82" s="2">
        <f t="shared" si="1"/>
        <v>46.864167711802899</v>
      </c>
      <c r="H82" s="2">
        <f t="shared" si="2"/>
        <v>1.3670907449013856</v>
      </c>
      <c r="I82" s="2">
        <f t="shared" si="3"/>
        <v>58.55249660412634</v>
      </c>
      <c r="J82" s="2">
        <f t="shared" si="4"/>
        <v>11.68832889232344</v>
      </c>
      <c r="K82" s="15">
        <f t="shared" si="17"/>
        <v>0.59086538461538463</v>
      </c>
      <c r="L82" s="2">
        <f t="shared" si="14"/>
        <v>77</v>
      </c>
      <c r="M82" s="2">
        <f t="shared" si="15"/>
        <v>42.65</v>
      </c>
      <c r="N82" s="2">
        <v>6.5</v>
      </c>
      <c r="O82" s="2">
        <v>50.26548245743669</v>
      </c>
      <c r="P82" s="11">
        <f t="shared" si="5"/>
        <v>1.2931339126216495</v>
      </c>
      <c r="Q82" s="2">
        <f t="shared" si="6"/>
        <v>55.152161373313348</v>
      </c>
      <c r="R82" s="2">
        <f t="shared" si="7"/>
        <v>1.446850352208229</v>
      </c>
      <c r="S82" s="2">
        <f t="shared" si="8"/>
        <v>61.708167521680963</v>
      </c>
      <c r="T82" s="2">
        <f t="shared" si="9"/>
        <v>6.5560061483676151</v>
      </c>
    </row>
    <row r="83" spans="1:20" x14ac:dyDescent="0.25">
      <c r="A83" s="10">
        <v>0.61250000000000004</v>
      </c>
      <c r="B83" s="2">
        <f t="shared" si="11"/>
        <v>78</v>
      </c>
      <c r="C83" s="4">
        <f t="shared" si="12"/>
        <v>43.33</v>
      </c>
      <c r="D83" s="2">
        <v>6</v>
      </c>
      <c r="E83" s="2">
        <v>50.26548245743669</v>
      </c>
      <c r="F83" s="11">
        <f t="shared" si="0"/>
        <v>1.1936620731892149</v>
      </c>
      <c r="G83" s="2">
        <f t="shared" si="1"/>
        <v>51.721377631288682</v>
      </c>
      <c r="H83" s="2">
        <f t="shared" si="2"/>
        <v>1.3670907449013856</v>
      </c>
      <c r="I83" s="2">
        <f t="shared" si="3"/>
        <v>59.236041976577035</v>
      </c>
      <c r="J83" s="2">
        <f t="shared" si="4"/>
        <v>7.5146643452883524</v>
      </c>
      <c r="K83" s="12">
        <v>0.59097222222222223</v>
      </c>
      <c r="L83" s="2">
        <f t="shared" si="14"/>
        <v>78</v>
      </c>
      <c r="M83" s="2">
        <f t="shared" si="15"/>
        <v>43.15</v>
      </c>
      <c r="N83" s="2">
        <v>7</v>
      </c>
      <c r="O83" s="2">
        <v>50.26548245743669</v>
      </c>
      <c r="P83" s="11">
        <f t="shared" si="5"/>
        <v>1.3926057520540844</v>
      </c>
      <c r="Q83" s="2">
        <f t="shared" si="6"/>
        <v>60.090938201133739</v>
      </c>
      <c r="R83" s="2">
        <f t="shared" si="7"/>
        <v>1.446850352208229</v>
      </c>
      <c r="S83" s="2">
        <f t="shared" si="8"/>
        <v>62.431592697785078</v>
      </c>
      <c r="T83" s="2">
        <f t="shared" si="9"/>
        <v>2.3406544966513394</v>
      </c>
    </row>
    <row r="84" spans="1:20" x14ac:dyDescent="0.25">
      <c r="A84" s="14">
        <f t="shared" ref="A84:A121" si="18">IF(AND($A$83&lt;&gt;"",$A$122&lt;&gt;""), $A$83 + (B84 - $B$83) * (($A$122 - $A$83) / ($B$122 - $B$83)), "")</f>
        <v>0.61258903133903142</v>
      </c>
      <c r="B84" s="2">
        <f t="shared" si="11"/>
        <v>79</v>
      </c>
      <c r="C84" s="4">
        <f t="shared" si="12"/>
        <v>43.83</v>
      </c>
      <c r="D84" s="2">
        <v>6.5</v>
      </c>
      <c r="E84" s="2">
        <v>50.26548245743669</v>
      </c>
      <c r="F84" s="11">
        <f t="shared" si="0"/>
        <v>1.2931339126216495</v>
      </c>
      <c r="G84" s="2">
        <f t="shared" si="1"/>
        <v>56.67805939020689</v>
      </c>
      <c r="H84" s="2">
        <f t="shared" si="2"/>
        <v>1.3670907449013856</v>
      </c>
      <c r="I84" s="2">
        <f t="shared" si="3"/>
        <v>59.919587349027729</v>
      </c>
      <c r="J84" s="2">
        <f t="shared" si="4"/>
        <v>3.2415279588208392</v>
      </c>
      <c r="K84" s="15">
        <f t="shared" ref="K84:K121" si="19">IF(AND($K$83&lt;&gt;"",$K$122&lt;&gt;""), $K$83 + (L84 - $L$83) * (($K$122 - $K$83) / ($L$122 - $L$83)), "")</f>
        <v>0.59109686609686607</v>
      </c>
      <c r="L84" s="2">
        <f t="shared" si="14"/>
        <v>79</v>
      </c>
      <c r="M84" s="2">
        <f t="shared" si="15"/>
        <v>43.65</v>
      </c>
      <c r="N84" s="2">
        <v>7</v>
      </c>
      <c r="O84" s="2">
        <v>50.26548245743669</v>
      </c>
      <c r="P84" s="11">
        <f t="shared" si="5"/>
        <v>1.3926057520540844</v>
      </c>
      <c r="Q84" s="2">
        <f t="shared" si="6"/>
        <v>60.787241077160786</v>
      </c>
      <c r="R84" s="2">
        <f t="shared" si="7"/>
        <v>1.446850352208229</v>
      </c>
      <c r="S84" s="2">
        <f t="shared" si="8"/>
        <v>63.155017873889193</v>
      </c>
      <c r="T84" s="2">
        <f t="shared" si="9"/>
        <v>2.3677767967284069</v>
      </c>
    </row>
    <row r="85" spans="1:20" x14ac:dyDescent="0.25">
      <c r="A85" s="14">
        <f t="shared" si="18"/>
        <v>0.61267806267806268</v>
      </c>
      <c r="B85" s="2">
        <f t="shared" si="11"/>
        <v>80</v>
      </c>
      <c r="C85" s="4">
        <f t="shared" si="12"/>
        <v>44.33</v>
      </c>
      <c r="D85" s="2">
        <v>6.5</v>
      </c>
      <c r="E85" s="2">
        <v>50.26548245743669</v>
      </c>
      <c r="F85" s="11">
        <f t="shared" si="0"/>
        <v>1.2931339126216495</v>
      </c>
      <c r="G85" s="2">
        <f t="shared" si="1"/>
        <v>57.324626346517718</v>
      </c>
      <c r="H85" s="2">
        <f t="shared" si="2"/>
        <v>1.3670907449013856</v>
      </c>
      <c r="I85" s="2">
        <f t="shared" si="3"/>
        <v>60.603132721478424</v>
      </c>
      <c r="J85" s="2">
        <f t="shared" si="4"/>
        <v>3.2785063749607062</v>
      </c>
      <c r="K85" s="15">
        <f t="shared" si="19"/>
        <v>0.59122150997151002</v>
      </c>
      <c r="L85" s="2">
        <f t="shared" si="14"/>
        <v>80</v>
      </c>
      <c r="M85" s="2">
        <f t="shared" si="15"/>
        <v>44.15</v>
      </c>
      <c r="N85" s="2">
        <v>8</v>
      </c>
      <c r="O85" s="2">
        <v>50.26548245743669</v>
      </c>
      <c r="P85" s="11">
        <f t="shared" si="5"/>
        <v>1.5915494309189535</v>
      </c>
      <c r="Q85" s="2">
        <f t="shared" si="6"/>
        <v>70.266907375071796</v>
      </c>
      <c r="R85" s="2">
        <f t="shared" si="7"/>
        <v>1.446850352208229</v>
      </c>
      <c r="S85" s="2">
        <f t="shared" si="8"/>
        <v>63.878443049993308</v>
      </c>
      <c r="T85" s="2">
        <f t="shared" si="9"/>
        <v>6.3884643250784876</v>
      </c>
    </row>
    <row r="86" spans="1:20" x14ac:dyDescent="0.25">
      <c r="A86" s="14">
        <f t="shared" si="18"/>
        <v>0.61276709401709406</v>
      </c>
      <c r="B86" s="2">
        <f t="shared" si="11"/>
        <v>81</v>
      </c>
      <c r="C86" s="4">
        <f t="shared" si="12"/>
        <v>44.83</v>
      </c>
      <c r="D86" s="2">
        <v>8</v>
      </c>
      <c r="E86" s="2">
        <v>50.26548245743669</v>
      </c>
      <c r="F86" s="11">
        <f t="shared" si="0"/>
        <v>1.5915494309189535</v>
      </c>
      <c r="G86" s="2">
        <f t="shared" si="1"/>
        <v>71.349160988096685</v>
      </c>
      <c r="H86" s="2">
        <f t="shared" si="2"/>
        <v>1.3670907449013856</v>
      </c>
      <c r="I86" s="2">
        <f t="shared" si="3"/>
        <v>61.286678093929112</v>
      </c>
      <c r="J86" s="2">
        <f t="shared" si="4"/>
        <v>10.062482894167573</v>
      </c>
      <c r="K86" s="15">
        <f t="shared" si="19"/>
        <v>0.59134615384615385</v>
      </c>
      <c r="L86" s="2">
        <f t="shared" si="14"/>
        <v>81</v>
      </c>
      <c r="M86" s="2">
        <f t="shared" si="15"/>
        <v>44.65</v>
      </c>
      <c r="N86" s="2">
        <v>8.5</v>
      </c>
      <c r="O86" s="2">
        <v>50.26548245743669</v>
      </c>
      <c r="P86" s="11">
        <f t="shared" si="5"/>
        <v>1.6910212703513881</v>
      </c>
      <c r="Q86" s="2">
        <f t="shared" si="6"/>
        <v>75.504099721189476</v>
      </c>
      <c r="R86" s="2">
        <f t="shared" si="7"/>
        <v>1.446850352208229</v>
      </c>
      <c r="S86" s="2">
        <f t="shared" si="8"/>
        <v>64.601868226097423</v>
      </c>
      <c r="T86" s="2">
        <f t="shared" si="9"/>
        <v>10.902231495092053</v>
      </c>
    </row>
    <row r="87" spans="1:20" x14ac:dyDescent="0.25">
      <c r="A87" s="14">
        <f t="shared" si="18"/>
        <v>0.61285612535612544</v>
      </c>
      <c r="B87" s="2">
        <f t="shared" si="11"/>
        <v>82</v>
      </c>
      <c r="C87" s="4">
        <f t="shared" si="12"/>
        <v>45.33</v>
      </c>
      <c r="D87" s="2">
        <v>8</v>
      </c>
      <c r="E87" s="2">
        <v>50.26548245743669</v>
      </c>
      <c r="F87" s="11">
        <f t="shared" si="0"/>
        <v>1.5915494309189535</v>
      </c>
      <c r="G87" s="2">
        <f t="shared" si="1"/>
        <v>72.144935703556158</v>
      </c>
      <c r="H87" s="2">
        <f t="shared" si="2"/>
        <v>1.3670907449013856</v>
      </c>
      <c r="I87" s="2">
        <f t="shared" si="3"/>
        <v>61.970223466379807</v>
      </c>
      <c r="J87" s="2">
        <f t="shared" si="4"/>
        <v>10.174712237176351</v>
      </c>
      <c r="K87" s="15">
        <f t="shared" si="19"/>
        <v>0.59147079772079769</v>
      </c>
      <c r="L87" s="2">
        <f t="shared" si="14"/>
        <v>82</v>
      </c>
      <c r="M87" s="2">
        <f t="shared" si="15"/>
        <v>45.15</v>
      </c>
      <c r="N87" s="2">
        <v>9.5</v>
      </c>
      <c r="O87" s="2">
        <v>50.26548245743669</v>
      </c>
      <c r="P87" s="11">
        <f t="shared" si="5"/>
        <v>1.8899649492162571</v>
      </c>
      <c r="Q87" s="2">
        <f t="shared" si="6"/>
        <v>85.331917457114002</v>
      </c>
      <c r="R87" s="2">
        <f t="shared" si="7"/>
        <v>1.446850352208229</v>
      </c>
      <c r="S87" s="2">
        <f t="shared" si="8"/>
        <v>65.325293402201538</v>
      </c>
      <c r="T87" s="2">
        <f t="shared" si="9"/>
        <v>20.006624054912464</v>
      </c>
    </row>
    <row r="88" spans="1:20" x14ac:dyDescent="0.25">
      <c r="A88" s="14">
        <f t="shared" si="18"/>
        <v>0.6129451566951567</v>
      </c>
      <c r="B88" s="2">
        <f t="shared" si="11"/>
        <v>83</v>
      </c>
      <c r="C88" s="4">
        <f t="shared" si="12"/>
        <v>45.83</v>
      </c>
      <c r="D88" s="2">
        <v>8</v>
      </c>
      <c r="E88" s="2">
        <v>50.26548245743669</v>
      </c>
      <c r="F88" s="11">
        <f t="shared" si="0"/>
        <v>1.5915494309189535</v>
      </c>
      <c r="G88" s="2">
        <f t="shared" si="1"/>
        <v>72.94071041901563</v>
      </c>
      <c r="H88" s="2">
        <f t="shared" si="2"/>
        <v>1.3670907449013856</v>
      </c>
      <c r="I88" s="2">
        <f t="shared" si="3"/>
        <v>62.653768838830501</v>
      </c>
      <c r="J88" s="2">
        <f t="shared" si="4"/>
        <v>10.286941580185129</v>
      </c>
      <c r="K88" s="15">
        <f t="shared" si="19"/>
        <v>0.59159544159544164</v>
      </c>
      <c r="L88" s="2">
        <f t="shared" si="14"/>
        <v>83</v>
      </c>
      <c r="M88" s="2">
        <f t="shared" si="15"/>
        <v>45.65</v>
      </c>
      <c r="N88" s="2">
        <v>9</v>
      </c>
      <c r="O88" s="2">
        <v>50.26548245743669</v>
      </c>
      <c r="P88" s="11">
        <f t="shared" si="5"/>
        <v>1.7904931097838226</v>
      </c>
      <c r="Q88" s="2">
        <f t="shared" si="6"/>
        <v>81.736010461631494</v>
      </c>
      <c r="R88" s="2">
        <f t="shared" si="7"/>
        <v>1.446850352208229</v>
      </c>
      <c r="S88" s="2">
        <f t="shared" si="8"/>
        <v>66.048718578305653</v>
      </c>
      <c r="T88" s="2">
        <f t="shared" si="9"/>
        <v>15.687291883325841</v>
      </c>
    </row>
    <row r="89" spans="1:20" x14ac:dyDescent="0.25">
      <c r="A89" s="14">
        <f t="shared" si="18"/>
        <v>0.61303418803418808</v>
      </c>
      <c r="B89" s="2">
        <f t="shared" si="11"/>
        <v>84</v>
      </c>
      <c r="C89" s="4">
        <f t="shared" si="12"/>
        <v>46.33</v>
      </c>
      <c r="D89" s="2">
        <v>8.5</v>
      </c>
      <c r="E89" s="2">
        <v>50.26548245743669</v>
      </c>
      <c r="F89" s="11">
        <f t="shared" si="0"/>
        <v>1.6910212703513881</v>
      </c>
      <c r="G89" s="2">
        <f t="shared" si="1"/>
        <v>78.345015455379809</v>
      </c>
      <c r="H89" s="2">
        <f t="shared" si="2"/>
        <v>1.3670907449013856</v>
      </c>
      <c r="I89" s="2">
        <f t="shared" si="3"/>
        <v>63.337314211281189</v>
      </c>
      <c r="J89" s="2">
        <f t="shared" si="4"/>
        <v>15.007701244098619</v>
      </c>
      <c r="K89" s="15">
        <f t="shared" si="19"/>
        <v>0.59172008547008548</v>
      </c>
      <c r="L89" s="2">
        <f t="shared" si="14"/>
        <v>84</v>
      </c>
      <c r="M89" s="2">
        <f t="shared" si="15"/>
        <v>46.15</v>
      </c>
      <c r="N89" s="2">
        <v>9.5</v>
      </c>
      <c r="O89" s="2">
        <v>50.26548245743669</v>
      </c>
      <c r="P89" s="11">
        <f t="shared" si="5"/>
        <v>1.8899649492162571</v>
      </c>
      <c r="Q89" s="2">
        <f t="shared" si="6"/>
        <v>87.221882406330266</v>
      </c>
      <c r="R89" s="2">
        <f t="shared" si="7"/>
        <v>1.446850352208229</v>
      </c>
      <c r="S89" s="2">
        <f t="shared" si="8"/>
        <v>66.772143754409768</v>
      </c>
      <c r="T89" s="2">
        <f t="shared" si="9"/>
        <v>20.449738651920498</v>
      </c>
    </row>
    <row r="90" spans="1:20" x14ac:dyDescent="0.25">
      <c r="A90" s="14">
        <f t="shared" si="18"/>
        <v>0.61312321937321945</v>
      </c>
      <c r="B90" s="2">
        <f t="shared" si="11"/>
        <v>85</v>
      </c>
      <c r="C90" s="4">
        <f t="shared" si="12"/>
        <v>46.83</v>
      </c>
      <c r="D90" s="2">
        <v>7</v>
      </c>
      <c r="E90" s="2">
        <v>50.26548245743669</v>
      </c>
      <c r="F90" s="11">
        <f t="shared" si="0"/>
        <v>1.3926057520540844</v>
      </c>
      <c r="G90" s="2">
        <f t="shared" si="1"/>
        <v>65.215727368692768</v>
      </c>
      <c r="H90" s="2">
        <f t="shared" si="2"/>
        <v>1.3670907449013856</v>
      </c>
      <c r="I90" s="2">
        <f t="shared" si="3"/>
        <v>64.020859583731891</v>
      </c>
      <c r="J90" s="2">
        <f t="shared" si="4"/>
        <v>1.1948677849608771</v>
      </c>
      <c r="K90" s="15">
        <f t="shared" si="19"/>
        <v>0.59184472934472931</v>
      </c>
      <c r="L90" s="2">
        <f t="shared" si="14"/>
        <v>85</v>
      </c>
      <c r="M90" s="2">
        <f t="shared" si="15"/>
        <v>46.65</v>
      </c>
      <c r="N90" s="2">
        <v>8</v>
      </c>
      <c r="O90" s="2">
        <v>50.26548245743669</v>
      </c>
      <c r="P90" s="11">
        <f t="shared" si="5"/>
        <v>1.5915494309189535</v>
      </c>
      <c r="Q90" s="2">
        <f t="shared" si="6"/>
        <v>74.245780952369174</v>
      </c>
      <c r="R90" s="2">
        <f t="shared" si="7"/>
        <v>1.446850352208229</v>
      </c>
      <c r="S90" s="2">
        <f t="shared" si="8"/>
        <v>67.495568930513883</v>
      </c>
      <c r="T90" s="2">
        <f t="shared" si="9"/>
        <v>6.7502120218552903</v>
      </c>
    </row>
    <row r="91" spans="1:20" x14ac:dyDescent="0.25">
      <c r="A91" s="14">
        <f t="shared" si="18"/>
        <v>0.61321225071225072</v>
      </c>
      <c r="B91" s="2">
        <f t="shared" si="11"/>
        <v>86</v>
      </c>
      <c r="C91" s="4">
        <f t="shared" si="12"/>
        <v>47.33</v>
      </c>
      <c r="D91" s="2">
        <v>7</v>
      </c>
      <c r="E91" s="2">
        <v>50.26548245743669</v>
      </c>
      <c r="F91" s="11">
        <f t="shared" si="0"/>
        <v>1.3926057520540844</v>
      </c>
      <c r="G91" s="2">
        <f t="shared" si="1"/>
        <v>65.912030244719816</v>
      </c>
      <c r="H91" s="2">
        <f t="shared" si="2"/>
        <v>1.3670907449013856</v>
      </c>
      <c r="I91" s="2">
        <f t="shared" si="3"/>
        <v>64.704404956182572</v>
      </c>
      <c r="J91" s="2">
        <f t="shared" si="4"/>
        <v>1.207625288537244</v>
      </c>
      <c r="K91" s="15">
        <f t="shared" si="19"/>
        <v>0.59196937321937326</v>
      </c>
      <c r="L91" s="2">
        <f t="shared" si="14"/>
        <v>86</v>
      </c>
      <c r="M91" s="2">
        <f t="shared" si="15"/>
        <v>47.15</v>
      </c>
      <c r="N91" s="2">
        <v>7</v>
      </c>
      <c r="O91" s="2">
        <v>50.26548245743669</v>
      </c>
      <c r="P91" s="11">
        <f t="shared" si="5"/>
        <v>1.3926057520540844</v>
      </c>
      <c r="Q91" s="2">
        <f t="shared" si="6"/>
        <v>65.661361209350076</v>
      </c>
      <c r="R91" s="2">
        <f t="shared" si="7"/>
        <v>1.446850352208229</v>
      </c>
      <c r="S91" s="2">
        <f t="shared" si="8"/>
        <v>68.218994106617998</v>
      </c>
      <c r="T91" s="2">
        <f t="shared" si="9"/>
        <v>2.5576328972679221</v>
      </c>
    </row>
    <row r="92" spans="1:20" x14ac:dyDescent="0.25">
      <c r="A92" s="14">
        <f t="shared" si="18"/>
        <v>0.61330128205128209</v>
      </c>
      <c r="B92" s="2">
        <f t="shared" si="11"/>
        <v>87</v>
      </c>
      <c r="C92" s="4">
        <f t="shared" si="12"/>
        <v>47.83</v>
      </c>
      <c r="D92" s="2">
        <v>6</v>
      </c>
      <c r="E92" s="2">
        <v>50.26548245743669</v>
      </c>
      <c r="F92" s="11">
        <f t="shared" si="0"/>
        <v>1.1936620731892149</v>
      </c>
      <c r="G92" s="2">
        <f t="shared" si="1"/>
        <v>57.092856960640148</v>
      </c>
      <c r="H92" s="2">
        <f t="shared" si="2"/>
        <v>1.3670907449013856</v>
      </c>
      <c r="I92" s="2">
        <f t="shared" si="3"/>
        <v>65.387950328633266</v>
      </c>
      <c r="J92" s="2">
        <f t="shared" si="4"/>
        <v>8.2950933679931182</v>
      </c>
      <c r="K92" s="15">
        <f t="shared" si="19"/>
        <v>0.5920940170940171</v>
      </c>
      <c r="L92" s="2">
        <f t="shared" si="14"/>
        <v>87</v>
      </c>
      <c r="M92" s="2">
        <f t="shared" si="15"/>
        <v>47.65</v>
      </c>
      <c r="N92" s="2">
        <v>7.5</v>
      </c>
      <c r="O92" s="2">
        <v>50.26548245743669</v>
      </c>
      <c r="P92" s="11">
        <f t="shared" si="5"/>
        <v>1.492077591486519</v>
      </c>
      <c r="Q92" s="2">
        <f t="shared" si="6"/>
        <v>71.097497234332621</v>
      </c>
      <c r="R92" s="2">
        <f t="shared" si="7"/>
        <v>1.446850352208229</v>
      </c>
      <c r="S92" s="2">
        <f t="shared" si="8"/>
        <v>68.942419282722113</v>
      </c>
      <c r="T92" s="2">
        <f t="shared" si="9"/>
        <v>2.1550779516105081</v>
      </c>
    </row>
    <row r="93" spans="1:20" x14ac:dyDescent="0.25">
      <c r="A93" s="14">
        <f t="shared" si="18"/>
        <v>0.61339031339031347</v>
      </c>
      <c r="B93" s="2">
        <f t="shared" si="11"/>
        <v>88</v>
      </c>
      <c r="C93" s="4">
        <f t="shared" si="12"/>
        <v>48.33</v>
      </c>
      <c r="D93" s="2">
        <v>6</v>
      </c>
      <c r="E93" s="2">
        <v>50.26548245743669</v>
      </c>
      <c r="F93" s="11">
        <f t="shared" si="0"/>
        <v>1.1936620731892149</v>
      </c>
      <c r="G93" s="2">
        <f t="shared" si="1"/>
        <v>57.689687997234756</v>
      </c>
      <c r="H93" s="2">
        <f t="shared" si="2"/>
        <v>1.3670907449013856</v>
      </c>
      <c r="I93" s="2">
        <f t="shared" si="3"/>
        <v>66.071495701083961</v>
      </c>
      <c r="J93" s="2">
        <f t="shared" si="4"/>
        <v>8.3818077038492049</v>
      </c>
      <c r="K93" s="15">
        <f t="shared" si="19"/>
        <v>0.59221866096866094</v>
      </c>
      <c r="L93" s="2">
        <f t="shared" si="14"/>
        <v>88</v>
      </c>
      <c r="M93" s="2">
        <f t="shared" si="15"/>
        <v>48.15</v>
      </c>
      <c r="N93" s="2">
        <v>7.5</v>
      </c>
      <c r="O93" s="2">
        <v>50.26548245743669</v>
      </c>
      <c r="P93" s="11">
        <f t="shared" si="5"/>
        <v>1.492077591486519</v>
      </c>
      <c r="Q93" s="2">
        <f t="shared" si="6"/>
        <v>71.843536030075882</v>
      </c>
      <c r="R93" s="2">
        <f t="shared" si="7"/>
        <v>1.446850352208229</v>
      </c>
      <c r="S93" s="2">
        <f t="shared" si="8"/>
        <v>69.665844458826228</v>
      </c>
      <c r="T93" s="2">
        <f t="shared" si="9"/>
        <v>2.1776915712496532</v>
      </c>
    </row>
    <row r="94" spans="1:20" x14ac:dyDescent="0.25">
      <c r="A94" s="14">
        <f t="shared" si="18"/>
        <v>0.61347934472934473</v>
      </c>
      <c r="B94" s="2">
        <f t="shared" si="11"/>
        <v>89</v>
      </c>
      <c r="C94" s="4">
        <f t="shared" si="12"/>
        <v>48.83</v>
      </c>
      <c r="D94" s="2">
        <v>6</v>
      </c>
      <c r="E94" s="2">
        <v>50.26548245743669</v>
      </c>
      <c r="F94" s="11">
        <f t="shared" si="0"/>
        <v>1.1936620731892149</v>
      </c>
      <c r="G94" s="2">
        <f t="shared" si="1"/>
        <v>58.286519033829364</v>
      </c>
      <c r="H94" s="2">
        <f t="shared" si="2"/>
        <v>1.3670907449013856</v>
      </c>
      <c r="I94" s="2">
        <f t="shared" si="3"/>
        <v>66.755041073534656</v>
      </c>
      <c r="J94" s="2">
        <f t="shared" si="4"/>
        <v>8.4685220397052916</v>
      </c>
      <c r="K94" s="15">
        <f t="shared" si="19"/>
        <v>0.59234330484330489</v>
      </c>
      <c r="L94" s="2">
        <f t="shared" si="14"/>
        <v>89</v>
      </c>
      <c r="M94" s="2">
        <f t="shared" si="15"/>
        <v>48.65</v>
      </c>
      <c r="N94" s="2">
        <v>7.5</v>
      </c>
      <c r="O94" s="2">
        <v>50.26548245743669</v>
      </c>
      <c r="P94" s="11">
        <f t="shared" si="5"/>
        <v>1.492077591486519</v>
      </c>
      <c r="Q94" s="2">
        <f t="shared" si="6"/>
        <v>72.589574825819142</v>
      </c>
      <c r="R94" s="2">
        <f t="shared" si="7"/>
        <v>1.446850352208229</v>
      </c>
      <c r="S94" s="2">
        <f t="shared" si="8"/>
        <v>70.389269634930343</v>
      </c>
      <c r="T94" s="2">
        <f t="shared" si="9"/>
        <v>2.2003051908887983</v>
      </c>
    </row>
    <row r="95" spans="1:20" x14ac:dyDescent="0.25">
      <c r="A95" s="14">
        <f t="shared" si="18"/>
        <v>0.61356837606837611</v>
      </c>
      <c r="B95" s="2">
        <f t="shared" si="11"/>
        <v>90</v>
      </c>
      <c r="C95" s="4">
        <f t="shared" si="12"/>
        <v>49.33</v>
      </c>
      <c r="D95" s="2">
        <v>6</v>
      </c>
      <c r="E95" s="2">
        <v>50.26548245743669</v>
      </c>
      <c r="F95" s="11">
        <f t="shared" si="0"/>
        <v>1.1936620731892149</v>
      </c>
      <c r="G95" s="2">
        <f t="shared" si="1"/>
        <v>58.883350070423973</v>
      </c>
      <c r="H95" s="2">
        <f t="shared" si="2"/>
        <v>1.3670907449013856</v>
      </c>
      <c r="I95" s="2">
        <f t="shared" si="3"/>
        <v>67.438586445985351</v>
      </c>
      <c r="J95" s="2">
        <f t="shared" si="4"/>
        <v>8.5552363755613783</v>
      </c>
      <c r="K95" s="15">
        <f t="shared" si="19"/>
        <v>0.59246794871794872</v>
      </c>
      <c r="L95" s="2">
        <f t="shared" si="14"/>
        <v>90</v>
      </c>
      <c r="M95" s="2">
        <f t="shared" si="15"/>
        <v>49.15</v>
      </c>
      <c r="N95" s="2">
        <v>7</v>
      </c>
      <c r="O95" s="2">
        <v>50.26548245743669</v>
      </c>
      <c r="P95" s="11">
        <f t="shared" si="5"/>
        <v>1.3926057520540844</v>
      </c>
      <c r="Q95" s="2">
        <f t="shared" si="6"/>
        <v>68.446572713458252</v>
      </c>
      <c r="R95" s="2">
        <f t="shared" si="7"/>
        <v>1.446850352208229</v>
      </c>
      <c r="S95" s="2">
        <f t="shared" si="8"/>
        <v>71.112694811034459</v>
      </c>
      <c r="T95" s="2">
        <f t="shared" si="9"/>
        <v>2.6661220975762063</v>
      </c>
    </row>
    <row r="96" spans="1:20" x14ac:dyDescent="0.25">
      <c r="A96" s="14">
        <f t="shared" si="18"/>
        <v>0.61365740740740748</v>
      </c>
      <c r="B96" s="2">
        <f t="shared" si="11"/>
        <v>91</v>
      </c>
      <c r="C96" s="4">
        <f t="shared" si="12"/>
        <v>49.83</v>
      </c>
      <c r="D96" s="2">
        <v>6.5</v>
      </c>
      <c r="E96" s="2">
        <v>50.26548245743669</v>
      </c>
      <c r="F96" s="11">
        <f t="shared" si="0"/>
        <v>1.2931339126216495</v>
      </c>
      <c r="G96" s="2">
        <f t="shared" si="1"/>
        <v>64.436862865936789</v>
      </c>
      <c r="H96" s="2">
        <f t="shared" si="2"/>
        <v>1.3670907449013856</v>
      </c>
      <c r="I96" s="2">
        <f t="shared" si="3"/>
        <v>68.122131818436046</v>
      </c>
      <c r="J96" s="2">
        <f t="shared" si="4"/>
        <v>3.685268952499257</v>
      </c>
      <c r="K96" s="15">
        <f t="shared" si="19"/>
        <v>0.59259259259259256</v>
      </c>
      <c r="L96" s="2">
        <f t="shared" si="14"/>
        <v>91</v>
      </c>
      <c r="M96" s="2">
        <f t="shared" si="15"/>
        <v>49.65</v>
      </c>
      <c r="N96" s="2">
        <v>7</v>
      </c>
      <c r="O96" s="2">
        <v>50.26548245743669</v>
      </c>
      <c r="P96" s="11">
        <f t="shared" si="5"/>
        <v>1.3926057520540844</v>
      </c>
      <c r="Q96" s="2">
        <f t="shared" si="6"/>
        <v>69.142875589485286</v>
      </c>
      <c r="R96" s="2">
        <f t="shared" si="7"/>
        <v>1.446850352208229</v>
      </c>
      <c r="S96" s="2">
        <f t="shared" si="8"/>
        <v>71.836119987138574</v>
      </c>
      <c r="T96" s="2">
        <f t="shared" si="9"/>
        <v>2.693244397653288</v>
      </c>
    </row>
    <row r="97" spans="1:20" x14ac:dyDescent="0.25">
      <c r="A97" s="14">
        <f t="shared" si="18"/>
        <v>0.61374643874643875</v>
      </c>
      <c r="B97" s="2">
        <f t="shared" si="11"/>
        <v>92</v>
      </c>
      <c r="C97" s="4">
        <f t="shared" si="12"/>
        <v>50.33</v>
      </c>
      <c r="D97" s="2">
        <v>6.5</v>
      </c>
      <c r="E97" s="2">
        <v>50.26548245743669</v>
      </c>
      <c r="F97" s="11">
        <f t="shared" si="0"/>
        <v>1.2931339126216495</v>
      </c>
      <c r="G97" s="2">
        <f t="shared" si="1"/>
        <v>65.083429822247609</v>
      </c>
      <c r="H97" s="2">
        <f t="shared" si="2"/>
        <v>1.3670907449013856</v>
      </c>
      <c r="I97" s="2">
        <f t="shared" si="3"/>
        <v>68.80567719088674</v>
      </c>
      <c r="J97" s="2">
        <f t="shared" si="4"/>
        <v>3.7222473686391311</v>
      </c>
      <c r="K97" s="15">
        <f t="shared" si="19"/>
        <v>0.59271723646723651</v>
      </c>
      <c r="L97" s="2">
        <f t="shared" si="14"/>
        <v>92</v>
      </c>
      <c r="M97" s="2">
        <f t="shared" si="15"/>
        <v>50.15</v>
      </c>
      <c r="N97" s="2">
        <v>6.5</v>
      </c>
      <c r="O97" s="2">
        <v>50.26548245743669</v>
      </c>
      <c r="P97" s="11">
        <f t="shared" si="5"/>
        <v>1.2931339126216495</v>
      </c>
      <c r="Q97" s="2">
        <f t="shared" si="6"/>
        <v>64.850665717975716</v>
      </c>
      <c r="R97" s="2">
        <f t="shared" si="7"/>
        <v>1.446850352208229</v>
      </c>
      <c r="S97" s="2">
        <f t="shared" si="8"/>
        <v>72.559545163242689</v>
      </c>
      <c r="T97" s="2">
        <f t="shared" si="9"/>
        <v>7.7088794452669731</v>
      </c>
    </row>
    <row r="98" spans="1:20" x14ac:dyDescent="0.25">
      <c r="A98" s="14">
        <f t="shared" si="18"/>
        <v>0.61383547008547013</v>
      </c>
      <c r="B98" s="2">
        <f t="shared" si="11"/>
        <v>93</v>
      </c>
      <c r="C98" s="4">
        <f t="shared" si="12"/>
        <v>50.83</v>
      </c>
      <c r="D98" s="2">
        <v>7.5</v>
      </c>
      <c r="E98" s="2">
        <v>50.26548245743669</v>
      </c>
      <c r="F98" s="11">
        <f t="shared" si="0"/>
        <v>1.492077591486519</v>
      </c>
      <c r="G98" s="2">
        <f t="shared" si="1"/>
        <v>75.842303975259753</v>
      </c>
      <c r="H98" s="2">
        <f t="shared" si="2"/>
        <v>1.3670907449013856</v>
      </c>
      <c r="I98" s="2">
        <f t="shared" si="3"/>
        <v>69.489222563337421</v>
      </c>
      <c r="J98" s="2">
        <f t="shared" si="4"/>
        <v>6.3530814119223322</v>
      </c>
      <c r="K98" s="15">
        <f t="shared" si="19"/>
        <v>0.59284188034188035</v>
      </c>
      <c r="L98" s="2">
        <f t="shared" si="14"/>
        <v>93</v>
      </c>
      <c r="M98" s="2">
        <f t="shared" si="15"/>
        <v>50.65</v>
      </c>
      <c r="N98" s="2">
        <v>7.5</v>
      </c>
      <c r="O98" s="2">
        <v>50.26548245743669</v>
      </c>
      <c r="P98" s="11">
        <f t="shared" si="5"/>
        <v>1.492077591486519</v>
      </c>
      <c r="Q98" s="2">
        <f t="shared" si="6"/>
        <v>75.573730008792182</v>
      </c>
      <c r="R98" s="2">
        <f t="shared" si="7"/>
        <v>1.446850352208229</v>
      </c>
      <c r="S98" s="2">
        <f t="shared" si="8"/>
        <v>73.28297033934679</v>
      </c>
      <c r="T98" s="2">
        <f t="shared" si="9"/>
        <v>2.2907596694453929</v>
      </c>
    </row>
    <row r="99" spans="1:20" x14ac:dyDescent="0.25">
      <c r="A99" s="14">
        <f t="shared" si="18"/>
        <v>0.6139245014245015</v>
      </c>
      <c r="B99" s="2">
        <f t="shared" si="11"/>
        <v>94</v>
      </c>
      <c r="C99" s="4">
        <f t="shared" si="12"/>
        <v>51.33</v>
      </c>
      <c r="D99" s="2">
        <v>8</v>
      </c>
      <c r="E99" s="2">
        <v>50.26548245743669</v>
      </c>
      <c r="F99" s="11">
        <f t="shared" si="0"/>
        <v>1.5915494309189535</v>
      </c>
      <c r="G99" s="2">
        <f t="shared" si="1"/>
        <v>81.694232289069888</v>
      </c>
      <c r="H99" s="2">
        <f t="shared" si="2"/>
        <v>1.3670907449013856</v>
      </c>
      <c r="I99" s="2">
        <f t="shared" si="3"/>
        <v>70.172767935788116</v>
      </c>
      <c r="J99" s="2">
        <f t="shared" si="4"/>
        <v>11.521464353281772</v>
      </c>
      <c r="K99" s="15">
        <f t="shared" si="19"/>
        <v>0.59296652421652418</v>
      </c>
      <c r="L99" s="2">
        <f t="shared" si="14"/>
        <v>94</v>
      </c>
      <c r="M99" s="2">
        <f t="shared" si="15"/>
        <v>51.15</v>
      </c>
      <c r="N99" s="2">
        <v>8</v>
      </c>
      <c r="O99" s="2">
        <v>50.26548245743669</v>
      </c>
      <c r="P99" s="11">
        <f t="shared" si="5"/>
        <v>1.5915494309189535</v>
      </c>
      <c r="Q99" s="2">
        <f t="shared" si="6"/>
        <v>81.407753391504471</v>
      </c>
      <c r="R99" s="2">
        <f t="shared" si="7"/>
        <v>1.446850352208229</v>
      </c>
      <c r="S99" s="2">
        <f t="shared" si="8"/>
        <v>74.006395515450905</v>
      </c>
      <c r="T99" s="2">
        <f t="shared" si="9"/>
        <v>7.4013578760535665</v>
      </c>
    </row>
    <row r="100" spans="1:20" x14ac:dyDescent="0.25">
      <c r="A100" s="14">
        <f t="shared" si="18"/>
        <v>0.61401353276353277</v>
      </c>
      <c r="B100" s="2">
        <f t="shared" si="11"/>
        <v>95</v>
      </c>
      <c r="C100" s="4">
        <f t="shared" si="12"/>
        <v>51.83</v>
      </c>
      <c r="D100" s="2">
        <v>8</v>
      </c>
      <c r="E100" s="2">
        <v>50.26548245743669</v>
      </c>
      <c r="F100" s="11">
        <f t="shared" si="0"/>
        <v>1.5915494309189535</v>
      </c>
      <c r="G100" s="2">
        <f t="shared" si="1"/>
        <v>82.49000700452936</v>
      </c>
      <c r="H100" s="2">
        <f t="shared" si="2"/>
        <v>1.3670907449013856</v>
      </c>
      <c r="I100" s="2">
        <f t="shared" si="3"/>
        <v>70.856313308238811</v>
      </c>
      <c r="J100" s="2">
        <f t="shared" si="4"/>
        <v>11.63369369629055</v>
      </c>
      <c r="K100" s="15">
        <f t="shared" si="19"/>
        <v>0.59309116809116813</v>
      </c>
      <c r="L100" s="2">
        <f t="shared" si="14"/>
        <v>95</v>
      </c>
      <c r="M100" s="2">
        <f t="shared" si="15"/>
        <v>51.65</v>
      </c>
      <c r="N100" s="2">
        <v>8.5</v>
      </c>
      <c r="O100" s="2">
        <v>50.26548245743669</v>
      </c>
      <c r="P100" s="11">
        <f t="shared" si="5"/>
        <v>1.6910212703513881</v>
      </c>
      <c r="Q100" s="2">
        <f t="shared" si="6"/>
        <v>87.341248613649185</v>
      </c>
      <c r="R100" s="2">
        <f t="shared" si="7"/>
        <v>1.446850352208229</v>
      </c>
      <c r="S100" s="2">
        <f t="shared" si="8"/>
        <v>74.72982069155502</v>
      </c>
      <c r="T100" s="2">
        <f t="shared" si="9"/>
        <v>12.611427922094165</v>
      </c>
    </row>
    <row r="101" spans="1:20" x14ac:dyDescent="0.25">
      <c r="A101" s="14">
        <f t="shared" si="18"/>
        <v>0.61410256410256414</v>
      </c>
      <c r="B101" s="2">
        <f t="shared" si="11"/>
        <v>96</v>
      </c>
      <c r="C101" s="4">
        <f t="shared" si="12"/>
        <v>52.33</v>
      </c>
      <c r="D101" s="2">
        <v>7.5</v>
      </c>
      <c r="E101" s="2">
        <v>50.26548245743669</v>
      </c>
      <c r="F101" s="11">
        <f t="shared" si="0"/>
        <v>1.492077591486519</v>
      </c>
      <c r="G101" s="2">
        <f t="shared" si="1"/>
        <v>78.080420362489534</v>
      </c>
      <c r="H101" s="2">
        <f t="shared" si="2"/>
        <v>1.3670907449013856</v>
      </c>
      <c r="I101" s="2">
        <f t="shared" si="3"/>
        <v>71.539858680689505</v>
      </c>
      <c r="J101" s="2">
        <f t="shared" si="4"/>
        <v>6.5405616818000283</v>
      </c>
      <c r="K101" s="15">
        <f t="shared" si="19"/>
        <v>0.59321581196581197</v>
      </c>
      <c r="L101" s="2">
        <f t="shared" si="14"/>
        <v>96</v>
      </c>
      <c r="M101" s="2">
        <f t="shared" si="15"/>
        <v>52.15</v>
      </c>
      <c r="N101" s="2">
        <v>8.5</v>
      </c>
      <c r="O101" s="2">
        <v>50.26548245743669</v>
      </c>
      <c r="P101" s="11">
        <f t="shared" si="5"/>
        <v>1.6910212703513881</v>
      </c>
      <c r="Q101" s="2">
        <f t="shared" si="6"/>
        <v>88.186759248824885</v>
      </c>
      <c r="R101" s="2">
        <f t="shared" si="7"/>
        <v>1.446850352208229</v>
      </c>
      <c r="S101" s="2">
        <f t="shared" si="8"/>
        <v>75.453245867659135</v>
      </c>
      <c r="T101" s="2">
        <f t="shared" si="9"/>
        <v>12.73351338116575</v>
      </c>
    </row>
    <row r="102" spans="1:20" x14ac:dyDescent="0.25">
      <c r="A102" s="14">
        <f t="shared" si="18"/>
        <v>0.61419159544159552</v>
      </c>
      <c r="B102" s="2">
        <f t="shared" si="11"/>
        <v>97</v>
      </c>
      <c r="C102" s="4">
        <f t="shared" si="12"/>
        <v>52.83</v>
      </c>
      <c r="D102" s="2">
        <v>8.5</v>
      </c>
      <c r="E102" s="2">
        <v>50.26548245743669</v>
      </c>
      <c r="F102" s="11">
        <f t="shared" si="0"/>
        <v>1.6910212703513881</v>
      </c>
      <c r="G102" s="2">
        <f t="shared" si="1"/>
        <v>89.336653712663832</v>
      </c>
      <c r="H102" s="2">
        <f t="shared" si="2"/>
        <v>1.3670907449013856</v>
      </c>
      <c r="I102" s="2">
        <f t="shared" si="3"/>
        <v>72.2234040531402</v>
      </c>
      <c r="J102" s="2">
        <f t="shared" si="4"/>
        <v>17.113249659523632</v>
      </c>
      <c r="K102" s="15">
        <f t="shared" si="19"/>
        <v>0.5933404558404558</v>
      </c>
      <c r="L102" s="2">
        <f t="shared" si="14"/>
        <v>97</v>
      </c>
      <c r="M102" s="2">
        <f t="shared" si="15"/>
        <v>52.65</v>
      </c>
      <c r="N102" s="2">
        <v>11</v>
      </c>
      <c r="O102" s="2">
        <v>50.26548245743669</v>
      </c>
      <c r="P102" s="11">
        <f t="shared" si="5"/>
        <v>2.1883804675135607</v>
      </c>
      <c r="Q102" s="2">
        <f t="shared" si="6"/>
        <v>115.21823161458897</v>
      </c>
      <c r="R102" s="2">
        <f t="shared" si="7"/>
        <v>1.446850352208229</v>
      </c>
      <c r="S102" s="2">
        <f t="shared" si="8"/>
        <v>76.17667104376325</v>
      </c>
      <c r="T102" s="2">
        <f t="shared" si="9"/>
        <v>39.041560570825723</v>
      </c>
    </row>
    <row r="103" spans="1:20" x14ac:dyDescent="0.25">
      <c r="A103" s="14">
        <f t="shared" si="18"/>
        <v>0.61428062678062678</v>
      </c>
      <c r="B103" s="2">
        <f t="shared" si="11"/>
        <v>98</v>
      </c>
      <c r="C103" s="4">
        <f t="shared" si="12"/>
        <v>53.33</v>
      </c>
      <c r="D103" s="2">
        <v>8</v>
      </c>
      <c r="E103" s="2">
        <v>50.26548245743669</v>
      </c>
      <c r="F103" s="11">
        <f t="shared" si="0"/>
        <v>1.5915494309189535</v>
      </c>
      <c r="G103" s="2">
        <f t="shared" si="1"/>
        <v>84.877331150907793</v>
      </c>
      <c r="H103" s="2">
        <f t="shared" si="2"/>
        <v>1.3670907449013856</v>
      </c>
      <c r="I103" s="2">
        <f t="shared" si="3"/>
        <v>72.906949425590895</v>
      </c>
      <c r="J103" s="2">
        <f t="shared" si="4"/>
        <v>11.970381725316898</v>
      </c>
      <c r="K103" s="15">
        <f t="shared" si="19"/>
        <v>0.59346509971509975</v>
      </c>
      <c r="L103" s="2">
        <f t="shared" si="14"/>
        <v>98</v>
      </c>
      <c r="M103" s="2">
        <f t="shared" si="15"/>
        <v>53.15</v>
      </c>
      <c r="N103" s="2">
        <v>7.5</v>
      </c>
      <c r="O103" s="2">
        <v>50.26548245743669</v>
      </c>
      <c r="P103" s="11">
        <f t="shared" si="5"/>
        <v>1.492077591486519</v>
      </c>
      <c r="Q103" s="2">
        <f t="shared" si="6"/>
        <v>79.303923987508483</v>
      </c>
      <c r="R103" s="2">
        <f t="shared" si="7"/>
        <v>1.446850352208229</v>
      </c>
      <c r="S103" s="2">
        <f t="shared" si="8"/>
        <v>76.900096219867365</v>
      </c>
      <c r="T103" s="2">
        <f t="shared" si="9"/>
        <v>2.4038277676411184</v>
      </c>
    </row>
    <row r="104" spans="1:20" x14ac:dyDescent="0.25">
      <c r="A104" s="14">
        <f t="shared" si="18"/>
        <v>0.61436965811965816</v>
      </c>
      <c r="B104" s="2">
        <f t="shared" si="11"/>
        <v>99</v>
      </c>
      <c r="C104" s="4">
        <f t="shared" si="12"/>
        <v>53.83</v>
      </c>
      <c r="D104" s="2">
        <v>6</v>
      </c>
      <c r="E104" s="2">
        <v>50.26548245743669</v>
      </c>
      <c r="F104" s="11">
        <f t="shared" si="0"/>
        <v>1.1936620731892149</v>
      </c>
      <c r="G104" s="2">
        <f t="shared" si="1"/>
        <v>64.254829399775431</v>
      </c>
      <c r="H104" s="2">
        <f t="shared" si="2"/>
        <v>1.3670907449013856</v>
      </c>
      <c r="I104" s="2">
        <f t="shared" si="3"/>
        <v>73.59049479804159</v>
      </c>
      <c r="J104" s="2">
        <f t="shared" si="4"/>
        <v>9.3356653982661584</v>
      </c>
      <c r="K104" s="15">
        <f t="shared" si="19"/>
        <v>0.59358974358974359</v>
      </c>
      <c r="L104" s="2">
        <f t="shared" si="14"/>
        <v>99</v>
      </c>
      <c r="M104" s="2">
        <f t="shared" si="15"/>
        <v>53.65</v>
      </c>
      <c r="N104" s="2">
        <v>6.5</v>
      </c>
      <c r="O104" s="2">
        <v>50.26548245743669</v>
      </c>
      <c r="P104" s="11">
        <f t="shared" si="5"/>
        <v>1.2931339126216495</v>
      </c>
      <c r="Q104" s="2">
        <f t="shared" si="6"/>
        <v>69.376634412151489</v>
      </c>
      <c r="R104" s="2">
        <f t="shared" si="7"/>
        <v>1.446850352208229</v>
      </c>
      <c r="S104" s="2">
        <f t="shared" si="8"/>
        <v>77.62352139597148</v>
      </c>
      <c r="T104" s="2">
        <f t="shared" si="9"/>
        <v>8.2468869838199907</v>
      </c>
    </row>
    <row r="105" spans="1:20" x14ac:dyDescent="0.25">
      <c r="A105" s="14">
        <f t="shared" si="18"/>
        <v>0.61445868945868953</v>
      </c>
      <c r="B105" s="2">
        <f t="shared" si="11"/>
        <v>100</v>
      </c>
      <c r="C105" s="4">
        <f t="shared" si="12"/>
        <v>54.33</v>
      </c>
      <c r="D105" s="2">
        <v>5.5</v>
      </c>
      <c r="E105" s="2">
        <v>50.26548245743669</v>
      </c>
      <c r="F105" s="11">
        <f t="shared" si="0"/>
        <v>1.0941902337567804</v>
      </c>
      <c r="G105" s="2">
        <f t="shared" si="1"/>
        <v>59.447355400005875</v>
      </c>
      <c r="H105" s="2">
        <f t="shared" si="2"/>
        <v>1.3670907449013856</v>
      </c>
      <c r="I105" s="2">
        <f t="shared" si="3"/>
        <v>74.27404017049227</v>
      </c>
      <c r="J105" s="2">
        <f t="shared" si="4"/>
        <v>14.826684770486395</v>
      </c>
      <c r="K105" s="15">
        <f t="shared" si="19"/>
        <v>0.59371438746438743</v>
      </c>
      <c r="L105" s="2">
        <f t="shared" si="14"/>
        <v>100</v>
      </c>
      <c r="M105" s="2">
        <f t="shared" si="15"/>
        <v>54.15</v>
      </c>
      <c r="N105" s="2">
        <v>6.5</v>
      </c>
      <c r="O105" s="2">
        <v>50.26548245743669</v>
      </c>
      <c r="P105" s="11">
        <f t="shared" si="5"/>
        <v>1.2931339126216495</v>
      </c>
      <c r="Q105" s="2">
        <f t="shared" si="6"/>
        <v>70.02320136846231</v>
      </c>
      <c r="R105" s="2">
        <f t="shared" si="7"/>
        <v>1.446850352208229</v>
      </c>
      <c r="S105" s="2">
        <f t="shared" si="8"/>
        <v>78.346946572075595</v>
      </c>
      <c r="T105" s="2">
        <f t="shared" si="9"/>
        <v>8.3237452036132851</v>
      </c>
    </row>
    <row r="106" spans="1:20" x14ac:dyDescent="0.25">
      <c r="A106" s="14">
        <f t="shared" si="18"/>
        <v>0.6145477207977208</v>
      </c>
      <c r="B106" s="2">
        <f t="shared" si="11"/>
        <v>101</v>
      </c>
      <c r="C106" s="4">
        <f t="shared" si="12"/>
        <v>54.83</v>
      </c>
      <c r="D106" s="2">
        <v>7</v>
      </c>
      <c r="E106" s="2">
        <v>50.26548245743669</v>
      </c>
      <c r="F106" s="11">
        <f t="shared" si="0"/>
        <v>1.3926057520540844</v>
      </c>
      <c r="G106" s="2">
        <f t="shared" si="1"/>
        <v>76.356573385125444</v>
      </c>
      <c r="H106" s="2">
        <f t="shared" si="2"/>
        <v>1.3670907449013856</v>
      </c>
      <c r="I106" s="2">
        <f t="shared" si="3"/>
        <v>74.957585542942965</v>
      </c>
      <c r="J106" s="2">
        <f t="shared" si="4"/>
        <v>1.3989878421824784</v>
      </c>
      <c r="K106" s="15">
        <f t="shared" si="19"/>
        <v>0.59383903133903138</v>
      </c>
      <c r="L106" s="2">
        <f t="shared" si="14"/>
        <v>101</v>
      </c>
      <c r="M106" s="2">
        <f t="shared" si="15"/>
        <v>54.65</v>
      </c>
      <c r="N106" s="2">
        <v>8.5</v>
      </c>
      <c r="O106" s="2">
        <v>50.26548245743669</v>
      </c>
      <c r="P106" s="11">
        <f t="shared" si="5"/>
        <v>1.6910212703513881</v>
      </c>
      <c r="Q106" s="2">
        <f t="shared" si="6"/>
        <v>92.414312424703354</v>
      </c>
      <c r="R106" s="2">
        <f t="shared" si="7"/>
        <v>1.446850352208229</v>
      </c>
      <c r="S106" s="2">
        <f t="shared" si="8"/>
        <v>79.07037174817971</v>
      </c>
      <c r="T106" s="2">
        <f t="shared" si="9"/>
        <v>13.343940676523644</v>
      </c>
    </row>
    <row r="107" spans="1:20" x14ac:dyDescent="0.25">
      <c r="A107" s="14">
        <f t="shared" si="18"/>
        <v>0.61463675213675217</v>
      </c>
      <c r="B107" s="2">
        <f t="shared" si="11"/>
        <v>102</v>
      </c>
      <c r="C107" s="4">
        <f t="shared" si="12"/>
        <v>55.33</v>
      </c>
      <c r="D107" s="2">
        <v>5</v>
      </c>
      <c r="E107" s="2">
        <v>50.26548245743669</v>
      </c>
      <c r="F107" s="11">
        <f t="shared" si="0"/>
        <v>0.99471839432434594</v>
      </c>
      <c r="G107" s="2">
        <f t="shared" si="1"/>
        <v>55.037768757966056</v>
      </c>
      <c r="H107" s="2">
        <f t="shared" si="2"/>
        <v>1.3670907449013856</v>
      </c>
      <c r="I107" s="2">
        <f t="shared" si="3"/>
        <v>75.64113091539366</v>
      </c>
      <c r="J107" s="2">
        <f t="shared" si="4"/>
        <v>20.603362157427604</v>
      </c>
      <c r="K107" s="15">
        <f t="shared" si="19"/>
        <v>0.59396367521367521</v>
      </c>
      <c r="L107" s="2">
        <f t="shared" si="14"/>
        <v>102</v>
      </c>
      <c r="M107" s="2">
        <f t="shared" si="15"/>
        <v>55.15</v>
      </c>
      <c r="N107" s="2">
        <v>6.5</v>
      </c>
      <c r="O107" s="2">
        <v>50.26548245743669</v>
      </c>
      <c r="P107" s="11">
        <f t="shared" si="5"/>
        <v>1.2931339126216495</v>
      </c>
      <c r="Q107" s="2">
        <f t="shared" si="6"/>
        <v>71.316335281083965</v>
      </c>
      <c r="R107" s="2">
        <f t="shared" si="7"/>
        <v>1.446850352208229</v>
      </c>
      <c r="S107" s="2">
        <f t="shared" si="8"/>
        <v>79.793796924283825</v>
      </c>
      <c r="T107" s="2">
        <f t="shared" si="9"/>
        <v>8.4774616431998595</v>
      </c>
    </row>
    <row r="108" spans="1:20" x14ac:dyDescent="0.25">
      <c r="A108" s="14">
        <f t="shared" si="18"/>
        <v>0.61472578347578355</v>
      </c>
      <c r="B108" s="2">
        <f t="shared" si="11"/>
        <v>103</v>
      </c>
      <c r="C108" s="4">
        <f t="shared" si="12"/>
        <v>55.83</v>
      </c>
      <c r="D108" s="2">
        <v>4.5</v>
      </c>
      <c r="E108" s="2">
        <v>50.26548245743669</v>
      </c>
      <c r="F108" s="11">
        <f t="shared" si="0"/>
        <v>0.89524655489191129</v>
      </c>
      <c r="G108" s="2">
        <f t="shared" si="1"/>
        <v>49.981615159615409</v>
      </c>
      <c r="H108" s="2">
        <f t="shared" si="2"/>
        <v>1.3670907449013856</v>
      </c>
      <c r="I108" s="2">
        <f t="shared" si="3"/>
        <v>76.324676287844355</v>
      </c>
      <c r="J108" s="2">
        <f t="shared" si="4"/>
        <v>26.343061128228946</v>
      </c>
      <c r="K108" s="15">
        <f t="shared" si="19"/>
        <v>0.59408831908831905</v>
      </c>
      <c r="L108" s="2">
        <f t="shared" si="14"/>
        <v>103</v>
      </c>
      <c r="M108" s="2">
        <f t="shared" si="15"/>
        <v>55.65</v>
      </c>
      <c r="N108" s="2">
        <v>4.5</v>
      </c>
      <c r="O108" s="2">
        <v>50.26548245743669</v>
      </c>
      <c r="P108" s="11">
        <f t="shared" si="5"/>
        <v>0.89524655489191129</v>
      </c>
      <c r="Q108" s="2">
        <f t="shared" si="6"/>
        <v>49.820470779734862</v>
      </c>
      <c r="R108" s="2">
        <f t="shared" si="7"/>
        <v>1.446850352208229</v>
      </c>
      <c r="S108" s="2">
        <f t="shared" si="8"/>
        <v>80.51722210038794</v>
      </c>
      <c r="T108" s="2">
        <f t="shared" si="9"/>
        <v>30.696751320653078</v>
      </c>
    </row>
    <row r="109" spans="1:20" x14ac:dyDescent="0.25">
      <c r="A109" s="14">
        <f t="shared" si="18"/>
        <v>0.61481481481481481</v>
      </c>
      <c r="B109" s="21">
        <f t="shared" si="11"/>
        <v>104</v>
      </c>
      <c r="C109" s="22">
        <f t="shared" si="12"/>
        <v>56.33</v>
      </c>
      <c r="D109" s="21">
        <v>4</v>
      </c>
      <c r="E109" s="2">
        <v>50.26548245743669</v>
      </c>
      <c r="F109" s="11">
        <f t="shared" si="0"/>
        <v>0.79577471545947676</v>
      </c>
      <c r="G109" s="2">
        <f t="shared" si="1"/>
        <v>44.825989721832322</v>
      </c>
      <c r="H109" s="2">
        <f t="shared" si="2"/>
        <v>1.3670907449013856</v>
      </c>
      <c r="I109" s="2">
        <f t="shared" si="3"/>
        <v>77.00822166029505</v>
      </c>
      <c r="J109" s="2">
        <f t="shared" si="4"/>
        <v>32.182231938462728</v>
      </c>
      <c r="K109" s="15">
        <f t="shared" si="19"/>
        <v>0.594212962962963</v>
      </c>
      <c r="L109" s="21">
        <f t="shared" si="14"/>
        <v>104</v>
      </c>
      <c r="M109" s="21">
        <f t="shared" si="15"/>
        <v>56.15</v>
      </c>
      <c r="N109" s="21">
        <v>5</v>
      </c>
      <c r="O109" s="2">
        <v>50.26548245743669</v>
      </c>
      <c r="P109" s="11">
        <f t="shared" si="5"/>
        <v>0.99471839432434594</v>
      </c>
      <c r="Q109" s="2">
        <f t="shared" si="6"/>
        <v>55.853437841312022</v>
      </c>
      <c r="R109" s="2">
        <f t="shared" si="7"/>
        <v>1.446850352208229</v>
      </c>
      <c r="S109" s="2">
        <f t="shared" si="8"/>
        <v>81.240647276492055</v>
      </c>
      <c r="T109" s="2">
        <f t="shared" si="9"/>
        <v>25.387209435180033</v>
      </c>
    </row>
    <row r="110" spans="1:20" x14ac:dyDescent="0.25">
      <c r="A110" s="14">
        <f t="shared" si="18"/>
        <v>0.61490384615384619</v>
      </c>
      <c r="B110" s="21">
        <f t="shared" si="11"/>
        <v>105</v>
      </c>
      <c r="C110" s="22">
        <f>C109+1.5</f>
        <v>57.83</v>
      </c>
      <c r="D110" s="21">
        <v>5.5</v>
      </c>
      <c r="E110" s="2">
        <v>50.26548245743669</v>
      </c>
      <c r="F110" s="11">
        <f t="shared" si="0"/>
        <v>1.0941902337567804</v>
      </c>
      <c r="G110" s="2">
        <f t="shared" si="1"/>
        <v>63.277021218154609</v>
      </c>
      <c r="H110" s="2">
        <f t="shared" si="2"/>
        <v>1.3670907449013856</v>
      </c>
      <c r="I110" s="2">
        <f t="shared" si="3"/>
        <v>79.058857777647134</v>
      </c>
      <c r="J110" s="2">
        <f t="shared" si="4"/>
        <v>15.781836559492525</v>
      </c>
      <c r="K110" s="15">
        <f t="shared" si="19"/>
        <v>0.59433760683760684</v>
      </c>
      <c r="L110" s="21">
        <f t="shared" si="14"/>
        <v>105</v>
      </c>
      <c r="M110" s="21">
        <f>M109+1.5</f>
        <v>57.65</v>
      </c>
      <c r="N110" s="21">
        <v>5.5</v>
      </c>
      <c r="O110" s="2">
        <v>50.26548245743669</v>
      </c>
      <c r="P110" s="11">
        <f t="shared" si="5"/>
        <v>1.0941902337567804</v>
      </c>
      <c r="Q110" s="2">
        <f t="shared" si="6"/>
        <v>63.080066976078385</v>
      </c>
      <c r="R110" s="2">
        <f t="shared" si="7"/>
        <v>1.446850352208229</v>
      </c>
      <c r="S110" s="2">
        <f t="shared" si="8"/>
        <v>83.4109228048044</v>
      </c>
      <c r="T110" s="2">
        <f t="shared" si="9"/>
        <v>20.330855828726015</v>
      </c>
    </row>
    <row r="111" spans="1:20" x14ac:dyDescent="0.25">
      <c r="A111" s="14">
        <f t="shared" si="18"/>
        <v>0.61499287749287757</v>
      </c>
      <c r="B111" s="21">
        <f t="shared" si="11"/>
        <v>106</v>
      </c>
      <c r="C111" s="22">
        <f t="shared" ref="C111:C162" si="20">C110+0.5</f>
        <v>58.33</v>
      </c>
      <c r="D111" s="21">
        <v>6.5</v>
      </c>
      <c r="E111" s="2">
        <v>50.26548245743669</v>
      </c>
      <c r="F111" s="11">
        <f t="shared" si="0"/>
        <v>1.2931339126216495</v>
      </c>
      <c r="G111" s="2">
        <f t="shared" si="1"/>
        <v>75.428501123220812</v>
      </c>
      <c r="H111" s="2">
        <f t="shared" si="2"/>
        <v>1.3670907449013856</v>
      </c>
      <c r="I111" s="2">
        <f t="shared" si="3"/>
        <v>79.742403150097815</v>
      </c>
      <c r="J111" s="2">
        <f t="shared" si="4"/>
        <v>4.3139020268770025</v>
      </c>
      <c r="K111" s="15">
        <f t="shared" si="19"/>
        <v>0.59446225071225067</v>
      </c>
      <c r="L111" s="21">
        <f t="shared" si="14"/>
        <v>106</v>
      </c>
      <c r="M111" s="21">
        <f t="shared" ref="M111:M162" si="21">M110+0.5</f>
        <v>58.15</v>
      </c>
      <c r="N111" s="21">
        <v>5.5</v>
      </c>
      <c r="O111" s="2">
        <v>50.26548245743669</v>
      </c>
      <c r="P111" s="11">
        <f t="shared" si="5"/>
        <v>1.0941902337567804</v>
      </c>
      <c r="Q111" s="2">
        <f t="shared" si="6"/>
        <v>63.62716209295678</v>
      </c>
      <c r="R111" s="2">
        <f t="shared" si="7"/>
        <v>1.446850352208229</v>
      </c>
      <c r="S111" s="2">
        <f t="shared" si="8"/>
        <v>84.134347980908515</v>
      </c>
      <c r="T111" s="2">
        <f t="shared" si="9"/>
        <v>20.507185887951735</v>
      </c>
    </row>
    <row r="112" spans="1:20" x14ac:dyDescent="0.25">
      <c r="A112" s="14">
        <f t="shared" si="18"/>
        <v>0.61508190883190883</v>
      </c>
      <c r="B112" s="2">
        <f t="shared" si="11"/>
        <v>107</v>
      </c>
      <c r="C112" s="4">
        <f t="shared" si="20"/>
        <v>58.83</v>
      </c>
      <c r="D112" s="2">
        <v>6.5</v>
      </c>
      <c r="E112" s="2">
        <v>50.26548245743669</v>
      </c>
      <c r="F112" s="11">
        <f t="shared" si="0"/>
        <v>1.2931339126216495</v>
      </c>
      <c r="G112" s="2">
        <f t="shared" si="1"/>
        <v>76.075068079531633</v>
      </c>
      <c r="H112" s="2">
        <f t="shared" si="2"/>
        <v>1.3670907449013856</v>
      </c>
      <c r="I112" s="2">
        <f t="shared" si="3"/>
        <v>80.425948522548509</v>
      </c>
      <c r="J112" s="2">
        <f t="shared" si="4"/>
        <v>4.3508804430168766</v>
      </c>
      <c r="K112" s="15">
        <f t="shared" si="19"/>
        <v>0.59458689458689462</v>
      </c>
      <c r="L112" s="2">
        <f t="shared" si="14"/>
        <v>107</v>
      </c>
      <c r="M112" s="2">
        <f t="shared" si="21"/>
        <v>58.65</v>
      </c>
      <c r="N112" s="2">
        <v>5.5</v>
      </c>
      <c r="O112" s="2">
        <v>50.26548245743669</v>
      </c>
      <c r="P112" s="11">
        <f t="shared" si="5"/>
        <v>1.0941902337567804</v>
      </c>
      <c r="Q112" s="2">
        <f t="shared" si="6"/>
        <v>64.174257209835162</v>
      </c>
      <c r="R112" s="2">
        <f t="shared" si="7"/>
        <v>1.446850352208229</v>
      </c>
      <c r="S112" s="2">
        <f t="shared" si="8"/>
        <v>84.85777315701263</v>
      </c>
      <c r="T112" s="2">
        <f t="shared" si="9"/>
        <v>20.683515947177469</v>
      </c>
    </row>
    <row r="113" spans="1:20" x14ac:dyDescent="0.25">
      <c r="A113" s="14">
        <f t="shared" si="18"/>
        <v>0.61517094017094021</v>
      </c>
      <c r="B113" s="2">
        <f t="shared" si="11"/>
        <v>108</v>
      </c>
      <c r="C113" s="4">
        <f t="shared" si="20"/>
        <v>59.33</v>
      </c>
      <c r="D113" s="2">
        <v>7</v>
      </c>
      <c r="E113" s="2">
        <v>50.26548245743669</v>
      </c>
      <c r="F113" s="11">
        <f t="shared" si="0"/>
        <v>1.3926057520540844</v>
      </c>
      <c r="G113" s="2">
        <f t="shared" si="1"/>
        <v>82.623299269368829</v>
      </c>
      <c r="H113" s="2">
        <f t="shared" si="2"/>
        <v>1.3670907449013856</v>
      </c>
      <c r="I113" s="2">
        <f t="shared" si="3"/>
        <v>81.109493894999204</v>
      </c>
      <c r="J113" s="2">
        <f t="shared" si="4"/>
        <v>1.5138053743696247</v>
      </c>
      <c r="K113" s="15">
        <f t="shared" si="19"/>
        <v>0.59471153846153846</v>
      </c>
      <c r="L113" s="2">
        <f t="shared" si="14"/>
        <v>108</v>
      </c>
      <c r="M113" s="2">
        <f t="shared" si="21"/>
        <v>59.15</v>
      </c>
      <c r="N113" s="2">
        <v>6.5</v>
      </c>
      <c r="O113" s="2">
        <v>50.26548245743669</v>
      </c>
      <c r="P113" s="11">
        <f t="shared" si="5"/>
        <v>1.2931339126216495</v>
      </c>
      <c r="Q113" s="2">
        <f t="shared" si="6"/>
        <v>76.48887093157056</v>
      </c>
      <c r="R113" s="2">
        <f t="shared" si="7"/>
        <v>1.446850352208229</v>
      </c>
      <c r="S113" s="2">
        <f t="shared" si="8"/>
        <v>85.581198333116745</v>
      </c>
      <c r="T113" s="2">
        <f t="shared" si="9"/>
        <v>9.0923274015461857</v>
      </c>
    </row>
    <row r="114" spans="1:20" x14ac:dyDescent="0.25">
      <c r="A114" s="14">
        <f t="shared" si="18"/>
        <v>0.61525997150997158</v>
      </c>
      <c r="B114" s="2">
        <f t="shared" si="11"/>
        <v>109</v>
      </c>
      <c r="C114" s="4">
        <f t="shared" si="20"/>
        <v>59.83</v>
      </c>
      <c r="D114" s="2">
        <v>6.5</v>
      </c>
      <c r="E114" s="2">
        <v>50.26548245743669</v>
      </c>
      <c r="F114" s="11">
        <f t="shared" si="0"/>
        <v>1.2931339126216495</v>
      </c>
      <c r="G114" s="2">
        <f t="shared" si="1"/>
        <v>77.368201992153288</v>
      </c>
      <c r="H114" s="2">
        <f t="shared" si="2"/>
        <v>1.3670907449013856</v>
      </c>
      <c r="I114" s="2">
        <f t="shared" si="3"/>
        <v>81.793039267449899</v>
      </c>
      <c r="J114" s="2">
        <f t="shared" si="4"/>
        <v>4.4248372752966105</v>
      </c>
      <c r="K114" s="15">
        <f t="shared" si="19"/>
        <v>0.5948361823361823</v>
      </c>
      <c r="L114" s="2">
        <f t="shared" si="14"/>
        <v>109</v>
      </c>
      <c r="M114" s="2">
        <f t="shared" si="21"/>
        <v>59.65</v>
      </c>
      <c r="N114" s="2">
        <v>5.5</v>
      </c>
      <c r="O114" s="2">
        <v>50.26548245743669</v>
      </c>
      <c r="P114" s="11">
        <f t="shared" si="5"/>
        <v>1.0941902337567804</v>
      </c>
      <c r="Q114" s="2">
        <f t="shared" si="6"/>
        <v>65.268447443591953</v>
      </c>
      <c r="R114" s="2">
        <f t="shared" si="7"/>
        <v>1.446850352208229</v>
      </c>
      <c r="S114" s="2">
        <f t="shared" si="8"/>
        <v>86.30462350922086</v>
      </c>
      <c r="T114" s="2">
        <f t="shared" si="9"/>
        <v>21.036176065628908</v>
      </c>
    </row>
    <row r="115" spans="1:20" x14ac:dyDescent="0.25">
      <c r="A115" s="14">
        <f t="shared" si="18"/>
        <v>0.61534900284900285</v>
      </c>
      <c r="B115" s="2">
        <f t="shared" si="11"/>
        <v>110</v>
      </c>
      <c r="C115" s="4">
        <f t="shared" si="20"/>
        <v>60.33</v>
      </c>
      <c r="D115" s="2">
        <v>5.5</v>
      </c>
      <c r="E115" s="2">
        <v>50.26548245743669</v>
      </c>
      <c r="F115" s="11">
        <f t="shared" si="0"/>
        <v>1.0941902337567804</v>
      </c>
      <c r="G115" s="2">
        <f t="shared" si="1"/>
        <v>66.012496802546565</v>
      </c>
      <c r="H115" s="2">
        <f t="shared" si="2"/>
        <v>1.3670907449013856</v>
      </c>
      <c r="I115" s="2">
        <f t="shared" si="3"/>
        <v>82.476584639900594</v>
      </c>
      <c r="J115" s="2">
        <f t="shared" si="4"/>
        <v>16.464087837354029</v>
      </c>
      <c r="K115" s="15">
        <f t="shared" si="19"/>
        <v>0.59496082621082624</v>
      </c>
      <c r="L115" s="2">
        <f t="shared" si="14"/>
        <v>110</v>
      </c>
      <c r="M115" s="2">
        <f t="shared" si="21"/>
        <v>60.15</v>
      </c>
      <c r="N115" s="2">
        <v>5.5</v>
      </c>
      <c r="O115" s="2">
        <v>50.26548245743669</v>
      </c>
      <c r="P115" s="11">
        <f t="shared" si="5"/>
        <v>1.0941902337567804</v>
      </c>
      <c r="Q115" s="2">
        <f t="shared" si="6"/>
        <v>65.815542560470334</v>
      </c>
      <c r="R115" s="2">
        <f t="shared" si="7"/>
        <v>1.446850352208229</v>
      </c>
      <c r="S115" s="2">
        <f t="shared" si="8"/>
        <v>87.028048685324976</v>
      </c>
      <c r="T115" s="2">
        <f t="shared" si="9"/>
        <v>21.212506124854642</v>
      </c>
    </row>
    <row r="116" spans="1:20" x14ac:dyDescent="0.25">
      <c r="A116" s="14">
        <f t="shared" si="18"/>
        <v>0.61543803418803422</v>
      </c>
      <c r="B116" s="2">
        <f t="shared" si="11"/>
        <v>111</v>
      </c>
      <c r="C116" s="4">
        <f t="shared" si="20"/>
        <v>60.83</v>
      </c>
      <c r="D116" s="2">
        <v>6</v>
      </c>
      <c r="E116" s="2">
        <v>50.26548245743669</v>
      </c>
      <c r="F116" s="11">
        <f t="shared" si="0"/>
        <v>1.1936620731892149</v>
      </c>
      <c r="G116" s="2">
        <f t="shared" si="1"/>
        <v>72.610463912099945</v>
      </c>
      <c r="H116" s="2">
        <f t="shared" si="2"/>
        <v>1.3670907449013856</v>
      </c>
      <c r="I116" s="2">
        <f t="shared" si="3"/>
        <v>83.160130012351289</v>
      </c>
      <c r="J116" s="2">
        <f t="shared" si="4"/>
        <v>10.549666100251343</v>
      </c>
      <c r="K116" s="15">
        <f t="shared" si="19"/>
        <v>0.59508547008547008</v>
      </c>
      <c r="L116" s="2">
        <f t="shared" si="14"/>
        <v>111</v>
      </c>
      <c r="M116" s="2">
        <f t="shared" si="21"/>
        <v>60.65</v>
      </c>
      <c r="N116" s="2">
        <v>5.5</v>
      </c>
      <c r="O116" s="2">
        <v>50.26548245743669</v>
      </c>
      <c r="P116" s="11">
        <f t="shared" si="5"/>
        <v>1.0941902337567804</v>
      </c>
      <c r="Q116" s="2">
        <f t="shared" si="6"/>
        <v>66.362637677348729</v>
      </c>
      <c r="R116" s="2">
        <f t="shared" si="7"/>
        <v>1.446850352208229</v>
      </c>
      <c r="S116" s="2">
        <f t="shared" si="8"/>
        <v>87.751473861429091</v>
      </c>
      <c r="T116" s="2">
        <f t="shared" si="9"/>
        <v>21.388836184080361</v>
      </c>
    </row>
    <row r="117" spans="1:20" x14ac:dyDescent="0.25">
      <c r="A117" s="14">
        <f t="shared" si="18"/>
        <v>0.6155270655270656</v>
      </c>
      <c r="B117" s="2">
        <f t="shared" si="11"/>
        <v>112</v>
      </c>
      <c r="C117" s="4">
        <f t="shared" si="20"/>
        <v>61.33</v>
      </c>
      <c r="D117" s="2">
        <v>8</v>
      </c>
      <c r="E117" s="2">
        <v>50.26548245743669</v>
      </c>
      <c r="F117" s="11">
        <f t="shared" si="0"/>
        <v>1.5915494309189535</v>
      </c>
      <c r="G117" s="2">
        <f t="shared" si="1"/>
        <v>97.609726598259414</v>
      </c>
      <c r="H117" s="2">
        <f t="shared" si="2"/>
        <v>1.3670907449013856</v>
      </c>
      <c r="I117" s="2">
        <f t="shared" si="3"/>
        <v>83.843675384801983</v>
      </c>
      <c r="J117" s="2">
        <f t="shared" si="4"/>
        <v>13.76605121345743</v>
      </c>
      <c r="K117" s="15">
        <f t="shared" si="19"/>
        <v>0.59521011396011392</v>
      </c>
      <c r="L117" s="2">
        <f t="shared" si="14"/>
        <v>112</v>
      </c>
      <c r="M117" s="2">
        <f t="shared" si="21"/>
        <v>61.15</v>
      </c>
      <c r="N117" s="2">
        <v>6.5</v>
      </c>
      <c r="O117" s="2">
        <v>50.26548245743669</v>
      </c>
      <c r="P117" s="11">
        <f t="shared" si="5"/>
        <v>1.2931339126216495</v>
      </c>
      <c r="Q117" s="2">
        <f t="shared" si="6"/>
        <v>79.075138756813857</v>
      </c>
      <c r="R117" s="2">
        <f t="shared" si="7"/>
        <v>1.446850352208229</v>
      </c>
      <c r="S117" s="2">
        <f t="shared" si="8"/>
        <v>88.474899037533206</v>
      </c>
      <c r="T117" s="2">
        <f t="shared" si="9"/>
        <v>9.3997602807193488</v>
      </c>
    </row>
    <row r="118" spans="1:20" x14ac:dyDescent="0.25">
      <c r="A118" s="14">
        <f t="shared" si="18"/>
        <v>0.61561609686609686</v>
      </c>
      <c r="B118" s="2">
        <f t="shared" si="11"/>
        <v>113</v>
      </c>
      <c r="C118" s="4">
        <f t="shared" si="20"/>
        <v>61.83</v>
      </c>
      <c r="D118" s="2">
        <v>5.5</v>
      </c>
      <c r="E118" s="2">
        <v>50.26548245743669</v>
      </c>
      <c r="F118" s="11">
        <f t="shared" si="0"/>
        <v>1.0941902337567804</v>
      </c>
      <c r="G118" s="2">
        <f t="shared" si="1"/>
        <v>67.653782153181723</v>
      </c>
      <c r="H118" s="2">
        <f t="shared" si="2"/>
        <v>1.3670907449013856</v>
      </c>
      <c r="I118" s="2">
        <f t="shared" si="3"/>
        <v>84.527220757252664</v>
      </c>
      <c r="J118" s="2">
        <f t="shared" si="4"/>
        <v>16.873438604070941</v>
      </c>
      <c r="K118" s="15">
        <f t="shared" si="19"/>
        <v>0.59533475783475787</v>
      </c>
      <c r="L118" s="2">
        <f t="shared" si="14"/>
        <v>113</v>
      </c>
      <c r="M118" s="2">
        <f t="shared" si="21"/>
        <v>61.65</v>
      </c>
      <c r="N118" s="2">
        <v>6</v>
      </c>
      <c r="O118" s="2">
        <v>50.26548245743669</v>
      </c>
      <c r="P118" s="11">
        <f t="shared" si="5"/>
        <v>1.1936620731892149</v>
      </c>
      <c r="Q118" s="2">
        <f t="shared" si="6"/>
        <v>73.589266812115099</v>
      </c>
      <c r="R118" s="2">
        <f t="shared" si="7"/>
        <v>1.446850352208229</v>
      </c>
      <c r="S118" s="2">
        <f t="shared" si="8"/>
        <v>89.198324213637321</v>
      </c>
      <c r="T118" s="2">
        <f t="shared" si="9"/>
        <v>15.609057401522222</v>
      </c>
    </row>
    <row r="119" spans="1:20" x14ac:dyDescent="0.25">
      <c r="A119" s="14">
        <f t="shared" si="18"/>
        <v>0.61570512820512824</v>
      </c>
      <c r="B119" s="2">
        <f t="shared" si="11"/>
        <v>114</v>
      </c>
      <c r="C119" s="4">
        <f t="shared" si="20"/>
        <v>62.33</v>
      </c>
      <c r="D119" s="2">
        <v>4.5</v>
      </c>
      <c r="E119" s="2">
        <v>50.26548245743669</v>
      </c>
      <c r="F119" s="11">
        <f t="shared" si="0"/>
        <v>0.89524655489191129</v>
      </c>
      <c r="G119" s="2">
        <f t="shared" si="1"/>
        <v>55.800717766412831</v>
      </c>
      <c r="H119" s="2">
        <f t="shared" si="2"/>
        <v>1.3670907449013856</v>
      </c>
      <c r="I119" s="2">
        <f t="shared" si="3"/>
        <v>85.210766129703359</v>
      </c>
      <c r="J119" s="2">
        <f t="shared" si="4"/>
        <v>29.410048363290528</v>
      </c>
      <c r="K119" s="15">
        <f t="shared" si="19"/>
        <v>0.5954594017094017</v>
      </c>
      <c r="L119" s="2">
        <f t="shared" si="14"/>
        <v>114</v>
      </c>
      <c r="M119" s="2">
        <f t="shared" si="21"/>
        <v>62.15</v>
      </c>
      <c r="N119" s="2">
        <v>4.5</v>
      </c>
      <c r="O119" s="2">
        <v>50.26548245743669</v>
      </c>
      <c r="P119" s="11">
        <f t="shared" si="5"/>
        <v>0.89524655489191129</v>
      </c>
      <c r="Q119" s="2">
        <f t="shared" si="6"/>
        <v>55.639573386532284</v>
      </c>
      <c r="R119" s="2">
        <f t="shared" si="7"/>
        <v>1.446850352208229</v>
      </c>
      <c r="S119" s="2">
        <f t="shared" si="8"/>
        <v>89.921749389741436</v>
      </c>
      <c r="T119" s="2">
        <f t="shared" si="9"/>
        <v>34.282176003209152</v>
      </c>
    </row>
    <row r="120" spans="1:20" x14ac:dyDescent="0.25">
      <c r="A120" s="14">
        <f t="shared" si="18"/>
        <v>0.61579415954415961</v>
      </c>
      <c r="B120" s="2">
        <f t="shared" si="11"/>
        <v>115</v>
      </c>
      <c r="C120" s="4">
        <f t="shared" si="20"/>
        <v>62.83</v>
      </c>
      <c r="D120" s="2">
        <v>5</v>
      </c>
      <c r="E120" s="2">
        <v>50.26548245743669</v>
      </c>
      <c r="F120" s="11">
        <f t="shared" si="0"/>
        <v>0.99471839432434594</v>
      </c>
      <c r="G120" s="2">
        <f t="shared" si="1"/>
        <v>62.498156715398657</v>
      </c>
      <c r="H120" s="2">
        <f t="shared" si="2"/>
        <v>1.3670907449013856</v>
      </c>
      <c r="I120" s="2">
        <f t="shared" si="3"/>
        <v>85.894311502154054</v>
      </c>
      <c r="J120" s="2">
        <f t="shared" si="4"/>
        <v>23.396154786755396</v>
      </c>
      <c r="K120" s="15">
        <f t="shared" si="19"/>
        <v>0.59558404558404554</v>
      </c>
      <c r="L120" s="2">
        <f t="shared" si="14"/>
        <v>115</v>
      </c>
      <c r="M120" s="2">
        <f t="shared" si="21"/>
        <v>62.65</v>
      </c>
      <c r="N120" s="2">
        <v>5</v>
      </c>
      <c r="O120" s="2">
        <v>50.26548245743669</v>
      </c>
      <c r="P120" s="11">
        <f t="shared" si="5"/>
        <v>0.99471839432434594</v>
      </c>
      <c r="Q120" s="2">
        <f t="shared" si="6"/>
        <v>62.319107404420272</v>
      </c>
      <c r="R120" s="2">
        <f t="shared" si="7"/>
        <v>1.446850352208229</v>
      </c>
      <c r="S120" s="2">
        <f t="shared" si="8"/>
        <v>90.645174565845551</v>
      </c>
      <c r="T120" s="2">
        <f t="shared" si="9"/>
        <v>28.326067161425279</v>
      </c>
    </row>
    <row r="121" spans="1:20" x14ac:dyDescent="0.25">
      <c r="A121" s="14">
        <f t="shared" si="18"/>
        <v>0.61588319088319088</v>
      </c>
      <c r="B121" s="2">
        <f t="shared" si="11"/>
        <v>116</v>
      </c>
      <c r="C121" s="4">
        <f t="shared" si="20"/>
        <v>63.33</v>
      </c>
      <c r="D121" s="2">
        <v>7.5</v>
      </c>
      <c r="E121" s="2">
        <v>50.26548245743669</v>
      </c>
      <c r="F121" s="11">
        <f t="shared" si="0"/>
        <v>1.492077591486519</v>
      </c>
      <c r="G121" s="2">
        <f t="shared" si="1"/>
        <v>94.493273868841243</v>
      </c>
      <c r="H121" s="2">
        <f t="shared" si="2"/>
        <v>1.3670907449013856</v>
      </c>
      <c r="I121" s="2">
        <f t="shared" si="3"/>
        <v>86.577856874604748</v>
      </c>
      <c r="J121" s="2">
        <f t="shared" si="4"/>
        <v>7.9154169942364945</v>
      </c>
      <c r="K121" s="15">
        <f t="shared" si="19"/>
        <v>0.59570868945868949</v>
      </c>
      <c r="L121" s="2">
        <f t="shared" si="14"/>
        <v>116</v>
      </c>
      <c r="M121" s="2">
        <f t="shared" si="21"/>
        <v>63.15</v>
      </c>
      <c r="N121" s="2">
        <v>5.5</v>
      </c>
      <c r="O121" s="2">
        <v>50.26548245743669</v>
      </c>
      <c r="P121" s="11">
        <f t="shared" si="5"/>
        <v>1.0941902337567804</v>
      </c>
      <c r="Q121" s="2">
        <f t="shared" si="6"/>
        <v>69.098113261740679</v>
      </c>
      <c r="R121" s="2">
        <f t="shared" si="7"/>
        <v>1.446850352208229</v>
      </c>
      <c r="S121" s="2">
        <f t="shared" si="8"/>
        <v>91.368599741949666</v>
      </c>
      <c r="T121" s="2">
        <f t="shared" si="9"/>
        <v>22.270486480208987</v>
      </c>
    </row>
    <row r="122" spans="1:20" x14ac:dyDescent="0.25">
      <c r="A122" s="10">
        <v>0.61597222222222225</v>
      </c>
      <c r="B122" s="2">
        <f t="shared" si="11"/>
        <v>117</v>
      </c>
      <c r="C122" s="4">
        <f t="shared" si="20"/>
        <v>63.83</v>
      </c>
      <c r="D122" s="2">
        <v>6</v>
      </c>
      <c r="E122" s="2">
        <v>50.26548245743669</v>
      </c>
      <c r="F122" s="11">
        <f t="shared" si="0"/>
        <v>1.1936620731892149</v>
      </c>
      <c r="G122" s="2">
        <f t="shared" si="1"/>
        <v>76.19145013166758</v>
      </c>
      <c r="H122" s="2">
        <f t="shared" si="2"/>
        <v>1.3670907449013856</v>
      </c>
      <c r="I122" s="2">
        <f t="shared" si="3"/>
        <v>87.261402247055443</v>
      </c>
      <c r="J122" s="2">
        <f t="shared" si="4"/>
        <v>11.069952115387864</v>
      </c>
      <c r="K122" s="12">
        <v>0.59583333333333333</v>
      </c>
      <c r="L122" s="2">
        <f t="shared" si="14"/>
        <v>117</v>
      </c>
      <c r="M122" s="2">
        <f t="shared" si="21"/>
        <v>63.65</v>
      </c>
      <c r="N122" s="2">
        <v>6</v>
      </c>
      <c r="O122" s="2">
        <v>50.26548245743669</v>
      </c>
      <c r="P122" s="11">
        <f t="shared" si="5"/>
        <v>1.1936620731892149</v>
      </c>
      <c r="Q122" s="2">
        <f t="shared" si="6"/>
        <v>75.976590958493532</v>
      </c>
      <c r="R122" s="2">
        <f t="shared" si="7"/>
        <v>1.446850352208229</v>
      </c>
      <c r="S122" s="2">
        <f t="shared" si="8"/>
        <v>92.092024918053767</v>
      </c>
      <c r="T122" s="2">
        <f t="shared" si="9"/>
        <v>16.115433959560235</v>
      </c>
    </row>
    <row r="123" spans="1:20" x14ac:dyDescent="0.25">
      <c r="A123" s="14">
        <f t="shared" ref="A123:A160" si="22">IF(AND($A$122&lt;&gt;"",$A$161&lt;&gt;""), $A$122 + (B123 - $B$122) * (($A$161 - $A$122) / ($B$161 - $B$122)), "")</f>
        <v>0.61609686609686609</v>
      </c>
      <c r="B123" s="2">
        <f t="shared" si="11"/>
        <v>118</v>
      </c>
      <c r="C123" s="4">
        <f t="shared" si="20"/>
        <v>64.33</v>
      </c>
      <c r="D123" s="2">
        <v>7</v>
      </c>
      <c r="E123" s="2">
        <v>50.26548245743669</v>
      </c>
      <c r="F123" s="11">
        <f t="shared" si="0"/>
        <v>1.3926057520540844</v>
      </c>
      <c r="G123" s="2">
        <f t="shared" si="1"/>
        <v>89.586328029639247</v>
      </c>
      <c r="H123" s="2">
        <f t="shared" si="2"/>
        <v>1.3670907449013856</v>
      </c>
      <c r="I123" s="2">
        <f t="shared" si="3"/>
        <v>87.944947619506138</v>
      </c>
      <c r="J123" s="2">
        <f t="shared" si="4"/>
        <v>1.6413804101331095</v>
      </c>
      <c r="K123" s="15">
        <f t="shared" ref="K123:K160" si="23">IF(AND($K$122&lt;&gt;"",$K$161&lt;&gt;""), $K$122 + (L123 - $L$122) * (($K$161 - $K$122) / ($L$161 - $L$122)), "")</f>
        <v>0.59594017094017093</v>
      </c>
      <c r="L123" s="2">
        <f t="shared" si="14"/>
        <v>118</v>
      </c>
      <c r="M123" s="2">
        <f t="shared" si="21"/>
        <v>64.150000000000006</v>
      </c>
      <c r="N123" s="2">
        <v>6.5</v>
      </c>
      <c r="O123" s="2">
        <v>50.26548245743669</v>
      </c>
      <c r="P123" s="11">
        <f t="shared" si="5"/>
        <v>1.2931339126216495</v>
      </c>
      <c r="Q123" s="2">
        <f t="shared" si="6"/>
        <v>82.954540494678824</v>
      </c>
      <c r="R123" s="2">
        <f t="shared" si="7"/>
        <v>1.446850352208229</v>
      </c>
      <c r="S123" s="2">
        <f t="shared" si="8"/>
        <v>92.815450094157896</v>
      </c>
      <c r="T123" s="2">
        <f t="shared" si="9"/>
        <v>9.8609095994790721</v>
      </c>
    </row>
    <row r="124" spans="1:20" x14ac:dyDescent="0.25">
      <c r="A124" s="14">
        <f t="shared" si="22"/>
        <v>0.61622150997151004</v>
      </c>
      <c r="B124" s="2">
        <f t="shared" si="11"/>
        <v>119</v>
      </c>
      <c r="C124" s="4">
        <f t="shared" si="20"/>
        <v>64.83</v>
      </c>
      <c r="D124" s="2">
        <v>7</v>
      </c>
      <c r="E124" s="2">
        <v>50.26548245743669</v>
      </c>
      <c r="F124" s="11">
        <f t="shared" si="0"/>
        <v>1.3926057520540844</v>
      </c>
      <c r="G124" s="2">
        <f t="shared" si="1"/>
        <v>90.282630905666295</v>
      </c>
      <c r="H124" s="2">
        <f t="shared" si="2"/>
        <v>1.3670907449013856</v>
      </c>
      <c r="I124" s="2">
        <f t="shared" si="3"/>
        <v>88.628492991956833</v>
      </c>
      <c r="J124" s="2">
        <f t="shared" si="4"/>
        <v>1.6541379137094623</v>
      </c>
      <c r="K124" s="15">
        <f t="shared" si="23"/>
        <v>0.59604700854700854</v>
      </c>
      <c r="L124" s="2">
        <f t="shared" si="14"/>
        <v>119</v>
      </c>
      <c r="M124" s="2">
        <f t="shared" si="21"/>
        <v>64.650000000000006</v>
      </c>
      <c r="N124" s="2">
        <v>7</v>
      </c>
      <c r="O124" s="2">
        <v>50.26548245743669</v>
      </c>
      <c r="P124" s="11">
        <f t="shared" si="5"/>
        <v>1.3926057520540844</v>
      </c>
      <c r="Q124" s="2">
        <f t="shared" si="6"/>
        <v>90.03196187029657</v>
      </c>
      <c r="R124" s="2">
        <f t="shared" si="7"/>
        <v>1.446850352208229</v>
      </c>
      <c r="S124" s="2">
        <f t="shared" si="8"/>
        <v>93.538875270262011</v>
      </c>
      <c r="T124" s="2">
        <f t="shared" si="9"/>
        <v>3.5069133999654412</v>
      </c>
    </row>
    <row r="125" spans="1:20" x14ac:dyDescent="0.25">
      <c r="A125" s="14">
        <f t="shared" si="22"/>
        <v>0.61634615384615388</v>
      </c>
      <c r="B125" s="2">
        <f t="shared" si="11"/>
        <v>120</v>
      </c>
      <c r="C125" s="4">
        <f t="shared" si="20"/>
        <v>65.33</v>
      </c>
      <c r="D125" s="2">
        <v>7.5</v>
      </c>
      <c r="E125" s="2">
        <v>50.26548245743669</v>
      </c>
      <c r="F125" s="11">
        <f t="shared" si="0"/>
        <v>1.492077591486519</v>
      </c>
      <c r="G125" s="2">
        <f t="shared" si="1"/>
        <v>97.477429051814283</v>
      </c>
      <c r="H125" s="2">
        <f t="shared" si="2"/>
        <v>1.3670907449013856</v>
      </c>
      <c r="I125" s="2">
        <f t="shared" si="3"/>
        <v>89.312038364407513</v>
      </c>
      <c r="J125" s="2">
        <f t="shared" si="4"/>
        <v>8.1653906874067701</v>
      </c>
      <c r="K125" s="15">
        <f t="shared" si="23"/>
        <v>0.59615384615384615</v>
      </c>
      <c r="L125" s="2">
        <f t="shared" si="14"/>
        <v>120</v>
      </c>
      <c r="M125" s="2">
        <f t="shared" si="21"/>
        <v>65.150000000000006</v>
      </c>
      <c r="N125" s="2">
        <v>7.5</v>
      </c>
      <c r="O125" s="2">
        <v>50.26548245743669</v>
      </c>
      <c r="P125" s="11">
        <f t="shared" si="5"/>
        <v>1.492077591486519</v>
      </c>
      <c r="Q125" s="2">
        <f t="shared" si="6"/>
        <v>97.208855085346713</v>
      </c>
      <c r="R125" s="2">
        <f t="shared" si="7"/>
        <v>1.446850352208229</v>
      </c>
      <c r="S125" s="2">
        <f t="shared" si="8"/>
        <v>94.262300446366126</v>
      </c>
      <c r="T125" s="2">
        <f t="shared" si="9"/>
        <v>2.9465546389805866</v>
      </c>
    </row>
    <row r="126" spans="1:20" x14ac:dyDescent="0.25">
      <c r="A126" s="14">
        <f t="shared" si="22"/>
        <v>0.61647079772079771</v>
      </c>
      <c r="B126" s="2">
        <f t="shared" si="11"/>
        <v>121</v>
      </c>
      <c r="C126" s="4">
        <f t="shared" si="20"/>
        <v>65.83</v>
      </c>
      <c r="D126" s="2">
        <v>8.5</v>
      </c>
      <c r="E126" s="2">
        <v>50.26548245743669</v>
      </c>
      <c r="F126" s="11">
        <f t="shared" si="0"/>
        <v>1.6910212703513881</v>
      </c>
      <c r="G126" s="2">
        <f t="shared" si="1"/>
        <v>111.31993022723188</v>
      </c>
      <c r="H126" s="2">
        <f t="shared" si="2"/>
        <v>1.3670907449013856</v>
      </c>
      <c r="I126" s="2">
        <f t="shared" si="3"/>
        <v>89.995583736858208</v>
      </c>
      <c r="J126" s="2">
        <f t="shared" si="4"/>
        <v>21.324346490373671</v>
      </c>
      <c r="K126" s="15">
        <f t="shared" si="23"/>
        <v>0.59626068376068375</v>
      </c>
      <c r="L126" s="2">
        <f t="shared" si="14"/>
        <v>121</v>
      </c>
      <c r="M126" s="2">
        <f t="shared" si="21"/>
        <v>65.650000000000006</v>
      </c>
      <c r="N126" s="2">
        <v>8</v>
      </c>
      <c r="O126" s="2">
        <v>50.26548245743669</v>
      </c>
      <c r="P126" s="11">
        <f t="shared" si="5"/>
        <v>1.5915494309189535</v>
      </c>
      <c r="Q126" s="2">
        <f t="shared" si="6"/>
        <v>104.48522013982931</v>
      </c>
      <c r="R126" s="2">
        <f t="shared" si="7"/>
        <v>1.446850352208229</v>
      </c>
      <c r="S126" s="2">
        <f t="shared" si="8"/>
        <v>94.985725622470241</v>
      </c>
      <c r="T126" s="2">
        <f t="shared" si="9"/>
        <v>9.4994945173590679</v>
      </c>
    </row>
    <row r="127" spans="1:20" x14ac:dyDescent="0.25">
      <c r="A127" s="14">
        <f t="shared" si="22"/>
        <v>0.61659544159544166</v>
      </c>
      <c r="B127" s="2">
        <f t="shared" si="11"/>
        <v>122</v>
      </c>
      <c r="C127" s="4">
        <f t="shared" si="20"/>
        <v>66.33</v>
      </c>
      <c r="D127" s="2">
        <v>8</v>
      </c>
      <c r="E127" s="2">
        <v>50.26548245743669</v>
      </c>
      <c r="F127" s="11">
        <f t="shared" si="0"/>
        <v>1.5915494309189535</v>
      </c>
      <c r="G127" s="2">
        <f t="shared" si="1"/>
        <v>105.56747375285418</v>
      </c>
      <c r="H127" s="2">
        <f t="shared" si="2"/>
        <v>1.3670907449013856</v>
      </c>
      <c r="I127" s="2">
        <f t="shared" si="3"/>
        <v>90.679129109308903</v>
      </c>
      <c r="J127" s="2">
        <f t="shared" si="4"/>
        <v>14.888344643545281</v>
      </c>
      <c r="K127" s="15">
        <f t="shared" si="23"/>
        <v>0.59636752136752136</v>
      </c>
      <c r="L127" s="2">
        <f t="shared" si="14"/>
        <v>122</v>
      </c>
      <c r="M127" s="2">
        <f t="shared" si="21"/>
        <v>66.150000000000006</v>
      </c>
      <c r="N127" s="2">
        <v>9</v>
      </c>
      <c r="O127" s="2">
        <v>50.26548245743669</v>
      </c>
      <c r="P127" s="11">
        <f t="shared" si="5"/>
        <v>1.7904931097838226</v>
      </c>
      <c r="Q127" s="2">
        <f t="shared" si="6"/>
        <v>118.44111921219988</v>
      </c>
      <c r="R127" s="2">
        <f t="shared" si="7"/>
        <v>1.446850352208229</v>
      </c>
      <c r="S127" s="2">
        <f t="shared" si="8"/>
        <v>95.709150798574356</v>
      </c>
      <c r="T127" s="2">
        <f t="shared" si="9"/>
        <v>22.731968413625523</v>
      </c>
    </row>
    <row r="128" spans="1:20" x14ac:dyDescent="0.25">
      <c r="A128" s="14">
        <f t="shared" si="22"/>
        <v>0.6167200854700855</v>
      </c>
      <c r="B128" s="2">
        <f t="shared" si="11"/>
        <v>123</v>
      </c>
      <c r="C128" s="4">
        <f t="shared" si="20"/>
        <v>66.83</v>
      </c>
      <c r="D128" s="2">
        <v>8.5</v>
      </c>
      <c r="E128" s="2">
        <v>50.26548245743669</v>
      </c>
      <c r="F128" s="11">
        <f t="shared" si="0"/>
        <v>1.6910212703513881</v>
      </c>
      <c r="G128" s="2">
        <f t="shared" si="1"/>
        <v>113.01095149758326</v>
      </c>
      <c r="H128" s="2">
        <f t="shared" si="2"/>
        <v>1.3670907449013856</v>
      </c>
      <c r="I128" s="2">
        <f t="shared" si="3"/>
        <v>91.362674481759598</v>
      </c>
      <c r="J128" s="2">
        <f t="shared" si="4"/>
        <v>21.648277015823666</v>
      </c>
      <c r="K128" s="15">
        <f t="shared" si="23"/>
        <v>0.59647435897435896</v>
      </c>
      <c r="L128" s="2">
        <f t="shared" si="14"/>
        <v>123</v>
      </c>
      <c r="M128" s="2">
        <f t="shared" si="21"/>
        <v>66.650000000000006</v>
      </c>
      <c r="N128" s="2">
        <v>8.5</v>
      </c>
      <c r="O128" s="2">
        <v>50.26548245743669</v>
      </c>
      <c r="P128" s="11">
        <f t="shared" si="5"/>
        <v>1.6910212703513881</v>
      </c>
      <c r="Q128" s="2">
        <f t="shared" si="6"/>
        <v>112.70656766892003</v>
      </c>
      <c r="R128" s="2">
        <f t="shared" si="7"/>
        <v>1.446850352208229</v>
      </c>
      <c r="S128" s="2">
        <f t="shared" si="8"/>
        <v>96.432575974678471</v>
      </c>
      <c r="T128" s="2">
        <f t="shared" si="9"/>
        <v>16.273991694241559</v>
      </c>
    </row>
    <row r="129" spans="1:20" x14ac:dyDescent="0.25">
      <c r="A129" s="14">
        <f t="shared" si="22"/>
        <v>0.61684472934472934</v>
      </c>
      <c r="B129" s="2">
        <f t="shared" si="11"/>
        <v>124</v>
      </c>
      <c r="C129" s="4">
        <f t="shared" si="20"/>
        <v>67.33</v>
      </c>
      <c r="D129" s="2">
        <v>8.5</v>
      </c>
      <c r="E129" s="2">
        <v>50.26548245743669</v>
      </c>
      <c r="F129" s="11">
        <f t="shared" si="0"/>
        <v>1.6910212703513881</v>
      </c>
      <c r="G129" s="2">
        <f t="shared" si="1"/>
        <v>113.85646213275895</v>
      </c>
      <c r="H129" s="2">
        <f t="shared" si="2"/>
        <v>1.3670907449013856</v>
      </c>
      <c r="I129" s="2">
        <f t="shared" si="3"/>
        <v>92.046219854210293</v>
      </c>
      <c r="J129" s="2">
        <f t="shared" si="4"/>
        <v>21.810242278548657</v>
      </c>
      <c r="K129" s="15">
        <f t="shared" si="23"/>
        <v>0.59658119658119657</v>
      </c>
      <c r="L129" s="2">
        <f t="shared" si="14"/>
        <v>124</v>
      </c>
      <c r="M129" s="2">
        <f t="shared" si="21"/>
        <v>67.150000000000006</v>
      </c>
      <c r="N129" s="2">
        <v>8.5</v>
      </c>
      <c r="O129" s="2">
        <v>50.26548245743669</v>
      </c>
      <c r="P129" s="11">
        <f t="shared" si="5"/>
        <v>1.6910212703513881</v>
      </c>
      <c r="Q129" s="2">
        <f t="shared" si="6"/>
        <v>113.55207830409572</v>
      </c>
      <c r="R129" s="2">
        <f t="shared" si="7"/>
        <v>1.446850352208229</v>
      </c>
      <c r="S129" s="2">
        <f t="shared" si="8"/>
        <v>97.156001150782586</v>
      </c>
      <c r="T129" s="2">
        <f t="shared" si="9"/>
        <v>16.396077153313129</v>
      </c>
    </row>
    <row r="130" spans="1:20" x14ac:dyDescent="0.25">
      <c r="A130" s="14">
        <f t="shared" si="22"/>
        <v>0.61696937321937328</v>
      </c>
      <c r="B130" s="2">
        <f t="shared" si="11"/>
        <v>125</v>
      </c>
      <c r="C130" s="4">
        <f t="shared" si="20"/>
        <v>67.83</v>
      </c>
      <c r="D130" s="2">
        <v>8</v>
      </c>
      <c r="E130" s="2">
        <v>50.26548245743669</v>
      </c>
      <c r="F130" s="11">
        <f t="shared" si="0"/>
        <v>1.5915494309189535</v>
      </c>
      <c r="G130" s="2">
        <f t="shared" si="1"/>
        <v>107.95479789923262</v>
      </c>
      <c r="H130" s="2">
        <f t="shared" si="2"/>
        <v>1.3670907449013856</v>
      </c>
      <c r="I130" s="2">
        <f t="shared" si="3"/>
        <v>92.729765226660987</v>
      </c>
      <c r="J130" s="2">
        <f t="shared" si="4"/>
        <v>15.225032672571629</v>
      </c>
      <c r="K130" s="15">
        <f t="shared" si="23"/>
        <v>0.59668803418803418</v>
      </c>
      <c r="L130" s="2">
        <f t="shared" si="14"/>
        <v>125</v>
      </c>
      <c r="M130" s="2">
        <f t="shared" si="21"/>
        <v>67.650000000000006</v>
      </c>
      <c r="N130" s="2">
        <v>8.5</v>
      </c>
      <c r="O130" s="2">
        <v>50.26548245743669</v>
      </c>
      <c r="P130" s="11">
        <f t="shared" si="5"/>
        <v>1.6910212703513881</v>
      </c>
      <c r="Q130" s="2">
        <f t="shared" si="6"/>
        <v>114.39758893927142</v>
      </c>
      <c r="R130" s="2">
        <f t="shared" si="7"/>
        <v>1.446850352208229</v>
      </c>
      <c r="S130" s="2">
        <f t="shared" si="8"/>
        <v>97.879426326886701</v>
      </c>
      <c r="T130" s="2">
        <f t="shared" si="9"/>
        <v>16.518162612384714</v>
      </c>
    </row>
    <row r="131" spans="1:20" x14ac:dyDescent="0.25">
      <c r="A131" s="14">
        <f t="shared" si="22"/>
        <v>0.61709401709401712</v>
      </c>
      <c r="B131" s="2">
        <f t="shared" si="11"/>
        <v>126</v>
      </c>
      <c r="C131" s="4">
        <f t="shared" si="20"/>
        <v>68.33</v>
      </c>
      <c r="D131" s="2">
        <v>7.5</v>
      </c>
      <c r="E131" s="2">
        <v>50.26548245743669</v>
      </c>
      <c r="F131" s="11">
        <f t="shared" si="0"/>
        <v>1.492077591486519</v>
      </c>
      <c r="G131" s="2">
        <f t="shared" si="1"/>
        <v>101.95366182627384</v>
      </c>
      <c r="H131" s="2">
        <f t="shared" si="2"/>
        <v>1.3670907449013856</v>
      </c>
      <c r="I131" s="2">
        <f t="shared" si="3"/>
        <v>93.413310599111682</v>
      </c>
      <c r="J131" s="2">
        <f t="shared" si="4"/>
        <v>8.5403512271621622</v>
      </c>
      <c r="K131" s="15">
        <f t="shared" si="23"/>
        <v>0.59679487179487178</v>
      </c>
      <c r="L131" s="2">
        <f t="shared" si="14"/>
        <v>126</v>
      </c>
      <c r="M131" s="2">
        <f t="shared" si="21"/>
        <v>68.150000000000006</v>
      </c>
      <c r="N131" s="2">
        <v>8</v>
      </c>
      <c r="O131" s="2">
        <v>50.26548245743669</v>
      </c>
      <c r="P131" s="11">
        <f t="shared" si="5"/>
        <v>1.5915494309189535</v>
      </c>
      <c r="Q131" s="2">
        <f t="shared" si="6"/>
        <v>108.46409371712669</v>
      </c>
      <c r="R131" s="2">
        <f t="shared" si="7"/>
        <v>1.446850352208229</v>
      </c>
      <c r="S131" s="2">
        <f t="shared" si="8"/>
        <v>98.602851502990816</v>
      </c>
      <c r="T131" s="2">
        <f t="shared" si="9"/>
        <v>9.8612422141358707</v>
      </c>
    </row>
    <row r="132" spans="1:20" x14ac:dyDescent="0.25">
      <c r="A132" s="14">
        <f t="shared" si="22"/>
        <v>0.61721866096866096</v>
      </c>
      <c r="B132" s="2">
        <f t="shared" si="11"/>
        <v>127</v>
      </c>
      <c r="C132" s="4">
        <f t="shared" si="20"/>
        <v>68.83</v>
      </c>
      <c r="D132" s="2">
        <v>7</v>
      </c>
      <c r="E132" s="2">
        <v>50.26548245743669</v>
      </c>
      <c r="F132" s="11">
        <f t="shared" si="0"/>
        <v>1.3926057520540844</v>
      </c>
      <c r="G132" s="2">
        <f t="shared" si="1"/>
        <v>95.853053913882633</v>
      </c>
      <c r="H132" s="2">
        <f t="shared" si="2"/>
        <v>1.3670907449013856</v>
      </c>
      <c r="I132" s="2">
        <f t="shared" si="3"/>
        <v>94.096855971562363</v>
      </c>
      <c r="J132" s="2">
        <f t="shared" si="4"/>
        <v>1.75619794232027</v>
      </c>
      <c r="K132" s="15">
        <f t="shared" si="23"/>
        <v>0.59690170940170939</v>
      </c>
      <c r="L132" s="2">
        <f t="shared" si="14"/>
        <v>127</v>
      </c>
      <c r="M132" s="2">
        <f t="shared" si="21"/>
        <v>68.650000000000006</v>
      </c>
      <c r="N132" s="2">
        <v>7</v>
      </c>
      <c r="O132" s="2">
        <v>50.26548245743669</v>
      </c>
      <c r="P132" s="11">
        <f t="shared" si="5"/>
        <v>1.3926057520540844</v>
      </c>
      <c r="Q132" s="2">
        <f t="shared" si="6"/>
        <v>95.602384878512908</v>
      </c>
      <c r="R132" s="2">
        <f t="shared" si="7"/>
        <v>1.446850352208229</v>
      </c>
      <c r="S132" s="2">
        <f t="shared" si="8"/>
        <v>99.326276679094931</v>
      </c>
      <c r="T132" s="2">
        <f t="shared" si="9"/>
        <v>3.7238918005820238</v>
      </c>
    </row>
    <row r="133" spans="1:20" x14ac:dyDescent="0.25">
      <c r="A133" s="14">
        <f t="shared" si="22"/>
        <v>0.61734330484330491</v>
      </c>
      <c r="B133" s="2">
        <f t="shared" si="11"/>
        <v>128</v>
      </c>
      <c r="C133" s="4">
        <f t="shared" si="20"/>
        <v>69.33</v>
      </c>
      <c r="D133" s="2">
        <v>6.5</v>
      </c>
      <c r="E133" s="2">
        <v>50.26548245743669</v>
      </c>
      <c r="F133" s="11">
        <f t="shared" si="0"/>
        <v>1.2931339126216495</v>
      </c>
      <c r="G133" s="2">
        <f t="shared" si="1"/>
        <v>89.652974162058953</v>
      </c>
      <c r="H133" s="2">
        <f t="shared" si="2"/>
        <v>1.3670907449013856</v>
      </c>
      <c r="I133" s="2">
        <f t="shared" si="3"/>
        <v>94.780401344013057</v>
      </c>
      <c r="J133" s="2">
        <f t="shared" si="4"/>
        <v>5.1274271819541042</v>
      </c>
      <c r="K133" s="15">
        <f t="shared" si="23"/>
        <v>0.597008547008547</v>
      </c>
      <c r="L133" s="2">
        <f t="shared" si="14"/>
        <v>128</v>
      </c>
      <c r="M133" s="2">
        <f t="shared" si="21"/>
        <v>69.150000000000006</v>
      </c>
      <c r="N133" s="2">
        <v>6.5</v>
      </c>
      <c r="O133" s="2">
        <v>50.26548245743669</v>
      </c>
      <c r="P133" s="11">
        <f t="shared" si="5"/>
        <v>1.2931339126216495</v>
      </c>
      <c r="Q133" s="2">
        <f t="shared" si="6"/>
        <v>89.420210057787074</v>
      </c>
      <c r="R133" s="2">
        <f t="shared" si="7"/>
        <v>1.446850352208229</v>
      </c>
      <c r="S133" s="2">
        <f t="shared" si="8"/>
        <v>100.04970185519905</v>
      </c>
      <c r="T133" s="2">
        <f t="shared" si="9"/>
        <v>10.629491797411973</v>
      </c>
    </row>
    <row r="134" spans="1:20" x14ac:dyDescent="0.25">
      <c r="A134" s="14">
        <f t="shared" si="22"/>
        <v>0.61746794871794874</v>
      </c>
      <c r="B134" s="2">
        <f t="shared" si="11"/>
        <v>129</v>
      </c>
      <c r="C134" s="4">
        <f t="shared" si="20"/>
        <v>69.83</v>
      </c>
      <c r="D134" s="2">
        <v>7</v>
      </c>
      <c r="E134" s="2">
        <v>50.26548245743669</v>
      </c>
      <c r="F134" s="11">
        <f t="shared" si="0"/>
        <v>1.3926057520540844</v>
      </c>
      <c r="G134" s="2">
        <f t="shared" si="1"/>
        <v>97.245659665936714</v>
      </c>
      <c r="H134" s="2">
        <f t="shared" si="2"/>
        <v>1.3670907449013856</v>
      </c>
      <c r="I134" s="2">
        <f t="shared" si="3"/>
        <v>95.463946716463752</v>
      </c>
      <c r="J134" s="2">
        <f t="shared" si="4"/>
        <v>1.7817129494729613</v>
      </c>
      <c r="K134" s="15">
        <f t="shared" si="23"/>
        <v>0.5971153846153846</v>
      </c>
      <c r="L134" s="2">
        <f t="shared" si="14"/>
        <v>129</v>
      </c>
      <c r="M134" s="2">
        <f t="shared" si="21"/>
        <v>69.650000000000006</v>
      </c>
      <c r="N134" s="2">
        <v>8</v>
      </c>
      <c r="O134" s="2">
        <v>50.26548245743669</v>
      </c>
      <c r="P134" s="11">
        <f t="shared" si="5"/>
        <v>1.5915494309189535</v>
      </c>
      <c r="Q134" s="2">
        <f t="shared" si="6"/>
        <v>110.85141786350512</v>
      </c>
      <c r="R134" s="2">
        <f t="shared" si="7"/>
        <v>1.446850352208229</v>
      </c>
      <c r="S134" s="2">
        <f t="shared" si="8"/>
        <v>100.77312703130316</v>
      </c>
      <c r="T134" s="2">
        <f t="shared" si="9"/>
        <v>10.078290832201958</v>
      </c>
    </row>
    <row r="135" spans="1:20" x14ac:dyDescent="0.25">
      <c r="A135" s="14">
        <f t="shared" si="22"/>
        <v>0.61759259259259258</v>
      </c>
      <c r="B135" s="2">
        <f t="shared" si="11"/>
        <v>130</v>
      </c>
      <c r="C135" s="4">
        <f t="shared" si="20"/>
        <v>70.33</v>
      </c>
      <c r="D135" s="2">
        <v>6.5</v>
      </c>
      <c r="E135" s="2">
        <v>50.26548245743669</v>
      </c>
      <c r="F135" s="11">
        <f t="shared" si="0"/>
        <v>1.2931339126216495</v>
      </c>
      <c r="G135" s="2">
        <f t="shared" si="1"/>
        <v>90.946108074680609</v>
      </c>
      <c r="H135" s="2">
        <f t="shared" si="2"/>
        <v>1.3670907449013856</v>
      </c>
      <c r="I135" s="2">
        <f t="shared" si="3"/>
        <v>96.147492088914447</v>
      </c>
      <c r="J135" s="2">
        <f t="shared" si="4"/>
        <v>5.2013840142338381</v>
      </c>
      <c r="K135" s="15">
        <f t="shared" si="23"/>
        <v>0.59722222222222221</v>
      </c>
      <c r="L135" s="2">
        <f t="shared" si="14"/>
        <v>130</v>
      </c>
      <c r="M135" s="2">
        <f t="shared" si="21"/>
        <v>70.150000000000006</v>
      </c>
      <c r="N135" s="2">
        <v>7</v>
      </c>
      <c r="O135" s="2">
        <v>50.26548245743669</v>
      </c>
      <c r="P135" s="11">
        <f t="shared" si="5"/>
        <v>1.3926057520540844</v>
      </c>
      <c r="Q135" s="2">
        <f t="shared" si="6"/>
        <v>97.691293506594036</v>
      </c>
      <c r="R135" s="2">
        <f t="shared" si="7"/>
        <v>1.446850352208229</v>
      </c>
      <c r="S135" s="2">
        <f t="shared" si="8"/>
        <v>101.49655220740728</v>
      </c>
      <c r="T135" s="2">
        <f t="shared" si="9"/>
        <v>3.8052587008132406</v>
      </c>
    </row>
    <row r="136" spans="1:20" x14ac:dyDescent="0.25">
      <c r="A136" s="14">
        <f t="shared" si="22"/>
        <v>0.61771723646723653</v>
      </c>
      <c r="B136" s="2">
        <f t="shared" si="11"/>
        <v>131</v>
      </c>
      <c r="C136" s="4">
        <f t="shared" si="20"/>
        <v>70.83</v>
      </c>
      <c r="D136" s="2">
        <v>6.5</v>
      </c>
      <c r="E136" s="2">
        <v>50.26548245743669</v>
      </c>
      <c r="F136" s="11">
        <f t="shared" si="0"/>
        <v>1.2931339126216495</v>
      </c>
      <c r="G136" s="2">
        <f t="shared" si="1"/>
        <v>91.59267503099143</v>
      </c>
      <c r="H136" s="2">
        <f t="shared" si="2"/>
        <v>1.3670907449013856</v>
      </c>
      <c r="I136" s="2">
        <f t="shared" si="3"/>
        <v>96.831037461365142</v>
      </c>
      <c r="J136" s="2">
        <f t="shared" si="4"/>
        <v>5.2383624303737122</v>
      </c>
      <c r="K136" s="15">
        <f t="shared" si="23"/>
        <v>0.59732905982905982</v>
      </c>
      <c r="L136" s="2">
        <f t="shared" si="14"/>
        <v>131</v>
      </c>
      <c r="M136" s="2">
        <f t="shared" si="21"/>
        <v>70.650000000000006</v>
      </c>
      <c r="N136" s="2">
        <v>6</v>
      </c>
      <c r="O136" s="2">
        <v>50.26548245743669</v>
      </c>
      <c r="P136" s="11">
        <f t="shared" si="5"/>
        <v>1.1936620731892149</v>
      </c>
      <c r="Q136" s="2">
        <f t="shared" si="6"/>
        <v>84.332225470818045</v>
      </c>
      <c r="R136" s="2">
        <f t="shared" si="7"/>
        <v>1.446850352208229</v>
      </c>
      <c r="S136" s="2">
        <f t="shared" si="8"/>
        <v>102.21997738351139</v>
      </c>
      <c r="T136" s="2">
        <f t="shared" si="9"/>
        <v>17.887751912693346</v>
      </c>
    </row>
    <row r="137" spans="1:20" x14ac:dyDescent="0.25">
      <c r="A137" s="14">
        <f t="shared" si="22"/>
        <v>0.61784188034188037</v>
      </c>
      <c r="B137" s="2">
        <f t="shared" si="11"/>
        <v>132</v>
      </c>
      <c r="C137" s="4">
        <f t="shared" si="20"/>
        <v>71.33</v>
      </c>
      <c r="D137" s="2">
        <v>7.5</v>
      </c>
      <c r="E137" s="2">
        <v>50.26548245743669</v>
      </c>
      <c r="F137" s="11">
        <f t="shared" si="0"/>
        <v>1.492077591486519</v>
      </c>
      <c r="G137" s="2">
        <f t="shared" si="1"/>
        <v>106.42989460073339</v>
      </c>
      <c r="H137" s="2">
        <f t="shared" si="2"/>
        <v>1.3670907449013856</v>
      </c>
      <c r="I137" s="2">
        <f t="shared" si="3"/>
        <v>97.514582833815837</v>
      </c>
      <c r="J137" s="2">
        <f t="shared" si="4"/>
        <v>8.9153117669175543</v>
      </c>
      <c r="K137" s="15">
        <f t="shared" si="23"/>
        <v>0.59743589743589742</v>
      </c>
      <c r="L137" s="2">
        <f t="shared" si="14"/>
        <v>132</v>
      </c>
      <c r="M137" s="2">
        <f t="shared" si="21"/>
        <v>71.150000000000006</v>
      </c>
      <c r="N137" s="2">
        <v>5.5</v>
      </c>
      <c r="O137" s="2">
        <v>50.26548245743669</v>
      </c>
      <c r="P137" s="11">
        <f t="shared" si="5"/>
        <v>1.0941902337567804</v>
      </c>
      <c r="Q137" s="2">
        <f t="shared" si="6"/>
        <v>77.851635131794936</v>
      </c>
      <c r="R137" s="2">
        <f t="shared" si="7"/>
        <v>1.446850352208229</v>
      </c>
      <c r="S137" s="2">
        <f t="shared" si="8"/>
        <v>102.94340255961551</v>
      </c>
      <c r="T137" s="2">
        <f t="shared" si="9"/>
        <v>25.091767427820571</v>
      </c>
    </row>
    <row r="138" spans="1:20" x14ac:dyDescent="0.25">
      <c r="A138" s="14">
        <f t="shared" si="22"/>
        <v>0.6179665242165242</v>
      </c>
      <c r="B138" s="2">
        <f t="shared" si="11"/>
        <v>133</v>
      </c>
      <c r="C138" s="4">
        <f t="shared" si="20"/>
        <v>71.83</v>
      </c>
      <c r="D138" s="2">
        <v>7.5</v>
      </c>
      <c r="E138" s="2">
        <v>50.26548245743669</v>
      </c>
      <c r="F138" s="11">
        <f t="shared" si="0"/>
        <v>1.492077591486519</v>
      </c>
      <c r="G138" s="2">
        <f t="shared" si="1"/>
        <v>107.17593339647665</v>
      </c>
      <c r="H138" s="2">
        <f t="shared" si="2"/>
        <v>1.3670907449013856</v>
      </c>
      <c r="I138" s="2">
        <f t="shared" si="3"/>
        <v>98.198128206266531</v>
      </c>
      <c r="J138" s="2">
        <f t="shared" si="4"/>
        <v>8.9778051902101197</v>
      </c>
      <c r="K138" s="15">
        <f t="shared" si="23"/>
        <v>0.59754273504273503</v>
      </c>
      <c r="L138" s="2">
        <f t="shared" si="14"/>
        <v>133</v>
      </c>
      <c r="M138" s="2">
        <f t="shared" si="21"/>
        <v>71.650000000000006</v>
      </c>
      <c r="N138" s="2">
        <v>6.5</v>
      </c>
      <c r="O138" s="2">
        <v>50.26548245743669</v>
      </c>
      <c r="P138" s="11">
        <f t="shared" si="5"/>
        <v>1.2931339126216495</v>
      </c>
      <c r="Q138" s="2">
        <f t="shared" si="6"/>
        <v>92.653044839341192</v>
      </c>
      <c r="R138" s="2">
        <f t="shared" si="7"/>
        <v>1.446850352208229</v>
      </c>
      <c r="S138" s="2">
        <f t="shared" si="8"/>
        <v>103.66682773571962</v>
      </c>
      <c r="T138" s="2">
        <f t="shared" si="9"/>
        <v>11.01378289637843</v>
      </c>
    </row>
    <row r="139" spans="1:20" x14ac:dyDescent="0.25">
      <c r="A139" s="14">
        <f t="shared" si="22"/>
        <v>0.61809116809116815</v>
      </c>
      <c r="B139" s="2">
        <f t="shared" si="11"/>
        <v>134</v>
      </c>
      <c r="C139" s="4">
        <f t="shared" si="20"/>
        <v>72.33</v>
      </c>
      <c r="D139" s="2">
        <v>8</v>
      </c>
      <c r="E139" s="2">
        <v>50.26548245743669</v>
      </c>
      <c r="F139" s="11">
        <f t="shared" si="0"/>
        <v>1.5915494309189535</v>
      </c>
      <c r="G139" s="2">
        <f t="shared" si="1"/>
        <v>115.1167703383679</v>
      </c>
      <c r="H139" s="2">
        <f t="shared" si="2"/>
        <v>1.3670907449013856</v>
      </c>
      <c r="I139" s="2">
        <f t="shared" si="3"/>
        <v>98.881673578717212</v>
      </c>
      <c r="J139" s="2">
        <f t="shared" si="4"/>
        <v>16.235096759650688</v>
      </c>
      <c r="K139" s="15">
        <f t="shared" si="23"/>
        <v>0.59764957264957264</v>
      </c>
      <c r="L139" s="2">
        <f t="shared" si="14"/>
        <v>134</v>
      </c>
      <c r="M139" s="2">
        <f t="shared" si="21"/>
        <v>72.150000000000006</v>
      </c>
      <c r="N139" s="2">
        <v>8</v>
      </c>
      <c r="O139" s="2">
        <v>50.26548245743669</v>
      </c>
      <c r="P139" s="11">
        <f t="shared" si="5"/>
        <v>1.5915494309189535</v>
      </c>
      <c r="Q139" s="2">
        <f t="shared" si="6"/>
        <v>114.83029144080251</v>
      </c>
      <c r="R139" s="2">
        <f t="shared" si="7"/>
        <v>1.446850352208229</v>
      </c>
      <c r="S139" s="2">
        <f t="shared" si="8"/>
        <v>104.39025291182374</v>
      </c>
      <c r="T139" s="2">
        <f t="shared" si="9"/>
        <v>10.440038528978775</v>
      </c>
    </row>
    <row r="140" spans="1:20" x14ac:dyDescent="0.25">
      <c r="A140" s="14">
        <f t="shared" si="22"/>
        <v>0.61821581196581199</v>
      </c>
      <c r="B140" s="2">
        <f t="shared" si="11"/>
        <v>135</v>
      </c>
      <c r="C140" s="4">
        <f t="shared" si="20"/>
        <v>72.83</v>
      </c>
      <c r="D140" s="2">
        <v>8.5</v>
      </c>
      <c r="E140" s="2">
        <v>50.26548245743669</v>
      </c>
      <c r="F140" s="11">
        <f t="shared" si="0"/>
        <v>1.6910212703513881</v>
      </c>
      <c r="G140" s="2">
        <f t="shared" si="1"/>
        <v>123.15707911969159</v>
      </c>
      <c r="H140" s="2">
        <f t="shared" si="2"/>
        <v>1.3670907449013856</v>
      </c>
      <c r="I140" s="2">
        <f t="shared" si="3"/>
        <v>99.565218951167907</v>
      </c>
      <c r="J140" s="2">
        <f t="shared" si="4"/>
        <v>23.591860168523681</v>
      </c>
      <c r="K140" s="15">
        <f t="shared" si="23"/>
        <v>0.59775641025641024</v>
      </c>
      <c r="L140" s="2">
        <f t="shared" si="14"/>
        <v>135</v>
      </c>
      <c r="M140" s="2">
        <f t="shared" si="21"/>
        <v>72.650000000000006</v>
      </c>
      <c r="N140" s="2">
        <v>7</v>
      </c>
      <c r="O140" s="2">
        <v>50.26548245743669</v>
      </c>
      <c r="P140" s="11">
        <f t="shared" si="5"/>
        <v>1.3926057520540844</v>
      </c>
      <c r="Q140" s="2">
        <f t="shared" si="6"/>
        <v>101.17280788672925</v>
      </c>
      <c r="R140" s="2">
        <f t="shared" si="7"/>
        <v>1.446850352208229</v>
      </c>
      <c r="S140" s="2">
        <f t="shared" si="8"/>
        <v>105.11367808792785</v>
      </c>
      <c r="T140" s="2">
        <f t="shared" si="9"/>
        <v>3.9408702011986065</v>
      </c>
    </row>
    <row r="141" spans="1:20" x14ac:dyDescent="0.25">
      <c r="A141" s="14">
        <f t="shared" si="22"/>
        <v>0.61834045584045583</v>
      </c>
      <c r="B141" s="2">
        <f t="shared" si="11"/>
        <v>136</v>
      </c>
      <c r="C141" s="4">
        <f t="shared" si="20"/>
        <v>73.33</v>
      </c>
      <c r="D141" s="2">
        <v>8.5</v>
      </c>
      <c r="E141" s="2">
        <v>50.26548245743669</v>
      </c>
      <c r="F141" s="11">
        <f t="shared" si="0"/>
        <v>1.6910212703513881</v>
      </c>
      <c r="G141" s="2">
        <f t="shared" si="1"/>
        <v>124.00258975486729</v>
      </c>
      <c r="H141" s="2">
        <f t="shared" si="2"/>
        <v>1.3670907449013856</v>
      </c>
      <c r="I141" s="2">
        <f t="shared" si="3"/>
        <v>100.2487643236186</v>
      </c>
      <c r="J141" s="2">
        <f t="shared" si="4"/>
        <v>23.753825431248686</v>
      </c>
      <c r="K141" s="15">
        <f t="shared" si="23"/>
        <v>0.59786324786324785</v>
      </c>
      <c r="L141" s="2">
        <f t="shared" si="14"/>
        <v>136</v>
      </c>
      <c r="M141" s="2">
        <f t="shared" si="21"/>
        <v>73.150000000000006</v>
      </c>
      <c r="N141" s="2">
        <v>7</v>
      </c>
      <c r="O141" s="2">
        <v>50.26548245743669</v>
      </c>
      <c r="P141" s="11">
        <f t="shared" si="5"/>
        <v>1.3926057520540844</v>
      </c>
      <c r="Q141" s="2">
        <f t="shared" si="6"/>
        <v>101.86911076275628</v>
      </c>
      <c r="R141" s="2">
        <f t="shared" si="7"/>
        <v>1.446850352208229</v>
      </c>
      <c r="S141" s="2">
        <f t="shared" si="8"/>
        <v>105.83710326403195</v>
      </c>
      <c r="T141" s="2">
        <f t="shared" si="9"/>
        <v>3.967992501275674</v>
      </c>
    </row>
    <row r="142" spans="1:20" x14ac:dyDescent="0.25">
      <c r="A142" s="14">
        <f t="shared" si="22"/>
        <v>0.61846509971509978</v>
      </c>
      <c r="B142" s="2">
        <f t="shared" si="11"/>
        <v>137</v>
      </c>
      <c r="C142" s="4">
        <f t="shared" si="20"/>
        <v>73.83</v>
      </c>
      <c r="D142" s="2">
        <v>1</v>
      </c>
      <c r="E142" s="2">
        <v>50.26548245743669</v>
      </c>
      <c r="F142" s="11">
        <f t="shared" si="0"/>
        <v>0.19894367886486919</v>
      </c>
      <c r="G142" s="2">
        <f t="shared" si="1"/>
        <v>14.688011810593292</v>
      </c>
      <c r="H142" s="2">
        <f t="shared" si="2"/>
        <v>1.3670907449013856</v>
      </c>
      <c r="I142" s="2">
        <f t="shared" si="3"/>
        <v>100.9323096960693</v>
      </c>
      <c r="J142" s="2">
        <f t="shared" si="4"/>
        <v>86.244297885476001</v>
      </c>
      <c r="K142" s="15">
        <f t="shared" si="23"/>
        <v>0.59797008547008546</v>
      </c>
      <c r="L142" s="2">
        <f t="shared" si="14"/>
        <v>137</v>
      </c>
      <c r="M142" s="2">
        <f t="shared" si="21"/>
        <v>73.650000000000006</v>
      </c>
      <c r="N142" s="2">
        <v>8</v>
      </c>
      <c r="O142" s="2">
        <v>50.26548245743669</v>
      </c>
      <c r="P142" s="11">
        <f t="shared" si="5"/>
        <v>1.5915494309189535</v>
      </c>
      <c r="Q142" s="2">
        <f t="shared" si="6"/>
        <v>117.21761558718093</v>
      </c>
      <c r="R142" s="2">
        <f t="shared" si="7"/>
        <v>1.446850352208229</v>
      </c>
      <c r="S142" s="2">
        <f t="shared" si="8"/>
        <v>106.56052844013607</v>
      </c>
      <c r="T142" s="2">
        <f t="shared" si="9"/>
        <v>10.657087147044862</v>
      </c>
    </row>
    <row r="143" spans="1:20" x14ac:dyDescent="0.25">
      <c r="A143" s="14">
        <f t="shared" si="22"/>
        <v>0.61858974358974361</v>
      </c>
      <c r="B143" s="2">
        <f t="shared" si="11"/>
        <v>138</v>
      </c>
      <c r="C143" s="4">
        <f t="shared" si="20"/>
        <v>74.33</v>
      </c>
      <c r="D143" s="2">
        <v>8.5</v>
      </c>
      <c r="E143" s="2">
        <v>50.26548245743669</v>
      </c>
      <c r="F143" s="11">
        <f t="shared" si="0"/>
        <v>1.6910212703513881</v>
      </c>
      <c r="G143" s="2">
        <f t="shared" si="1"/>
        <v>125.69361102521867</v>
      </c>
      <c r="H143" s="2">
        <f t="shared" si="2"/>
        <v>1.3670907449013856</v>
      </c>
      <c r="I143" s="2">
        <f t="shared" si="3"/>
        <v>101.61585506851999</v>
      </c>
      <c r="J143" s="2">
        <f t="shared" si="4"/>
        <v>24.077755956698681</v>
      </c>
      <c r="K143" s="15">
        <f t="shared" si="23"/>
        <v>0.59807692307692306</v>
      </c>
      <c r="L143" s="2">
        <f t="shared" si="14"/>
        <v>138</v>
      </c>
      <c r="M143" s="2">
        <f t="shared" si="21"/>
        <v>74.150000000000006</v>
      </c>
      <c r="N143" s="2">
        <v>8</v>
      </c>
      <c r="O143" s="2">
        <v>50.26548245743669</v>
      </c>
      <c r="P143" s="11">
        <f t="shared" si="5"/>
        <v>1.5915494309189535</v>
      </c>
      <c r="Q143" s="2">
        <f t="shared" si="6"/>
        <v>118.01339030264042</v>
      </c>
      <c r="R143" s="2">
        <f t="shared" si="7"/>
        <v>1.446850352208229</v>
      </c>
      <c r="S143" s="2">
        <f t="shared" si="8"/>
        <v>107.28395361624018</v>
      </c>
      <c r="T143" s="2">
        <f t="shared" si="9"/>
        <v>10.729436686400234</v>
      </c>
    </row>
    <row r="144" spans="1:20" x14ac:dyDescent="0.25">
      <c r="A144" s="14">
        <f t="shared" si="22"/>
        <v>0.61871438746438745</v>
      </c>
      <c r="B144" s="2">
        <f t="shared" si="11"/>
        <v>139</v>
      </c>
      <c r="C144" s="4">
        <f t="shared" si="20"/>
        <v>74.83</v>
      </c>
      <c r="D144" s="2">
        <v>7.5</v>
      </c>
      <c r="E144" s="2">
        <v>50.26548245743669</v>
      </c>
      <c r="F144" s="11">
        <f t="shared" si="0"/>
        <v>1.492077591486519</v>
      </c>
      <c r="G144" s="2">
        <f t="shared" si="1"/>
        <v>111.65216617093621</v>
      </c>
      <c r="H144" s="2">
        <f t="shared" si="2"/>
        <v>1.3670907449013856</v>
      </c>
      <c r="I144" s="2">
        <f t="shared" si="3"/>
        <v>102.29940044097069</v>
      </c>
      <c r="J144" s="2">
        <f t="shared" si="4"/>
        <v>9.352765729965526</v>
      </c>
      <c r="K144" s="15">
        <f t="shared" si="23"/>
        <v>0.59818376068376067</v>
      </c>
      <c r="L144" s="2">
        <f t="shared" si="14"/>
        <v>139</v>
      </c>
      <c r="M144" s="2">
        <f t="shared" si="21"/>
        <v>74.650000000000006</v>
      </c>
      <c r="N144" s="2">
        <v>8</v>
      </c>
      <c r="O144" s="2">
        <v>50.26548245743669</v>
      </c>
      <c r="P144" s="11">
        <f t="shared" si="5"/>
        <v>1.5915494309189535</v>
      </c>
      <c r="Q144" s="2">
        <f t="shared" si="6"/>
        <v>118.80916501809989</v>
      </c>
      <c r="R144" s="2">
        <f t="shared" si="7"/>
        <v>1.446850352208229</v>
      </c>
      <c r="S144" s="2">
        <f t="shared" si="8"/>
        <v>108.0073787923443</v>
      </c>
      <c r="T144" s="2">
        <f t="shared" si="9"/>
        <v>10.801786225755592</v>
      </c>
    </row>
    <row r="145" spans="1:20" x14ac:dyDescent="0.25">
      <c r="A145" s="14">
        <f t="shared" si="22"/>
        <v>0.6188390313390314</v>
      </c>
      <c r="B145" s="2">
        <f t="shared" si="11"/>
        <v>140</v>
      </c>
      <c r="C145" s="4">
        <f t="shared" si="20"/>
        <v>75.33</v>
      </c>
      <c r="D145" s="2">
        <v>7</v>
      </c>
      <c r="E145" s="2">
        <v>50.26548245743669</v>
      </c>
      <c r="F145" s="11">
        <f t="shared" si="0"/>
        <v>1.3926057520540844</v>
      </c>
      <c r="G145" s="2">
        <f t="shared" si="1"/>
        <v>104.90499130223418</v>
      </c>
      <c r="H145" s="2">
        <f t="shared" si="2"/>
        <v>1.3670907449013856</v>
      </c>
      <c r="I145" s="2">
        <f t="shared" si="3"/>
        <v>102.98294581342138</v>
      </c>
      <c r="J145" s="2">
        <f t="shared" si="4"/>
        <v>1.9220454888127989</v>
      </c>
      <c r="K145" s="15">
        <f t="shared" si="23"/>
        <v>0.59829059829059827</v>
      </c>
      <c r="L145" s="2">
        <f t="shared" si="14"/>
        <v>140</v>
      </c>
      <c r="M145" s="2">
        <f t="shared" si="21"/>
        <v>75.150000000000006</v>
      </c>
      <c r="N145" s="2">
        <v>6</v>
      </c>
      <c r="O145" s="2">
        <v>50.26548245743669</v>
      </c>
      <c r="P145" s="11">
        <f t="shared" si="5"/>
        <v>1.1936620731892149</v>
      </c>
      <c r="Q145" s="2">
        <f t="shared" si="6"/>
        <v>89.703704800169504</v>
      </c>
      <c r="R145" s="2">
        <f t="shared" si="7"/>
        <v>1.446850352208229</v>
      </c>
      <c r="S145" s="2">
        <f t="shared" si="8"/>
        <v>108.73080396844841</v>
      </c>
      <c r="T145" s="2">
        <f t="shared" si="9"/>
        <v>19.027099168278909</v>
      </c>
    </row>
    <row r="146" spans="1:20" x14ac:dyDescent="0.25">
      <c r="A146" s="14">
        <f t="shared" si="22"/>
        <v>0.61896367521367524</v>
      </c>
      <c r="B146" s="2">
        <f t="shared" si="11"/>
        <v>141</v>
      </c>
      <c r="C146" s="4">
        <f t="shared" si="20"/>
        <v>75.83</v>
      </c>
      <c r="D146" s="2">
        <v>7</v>
      </c>
      <c r="E146" s="2">
        <v>50.26548245743669</v>
      </c>
      <c r="F146" s="11">
        <f t="shared" si="0"/>
        <v>1.3926057520540844</v>
      </c>
      <c r="G146" s="2">
        <f t="shared" si="1"/>
        <v>105.60129417826123</v>
      </c>
      <c r="H146" s="2">
        <f t="shared" si="2"/>
        <v>1.3670907449013856</v>
      </c>
      <c r="I146" s="2">
        <f t="shared" si="3"/>
        <v>103.66649118587206</v>
      </c>
      <c r="J146" s="2">
        <f t="shared" si="4"/>
        <v>1.9348029923891659</v>
      </c>
      <c r="K146" s="15">
        <f t="shared" si="23"/>
        <v>0.59839743589743588</v>
      </c>
      <c r="L146" s="2">
        <f t="shared" si="14"/>
        <v>141</v>
      </c>
      <c r="M146" s="2">
        <f t="shared" si="21"/>
        <v>75.650000000000006</v>
      </c>
      <c r="N146" s="2">
        <v>7</v>
      </c>
      <c r="O146" s="2">
        <v>50.26548245743669</v>
      </c>
      <c r="P146" s="11">
        <f t="shared" si="5"/>
        <v>1.3926057520540844</v>
      </c>
      <c r="Q146" s="2">
        <f t="shared" si="6"/>
        <v>105.3506251428915</v>
      </c>
      <c r="R146" s="2">
        <f t="shared" si="7"/>
        <v>1.446850352208229</v>
      </c>
      <c r="S146" s="2">
        <f t="shared" si="8"/>
        <v>109.45422914455253</v>
      </c>
      <c r="T146" s="2">
        <f t="shared" si="9"/>
        <v>4.1036040016610258</v>
      </c>
    </row>
    <row r="147" spans="1:20" x14ac:dyDescent="0.25">
      <c r="A147" s="14">
        <f t="shared" si="22"/>
        <v>0.61908831908831907</v>
      </c>
      <c r="B147" s="2">
        <f t="shared" si="11"/>
        <v>142</v>
      </c>
      <c r="C147" s="4">
        <f t="shared" si="20"/>
        <v>76.33</v>
      </c>
      <c r="D147" s="2">
        <v>8</v>
      </c>
      <c r="E147" s="2">
        <v>50.26548245743669</v>
      </c>
      <c r="F147" s="11">
        <f t="shared" si="0"/>
        <v>1.5915494309189535</v>
      </c>
      <c r="G147" s="2">
        <f t="shared" si="1"/>
        <v>121.48296806204372</v>
      </c>
      <c r="H147" s="2">
        <f t="shared" si="2"/>
        <v>1.3670907449013856</v>
      </c>
      <c r="I147" s="2">
        <f t="shared" si="3"/>
        <v>104.35003655832276</v>
      </c>
      <c r="J147" s="2">
        <f t="shared" si="4"/>
        <v>17.132931503720968</v>
      </c>
      <c r="K147" s="15">
        <f t="shared" si="23"/>
        <v>0.59850427350427349</v>
      </c>
      <c r="L147" s="2">
        <f t="shared" si="14"/>
        <v>142</v>
      </c>
      <c r="M147" s="2">
        <f t="shared" si="21"/>
        <v>76.150000000000006</v>
      </c>
      <c r="N147" s="2">
        <v>9</v>
      </c>
      <c r="O147" s="2">
        <v>50.26548245743669</v>
      </c>
      <c r="P147" s="11">
        <f t="shared" si="5"/>
        <v>1.7904931097838226</v>
      </c>
      <c r="Q147" s="2">
        <f t="shared" si="6"/>
        <v>136.34605031003809</v>
      </c>
      <c r="R147" s="2">
        <f t="shared" si="7"/>
        <v>1.446850352208229</v>
      </c>
      <c r="S147" s="2">
        <f t="shared" si="8"/>
        <v>110.17765432065664</v>
      </c>
      <c r="T147" s="2">
        <f t="shared" si="9"/>
        <v>26.168395989381452</v>
      </c>
    </row>
    <row r="148" spans="1:20" x14ac:dyDescent="0.25">
      <c r="A148" s="14">
        <f t="shared" si="22"/>
        <v>0.61921296296296302</v>
      </c>
      <c r="B148" s="2">
        <f t="shared" si="11"/>
        <v>143</v>
      </c>
      <c r="C148" s="4">
        <f t="shared" si="20"/>
        <v>76.83</v>
      </c>
      <c r="D148" s="21">
        <v>7</v>
      </c>
      <c r="E148" s="2">
        <v>50.26548245743669</v>
      </c>
      <c r="F148" s="11">
        <f t="shared" si="0"/>
        <v>1.3926057520540844</v>
      </c>
      <c r="G148" s="2">
        <f t="shared" si="1"/>
        <v>106.99389993031531</v>
      </c>
      <c r="H148" s="2">
        <f t="shared" si="2"/>
        <v>1.3670907449013856</v>
      </c>
      <c r="I148" s="2">
        <f t="shared" si="3"/>
        <v>105.03358193077345</v>
      </c>
      <c r="J148" s="2">
        <f t="shared" si="4"/>
        <v>1.9603179995418571</v>
      </c>
      <c r="K148" s="15">
        <f t="shared" si="23"/>
        <v>0.59861111111111109</v>
      </c>
      <c r="L148" s="2">
        <f t="shared" si="14"/>
        <v>143</v>
      </c>
      <c r="M148" s="2">
        <f t="shared" si="21"/>
        <v>76.650000000000006</v>
      </c>
      <c r="N148" s="2">
        <v>7.5</v>
      </c>
      <c r="O148" s="2">
        <v>50.26548245743669</v>
      </c>
      <c r="P148" s="11">
        <f t="shared" si="5"/>
        <v>1.492077591486519</v>
      </c>
      <c r="Q148" s="2">
        <f t="shared" si="6"/>
        <v>114.36774738744168</v>
      </c>
      <c r="R148" s="2">
        <f t="shared" si="7"/>
        <v>1.446850352208229</v>
      </c>
      <c r="S148" s="2">
        <f t="shared" si="8"/>
        <v>110.90107949676076</v>
      </c>
      <c r="T148" s="2">
        <f t="shared" si="9"/>
        <v>3.4666678906809238</v>
      </c>
    </row>
    <row r="149" spans="1:20" x14ac:dyDescent="0.25">
      <c r="A149" s="14">
        <f t="shared" si="22"/>
        <v>0.61933760683760686</v>
      </c>
      <c r="B149" s="2">
        <f t="shared" si="11"/>
        <v>144</v>
      </c>
      <c r="C149" s="4">
        <f t="shared" si="20"/>
        <v>77.33</v>
      </c>
      <c r="D149" s="21">
        <v>7</v>
      </c>
      <c r="E149" s="2">
        <v>50.26548245743669</v>
      </c>
      <c r="F149" s="11">
        <f t="shared" si="0"/>
        <v>1.3926057520540844</v>
      </c>
      <c r="G149" s="2">
        <f t="shared" si="1"/>
        <v>107.69020280634234</v>
      </c>
      <c r="H149" s="2">
        <f t="shared" si="2"/>
        <v>1.3670907449013856</v>
      </c>
      <c r="I149" s="2">
        <f t="shared" si="3"/>
        <v>105.71712730322415</v>
      </c>
      <c r="J149" s="2">
        <f t="shared" si="4"/>
        <v>1.9730755031181957</v>
      </c>
      <c r="K149" s="15">
        <f t="shared" si="23"/>
        <v>0.5987179487179487</v>
      </c>
      <c r="L149" s="2">
        <f t="shared" si="14"/>
        <v>144</v>
      </c>
      <c r="M149" s="2">
        <f t="shared" si="21"/>
        <v>77.150000000000006</v>
      </c>
      <c r="N149" s="2">
        <v>7</v>
      </c>
      <c r="O149" s="2">
        <v>50.26548245743669</v>
      </c>
      <c r="P149" s="11">
        <f t="shared" si="5"/>
        <v>1.3926057520540844</v>
      </c>
      <c r="Q149" s="2">
        <f t="shared" si="6"/>
        <v>107.43953377097262</v>
      </c>
      <c r="R149" s="2">
        <f t="shared" si="7"/>
        <v>1.446850352208229</v>
      </c>
      <c r="S149" s="2">
        <f t="shared" si="8"/>
        <v>111.62450467286487</v>
      </c>
      <c r="T149" s="2">
        <f t="shared" si="9"/>
        <v>4.1849709018922567</v>
      </c>
    </row>
    <row r="150" spans="1:20" x14ac:dyDescent="0.25">
      <c r="A150" s="14">
        <f t="shared" si="22"/>
        <v>0.61946225071225069</v>
      </c>
      <c r="B150" s="2">
        <f t="shared" si="11"/>
        <v>145</v>
      </c>
      <c r="C150" s="4">
        <f t="shared" si="20"/>
        <v>77.83</v>
      </c>
      <c r="D150" s="21">
        <v>7.5</v>
      </c>
      <c r="E150" s="2">
        <v>50.26548245743669</v>
      </c>
      <c r="F150" s="11">
        <f t="shared" si="0"/>
        <v>1.492077591486519</v>
      </c>
      <c r="G150" s="2">
        <f t="shared" si="1"/>
        <v>116.12839894539577</v>
      </c>
      <c r="H150" s="2">
        <f t="shared" si="2"/>
        <v>1.3670907449013856</v>
      </c>
      <c r="I150" s="2">
        <f t="shared" si="3"/>
        <v>106.40067267567484</v>
      </c>
      <c r="J150" s="2">
        <f t="shared" si="4"/>
        <v>9.7277262697209324</v>
      </c>
      <c r="K150" s="15">
        <f t="shared" si="23"/>
        <v>0.59882478632478631</v>
      </c>
      <c r="L150" s="2">
        <f t="shared" si="14"/>
        <v>145</v>
      </c>
      <c r="M150" s="2">
        <f t="shared" si="21"/>
        <v>77.650000000000006</v>
      </c>
      <c r="N150" s="2">
        <v>7.5</v>
      </c>
      <c r="O150" s="2">
        <v>50.26548245743669</v>
      </c>
      <c r="P150" s="11">
        <f t="shared" si="5"/>
        <v>1.492077591486519</v>
      </c>
      <c r="Q150" s="2">
        <f t="shared" si="6"/>
        <v>115.8598249789282</v>
      </c>
      <c r="R150" s="2">
        <f t="shared" si="7"/>
        <v>1.446850352208229</v>
      </c>
      <c r="S150" s="2">
        <f t="shared" si="8"/>
        <v>112.34792984896899</v>
      </c>
      <c r="T150" s="2">
        <f t="shared" si="9"/>
        <v>3.511895129959214</v>
      </c>
    </row>
    <row r="151" spans="1:20" x14ac:dyDescent="0.25">
      <c r="A151" s="14">
        <f t="shared" si="22"/>
        <v>0.61958689458689464</v>
      </c>
      <c r="B151" s="2">
        <f t="shared" si="11"/>
        <v>146</v>
      </c>
      <c r="C151" s="4">
        <f t="shared" si="20"/>
        <v>78.33</v>
      </c>
      <c r="D151" s="2">
        <v>7.5</v>
      </c>
      <c r="E151" s="2">
        <v>50.26548245743669</v>
      </c>
      <c r="F151" s="11">
        <f t="shared" si="0"/>
        <v>1.492077591486519</v>
      </c>
      <c r="G151" s="2">
        <f t="shared" si="1"/>
        <v>116.87443774113903</v>
      </c>
      <c r="H151" s="2">
        <f t="shared" si="2"/>
        <v>1.3670907449013856</v>
      </c>
      <c r="I151" s="2">
        <f t="shared" si="3"/>
        <v>107.08421804812554</v>
      </c>
      <c r="J151" s="2">
        <f t="shared" si="4"/>
        <v>9.7902196930134977</v>
      </c>
      <c r="K151" s="15">
        <f t="shared" si="23"/>
        <v>0.59893162393162391</v>
      </c>
      <c r="L151" s="2">
        <f t="shared" si="14"/>
        <v>146</v>
      </c>
      <c r="M151" s="2">
        <f t="shared" si="21"/>
        <v>78.150000000000006</v>
      </c>
      <c r="N151" s="2">
        <v>7.5</v>
      </c>
      <c r="O151" s="2">
        <v>50.26548245743669</v>
      </c>
      <c r="P151" s="11">
        <f t="shared" si="5"/>
        <v>1.492077591486519</v>
      </c>
      <c r="Q151" s="2">
        <f t="shared" si="6"/>
        <v>116.60586377467146</v>
      </c>
      <c r="R151" s="2">
        <f t="shared" si="7"/>
        <v>1.446850352208229</v>
      </c>
      <c r="S151" s="2">
        <f t="shared" si="8"/>
        <v>113.0713550250731</v>
      </c>
      <c r="T151" s="2">
        <f t="shared" si="9"/>
        <v>3.5345087495983591</v>
      </c>
    </row>
    <row r="152" spans="1:20" x14ac:dyDescent="0.25">
      <c r="A152" s="14">
        <f t="shared" si="22"/>
        <v>0.61971153846153848</v>
      </c>
      <c r="B152" s="2">
        <f t="shared" si="11"/>
        <v>147</v>
      </c>
      <c r="C152" s="4">
        <f t="shared" si="20"/>
        <v>78.83</v>
      </c>
      <c r="D152" s="2">
        <v>8</v>
      </c>
      <c r="E152" s="2">
        <v>50.26548245743669</v>
      </c>
      <c r="F152" s="11">
        <f t="shared" si="0"/>
        <v>1.5915494309189535</v>
      </c>
      <c r="G152" s="2">
        <f t="shared" si="1"/>
        <v>125.4618416393411</v>
      </c>
      <c r="H152" s="2">
        <f t="shared" si="2"/>
        <v>1.3670907449013856</v>
      </c>
      <c r="I152" s="2">
        <f t="shared" si="3"/>
        <v>107.76776342057623</v>
      </c>
      <c r="J152" s="2">
        <f t="shared" si="4"/>
        <v>17.694078218764872</v>
      </c>
      <c r="K152" s="15">
        <f t="shared" si="23"/>
        <v>0.59903846153846152</v>
      </c>
      <c r="L152" s="2">
        <f t="shared" si="14"/>
        <v>147</v>
      </c>
      <c r="M152" s="2">
        <f t="shared" si="21"/>
        <v>78.650000000000006</v>
      </c>
      <c r="N152" s="2">
        <v>7</v>
      </c>
      <c r="O152" s="2">
        <v>50.26548245743669</v>
      </c>
      <c r="P152" s="11">
        <f t="shared" si="5"/>
        <v>1.3926057520540844</v>
      </c>
      <c r="Q152" s="2">
        <f t="shared" si="6"/>
        <v>109.52844239905374</v>
      </c>
      <c r="R152" s="2">
        <f t="shared" si="7"/>
        <v>1.446850352208229</v>
      </c>
      <c r="S152" s="2">
        <f t="shared" si="8"/>
        <v>113.79478020117722</v>
      </c>
      <c r="T152" s="2">
        <f t="shared" si="9"/>
        <v>4.2663378021234735</v>
      </c>
    </row>
    <row r="153" spans="1:20" x14ac:dyDescent="0.25">
      <c r="A153" s="14">
        <f t="shared" si="22"/>
        <v>0.61983618233618232</v>
      </c>
      <c r="B153" s="2">
        <f t="shared" si="11"/>
        <v>148</v>
      </c>
      <c r="C153" s="4">
        <f t="shared" si="20"/>
        <v>79.33</v>
      </c>
      <c r="D153" s="2">
        <v>8.5</v>
      </c>
      <c r="E153" s="2">
        <v>50.26548245743669</v>
      </c>
      <c r="F153" s="11">
        <f t="shared" si="0"/>
        <v>1.6910212703513881</v>
      </c>
      <c r="G153" s="2">
        <f t="shared" si="1"/>
        <v>134.14871737697561</v>
      </c>
      <c r="H153" s="2">
        <f t="shared" si="2"/>
        <v>1.3670907449013856</v>
      </c>
      <c r="I153" s="2">
        <f t="shared" si="3"/>
        <v>108.45130879302691</v>
      </c>
      <c r="J153" s="2">
        <f t="shared" si="4"/>
        <v>25.6974085839487</v>
      </c>
      <c r="K153" s="15">
        <f t="shared" si="23"/>
        <v>0.59914529914529913</v>
      </c>
      <c r="L153" s="2">
        <f t="shared" si="14"/>
        <v>148</v>
      </c>
      <c r="M153" s="2">
        <f t="shared" si="21"/>
        <v>79.150000000000006</v>
      </c>
      <c r="N153" s="2">
        <v>8</v>
      </c>
      <c r="O153" s="2">
        <v>50.26548245743669</v>
      </c>
      <c r="P153" s="11">
        <f t="shared" si="5"/>
        <v>1.5915494309189535</v>
      </c>
      <c r="Q153" s="2">
        <f t="shared" si="6"/>
        <v>125.97113745723517</v>
      </c>
      <c r="R153" s="2">
        <f t="shared" si="7"/>
        <v>1.446850352208229</v>
      </c>
      <c r="S153" s="2">
        <f t="shared" si="8"/>
        <v>114.51820537728133</v>
      </c>
      <c r="T153" s="2">
        <f t="shared" si="9"/>
        <v>11.45293207995384</v>
      </c>
    </row>
    <row r="154" spans="1:20" x14ac:dyDescent="0.25">
      <c r="A154" s="14">
        <f t="shared" si="22"/>
        <v>0.61996082621082627</v>
      </c>
      <c r="B154" s="2">
        <f t="shared" si="11"/>
        <v>149</v>
      </c>
      <c r="C154" s="4">
        <f t="shared" si="20"/>
        <v>79.83</v>
      </c>
      <c r="D154" s="2">
        <v>7</v>
      </c>
      <c r="E154" s="2">
        <v>50.26548245743669</v>
      </c>
      <c r="F154" s="11">
        <f t="shared" si="0"/>
        <v>1.3926057520540844</v>
      </c>
      <c r="G154" s="2">
        <f t="shared" si="1"/>
        <v>111.17171718647757</v>
      </c>
      <c r="H154" s="2">
        <f t="shared" si="2"/>
        <v>1.3670907449013856</v>
      </c>
      <c r="I154" s="2">
        <f t="shared" si="3"/>
        <v>109.13485416547761</v>
      </c>
      <c r="J154" s="2">
        <f t="shared" si="4"/>
        <v>2.0368630209999594</v>
      </c>
      <c r="K154" s="15">
        <f t="shared" si="23"/>
        <v>0.59925213675213673</v>
      </c>
      <c r="L154" s="2">
        <f t="shared" si="14"/>
        <v>149</v>
      </c>
      <c r="M154" s="2">
        <f t="shared" si="21"/>
        <v>79.650000000000006</v>
      </c>
      <c r="N154" s="2">
        <v>8</v>
      </c>
      <c r="O154" s="2">
        <v>50.26548245743669</v>
      </c>
      <c r="P154" s="11">
        <f t="shared" si="5"/>
        <v>1.5915494309189535</v>
      </c>
      <c r="Q154" s="2">
        <f t="shared" si="6"/>
        <v>126.76691217269466</v>
      </c>
      <c r="R154" s="2">
        <f t="shared" si="7"/>
        <v>1.446850352208229</v>
      </c>
      <c r="S154" s="2">
        <f t="shared" si="8"/>
        <v>115.24163055338545</v>
      </c>
      <c r="T154" s="2">
        <f t="shared" si="9"/>
        <v>11.525281619309212</v>
      </c>
    </row>
    <row r="155" spans="1:20" x14ac:dyDescent="0.25">
      <c r="A155" s="14">
        <f t="shared" si="22"/>
        <v>0.6200854700854701</v>
      </c>
      <c r="B155" s="2">
        <f t="shared" si="11"/>
        <v>150</v>
      </c>
      <c r="C155" s="4">
        <f t="shared" si="20"/>
        <v>80.33</v>
      </c>
      <c r="D155" s="2">
        <v>10</v>
      </c>
      <c r="E155" s="2">
        <v>50.26548245743669</v>
      </c>
      <c r="F155" s="11">
        <f t="shared" si="0"/>
        <v>1.9894367886486919</v>
      </c>
      <c r="G155" s="2">
        <f t="shared" si="1"/>
        <v>159.81145723214942</v>
      </c>
      <c r="H155" s="2">
        <f t="shared" si="2"/>
        <v>1.3670907449013856</v>
      </c>
      <c r="I155" s="2">
        <f t="shared" si="3"/>
        <v>109.8183995379283</v>
      </c>
      <c r="J155" s="2">
        <f t="shared" si="4"/>
        <v>49.993057694221122</v>
      </c>
      <c r="K155" s="15">
        <f t="shared" si="23"/>
        <v>0.59935897435897434</v>
      </c>
      <c r="L155" s="2">
        <f t="shared" si="14"/>
        <v>150</v>
      </c>
      <c r="M155" s="2">
        <f t="shared" si="21"/>
        <v>80.150000000000006</v>
      </c>
      <c r="N155" s="2">
        <v>8.5</v>
      </c>
      <c r="O155" s="2">
        <v>50.26548245743669</v>
      </c>
      <c r="P155" s="11">
        <f t="shared" si="5"/>
        <v>1.6910212703513881</v>
      </c>
      <c r="Q155" s="2">
        <f t="shared" si="6"/>
        <v>135.53535481866376</v>
      </c>
      <c r="R155" s="2">
        <f t="shared" si="7"/>
        <v>1.446850352208229</v>
      </c>
      <c r="S155" s="2">
        <f t="shared" si="8"/>
        <v>115.96505572948956</v>
      </c>
      <c r="T155" s="2">
        <f t="shared" si="9"/>
        <v>19.570299089174199</v>
      </c>
    </row>
    <row r="156" spans="1:20" x14ac:dyDescent="0.25">
      <c r="A156" s="14">
        <f t="shared" si="22"/>
        <v>0.62021011396011394</v>
      </c>
      <c r="B156" s="2">
        <f t="shared" si="11"/>
        <v>151</v>
      </c>
      <c r="C156" s="4">
        <f t="shared" si="20"/>
        <v>80.83</v>
      </c>
      <c r="D156" s="2">
        <v>7</v>
      </c>
      <c r="E156" s="2">
        <v>50.26548245743669</v>
      </c>
      <c r="F156" s="11">
        <f t="shared" si="0"/>
        <v>1.3926057520540844</v>
      </c>
      <c r="G156" s="2">
        <f t="shared" si="1"/>
        <v>112.56432293853165</v>
      </c>
      <c r="H156" s="2">
        <f t="shared" si="2"/>
        <v>1.3670907449013856</v>
      </c>
      <c r="I156" s="2">
        <f t="shared" si="3"/>
        <v>110.501944910379</v>
      </c>
      <c r="J156" s="2">
        <f t="shared" si="4"/>
        <v>2.0623780281526507</v>
      </c>
      <c r="K156" s="15">
        <f t="shared" si="23"/>
        <v>0.59946581196581195</v>
      </c>
      <c r="L156" s="2">
        <f t="shared" si="14"/>
        <v>151</v>
      </c>
      <c r="M156" s="2">
        <f t="shared" si="21"/>
        <v>80.650000000000006</v>
      </c>
      <c r="N156" s="2">
        <v>7.5</v>
      </c>
      <c r="O156" s="2">
        <v>50.26548245743669</v>
      </c>
      <c r="P156" s="11">
        <f t="shared" si="5"/>
        <v>1.492077591486519</v>
      </c>
      <c r="Q156" s="2">
        <f t="shared" si="6"/>
        <v>120.33605775338776</v>
      </c>
      <c r="R156" s="2">
        <f t="shared" si="7"/>
        <v>1.446850352208229</v>
      </c>
      <c r="S156" s="2">
        <f t="shared" si="8"/>
        <v>116.68848090559368</v>
      </c>
      <c r="T156" s="2">
        <f t="shared" si="9"/>
        <v>3.6475768477940846</v>
      </c>
    </row>
    <row r="157" spans="1:20" x14ac:dyDescent="0.25">
      <c r="A157" s="14">
        <f t="shared" si="22"/>
        <v>0.62033475783475789</v>
      </c>
      <c r="B157" s="2">
        <f t="shared" si="11"/>
        <v>152</v>
      </c>
      <c r="C157" s="4">
        <f t="shared" si="20"/>
        <v>81.33</v>
      </c>
      <c r="D157" s="2">
        <v>7</v>
      </c>
      <c r="E157" s="2">
        <v>50.26548245743669</v>
      </c>
      <c r="F157" s="11">
        <f t="shared" si="0"/>
        <v>1.3926057520540844</v>
      </c>
      <c r="G157" s="2">
        <f t="shared" si="1"/>
        <v>113.26062581455868</v>
      </c>
      <c r="H157" s="2">
        <f t="shared" si="2"/>
        <v>1.3670907449013856</v>
      </c>
      <c r="I157" s="2">
        <f t="shared" si="3"/>
        <v>111.18549028282969</v>
      </c>
      <c r="J157" s="2">
        <f t="shared" si="4"/>
        <v>2.0751355317289892</v>
      </c>
      <c r="K157" s="15">
        <f t="shared" si="23"/>
        <v>0.59957264957264955</v>
      </c>
      <c r="L157" s="2">
        <f t="shared" si="14"/>
        <v>152</v>
      </c>
      <c r="M157" s="2">
        <f t="shared" si="21"/>
        <v>81.150000000000006</v>
      </c>
      <c r="N157" s="2">
        <v>7.5</v>
      </c>
      <c r="O157" s="2">
        <v>50.26548245743669</v>
      </c>
      <c r="P157" s="11">
        <f t="shared" si="5"/>
        <v>1.492077591486519</v>
      </c>
      <c r="Q157" s="2">
        <f t="shared" si="6"/>
        <v>121.08209654913102</v>
      </c>
      <c r="R157" s="2">
        <f t="shared" si="7"/>
        <v>1.446850352208229</v>
      </c>
      <c r="S157" s="2">
        <f t="shared" si="8"/>
        <v>117.41190608169779</v>
      </c>
      <c r="T157" s="2">
        <f t="shared" si="9"/>
        <v>3.6701904674332297</v>
      </c>
    </row>
    <row r="158" spans="1:20" x14ac:dyDescent="0.25">
      <c r="A158" s="14">
        <f t="shared" si="22"/>
        <v>0.62045940170940173</v>
      </c>
      <c r="B158" s="2">
        <f t="shared" si="11"/>
        <v>153</v>
      </c>
      <c r="C158" s="4">
        <f t="shared" si="20"/>
        <v>81.83</v>
      </c>
      <c r="D158" s="2">
        <v>6</v>
      </c>
      <c r="E158" s="2">
        <v>50.26548245743669</v>
      </c>
      <c r="F158" s="11">
        <f t="shared" si="0"/>
        <v>1.1936620731892149</v>
      </c>
      <c r="G158" s="2">
        <f t="shared" si="1"/>
        <v>97.677367449073458</v>
      </c>
      <c r="H158" s="2">
        <f t="shared" si="2"/>
        <v>1.3670907449013856</v>
      </c>
      <c r="I158" s="2">
        <f t="shared" si="3"/>
        <v>111.86903565528038</v>
      </c>
      <c r="J158" s="2">
        <f t="shared" si="4"/>
        <v>14.191668206206927</v>
      </c>
      <c r="K158" s="15">
        <f t="shared" si="23"/>
        <v>0.59967948717948716</v>
      </c>
      <c r="L158" s="2">
        <f t="shared" si="14"/>
        <v>153</v>
      </c>
      <c r="M158" s="2">
        <f t="shared" si="21"/>
        <v>81.650000000000006</v>
      </c>
      <c r="N158" s="2">
        <v>6</v>
      </c>
      <c r="O158" s="2">
        <v>50.26548245743669</v>
      </c>
      <c r="P158" s="11">
        <f t="shared" si="5"/>
        <v>1.1936620731892149</v>
      </c>
      <c r="Q158" s="2">
        <f t="shared" si="6"/>
        <v>97.46250827589941</v>
      </c>
      <c r="R158" s="2">
        <f t="shared" si="7"/>
        <v>1.446850352208229</v>
      </c>
      <c r="S158" s="2">
        <f t="shared" si="8"/>
        <v>118.13533125780191</v>
      </c>
      <c r="T158" s="2">
        <f t="shared" si="9"/>
        <v>20.672822981902499</v>
      </c>
    </row>
    <row r="159" spans="1:20" x14ac:dyDescent="0.25">
      <c r="A159" s="14">
        <f t="shared" si="22"/>
        <v>0.62058404558404556</v>
      </c>
      <c r="B159" s="2">
        <f t="shared" si="11"/>
        <v>154</v>
      </c>
      <c r="C159" s="4">
        <f t="shared" si="20"/>
        <v>82.33</v>
      </c>
      <c r="D159" s="2">
        <v>6</v>
      </c>
      <c r="E159" s="2">
        <v>50.26548245743669</v>
      </c>
      <c r="F159" s="11">
        <f t="shared" si="0"/>
        <v>1.1936620731892149</v>
      </c>
      <c r="G159" s="2">
        <f t="shared" si="1"/>
        <v>98.274198485668066</v>
      </c>
      <c r="H159" s="2">
        <f t="shared" si="2"/>
        <v>1.3670907449013856</v>
      </c>
      <c r="I159" s="2">
        <f t="shared" si="3"/>
        <v>112.55258102773108</v>
      </c>
      <c r="J159" s="2">
        <f t="shared" si="4"/>
        <v>14.278382542063014</v>
      </c>
      <c r="K159" s="15">
        <f t="shared" si="23"/>
        <v>0.59978632478632476</v>
      </c>
      <c r="L159" s="2">
        <f t="shared" si="14"/>
        <v>154</v>
      </c>
      <c r="M159" s="2">
        <f t="shared" si="21"/>
        <v>82.15</v>
      </c>
      <c r="N159" s="2">
        <v>5.5</v>
      </c>
      <c r="O159" s="2">
        <v>50.26548245743669</v>
      </c>
      <c r="P159" s="11">
        <f t="shared" si="5"/>
        <v>1.0941902337567804</v>
      </c>
      <c r="Q159" s="2">
        <f t="shared" si="6"/>
        <v>89.887727703119509</v>
      </c>
      <c r="R159" s="2">
        <f t="shared" si="7"/>
        <v>1.446850352208229</v>
      </c>
      <c r="S159" s="2">
        <f t="shared" si="8"/>
        <v>118.85875643390602</v>
      </c>
      <c r="T159" s="2">
        <f t="shared" si="9"/>
        <v>28.971028730786514</v>
      </c>
    </row>
    <row r="160" spans="1:20" x14ac:dyDescent="0.25">
      <c r="A160" s="14">
        <f t="shared" si="22"/>
        <v>0.62070868945868951</v>
      </c>
      <c r="B160" s="2">
        <f t="shared" si="11"/>
        <v>155</v>
      </c>
      <c r="C160" s="4">
        <f t="shared" si="20"/>
        <v>82.83</v>
      </c>
      <c r="D160" s="2">
        <v>5.5</v>
      </c>
      <c r="E160" s="2">
        <v>50.26548245743669</v>
      </c>
      <c r="F160" s="11">
        <f t="shared" si="0"/>
        <v>1.0941902337567804</v>
      </c>
      <c r="G160" s="2">
        <f t="shared" si="1"/>
        <v>90.631777062074121</v>
      </c>
      <c r="H160" s="2">
        <f t="shared" si="2"/>
        <v>1.3670907449013856</v>
      </c>
      <c r="I160" s="2">
        <f t="shared" si="3"/>
        <v>113.23612640018176</v>
      </c>
      <c r="J160" s="2">
        <f t="shared" si="4"/>
        <v>22.604349338107639</v>
      </c>
      <c r="K160" s="15">
        <f t="shared" si="23"/>
        <v>0.59989316239316237</v>
      </c>
      <c r="L160" s="2">
        <f t="shared" si="14"/>
        <v>155</v>
      </c>
      <c r="M160" s="2">
        <f t="shared" si="21"/>
        <v>82.65</v>
      </c>
      <c r="N160" s="2">
        <v>5</v>
      </c>
      <c r="O160" s="2">
        <v>50.26548245743669</v>
      </c>
      <c r="P160" s="11">
        <f t="shared" si="5"/>
        <v>0.99471839432434594</v>
      </c>
      <c r="Q160" s="2">
        <f t="shared" si="6"/>
        <v>82.213475290907198</v>
      </c>
      <c r="R160" s="2">
        <f t="shared" si="7"/>
        <v>1.446850352208229</v>
      </c>
      <c r="S160" s="2">
        <f t="shared" si="8"/>
        <v>119.58218161001014</v>
      </c>
      <c r="T160" s="2">
        <f t="shared" si="9"/>
        <v>37.368706319102941</v>
      </c>
    </row>
    <row r="161" spans="1:20" x14ac:dyDescent="0.25">
      <c r="A161" s="10">
        <v>0.62083333333333335</v>
      </c>
      <c r="B161" s="2">
        <f t="shared" si="11"/>
        <v>156</v>
      </c>
      <c r="C161" s="4">
        <f t="shared" si="20"/>
        <v>83.33</v>
      </c>
      <c r="D161" s="2">
        <v>5.5</v>
      </c>
      <c r="E161" s="2">
        <v>50.26548245743669</v>
      </c>
      <c r="F161" s="11">
        <f t="shared" si="0"/>
        <v>1.0941902337567804</v>
      </c>
      <c r="G161" s="2">
        <f t="shared" si="1"/>
        <v>91.178872178952503</v>
      </c>
      <c r="H161" s="2">
        <f t="shared" si="2"/>
        <v>1.3670907449013856</v>
      </c>
      <c r="I161" s="2">
        <f t="shared" si="3"/>
        <v>113.91967177263246</v>
      </c>
      <c r="J161" s="2">
        <f t="shared" si="4"/>
        <v>22.740799593679952</v>
      </c>
      <c r="K161" s="12">
        <v>0.6</v>
      </c>
      <c r="L161" s="2">
        <f t="shared" si="14"/>
        <v>156</v>
      </c>
      <c r="M161" s="2">
        <f t="shared" si="21"/>
        <v>83.15</v>
      </c>
      <c r="N161" s="2">
        <v>5</v>
      </c>
      <c r="O161" s="2">
        <v>50.26548245743669</v>
      </c>
      <c r="P161" s="11">
        <f t="shared" si="5"/>
        <v>0.99471839432434594</v>
      </c>
      <c r="Q161" s="2">
        <f t="shared" si="6"/>
        <v>82.710834488069366</v>
      </c>
      <c r="R161" s="2">
        <f t="shared" si="7"/>
        <v>1.446850352208229</v>
      </c>
      <c r="S161" s="2">
        <f t="shared" si="8"/>
        <v>120.30560678611425</v>
      </c>
      <c r="T161" s="2">
        <f t="shared" si="9"/>
        <v>37.594772298044887</v>
      </c>
    </row>
    <row r="162" spans="1:20" x14ac:dyDescent="0.25">
      <c r="A162" s="10">
        <v>0.62083333333333335</v>
      </c>
      <c r="B162" s="2">
        <f t="shared" si="11"/>
        <v>157</v>
      </c>
      <c r="C162" s="4">
        <f t="shared" si="20"/>
        <v>83.83</v>
      </c>
      <c r="D162" s="2">
        <v>5</v>
      </c>
      <c r="E162" s="2">
        <v>50.26548245743669</v>
      </c>
      <c r="F162" s="11">
        <f t="shared" si="0"/>
        <v>0.99471839432434594</v>
      </c>
      <c r="G162" s="2">
        <f t="shared" si="1"/>
        <v>83.38724299620992</v>
      </c>
      <c r="H162" s="2">
        <f t="shared" si="2"/>
        <v>1.3670907449013856</v>
      </c>
      <c r="I162" s="2">
        <f t="shared" si="3"/>
        <v>114.60321714508315</v>
      </c>
      <c r="J162" s="2">
        <f t="shared" si="4"/>
        <v>31.215974148873229</v>
      </c>
      <c r="K162" s="12">
        <v>0.6</v>
      </c>
      <c r="L162" s="2">
        <f t="shared" si="14"/>
        <v>157</v>
      </c>
      <c r="M162" s="2">
        <f t="shared" si="21"/>
        <v>83.65</v>
      </c>
      <c r="N162" s="2">
        <v>5</v>
      </c>
      <c r="O162" s="2">
        <v>50.26548245743669</v>
      </c>
      <c r="P162" s="11">
        <f t="shared" si="5"/>
        <v>0.99471839432434594</v>
      </c>
      <c r="Q162" s="2">
        <f t="shared" si="6"/>
        <v>83.208193685231549</v>
      </c>
      <c r="R162" s="2">
        <f t="shared" si="7"/>
        <v>1.446850352208229</v>
      </c>
      <c r="S162" s="2">
        <f t="shared" si="8"/>
        <v>121.02903196221837</v>
      </c>
      <c r="T162" s="2">
        <f t="shared" si="9"/>
        <v>37.820838276986819</v>
      </c>
    </row>
    <row r="163" spans="1:20" x14ac:dyDescent="0.25">
      <c r="A163" s="10"/>
      <c r="C163" s="4"/>
      <c r="F163" s="11"/>
      <c r="K163" s="12"/>
      <c r="P163" s="11"/>
    </row>
    <row r="164" spans="1:20" x14ac:dyDescent="0.25">
      <c r="A164" s="10"/>
      <c r="C164" s="4"/>
      <c r="F164" s="11"/>
      <c r="K164" s="12"/>
      <c r="P164" s="11"/>
    </row>
    <row r="165" spans="1:20" x14ac:dyDescent="0.25">
      <c r="A165" s="10"/>
      <c r="C165" s="4"/>
      <c r="F165" s="11"/>
      <c r="K165" s="12"/>
      <c r="P165" s="11"/>
    </row>
    <row r="166" spans="1:20" x14ac:dyDescent="0.25">
      <c r="C166" s="4"/>
      <c r="F166" s="11"/>
      <c r="K166" s="25"/>
      <c r="P166" s="11"/>
    </row>
    <row r="167" spans="1:20" x14ac:dyDescent="0.25">
      <c r="C167" s="4"/>
      <c r="F167" s="11"/>
      <c r="K167" s="25"/>
      <c r="P167" s="11"/>
    </row>
    <row r="168" spans="1:20" x14ac:dyDescent="0.25">
      <c r="C168" s="4"/>
      <c r="F168" s="11"/>
      <c r="K168" s="25"/>
      <c r="P168" s="11"/>
    </row>
    <row r="169" spans="1:20" x14ac:dyDescent="0.25">
      <c r="C169" s="4"/>
      <c r="F169" s="11"/>
      <c r="K169" s="25"/>
      <c r="P169" s="11"/>
    </row>
    <row r="170" spans="1:20" x14ac:dyDescent="0.25">
      <c r="C170" s="4"/>
      <c r="F170" s="11"/>
      <c r="K170" s="25"/>
      <c r="P170" s="11"/>
    </row>
    <row r="171" spans="1:20" x14ac:dyDescent="0.25">
      <c r="C171" s="4"/>
      <c r="F171" s="11"/>
      <c r="K171" s="25"/>
      <c r="P171" s="11"/>
    </row>
    <row r="172" spans="1:20" x14ac:dyDescent="0.25">
      <c r="C172" s="4"/>
      <c r="F172" s="11"/>
      <c r="K172" s="25"/>
      <c r="P172" s="11"/>
    </row>
    <row r="173" spans="1:20" x14ac:dyDescent="0.25">
      <c r="C173" s="4"/>
      <c r="F173" s="11"/>
      <c r="K173" s="25"/>
      <c r="P173" s="11"/>
    </row>
    <row r="174" spans="1:20" x14ac:dyDescent="0.25">
      <c r="A174" s="14"/>
      <c r="C174" s="4"/>
      <c r="F174" s="11"/>
      <c r="K174" s="15"/>
      <c r="P174" s="11"/>
    </row>
  </sheetData>
  <mergeCells count="29">
    <mergeCell ref="V23:X23"/>
    <mergeCell ref="V24:X24"/>
    <mergeCell ref="V25:X25"/>
    <mergeCell ref="V26:X26"/>
    <mergeCell ref="V11:W11"/>
    <mergeCell ref="V12:W12"/>
    <mergeCell ref="V13:W13"/>
    <mergeCell ref="V14:W14"/>
    <mergeCell ref="V15:W15"/>
    <mergeCell ref="V16:W16"/>
    <mergeCell ref="V17:W17"/>
    <mergeCell ref="V10:W10"/>
    <mergeCell ref="V18:W18"/>
    <mergeCell ref="V19:X19"/>
    <mergeCell ref="W20:X20"/>
    <mergeCell ref="V21:W21"/>
    <mergeCell ref="V5:W5"/>
    <mergeCell ref="V6:W6"/>
    <mergeCell ref="V7:W7"/>
    <mergeCell ref="V8:X8"/>
    <mergeCell ref="V9:W9"/>
    <mergeCell ref="A3:F3"/>
    <mergeCell ref="K3:P3"/>
    <mergeCell ref="V3:X3"/>
    <mergeCell ref="B4:C4"/>
    <mergeCell ref="E4:F4"/>
    <mergeCell ref="L4:M4"/>
    <mergeCell ref="O4:P4"/>
    <mergeCell ref="V4:W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CUC QT 1</vt:lpstr>
      <vt:lpstr>CUC QT 2</vt:lpstr>
      <vt:lpstr>CUC QT 3</vt:lpstr>
      <vt:lpstr>CUC Q0 E03</vt:lpstr>
      <vt:lpstr>CUC Q0 E06</vt:lpstr>
      <vt:lpstr>CUC Q0 E09</vt:lpstr>
      <vt:lpstr>CUC Q0 E12</vt:lpstr>
      <vt:lpstr>CUC Q0 E15</vt:lpstr>
      <vt:lpstr>CUC Q0 E18</vt:lpstr>
      <vt:lpstr>CUC Q0 E21</vt:lpstr>
      <vt:lpstr>CUC Q0 E24</vt:lpstr>
      <vt:lpstr>CUC Q0 E27</vt:lpstr>
      <vt:lpstr>CUC Q0 E30</vt:lpstr>
      <vt:lpstr>CUC Q0 E33</vt:lpstr>
      <vt:lpstr>CUC Q0 E36</vt:lpstr>
      <vt:lpstr>03-06-09-12-15-18</vt:lpstr>
      <vt:lpstr>12-15-18-21-24-27</vt:lpstr>
      <vt:lpstr>21-24-27-30-33-36</vt:lpstr>
      <vt:lpstr>ALL EMITTERS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Brito</cp:lastModifiedBy>
  <dcterms:modified xsi:type="dcterms:W3CDTF">2026-02-05T01:54:22Z</dcterms:modified>
</cp:coreProperties>
</file>